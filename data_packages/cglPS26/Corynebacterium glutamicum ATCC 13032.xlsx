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data_packages\cglPS26\"/>
    </mc:Choice>
  </mc:AlternateContent>
  <xr:revisionPtr revIDLastSave="0" documentId="13_ncr:1_{35CCF505-194B-48EF-B906-FE07525932C8}" xr6:coauthVersionLast="47" xr6:coauthVersionMax="47" xr10:uidLastSave="{00000000-0000-0000-0000-000000000000}"/>
  <bookViews>
    <workbookView xWindow="-110" yWindow="-110" windowWidth="19420" windowHeight="11500" activeTab="5" xr2:uid="{6831618E-4F3E-484A-B76D-C5B5EF5794EA}"/>
  </bookViews>
  <sheets>
    <sheet name="Information" sheetId="19" r:id="rId1"/>
    <sheet name="Peptides" sheetId="1" r:id="rId2"/>
    <sheet name="EC Numbers" sheetId="4" r:id="rId3"/>
    <sheet name="Metabolites" sheetId="6" r:id="rId4"/>
    <sheet name="Enzymes" sheetId="14" r:id="rId5"/>
    <sheet name="Reaction" sheetId="16" r:id="rId6"/>
  </sheets>
  <definedNames>
    <definedName name="_xlnm._FilterDatabase" localSheetId="2" hidden="1">'EC Numbers'!$A$1:$H$568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5" i="14" l="1"/>
  <c r="C445" i="14" s="1"/>
  <c r="F445" i="14"/>
  <c r="H445" i="14"/>
  <c r="J445" i="14"/>
  <c r="K4" i="16"/>
  <c r="K273" i="16"/>
  <c r="K188" i="16"/>
  <c r="K181" i="16"/>
  <c r="K169" i="16"/>
  <c r="K161" i="16"/>
  <c r="K155" i="16"/>
  <c r="K152" i="16"/>
  <c r="K113" i="16"/>
  <c r="K110" i="16"/>
  <c r="K98" i="16"/>
  <c r="K94" i="16"/>
  <c r="K92" i="16"/>
  <c r="K88" i="16"/>
  <c r="K52" i="16"/>
  <c r="K32" i="16"/>
  <c r="K49" i="16"/>
  <c r="K467" i="16"/>
  <c r="K428" i="16"/>
  <c r="J1029" i="16"/>
  <c r="M39" i="14"/>
  <c r="C637" i="6"/>
  <c r="C284" i="6"/>
  <c r="C233" i="6"/>
  <c r="C156" i="6"/>
  <c r="C141" i="6"/>
  <c r="C138" i="6"/>
  <c r="C130" i="6"/>
  <c r="C128" i="6"/>
  <c r="C127" i="6"/>
  <c r="C106" i="6"/>
  <c r="C87" i="6"/>
  <c r="C73" i="6"/>
  <c r="C70" i="6"/>
  <c r="C69" i="6"/>
  <c r="C42" i="6"/>
  <c r="C15" i="6"/>
  <c r="C12" i="6"/>
  <c r="I644" i="16"/>
  <c r="I451" i="16"/>
  <c r="I447" i="16"/>
  <c r="I413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J17" i="16" s="1"/>
  <c r="K17" i="16" s="1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J81" i="16" s="1"/>
  <c r="K81" i="16" s="1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J289" i="16" s="1"/>
  <c r="K289" i="16" s="1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617" i="16"/>
  <c r="E618" i="16"/>
  <c r="E619" i="16"/>
  <c r="E620" i="16"/>
  <c r="E621" i="16"/>
  <c r="E622" i="16"/>
  <c r="E623" i="16"/>
  <c r="E624" i="16"/>
  <c r="E625" i="16"/>
  <c r="E626" i="16"/>
  <c r="E627" i="16"/>
  <c r="E628" i="16"/>
  <c r="E629" i="16"/>
  <c r="E630" i="16"/>
  <c r="E631" i="16"/>
  <c r="E632" i="16"/>
  <c r="E633" i="16"/>
  <c r="E634" i="16"/>
  <c r="E635" i="16"/>
  <c r="E636" i="16"/>
  <c r="E637" i="16"/>
  <c r="E638" i="16"/>
  <c r="E639" i="16"/>
  <c r="E640" i="16"/>
  <c r="E641" i="16"/>
  <c r="E642" i="16"/>
  <c r="E643" i="16"/>
  <c r="E644" i="16"/>
  <c r="E645" i="16"/>
  <c r="E646" i="16"/>
  <c r="E647" i="16"/>
  <c r="E648" i="16"/>
  <c r="E649" i="16"/>
  <c r="E650" i="16"/>
  <c r="E651" i="16"/>
  <c r="E652" i="16"/>
  <c r="E653" i="16"/>
  <c r="E654" i="16"/>
  <c r="E655" i="16"/>
  <c r="E656" i="16"/>
  <c r="E657" i="16"/>
  <c r="E658" i="16"/>
  <c r="E659" i="16"/>
  <c r="E660" i="16"/>
  <c r="E661" i="16"/>
  <c r="E662" i="16"/>
  <c r="E663" i="16"/>
  <c r="E664" i="16"/>
  <c r="E665" i="16"/>
  <c r="E666" i="16"/>
  <c r="E667" i="16"/>
  <c r="E668" i="16"/>
  <c r="E669" i="16"/>
  <c r="E670" i="16"/>
  <c r="E671" i="16"/>
  <c r="E672" i="16"/>
  <c r="E673" i="16"/>
  <c r="E674" i="16"/>
  <c r="E675" i="16"/>
  <c r="E676" i="16"/>
  <c r="E677" i="16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E690" i="16"/>
  <c r="E691" i="16"/>
  <c r="E692" i="16"/>
  <c r="E693" i="16"/>
  <c r="E694" i="16"/>
  <c r="E695" i="16"/>
  <c r="E696" i="16"/>
  <c r="E697" i="16"/>
  <c r="E698" i="16"/>
  <c r="E699" i="16"/>
  <c r="E700" i="16"/>
  <c r="E701" i="16"/>
  <c r="E702" i="16"/>
  <c r="E703" i="16"/>
  <c r="E704" i="16"/>
  <c r="E705" i="16"/>
  <c r="E706" i="16"/>
  <c r="E707" i="16"/>
  <c r="E708" i="16"/>
  <c r="E709" i="16"/>
  <c r="E710" i="16"/>
  <c r="E711" i="16"/>
  <c r="E712" i="16"/>
  <c r="E713" i="16"/>
  <c r="E714" i="16"/>
  <c r="E715" i="16"/>
  <c r="E716" i="16"/>
  <c r="E717" i="16"/>
  <c r="E718" i="16"/>
  <c r="E719" i="16"/>
  <c r="E720" i="16"/>
  <c r="E721" i="16"/>
  <c r="E722" i="16"/>
  <c r="E723" i="16"/>
  <c r="E724" i="16"/>
  <c r="E725" i="16"/>
  <c r="E726" i="16"/>
  <c r="E727" i="16"/>
  <c r="E728" i="16"/>
  <c r="E729" i="16"/>
  <c r="E730" i="16"/>
  <c r="E731" i="16"/>
  <c r="E732" i="16"/>
  <c r="E733" i="16"/>
  <c r="E734" i="16"/>
  <c r="E735" i="16"/>
  <c r="E736" i="16"/>
  <c r="E737" i="16"/>
  <c r="E738" i="16"/>
  <c r="E739" i="16"/>
  <c r="E740" i="16"/>
  <c r="E741" i="16"/>
  <c r="E742" i="16"/>
  <c r="E743" i="16"/>
  <c r="E744" i="16"/>
  <c r="E745" i="16"/>
  <c r="E746" i="16"/>
  <c r="E747" i="16"/>
  <c r="E748" i="16"/>
  <c r="E749" i="16"/>
  <c r="E750" i="16"/>
  <c r="E751" i="16"/>
  <c r="E752" i="16"/>
  <c r="E753" i="16"/>
  <c r="E754" i="16"/>
  <c r="E755" i="16"/>
  <c r="E756" i="16"/>
  <c r="E757" i="16"/>
  <c r="E758" i="16"/>
  <c r="E759" i="16"/>
  <c r="E760" i="16"/>
  <c r="E761" i="16"/>
  <c r="E762" i="16"/>
  <c r="E763" i="16"/>
  <c r="E764" i="16"/>
  <c r="E765" i="16"/>
  <c r="E766" i="16"/>
  <c r="E767" i="16"/>
  <c r="E768" i="16"/>
  <c r="E769" i="16"/>
  <c r="E770" i="16"/>
  <c r="E771" i="16"/>
  <c r="E772" i="16"/>
  <c r="E773" i="16"/>
  <c r="E774" i="16"/>
  <c r="E775" i="16"/>
  <c r="E776" i="16"/>
  <c r="E777" i="16"/>
  <c r="E778" i="16"/>
  <c r="E779" i="16"/>
  <c r="E780" i="16"/>
  <c r="E781" i="16"/>
  <c r="E782" i="16"/>
  <c r="E783" i="16"/>
  <c r="E784" i="16"/>
  <c r="E785" i="16"/>
  <c r="E786" i="16"/>
  <c r="E787" i="16"/>
  <c r="E788" i="16"/>
  <c r="E789" i="16"/>
  <c r="E790" i="16"/>
  <c r="E791" i="16"/>
  <c r="E792" i="16"/>
  <c r="E793" i="16"/>
  <c r="E794" i="16"/>
  <c r="E795" i="16"/>
  <c r="E796" i="16"/>
  <c r="E797" i="16"/>
  <c r="E798" i="16"/>
  <c r="E799" i="16"/>
  <c r="E800" i="16"/>
  <c r="E801" i="16"/>
  <c r="E802" i="16"/>
  <c r="E803" i="16"/>
  <c r="E804" i="16"/>
  <c r="E805" i="16"/>
  <c r="E806" i="16"/>
  <c r="E807" i="16"/>
  <c r="E808" i="16"/>
  <c r="E809" i="16"/>
  <c r="E810" i="16"/>
  <c r="E811" i="16"/>
  <c r="E812" i="16"/>
  <c r="E813" i="16"/>
  <c r="E814" i="16"/>
  <c r="E815" i="16"/>
  <c r="E816" i="16"/>
  <c r="E817" i="16"/>
  <c r="E818" i="16"/>
  <c r="E819" i="16"/>
  <c r="E820" i="16"/>
  <c r="E821" i="16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E834" i="16"/>
  <c r="E835" i="16"/>
  <c r="E836" i="16"/>
  <c r="E837" i="16"/>
  <c r="E838" i="16"/>
  <c r="E839" i="16"/>
  <c r="E840" i="16"/>
  <c r="E841" i="16"/>
  <c r="E842" i="16"/>
  <c r="E843" i="16"/>
  <c r="E844" i="16"/>
  <c r="E845" i="16"/>
  <c r="E846" i="16"/>
  <c r="E847" i="16"/>
  <c r="E848" i="16"/>
  <c r="E849" i="16"/>
  <c r="E850" i="16"/>
  <c r="E851" i="16"/>
  <c r="E852" i="16"/>
  <c r="E853" i="16"/>
  <c r="E854" i="16"/>
  <c r="E855" i="16"/>
  <c r="E856" i="16"/>
  <c r="E857" i="16"/>
  <c r="E858" i="16"/>
  <c r="E859" i="16"/>
  <c r="E860" i="16"/>
  <c r="E861" i="16"/>
  <c r="E862" i="16"/>
  <c r="E863" i="16"/>
  <c r="E864" i="16"/>
  <c r="E865" i="16"/>
  <c r="E866" i="16"/>
  <c r="E867" i="16"/>
  <c r="E868" i="16"/>
  <c r="E869" i="16"/>
  <c r="E870" i="16"/>
  <c r="E871" i="16"/>
  <c r="E872" i="16"/>
  <c r="E873" i="16"/>
  <c r="E874" i="16"/>
  <c r="E875" i="16"/>
  <c r="E876" i="16"/>
  <c r="E877" i="16"/>
  <c r="E878" i="16"/>
  <c r="E879" i="16"/>
  <c r="E880" i="16"/>
  <c r="E881" i="16"/>
  <c r="E882" i="16"/>
  <c r="E883" i="16"/>
  <c r="E884" i="16"/>
  <c r="E885" i="16"/>
  <c r="E886" i="16"/>
  <c r="E887" i="16"/>
  <c r="E888" i="16"/>
  <c r="E889" i="16"/>
  <c r="E890" i="16"/>
  <c r="E891" i="16"/>
  <c r="E892" i="16"/>
  <c r="E893" i="16"/>
  <c r="E894" i="16"/>
  <c r="E895" i="16"/>
  <c r="E896" i="16"/>
  <c r="E897" i="16"/>
  <c r="E898" i="16"/>
  <c r="E899" i="16"/>
  <c r="E900" i="16"/>
  <c r="E901" i="16"/>
  <c r="E902" i="16"/>
  <c r="E903" i="16"/>
  <c r="E904" i="16"/>
  <c r="E905" i="16"/>
  <c r="E906" i="16"/>
  <c r="E907" i="16"/>
  <c r="E908" i="16"/>
  <c r="E909" i="16"/>
  <c r="E910" i="16"/>
  <c r="E911" i="16"/>
  <c r="E912" i="16"/>
  <c r="E913" i="16"/>
  <c r="E914" i="16"/>
  <c r="E915" i="16"/>
  <c r="E916" i="16"/>
  <c r="E917" i="16"/>
  <c r="E918" i="16"/>
  <c r="E919" i="16"/>
  <c r="E920" i="16"/>
  <c r="E921" i="16"/>
  <c r="E922" i="16"/>
  <c r="E923" i="16"/>
  <c r="E924" i="16"/>
  <c r="E925" i="16"/>
  <c r="E926" i="16"/>
  <c r="E927" i="16"/>
  <c r="E928" i="16"/>
  <c r="E929" i="16"/>
  <c r="E930" i="16"/>
  <c r="E931" i="16"/>
  <c r="E932" i="16"/>
  <c r="E933" i="16"/>
  <c r="E934" i="16"/>
  <c r="E935" i="16"/>
  <c r="E936" i="16"/>
  <c r="E937" i="16"/>
  <c r="E938" i="16"/>
  <c r="E939" i="16"/>
  <c r="E940" i="16"/>
  <c r="E941" i="16"/>
  <c r="E942" i="16"/>
  <c r="E943" i="16"/>
  <c r="E944" i="16"/>
  <c r="E945" i="16"/>
  <c r="E946" i="16"/>
  <c r="E947" i="16"/>
  <c r="E948" i="16"/>
  <c r="E949" i="16"/>
  <c r="E950" i="16"/>
  <c r="E951" i="16"/>
  <c r="E952" i="16"/>
  <c r="E953" i="16"/>
  <c r="E954" i="16"/>
  <c r="E955" i="16"/>
  <c r="E956" i="16"/>
  <c r="E957" i="16"/>
  <c r="E958" i="16"/>
  <c r="E959" i="16"/>
  <c r="E960" i="16"/>
  <c r="E961" i="16"/>
  <c r="E962" i="16"/>
  <c r="E963" i="16"/>
  <c r="E964" i="16"/>
  <c r="E965" i="16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E978" i="16"/>
  <c r="E979" i="16"/>
  <c r="E980" i="16"/>
  <c r="E981" i="16"/>
  <c r="E982" i="16"/>
  <c r="E983" i="16"/>
  <c r="E984" i="16"/>
  <c r="E985" i="16"/>
  <c r="E986" i="16"/>
  <c r="E987" i="16"/>
  <c r="E988" i="16"/>
  <c r="E989" i="16"/>
  <c r="E990" i="16"/>
  <c r="E991" i="16"/>
  <c r="E992" i="16"/>
  <c r="E993" i="16"/>
  <c r="E994" i="16"/>
  <c r="E995" i="16"/>
  <c r="E996" i="16"/>
  <c r="E997" i="16"/>
  <c r="E998" i="16"/>
  <c r="E999" i="16"/>
  <c r="E1000" i="16"/>
  <c r="E1001" i="16"/>
  <c r="E1002" i="16"/>
  <c r="E1003" i="16"/>
  <c r="E1004" i="16"/>
  <c r="E1005" i="16"/>
  <c r="E1006" i="16"/>
  <c r="E1007" i="16"/>
  <c r="E1008" i="16"/>
  <c r="E1009" i="16"/>
  <c r="E1010" i="16"/>
  <c r="E1011" i="16"/>
  <c r="E1012" i="16"/>
  <c r="E1013" i="16"/>
  <c r="E1014" i="16"/>
  <c r="E1015" i="16"/>
  <c r="E1016" i="16"/>
  <c r="E1017" i="16"/>
  <c r="E1018" i="16"/>
  <c r="E1019" i="16"/>
  <c r="E1020" i="16"/>
  <c r="E1021" i="16"/>
  <c r="E1022" i="16"/>
  <c r="E1023" i="16"/>
  <c r="E1024" i="16"/>
  <c r="E1025" i="16"/>
  <c r="E1026" i="16"/>
  <c r="E1027" i="16"/>
  <c r="E1028" i="16"/>
  <c r="E1029" i="16"/>
  <c r="E1030" i="16"/>
  <c r="E1031" i="16"/>
  <c r="E1032" i="16"/>
  <c r="E1033" i="16"/>
  <c r="E1034" i="16"/>
  <c r="E1035" i="16"/>
  <c r="E1036" i="16"/>
  <c r="E1037" i="16"/>
  <c r="E1038" i="16"/>
  <c r="E1039" i="16"/>
  <c r="J1039" i="16" s="1"/>
  <c r="K1039" i="16" s="1"/>
  <c r="E1040" i="16"/>
  <c r="E1041" i="16"/>
  <c r="J1041" i="16" s="1"/>
  <c r="K1041" i="16" s="1"/>
  <c r="E1042" i="16"/>
  <c r="E1043" i="16"/>
  <c r="E1044" i="16"/>
  <c r="E1045" i="16"/>
  <c r="E1046" i="16"/>
  <c r="E1047" i="16"/>
  <c r="E1048" i="16"/>
  <c r="E1049" i="16"/>
  <c r="J1049" i="16" s="1"/>
  <c r="K1049" i="16" s="1"/>
  <c r="E1050" i="16"/>
  <c r="E1051" i="16"/>
  <c r="E1052" i="16"/>
  <c r="E1053" i="16"/>
  <c r="E1054" i="16"/>
  <c r="E1055" i="16"/>
  <c r="E1056" i="16"/>
  <c r="E1057" i="16"/>
  <c r="J1057" i="16" s="1"/>
  <c r="K1057" i="16" s="1"/>
  <c r="E1058" i="16"/>
  <c r="E1059" i="16"/>
  <c r="E1060" i="16"/>
  <c r="E1061" i="16"/>
  <c r="E1062" i="16"/>
  <c r="E1063" i="16"/>
  <c r="E1064" i="16"/>
  <c r="E1065" i="16"/>
  <c r="J1065" i="16" s="1"/>
  <c r="K1065" i="16" s="1"/>
  <c r="E1066" i="16"/>
  <c r="E1067" i="16"/>
  <c r="E1068" i="16"/>
  <c r="E1069" i="16"/>
  <c r="E1070" i="16"/>
  <c r="E1071" i="16"/>
  <c r="E1072" i="16"/>
  <c r="E1073" i="16"/>
  <c r="J1073" i="16" s="1"/>
  <c r="K1073" i="16" s="1"/>
  <c r="E1074" i="16"/>
  <c r="E1075" i="16"/>
  <c r="E1076" i="16"/>
  <c r="E1077" i="16"/>
  <c r="E1078" i="16"/>
  <c r="E1079" i="16"/>
  <c r="E1080" i="16"/>
  <c r="E1081" i="16"/>
  <c r="J1081" i="16" s="1"/>
  <c r="K1081" i="16" s="1"/>
  <c r="E1082" i="16"/>
  <c r="E1083" i="16"/>
  <c r="E1084" i="16"/>
  <c r="E1085" i="16"/>
  <c r="E1086" i="16"/>
  <c r="E1087" i="16"/>
  <c r="E1088" i="16"/>
  <c r="E1089" i="16"/>
  <c r="J1089" i="16" s="1"/>
  <c r="K1089" i="16" s="1"/>
  <c r="E1090" i="16"/>
  <c r="E1091" i="16"/>
  <c r="E1092" i="16"/>
  <c r="E1093" i="16"/>
  <c r="E1094" i="16"/>
  <c r="E1095" i="16"/>
  <c r="E1096" i="16"/>
  <c r="E1097" i="16"/>
  <c r="J1097" i="16" s="1"/>
  <c r="K1097" i="16" s="1"/>
  <c r="E1098" i="16"/>
  <c r="E1099" i="16"/>
  <c r="E1100" i="16"/>
  <c r="E1101" i="16"/>
  <c r="E1102" i="16"/>
  <c r="E1103" i="16"/>
  <c r="E1104" i="16"/>
  <c r="E1105" i="16"/>
  <c r="J1105" i="16" s="1"/>
  <c r="K1105" i="16" s="1"/>
  <c r="E1106" i="16"/>
  <c r="E1107" i="16"/>
  <c r="E1108" i="16"/>
  <c r="E1109" i="16"/>
  <c r="E1110" i="16"/>
  <c r="E1111" i="16"/>
  <c r="E1112" i="16"/>
  <c r="E1113" i="16"/>
  <c r="J1113" i="16" s="1"/>
  <c r="K1113" i="16" s="1"/>
  <c r="E1114" i="16"/>
  <c r="E1115" i="16"/>
  <c r="E1116" i="16"/>
  <c r="E1117" i="16"/>
  <c r="E1118" i="16"/>
  <c r="E1119" i="16"/>
  <c r="E1120" i="16"/>
  <c r="E1121" i="16"/>
  <c r="J1121" i="16" s="1"/>
  <c r="K1121" i="16" s="1"/>
  <c r="E1122" i="16"/>
  <c r="E1123" i="16"/>
  <c r="E1124" i="16"/>
  <c r="E1125" i="16"/>
  <c r="E1126" i="16"/>
  <c r="E1127" i="16"/>
  <c r="E1128" i="16"/>
  <c r="E1129" i="16"/>
  <c r="J1129" i="16" s="1"/>
  <c r="K1129" i="16" s="1"/>
  <c r="E1130" i="16"/>
  <c r="E1131" i="16"/>
  <c r="E1132" i="16"/>
  <c r="E1133" i="16"/>
  <c r="E1134" i="16"/>
  <c r="E1135" i="16"/>
  <c r="E1136" i="16"/>
  <c r="E1137" i="16"/>
  <c r="J1137" i="16" s="1"/>
  <c r="K1137" i="16" s="1"/>
  <c r="E1138" i="16"/>
  <c r="E1139" i="16"/>
  <c r="E1140" i="16"/>
  <c r="E1141" i="16"/>
  <c r="E1142" i="16"/>
  <c r="E1143" i="16"/>
  <c r="E1144" i="16"/>
  <c r="E1145" i="16"/>
  <c r="J1145" i="16" s="1"/>
  <c r="K1145" i="16" s="1"/>
  <c r="E1146" i="16"/>
  <c r="E1147" i="16"/>
  <c r="E1148" i="16"/>
  <c r="E1149" i="16"/>
  <c r="E1150" i="16"/>
  <c r="E1151" i="16"/>
  <c r="E1152" i="16"/>
  <c r="E1153" i="16"/>
  <c r="J1153" i="16" s="1"/>
  <c r="K1153" i="16" s="1"/>
  <c r="E1154" i="16"/>
  <c r="E2" i="16"/>
  <c r="I1140" i="16"/>
  <c r="I1141" i="16"/>
  <c r="I1142" i="16"/>
  <c r="I1143" i="16"/>
  <c r="I1144" i="16"/>
  <c r="I1145" i="16"/>
  <c r="I1146" i="16"/>
  <c r="I1147" i="16"/>
  <c r="I1148" i="16"/>
  <c r="I1149" i="16"/>
  <c r="I1150" i="16"/>
  <c r="I1151" i="16"/>
  <c r="I1152" i="16"/>
  <c r="I1153" i="16"/>
  <c r="I1154" i="16"/>
  <c r="I1139" i="16"/>
  <c r="I1089" i="16"/>
  <c r="I1090" i="16"/>
  <c r="I1091" i="16"/>
  <c r="I1092" i="16"/>
  <c r="I1093" i="16"/>
  <c r="I1094" i="16"/>
  <c r="I1095" i="16"/>
  <c r="I1096" i="16"/>
  <c r="I1097" i="16"/>
  <c r="I1098" i="16"/>
  <c r="I1099" i="16"/>
  <c r="I1100" i="16"/>
  <c r="I1101" i="16"/>
  <c r="I1102" i="16"/>
  <c r="I1103" i="16"/>
  <c r="I1104" i="16"/>
  <c r="I1105" i="16"/>
  <c r="I1106" i="16"/>
  <c r="I1107" i="16"/>
  <c r="I1108" i="16"/>
  <c r="I1109" i="16"/>
  <c r="I1110" i="16"/>
  <c r="I1111" i="16"/>
  <c r="I1112" i="16"/>
  <c r="I1113" i="16"/>
  <c r="I1114" i="16"/>
  <c r="I1115" i="16"/>
  <c r="I1116" i="16"/>
  <c r="I1117" i="16"/>
  <c r="I1118" i="16"/>
  <c r="I1119" i="16"/>
  <c r="I1120" i="16"/>
  <c r="I1121" i="16"/>
  <c r="I1122" i="16"/>
  <c r="I1123" i="16"/>
  <c r="I1124" i="16"/>
  <c r="I1125" i="16"/>
  <c r="I1126" i="16"/>
  <c r="I1127" i="16"/>
  <c r="I1128" i="16"/>
  <c r="I1129" i="16"/>
  <c r="I1130" i="16"/>
  <c r="I1131" i="16"/>
  <c r="I1132" i="16"/>
  <c r="I1133" i="16"/>
  <c r="I1134" i="16"/>
  <c r="I1135" i="16"/>
  <c r="I1136" i="16"/>
  <c r="I1137" i="16"/>
  <c r="I1088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003" i="16"/>
  <c r="I1004" i="16"/>
  <c r="I1005" i="16"/>
  <c r="I1006" i="16"/>
  <c r="I1007" i="16"/>
  <c r="I1008" i="16"/>
  <c r="I1009" i="16"/>
  <c r="I1010" i="16"/>
  <c r="I1011" i="16"/>
  <c r="I1012" i="16"/>
  <c r="I1013" i="16"/>
  <c r="I1014" i="16"/>
  <c r="I1015" i="16"/>
  <c r="I1016" i="16"/>
  <c r="I1017" i="16"/>
  <c r="I1018" i="16"/>
  <c r="I1019" i="16"/>
  <c r="I1020" i="16"/>
  <c r="I1021" i="16"/>
  <c r="I1022" i="16"/>
  <c r="I1023" i="16"/>
  <c r="I1024" i="16"/>
  <c r="I1025" i="16"/>
  <c r="I1026" i="16"/>
  <c r="I1027" i="16"/>
  <c r="I1028" i="16"/>
  <c r="I1029" i="16"/>
  <c r="I1030" i="16"/>
  <c r="I1031" i="16"/>
  <c r="I1032" i="16"/>
  <c r="I1033" i="16"/>
  <c r="I1034" i="16"/>
  <c r="I1035" i="16"/>
  <c r="I1036" i="16"/>
  <c r="I1037" i="16"/>
  <c r="I1038" i="16"/>
  <c r="I1039" i="16"/>
  <c r="I1040" i="16"/>
  <c r="I1041" i="16"/>
  <c r="I1042" i="16"/>
  <c r="I1043" i="16"/>
  <c r="I1044" i="16"/>
  <c r="I1045" i="16"/>
  <c r="I1046" i="16"/>
  <c r="I1047" i="16"/>
  <c r="I1048" i="16"/>
  <c r="I1049" i="16"/>
  <c r="I1050" i="16"/>
  <c r="I1051" i="16"/>
  <c r="I1052" i="16"/>
  <c r="I1053" i="16"/>
  <c r="I1054" i="16"/>
  <c r="I1055" i="16"/>
  <c r="I1056" i="16"/>
  <c r="I1057" i="16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I1074" i="16"/>
  <c r="I1075" i="16"/>
  <c r="I1076" i="16"/>
  <c r="I1077" i="16"/>
  <c r="I1078" i="16"/>
  <c r="I1079" i="16"/>
  <c r="I1080" i="16"/>
  <c r="I1081" i="16"/>
  <c r="I1082" i="16"/>
  <c r="I1083" i="16"/>
  <c r="I1084" i="16"/>
  <c r="I1085" i="16"/>
  <c r="I1086" i="16"/>
  <c r="I707" i="16"/>
  <c r="I702" i="16"/>
  <c r="I703" i="16"/>
  <c r="I704" i="16"/>
  <c r="I705" i="16"/>
  <c r="I701" i="16"/>
  <c r="I696" i="16"/>
  <c r="I697" i="16"/>
  <c r="I698" i="16"/>
  <c r="I699" i="16"/>
  <c r="I695" i="16"/>
  <c r="I690" i="16"/>
  <c r="I691" i="16"/>
  <c r="I692" i="16"/>
  <c r="I693" i="16"/>
  <c r="I689" i="16"/>
  <c r="I684" i="16"/>
  <c r="I685" i="16"/>
  <c r="I686" i="16"/>
  <c r="I687" i="16"/>
  <c r="I683" i="16"/>
  <c r="I678" i="16"/>
  <c r="I679" i="16"/>
  <c r="I680" i="16"/>
  <c r="I681" i="16"/>
  <c r="I677" i="16"/>
  <c r="I672" i="16"/>
  <c r="I673" i="16"/>
  <c r="I674" i="16"/>
  <c r="I675" i="16"/>
  <c r="I671" i="16"/>
  <c r="I666" i="16"/>
  <c r="I667" i="16"/>
  <c r="I668" i="16"/>
  <c r="I669" i="16"/>
  <c r="I665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351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19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2" i="16"/>
  <c r="G1041" i="16"/>
  <c r="G1042" i="16"/>
  <c r="J1042" i="16" s="1"/>
  <c r="K1042" i="16" s="1"/>
  <c r="G1043" i="16"/>
  <c r="G1044" i="16"/>
  <c r="G1045" i="16"/>
  <c r="G1046" i="16"/>
  <c r="G1047" i="16"/>
  <c r="G1048" i="16"/>
  <c r="G1049" i="16"/>
  <c r="G1050" i="16"/>
  <c r="J1050" i="16" s="1"/>
  <c r="K1050" i="16" s="1"/>
  <c r="G1051" i="16"/>
  <c r="G1052" i="16"/>
  <c r="G1053" i="16"/>
  <c r="G1054" i="16"/>
  <c r="G1055" i="16"/>
  <c r="G1056" i="16"/>
  <c r="G1057" i="16"/>
  <c r="G1058" i="16"/>
  <c r="G1059" i="16"/>
  <c r="G1060" i="16"/>
  <c r="G1061" i="16"/>
  <c r="G1062" i="16"/>
  <c r="G1063" i="16"/>
  <c r="G1064" i="16"/>
  <c r="G1065" i="16"/>
  <c r="G1066" i="16"/>
  <c r="J1066" i="16" s="1"/>
  <c r="K1066" i="16" s="1"/>
  <c r="G1067" i="16"/>
  <c r="G1068" i="16"/>
  <c r="G1069" i="16"/>
  <c r="G1070" i="16"/>
  <c r="G1071" i="16"/>
  <c r="G1072" i="16"/>
  <c r="G1073" i="16"/>
  <c r="G1074" i="16"/>
  <c r="J1074" i="16" s="1"/>
  <c r="K1074" i="16" s="1"/>
  <c r="G1075" i="16"/>
  <c r="G1076" i="16"/>
  <c r="G1077" i="16"/>
  <c r="G1078" i="16"/>
  <c r="G1079" i="16"/>
  <c r="G1080" i="16"/>
  <c r="G1081" i="16"/>
  <c r="G1082" i="16"/>
  <c r="J1082" i="16" s="1"/>
  <c r="K1082" i="16" s="1"/>
  <c r="G1083" i="16"/>
  <c r="G1084" i="16"/>
  <c r="G1085" i="16"/>
  <c r="G1086" i="16"/>
  <c r="G1087" i="16"/>
  <c r="G1088" i="16"/>
  <c r="G1089" i="16"/>
  <c r="G1090" i="16"/>
  <c r="J1090" i="16" s="1"/>
  <c r="K1090" i="16" s="1"/>
  <c r="G1091" i="16"/>
  <c r="J1091" i="16" s="1"/>
  <c r="K1091" i="16" s="1"/>
  <c r="G1092" i="16"/>
  <c r="G1093" i="16"/>
  <c r="G1094" i="16"/>
  <c r="G1095" i="16"/>
  <c r="G1096" i="16"/>
  <c r="G1097" i="16"/>
  <c r="G1098" i="16"/>
  <c r="J1098" i="16" s="1"/>
  <c r="K1098" i="16" s="1"/>
  <c r="G1099" i="16"/>
  <c r="G1100" i="16"/>
  <c r="G1101" i="16"/>
  <c r="G1102" i="16"/>
  <c r="G1103" i="16"/>
  <c r="G1104" i="16"/>
  <c r="G1105" i="16"/>
  <c r="G1106" i="16"/>
  <c r="J1106" i="16" s="1"/>
  <c r="K1106" i="16" s="1"/>
  <c r="G1107" i="16"/>
  <c r="G1108" i="16"/>
  <c r="G1109" i="16"/>
  <c r="G1110" i="16"/>
  <c r="G1111" i="16"/>
  <c r="G1112" i="16"/>
  <c r="G1113" i="16"/>
  <c r="G1114" i="16"/>
  <c r="J1114" i="16" s="1"/>
  <c r="K1114" i="16" s="1"/>
  <c r="G1115" i="16"/>
  <c r="G1116" i="16"/>
  <c r="G1117" i="16"/>
  <c r="G1118" i="16"/>
  <c r="G1119" i="16"/>
  <c r="G1120" i="16"/>
  <c r="G1121" i="16"/>
  <c r="G1122" i="16"/>
  <c r="J1122" i="16" s="1"/>
  <c r="K1122" i="16" s="1"/>
  <c r="G1123" i="16"/>
  <c r="G1124" i="16"/>
  <c r="G1125" i="16"/>
  <c r="G1126" i="16"/>
  <c r="G1127" i="16"/>
  <c r="G1128" i="16"/>
  <c r="G1129" i="16"/>
  <c r="G1130" i="16"/>
  <c r="J1130" i="16" s="1"/>
  <c r="K1130" i="16" s="1"/>
  <c r="G1131" i="16"/>
  <c r="G1132" i="16"/>
  <c r="G1133" i="16"/>
  <c r="G1134" i="16"/>
  <c r="G1135" i="16"/>
  <c r="G1136" i="16"/>
  <c r="G1137" i="16"/>
  <c r="G1138" i="16"/>
  <c r="J1138" i="16" s="1"/>
  <c r="K1138" i="16" s="1"/>
  <c r="G1139" i="16"/>
  <c r="G1140" i="16"/>
  <c r="G1141" i="16"/>
  <c r="G1142" i="16"/>
  <c r="G1143" i="16"/>
  <c r="G1144" i="16"/>
  <c r="G1145" i="16"/>
  <c r="G1146" i="16"/>
  <c r="J1146" i="16" s="1"/>
  <c r="K1146" i="16" s="1"/>
  <c r="G1147" i="16"/>
  <c r="G1148" i="16"/>
  <c r="G1149" i="16"/>
  <c r="G1150" i="16"/>
  <c r="G1151" i="16"/>
  <c r="G1152" i="16"/>
  <c r="G1153" i="16"/>
  <c r="G1154" i="16"/>
  <c r="J1154" i="16" s="1"/>
  <c r="K1154" i="16" s="1"/>
  <c r="G1040" i="16"/>
  <c r="G3" i="16"/>
  <c r="G4" i="16"/>
  <c r="G5" i="16"/>
  <c r="J5" i="16" s="1"/>
  <c r="K5" i="16" s="1"/>
  <c r="G6" i="16"/>
  <c r="G7" i="16"/>
  <c r="G8" i="16"/>
  <c r="G9" i="16"/>
  <c r="G10" i="16"/>
  <c r="G11" i="16"/>
  <c r="G12" i="16"/>
  <c r="G13" i="16"/>
  <c r="J13" i="16" s="1"/>
  <c r="K13" i="16" s="1"/>
  <c r="G14" i="16"/>
  <c r="G15" i="16"/>
  <c r="G16" i="16"/>
  <c r="G17" i="16"/>
  <c r="G18" i="16"/>
  <c r="G19" i="16"/>
  <c r="G20" i="16"/>
  <c r="G21" i="16"/>
  <c r="J21" i="16" s="1"/>
  <c r="K21" i="16" s="1"/>
  <c r="G22" i="16"/>
  <c r="G23" i="16"/>
  <c r="G24" i="16"/>
  <c r="G25" i="16"/>
  <c r="G26" i="16"/>
  <c r="G27" i="16"/>
  <c r="G28" i="16"/>
  <c r="J28" i="16" s="1"/>
  <c r="K28" i="16" s="1"/>
  <c r="G29" i="16"/>
  <c r="J29" i="16" s="1"/>
  <c r="K29" i="16" s="1"/>
  <c r="G30" i="16"/>
  <c r="G31" i="16"/>
  <c r="G32" i="16"/>
  <c r="G33" i="16"/>
  <c r="G34" i="16"/>
  <c r="G35" i="16"/>
  <c r="G36" i="16"/>
  <c r="G37" i="16"/>
  <c r="J37" i="16" s="1"/>
  <c r="K37" i="16" s="1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J61" i="16" s="1"/>
  <c r="K61" i="16" s="1"/>
  <c r="G62" i="16"/>
  <c r="G63" i="16"/>
  <c r="G64" i="16"/>
  <c r="G65" i="16"/>
  <c r="G66" i="16"/>
  <c r="G67" i="16"/>
  <c r="G68" i="16"/>
  <c r="G69" i="16"/>
  <c r="J69" i="16" s="1"/>
  <c r="K69" i="16" s="1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J85" i="16" s="1"/>
  <c r="K85" i="16" s="1"/>
  <c r="G86" i="16"/>
  <c r="G87" i="16"/>
  <c r="G88" i="16"/>
  <c r="G89" i="16"/>
  <c r="G90" i="16"/>
  <c r="G91" i="16"/>
  <c r="G92" i="16"/>
  <c r="G93" i="16"/>
  <c r="J93" i="16" s="1"/>
  <c r="K93" i="16" s="1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J117" i="16" s="1"/>
  <c r="K117" i="16" s="1"/>
  <c r="G118" i="16"/>
  <c r="G119" i="16"/>
  <c r="G120" i="16"/>
  <c r="G121" i="16"/>
  <c r="G122" i="16"/>
  <c r="G123" i="16"/>
  <c r="G124" i="16"/>
  <c r="G125" i="16"/>
  <c r="J125" i="16" s="1"/>
  <c r="K125" i="16" s="1"/>
  <c r="G126" i="16"/>
  <c r="G127" i="16"/>
  <c r="G128" i="16"/>
  <c r="G129" i="16"/>
  <c r="G130" i="16"/>
  <c r="G131" i="16"/>
  <c r="G132" i="16"/>
  <c r="G133" i="16"/>
  <c r="J133" i="16" s="1"/>
  <c r="K133" i="16" s="1"/>
  <c r="G134" i="16"/>
  <c r="G135" i="16"/>
  <c r="G136" i="16"/>
  <c r="J136" i="16" s="1"/>
  <c r="K136" i="16" s="1"/>
  <c r="G137" i="16"/>
  <c r="G138" i="16"/>
  <c r="G139" i="16"/>
  <c r="G140" i="16"/>
  <c r="G141" i="16"/>
  <c r="J141" i="16" s="1"/>
  <c r="K141" i="16" s="1"/>
  <c r="G142" i="16"/>
  <c r="G143" i="16"/>
  <c r="G144" i="16"/>
  <c r="G145" i="16"/>
  <c r="G146" i="16"/>
  <c r="G147" i="16"/>
  <c r="G148" i="16"/>
  <c r="G149" i="16"/>
  <c r="J149" i="16" s="1"/>
  <c r="K149" i="16" s="1"/>
  <c r="G150" i="16"/>
  <c r="G151" i="16"/>
  <c r="G152" i="16"/>
  <c r="G153" i="16"/>
  <c r="G154" i="16"/>
  <c r="G155" i="16"/>
  <c r="G156" i="16"/>
  <c r="G157" i="16"/>
  <c r="J157" i="16" s="1"/>
  <c r="K157" i="16" s="1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J171" i="16" s="1"/>
  <c r="K171" i="16" s="1"/>
  <c r="G172" i="16"/>
  <c r="G173" i="16"/>
  <c r="J173" i="16" s="1"/>
  <c r="K173" i="16" s="1"/>
  <c r="G174" i="16"/>
  <c r="G175" i="16"/>
  <c r="G176" i="16"/>
  <c r="G177" i="16"/>
  <c r="G178" i="16"/>
  <c r="G179" i="16"/>
  <c r="G180" i="16"/>
  <c r="G181" i="16"/>
  <c r="J181" i="16" s="1"/>
  <c r="G182" i="16"/>
  <c r="G183" i="16"/>
  <c r="G184" i="16"/>
  <c r="G185" i="16"/>
  <c r="G186" i="16"/>
  <c r="G187" i="16"/>
  <c r="G188" i="16"/>
  <c r="G189" i="16"/>
  <c r="J189" i="16" s="1"/>
  <c r="K189" i="16" s="1"/>
  <c r="G190" i="16"/>
  <c r="G191" i="16"/>
  <c r="G192" i="16"/>
  <c r="G193" i="16"/>
  <c r="G194" i="16"/>
  <c r="G195" i="16"/>
  <c r="G196" i="16"/>
  <c r="J196" i="16" s="1"/>
  <c r="K196" i="16" s="1"/>
  <c r="G197" i="16"/>
  <c r="J197" i="16" s="1"/>
  <c r="K197" i="16" s="1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J221" i="16" s="1"/>
  <c r="K221" i="16" s="1"/>
  <c r="G222" i="16"/>
  <c r="G223" i="16"/>
  <c r="G224" i="16"/>
  <c r="J224" i="16" s="1"/>
  <c r="K224" i="16" s="1"/>
  <c r="G225" i="16"/>
  <c r="G226" i="16"/>
  <c r="G227" i="16"/>
  <c r="G228" i="16"/>
  <c r="G229" i="16"/>
  <c r="J229" i="16" s="1"/>
  <c r="K229" i="16" s="1"/>
  <c r="G230" i="16"/>
  <c r="G231" i="16"/>
  <c r="G232" i="16"/>
  <c r="G233" i="16"/>
  <c r="G234" i="16"/>
  <c r="G235" i="16"/>
  <c r="G236" i="16"/>
  <c r="G237" i="16"/>
  <c r="J237" i="16" s="1"/>
  <c r="K237" i="16" s="1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J261" i="16" s="1"/>
  <c r="K261" i="16" s="1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J284" i="16" s="1"/>
  <c r="K284" i="16" s="1"/>
  <c r="G285" i="16"/>
  <c r="J285" i="16" s="1"/>
  <c r="K285" i="16" s="1"/>
  <c r="G286" i="16"/>
  <c r="G287" i="16"/>
  <c r="G288" i="16"/>
  <c r="G289" i="16"/>
  <c r="G290" i="16"/>
  <c r="G291" i="16"/>
  <c r="G292" i="16"/>
  <c r="G293" i="16"/>
  <c r="J293" i="16" s="1"/>
  <c r="K293" i="16" s="1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J317" i="16" s="1"/>
  <c r="K317" i="16" s="1"/>
  <c r="G318" i="16"/>
  <c r="G319" i="16"/>
  <c r="G320" i="16"/>
  <c r="G321" i="16"/>
  <c r="G322" i="16"/>
  <c r="G323" i="16"/>
  <c r="G324" i="16"/>
  <c r="G325" i="16"/>
  <c r="J325" i="16" s="1"/>
  <c r="K325" i="16" s="1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J341" i="16" s="1"/>
  <c r="K341" i="16" s="1"/>
  <c r="G342" i="16"/>
  <c r="G343" i="16"/>
  <c r="G344" i="16"/>
  <c r="G345" i="16"/>
  <c r="G346" i="16"/>
  <c r="G347" i="16"/>
  <c r="G348" i="16"/>
  <c r="G349" i="16"/>
  <c r="J349" i="16" s="1"/>
  <c r="K349" i="16" s="1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J373" i="16" s="1"/>
  <c r="K373" i="16" s="1"/>
  <c r="G374" i="16"/>
  <c r="G375" i="16"/>
  <c r="G376" i="16"/>
  <c r="G377" i="16"/>
  <c r="G378" i="16"/>
  <c r="G379" i="16"/>
  <c r="G380" i="16"/>
  <c r="G381" i="16"/>
  <c r="J381" i="16" s="1"/>
  <c r="K381" i="16" s="1"/>
  <c r="G382" i="16"/>
  <c r="G383" i="16"/>
  <c r="G384" i="16"/>
  <c r="G385" i="16"/>
  <c r="G386" i="16"/>
  <c r="G387" i="16"/>
  <c r="G388" i="16"/>
  <c r="G389" i="16"/>
  <c r="J389" i="16" s="1"/>
  <c r="K389" i="16" s="1"/>
  <c r="G390" i="16"/>
  <c r="G391" i="16"/>
  <c r="G392" i="16"/>
  <c r="G393" i="16"/>
  <c r="G394" i="16"/>
  <c r="G395" i="16"/>
  <c r="G396" i="16"/>
  <c r="G397" i="16"/>
  <c r="J397" i="16" s="1"/>
  <c r="K397" i="16" s="1"/>
  <c r="G398" i="16"/>
  <c r="G399" i="16"/>
  <c r="G400" i="16"/>
  <c r="G401" i="16"/>
  <c r="G402" i="16"/>
  <c r="G403" i="16"/>
  <c r="G404" i="16"/>
  <c r="G405" i="16"/>
  <c r="J405" i="16" s="1"/>
  <c r="K405" i="16" s="1"/>
  <c r="G406" i="16"/>
  <c r="G407" i="16"/>
  <c r="G408" i="16"/>
  <c r="G409" i="16"/>
  <c r="G410" i="16"/>
  <c r="G411" i="16"/>
  <c r="G412" i="16"/>
  <c r="G413" i="16"/>
  <c r="J413" i="16" s="1"/>
  <c r="K413" i="16" s="1"/>
  <c r="G414" i="16"/>
  <c r="G415" i="16"/>
  <c r="G416" i="16"/>
  <c r="G417" i="16"/>
  <c r="G418" i="16"/>
  <c r="G419" i="16"/>
  <c r="G420" i="16"/>
  <c r="G421" i="16"/>
  <c r="J421" i="16" s="1"/>
  <c r="K421" i="16" s="1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J436" i="16" s="1"/>
  <c r="K436" i="16" s="1"/>
  <c r="G437" i="16"/>
  <c r="G438" i="16"/>
  <c r="G439" i="16"/>
  <c r="G440" i="16"/>
  <c r="G441" i="16"/>
  <c r="G442" i="16"/>
  <c r="G443" i="16"/>
  <c r="G444" i="16"/>
  <c r="J444" i="16" s="1"/>
  <c r="K444" i="16" s="1"/>
  <c r="G445" i="16"/>
  <c r="G446" i="16"/>
  <c r="G447" i="16"/>
  <c r="G448" i="16"/>
  <c r="G449" i="16"/>
  <c r="G450" i="16"/>
  <c r="G451" i="16"/>
  <c r="G452" i="16"/>
  <c r="J452" i="16" s="1"/>
  <c r="K452" i="16" s="1"/>
  <c r="G453" i="16"/>
  <c r="G454" i="16"/>
  <c r="G455" i="16"/>
  <c r="G456" i="16"/>
  <c r="G457" i="16"/>
  <c r="G458" i="16"/>
  <c r="G459" i="16"/>
  <c r="G460" i="16"/>
  <c r="J460" i="16" s="1"/>
  <c r="K460" i="16" s="1"/>
  <c r="G461" i="16"/>
  <c r="G462" i="16"/>
  <c r="G463" i="16"/>
  <c r="G464" i="16"/>
  <c r="G465" i="16"/>
  <c r="G466" i="16"/>
  <c r="G467" i="16"/>
  <c r="G468" i="16"/>
  <c r="J468" i="16" s="1"/>
  <c r="K468" i="16" s="1"/>
  <c r="G469" i="16"/>
  <c r="G470" i="16"/>
  <c r="G471" i="16"/>
  <c r="G472" i="16"/>
  <c r="G473" i="16"/>
  <c r="G474" i="16"/>
  <c r="G475" i="16"/>
  <c r="G476" i="16"/>
  <c r="J476" i="16" s="1"/>
  <c r="K476" i="16" s="1"/>
  <c r="G477" i="16"/>
  <c r="G478" i="16"/>
  <c r="G479" i="16"/>
  <c r="G480" i="16"/>
  <c r="G481" i="16"/>
  <c r="G482" i="16"/>
  <c r="G483" i="16"/>
  <c r="G484" i="16"/>
  <c r="J484" i="16" s="1"/>
  <c r="K484" i="16" s="1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J498" i="16" s="1"/>
  <c r="K498" i="16" s="1"/>
  <c r="G499" i="16"/>
  <c r="G500" i="16"/>
  <c r="J500" i="16" s="1"/>
  <c r="K500" i="16" s="1"/>
  <c r="G501" i="16"/>
  <c r="G502" i="16"/>
  <c r="G503" i="16"/>
  <c r="G504" i="16"/>
  <c r="G505" i="16"/>
  <c r="G506" i="16"/>
  <c r="G507" i="16"/>
  <c r="G508" i="16"/>
  <c r="J508" i="16" s="1"/>
  <c r="K508" i="16" s="1"/>
  <c r="G509" i="16"/>
  <c r="G510" i="16"/>
  <c r="G511" i="16"/>
  <c r="G512" i="16"/>
  <c r="G513" i="16"/>
  <c r="G514" i="16"/>
  <c r="G515" i="16"/>
  <c r="G516" i="16"/>
  <c r="J516" i="16" s="1"/>
  <c r="K516" i="16" s="1"/>
  <c r="G517" i="16"/>
  <c r="G518" i="16"/>
  <c r="G519" i="16"/>
  <c r="G520" i="16"/>
  <c r="G521" i="16"/>
  <c r="G522" i="16"/>
  <c r="G523" i="16"/>
  <c r="G524" i="16"/>
  <c r="J524" i="16" s="1"/>
  <c r="K524" i="16" s="1"/>
  <c r="G525" i="16"/>
  <c r="G526" i="16"/>
  <c r="G527" i="16"/>
  <c r="G528" i="16"/>
  <c r="G529" i="16"/>
  <c r="G530" i="16"/>
  <c r="G531" i="16"/>
  <c r="G532" i="16"/>
  <c r="J532" i="16" s="1"/>
  <c r="K532" i="16" s="1"/>
  <c r="G533" i="16"/>
  <c r="G534" i="16"/>
  <c r="G535" i="16"/>
  <c r="G536" i="16"/>
  <c r="G537" i="16"/>
  <c r="G538" i="16"/>
  <c r="G539" i="16"/>
  <c r="G540" i="16"/>
  <c r="J540" i="16" s="1"/>
  <c r="K540" i="16" s="1"/>
  <c r="G541" i="16"/>
  <c r="G542" i="16"/>
  <c r="G543" i="16"/>
  <c r="G544" i="16"/>
  <c r="G545" i="16"/>
  <c r="G546" i="16"/>
  <c r="G547" i="16"/>
  <c r="G548" i="16"/>
  <c r="J548" i="16" s="1"/>
  <c r="K548" i="16" s="1"/>
  <c r="G549" i="16"/>
  <c r="G550" i="16"/>
  <c r="G551" i="16"/>
  <c r="G552" i="16"/>
  <c r="G553" i="16"/>
  <c r="G554" i="16"/>
  <c r="G555" i="16"/>
  <c r="G556" i="16"/>
  <c r="G557" i="16"/>
  <c r="G558" i="16"/>
  <c r="G559" i="16"/>
  <c r="G560" i="16"/>
  <c r="G561" i="16"/>
  <c r="G562" i="16"/>
  <c r="J562" i="16" s="1"/>
  <c r="K562" i="16" s="1"/>
  <c r="G563" i="16"/>
  <c r="G564" i="16"/>
  <c r="J564" i="16" s="1"/>
  <c r="K564" i="16" s="1"/>
  <c r="G565" i="16"/>
  <c r="G566" i="16"/>
  <c r="G567" i="16"/>
  <c r="G568" i="16"/>
  <c r="G569" i="16"/>
  <c r="G570" i="16"/>
  <c r="G571" i="16"/>
  <c r="G572" i="16"/>
  <c r="J572" i="16" s="1"/>
  <c r="K572" i="16" s="1"/>
  <c r="G573" i="16"/>
  <c r="G574" i="16"/>
  <c r="G575" i="16"/>
  <c r="G576" i="16"/>
  <c r="G577" i="16"/>
  <c r="G578" i="16"/>
  <c r="G579" i="16"/>
  <c r="G580" i="16"/>
  <c r="J580" i="16" s="1"/>
  <c r="K580" i="16" s="1"/>
  <c r="G581" i="16"/>
  <c r="G582" i="16"/>
  <c r="G583" i="16"/>
  <c r="G584" i="16"/>
  <c r="G585" i="16"/>
  <c r="G586" i="16"/>
  <c r="G587" i="16"/>
  <c r="G588" i="16"/>
  <c r="J588" i="16" s="1"/>
  <c r="K588" i="16" s="1"/>
  <c r="G589" i="16"/>
  <c r="G590" i="16"/>
  <c r="G591" i="16"/>
  <c r="G592" i="16"/>
  <c r="G593" i="16"/>
  <c r="G594" i="16"/>
  <c r="G595" i="16"/>
  <c r="G596" i="16"/>
  <c r="J596" i="16" s="1"/>
  <c r="K596" i="16" s="1"/>
  <c r="G597" i="16"/>
  <c r="G598" i="16"/>
  <c r="G599" i="16"/>
  <c r="G600" i="16"/>
  <c r="G601" i="16"/>
  <c r="G602" i="16"/>
  <c r="G603" i="16"/>
  <c r="G604" i="16"/>
  <c r="J604" i="16" s="1"/>
  <c r="K604" i="16" s="1"/>
  <c r="G605" i="16"/>
  <c r="G606" i="16"/>
  <c r="G607" i="16"/>
  <c r="G608" i="16"/>
  <c r="G609" i="16"/>
  <c r="G610" i="16"/>
  <c r="G611" i="16"/>
  <c r="G612" i="16"/>
  <c r="J612" i="16" s="1"/>
  <c r="K612" i="16" s="1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J628" i="16" s="1"/>
  <c r="K628" i="16" s="1"/>
  <c r="G629" i="16"/>
  <c r="G630" i="16"/>
  <c r="G631" i="16"/>
  <c r="G632" i="16"/>
  <c r="G633" i="16"/>
  <c r="G634" i="16"/>
  <c r="G635" i="16"/>
  <c r="G636" i="16"/>
  <c r="J636" i="16" s="1"/>
  <c r="K636" i="16" s="1"/>
  <c r="G637" i="16"/>
  <c r="G638" i="16"/>
  <c r="G639" i="16"/>
  <c r="G640" i="16"/>
  <c r="G641" i="16"/>
  <c r="G642" i="16"/>
  <c r="G643" i="16"/>
  <c r="G644" i="16"/>
  <c r="J644" i="16" s="1"/>
  <c r="K644" i="16" s="1"/>
  <c r="G645" i="16"/>
  <c r="G646" i="16"/>
  <c r="G647" i="16"/>
  <c r="G648" i="16"/>
  <c r="G649" i="16"/>
  <c r="G650" i="16"/>
  <c r="G651" i="16"/>
  <c r="G652" i="16"/>
  <c r="J652" i="16" s="1"/>
  <c r="K652" i="16" s="1"/>
  <c r="G653" i="16"/>
  <c r="G654" i="16"/>
  <c r="G655" i="16"/>
  <c r="G656" i="16"/>
  <c r="G657" i="16"/>
  <c r="G658" i="16"/>
  <c r="G659" i="16"/>
  <c r="G660" i="16"/>
  <c r="J660" i="16" s="1"/>
  <c r="K660" i="16" s="1"/>
  <c r="G661" i="16"/>
  <c r="G662" i="16"/>
  <c r="G663" i="16"/>
  <c r="G664" i="16"/>
  <c r="G665" i="16"/>
  <c r="G666" i="16"/>
  <c r="G667" i="16"/>
  <c r="G668" i="16"/>
  <c r="J668" i="16" s="1"/>
  <c r="K668" i="16" s="1"/>
  <c r="G669" i="16"/>
  <c r="G670" i="16"/>
  <c r="G671" i="16"/>
  <c r="G672" i="16"/>
  <c r="G673" i="16"/>
  <c r="G674" i="16"/>
  <c r="G675" i="16"/>
  <c r="G676" i="16"/>
  <c r="J676" i="16" s="1"/>
  <c r="K676" i="16" s="1"/>
  <c r="G677" i="16"/>
  <c r="G678" i="16"/>
  <c r="G679" i="16"/>
  <c r="G680" i="16"/>
  <c r="G681" i="16"/>
  <c r="G682" i="16"/>
  <c r="G683" i="16"/>
  <c r="G684" i="16"/>
  <c r="G685" i="16"/>
  <c r="G686" i="16"/>
  <c r="G687" i="16"/>
  <c r="G688" i="16"/>
  <c r="J688" i="16" s="1"/>
  <c r="K688" i="16" s="1"/>
  <c r="G689" i="16"/>
  <c r="G690" i="16"/>
  <c r="J690" i="16" s="1"/>
  <c r="K690" i="16" s="1"/>
  <c r="G691" i="16"/>
  <c r="G692" i="16"/>
  <c r="J692" i="16" s="1"/>
  <c r="K692" i="16" s="1"/>
  <c r="G693" i="16"/>
  <c r="G694" i="16"/>
  <c r="G695" i="16"/>
  <c r="G696" i="16"/>
  <c r="G697" i="16"/>
  <c r="G698" i="16"/>
  <c r="G699" i="16"/>
  <c r="G700" i="16"/>
  <c r="J700" i="16" s="1"/>
  <c r="K700" i="16" s="1"/>
  <c r="G701" i="16"/>
  <c r="G702" i="16"/>
  <c r="G703" i="16"/>
  <c r="G704" i="16"/>
  <c r="G705" i="16"/>
  <c r="G706" i="16"/>
  <c r="G707" i="16"/>
  <c r="G708" i="16"/>
  <c r="J708" i="16" s="1"/>
  <c r="K708" i="16" s="1"/>
  <c r="G709" i="16"/>
  <c r="G710" i="16"/>
  <c r="G711" i="16"/>
  <c r="G712" i="16"/>
  <c r="G713" i="16"/>
  <c r="G714" i="16"/>
  <c r="G715" i="16"/>
  <c r="G716" i="16"/>
  <c r="J716" i="16" s="1"/>
  <c r="K716" i="16" s="1"/>
  <c r="G717" i="16"/>
  <c r="G718" i="16"/>
  <c r="G719" i="16"/>
  <c r="G720" i="16"/>
  <c r="G721" i="16"/>
  <c r="G722" i="16"/>
  <c r="G723" i="16"/>
  <c r="G724" i="16"/>
  <c r="J724" i="16" s="1"/>
  <c r="K724" i="16" s="1"/>
  <c r="G725" i="16"/>
  <c r="G726" i="16"/>
  <c r="G727" i="16"/>
  <c r="G728" i="16"/>
  <c r="G729" i="16"/>
  <c r="G730" i="16"/>
  <c r="G731" i="16"/>
  <c r="G732" i="16"/>
  <c r="J732" i="16" s="1"/>
  <c r="K732" i="16" s="1"/>
  <c r="G733" i="16"/>
  <c r="G734" i="16"/>
  <c r="G735" i="16"/>
  <c r="G736" i="16"/>
  <c r="G737" i="16"/>
  <c r="G738" i="16"/>
  <c r="G739" i="16"/>
  <c r="G740" i="16"/>
  <c r="J740" i="16" s="1"/>
  <c r="K740" i="16" s="1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754" i="16"/>
  <c r="J754" i="16" s="1"/>
  <c r="K754" i="16" s="1"/>
  <c r="G755" i="16"/>
  <c r="G756" i="16"/>
  <c r="J756" i="16" s="1"/>
  <c r="K756" i="16" s="1"/>
  <c r="G757" i="16"/>
  <c r="G758" i="16"/>
  <c r="G759" i="16"/>
  <c r="G760" i="16"/>
  <c r="G761" i="16"/>
  <c r="G762" i="16"/>
  <c r="G763" i="16"/>
  <c r="G764" i="16"/>
  <c r="J764" i="16" s="1"/>
  <c r="K764" i="16" s="1"/>
  <c r="G765" i="16"/>
  <c r="G766" i="16"/>
  <c r="G767" i="16"/>
  <c r="G768" i="16"/>
  <c r="G769" i="16"/>
  <c r="G770" i="16"/>
  <c r="G771" i="16"/>
  <c r="G772" i="16"/>
  <c r="J772" i="16" s="1"/>
  <c r="K772" i="16" s="1"/>
  <c r="G773" i="16"/>
  <c r="G774" i="16"/>
  <c r="G775" i="16"/>
  <c r="G776" i="16"/>
  <c r="G777" i="16"/>
  <c r="G778" i="16"/>
  <c r="G779" i="16"/>
  <c r="G780" i="16"/>
  <c r="J780" i="16" s="1"/>
  <c r="K780" i="16" s="1"/>
  <c r="G781" i="16"/>
  <c r="G782" i="16"/>
  <c r="G783" i="16"/>
  <c r="G784" i="16"/>
  <c r="J784" i="16" s="1"/>
  <c r="K784" i="16" s="1"/>
  <c r="G785" i="16"/>
  <c r="G786" i="16"/>
  <c r="G787" i="16"/>
  <c r="G788" i="16"/>
  <c r="J788" i="16" s="1"/>
  <c r="K788" i="16" s="1"/>
  <c r="G789" i="16"/>
  <c r="G790" i="16"/>
  <c r="G791" i="16"/>
  <c r="G792" i="16"/>
  <c r="G793" i="16"/>
  <c r="G794" i="16"/>
  <c r="G795" i="16"/>
  <c r="G796" i="16"/>
  <c r="J796" i="16" s="1"/>
  <c r="K796" i="16" s="1"/>
  <c r="G797" i="16"/>
  <c r="G798" i="16"/>
  <c r="G799" i="16"/>
  <c r="G800" i="16"/>
  <c r="G801" i="16"/>
  <c r="G802" i="16"/>
  <c r="G803" i="16"/>
  <c r="G804" i="16"/>
  <c r="J804" i="16" s="1"/>
  <c r="K804" i="16" s="1"/>
  <c r="G805" i="16"/>
  <c r="G806" i="16"/>
  <c r="G807" i="16"/>
  <c r="G808" i="16"/>
  <c r="J808" i="16" s="1"/>
  <c r="K808" i="16" s="1"/>
  <c r="G809" i="16"/>
  <c r="G810" i="16"/>
  <c r="G811" i="16"/>
  <c r="G812" i="16"/>
  <c r="G813" i="16"/>
  <c r="G814" i="16"/>
  <c r="G815" i="16"/>
  <c r="G816" i="16"/>
  <c r="G817" i="16"/>
  <c r="G818" i="16"/>
  <c r="J818" i="16" s="1"/>
  <c r="K818" i="16" s="1"/>
  <c r="G819" i="16"/>
  <c r="G820" i="16"/>
  <c r="J820" i="16" s="1"/>
  <c r="K820" i="16" s="1"/>
  <c r="G821" i="16"/>
  <c r="G822" i="16"/>
  <c r="G823" i="16"/>
  <c r="G824" i="16"/>
  <c r="J824" i="16" s="1"/>
  <c r="K824" i="16" s="1"/>
  <c r="G825" i="16"/>
  <c r="G826" i="16"/>
  <c r="G827" i="16"/>
  <c r="G828" i="16"/>
  <c r="J828" i="16" s="1"/>
  <c r="K828" i="16" s="1"/>
  <c r="G829" i="16"/>
  <c r="G830" i="16"/>
  <c r="G831" i="16"/>
  <c r="G832" i="16"/>
  <c r="G833" i="16"/>
  <c r="G834" i="16"/>
  <c r="G835" i="16"/>
  <c r="G836" i="16"/>
  <c r="J836" i="16" s="1"/>
  <c r="K836" i="16" s="1"/>
  <c r="G837" i="16"/>
  <c r="G838" i="16"/>
  <c r="G839" i="16"/>
  <c r="G840" i="16"/>
  <c r="G841" i="16"/>
  <c r="G842" i="16"/>
  <c r="G843" i="16"/>
  <c r="G844" i="16"/>
  <c r="J844" i="16" s="1"/>
  <c r="K844" i="16" s="1"/>
  <c r="G845" i="16"/>
  <c r="G846" i="16"/>
  <c r="G847" i="16"/>
  <c r="G848" i="16"/>
  <c r="G849" i="16"/>
  <c r="G850" i="16"/>
  <c r="G851" i="16"/>
  <c r="G852" i="16"/>
  <c r="J852" i="16" s="1"/>
  <c r="K852" i="16" s="1"/>
  <c r="G853" i="16"/>
  <c r="G854" i="16"/>
  <c r="G855" i="16"/>
  <c r="G856" i="16"/>
  <c r="G857" i="16"/>
  <c r="G858" i="16"/>
  <c r="G859" i="16"/>
  <c r="G860" i="16"/>
  <c r="J860" i="16" s="1"/>
  <c r="K860" i="16" s="1"/>
  <c r="G861" i="16"/>
  <c r="G862" i="16"/>
  <c r="G863" i="16"/>
  <c r="G864" i="16"/>
  <c r="G865" i="16"/>
  <c r="G866" i="16"/>
  <c r="G867" i="16"/>
  <c r="G868" i="16"/>
  <c r="J868" i="16" s="1"/>
  <c r="K868" i="16" s="1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81" i="16"/>
  <c r="G882" i="16"/>
  <c r="J882" i="16" s="1"/>
  <c r="K882" i="16" s="1"/>
  <c r="G883" i="16"/>
  <c r="G884" i="16"/>
  <c r="J884" i="16" s="1"/>
  <c r="K884" i="16" s="1"/>
  <c r="G885" i="16"/>
  <c r="G886" i="16"/>
  <c r="G887" i="16"/>
  <c r="G888" i="16"/>
  <c r="G889" i="16"/>
  <c r="G890" i="16"/>
  <c r="G891" i="16"/>
  <c r="G892" i="16"/>
  <c r="J892" i="16" s="1"/>
  <c r="K892" i="16" s="1"/>
  <c r="G893" i="16"/>
  <c r="G894" i="16"/>
  <c r="G895" i="16"/>
  <c r="G896" i="16"/>
  <c r="J896" i="16" s="1"/>
  <c r="K896" i="16" s="1"/>
  <c r="G897" i="16"/>
  <c r="G898" i="16"/>
  <c r="G899" i="16"/>
  <c r="G900" i="16"/>
  <c r="J900" i="16" s="1"/>
  <c r="K900" i="16" s="1"/>
  <c r="G901" i="16"/>
  <c r="G902" i="16"/>
  <c r="G903" i="16"/>
  <c r="G904" i="16"/>
  <c r="G905" i="16"/>
  <c r="G906" i="16"/>
  <c r="G907" i="16"/>
  <c r="G908" i="16"/>
  <c r="J908" i="16" s="1"/>
  <c r="K908" i="16" s="1"/>
  <c r="G909" i="16"/>
  <c r="G910" i="16"/>
  <c r="G911" i="16"/>
  <c r="G912" i="16"/>
  <c r="G913" i="16"/>
  <c r="G914" i="16"/>
  <c r="G915" i="16"/>
  <c r="G916" i="16"/>
  <c r="J916" i="16" s="1"/>
  <c r="K916" i="16" s="1"/>
  <c r="G917" i="16"/>
  <c r="G918" i="16"/>
  <c r="G919" i="16"/>
  <c r="G920" i="16"/>
  <c r="G921" i="16"/>
  <c r="G922" i="16"/>
  <c r="G923" i="16"/>
  <c r="G924" i="16"/>
  <c r="J924" i="16" s="1"/>
  <c r="K924" i="16" s="1"/>
  <c r="G925" i="16"/>
  <c r="G926" i="16"/>
  <c r="G927" i="16"/>
  <c r="G928" i="16"/>
  <c r="G929" i="16"/>
  <c r="G930" i="16"/>
  <c r="G931" i="16"/>
  <c r="G932" i="16"/>
  <c r="J932" i="16" s="1"/>
  <c r="K932" i="16" s="1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J946" i="16" s="1"/>
  <c r="K946" i="16" s="1"/>
  <c r="G947" i="16"/>
  <c r="G948" i="16"/>
  <c r="J948" i="16" s="1"/>
  <c r="K948" i="16" s="1"/>
  <c r="G949" i="16"/>
  <c r="G950" i="16"/>
  <c r="G951" i="16"/>
  <c r="G952" i="16"/>
  <c r="G953" i="16"/>
  <c r="G954" i="16"/>
  <c r="G955" i="16"/>
  <c r="G956" i="16"/>
  <c r="J956" i="16" s="1"/>
  <c r="K956" i="16" s="1"/>
  <c r="G957" i="16"/>
  <c r="G958" i="16"/>
  <c r="G959" i="16"/>
  <c r="G960" i="16"/>
  <c r="G961" i="16"/>
  <c r="G962" i="16"/>
  <c r="G963" i="16"/>
  <c r="G964" i="16"/>
  <c r="J964" i="16" s="1"/>
  <c r="K964" i="16" s="1"/>
  <c r="G965" i="16"/>
  <c r="G966" i="16"/>
  <c r="G967" i="16"/>
  <c r="G968" i="16"/>
  <c r="G969" i="16"/>
  <c r="G970" i="16"/>
  <c r="G971" i="16"/>
  <c r="G972" i="16"/>
  <c r="J972" i="16" s="1"/>
  <c r="K972" i="16" s="1"/>
  <c r="G973" i="16"/>
  <c r="G974" i="16"/>
  <c r="G975" i="16"/>
  <c r="G976" i="16"/>
  <c r="J976" i="16" s="1"/>
  <c r="K976" i="16" s="1"/>
  <c r="G977" i="16"/>
  <c r="G978" i="16"/>
  <c r="G979" i="16"/>
  <c r="G980" i="16"/>
  <c r="J980" i="16" s="1"/>
  <c r="K980" i="16" s="1"/>
  <c r="G981" i="16"/>
  <c r="G982" i="16"/>
  <c r="G983" i="16"/>
  <c r="G984" i="16"/>
  <c r="G985" i="16"/>
  <c r="G986" i="16"/>
  <c r="G987" i="16"/>
  <c r="G988" i="16"/>
  <c r="J988" i="16" s="1"/>
  <c r="K988" i="16" s="1"/>
  <c r="G989" i="16"/>
  <c r="G990" i="16"/>
  <c r="G991" i="16"/>
  <c r="G992" i="16"/>
  <c r="G993" i="16"/>
  <c r="G994" i="16"/>
  <c r="G995" i="16"/>
  <c r="G996" i="16"/>
  <c r="J996" i="16" s="1"/>
  <c r="K996" i="16" s="1"/>
  <c r="G997" i="16"/>
  <c r="G998" i="16"/>
  <c r="G999" i="16"/>
  <c r="G1000" i="16"/>
  <c r="J1000" i="16" s="1"/>
  <c r="K1000" i="16" s="1"/>
  <c r="G1001" i="16"/>
  <c r="G1002" i="16"/>
  <c r="G1003" i="16"/>
  <c r="G1004" i="16"/>
  <c r="G1005" i="16"/>
  <c r="G1006" i="16"/>
  <c r="G1007" i="16"/>
  <c r="G1008" i="16"/>
  <c r="G1009" i="16"/>
  <c r="G1010" i="16"/>
  <c r="J1010" i="16" s="1"/>
  <c r="K1010" i="16" s="1"/>
  <c r="G1011" i="16"/>
  <c r="G1012" i="16"/>
  <c r="J1012" i="16" s="1"/>
  <c r="K1012" i="16" s="1"/>
  <c r="G1013" i="16"/>
  <c r="G1014" i="16"/>
  <c r="G1015" i="16"/>
  <c r="G1016" i="16"/>
  <c r="G1017" i="16"/>
  <c r="G1018" i="16"/>
  <c r="G1019" i="16"/>
  <c r="G1020" i="16"/>
  <c r="J1020" i="16" s="1"/>
  <c r="K1020" i="16" s="1"/>
  <c r="G1021" i="16"/>
  <c r="G1022" i="16"/>
  <c r="G1023" i="16"/>
  <c r="G1024" i="16"/>
  <c r="G1025" i="16"/>
  <c r="G1026" i="16"/>
  <c r="G1027" i="16"/>
  <c r="G1028" i="16"/>
  <c r="J1028" i="16" s="1"/>
  <c r="K1028" i="16" s="1"/>
  <c r="G1029" i="16"/>
  <c r="G1030" i="16"/>
  <c r="G1031" i="16"/>
  <c r="G1032" i="16"/>
  <c r="G1033" i="16"/>
  <c r="G1034" i="16"/>
  <c r="G1035" i="16"/>
  <c r="G1036" i="16"/>
  <c r="J1036" i="16" s="1"/>
  <c r="K1036" i="16" s="1"/>
  <c r="G1037" i="16"/>
  <c r="G1038" i="16"/>
  <c r="G2" i="16"/>
  <c r="J16" i="16"/>
  <c r="K16" i="16" s="1"/>
  <c r="J19" i="16"/>
  <c r="K19" i="16" s="1"/>
  <c r="J24" i="16"/>
  <c r="K24" i="16" s="1"/>
  <c r="J27" i="16"/>
  <c r="K27" i="16" s="1"/>
  <c r="J48" i="16"/>
  <c r="K48" i="16" s="1"/>
  <c r="J56" i="16"/>
  <c r="K56" i="16" s="1"/>
  <c r="J72" i="16"/>
  <c r="K72" i="16" s="1"/>
  <c r="J80" i="16"/>
  <c r="K80" i="16" s="1"/>
  <c r="J104" i="16"/>
  <c r="K104" i="16" s="1"/>
  <c r="J111" i="16"/>
  <c r="K111" i="16" s="1"/>
  <c r="J112" i="16"/>
  <c r="K112" i="16" s="1"/>
  <c r="J115" i="16"/>
  <c r="K115" i="16" s="1"/>
  <c r="J120" i="16"/>
  <c r="K120" i="16" s="1"/>
  <c r="J128" i="16"/>
  <c r="K128" i="16" s="1"/>
  <c r="J139" i="16"/>
  <c r="K139" i="16" s="1"/>
  <c r="J144" i="16"/>
  <c r="K144" i="16" s="1"/>
  <c r="J160" i="16"/>
  <c r="K160" i="16" s="1"/>
  <c r="J168" i="16"/>
  <c r="K168" i="16" s="1"/>
  <c r="J192" i="16"/>
  <c r="K192" i="16" s="1"/>
  <c r="J205" i="16"/>
  <c r="K205" i="16" s="1"/>
  <c r="J216" i="16"/>
  <c r="K216" i="16" s="1"/>
  <c r="J227" i="16"/>
  <c r="K227" i="16" s="1"/>
  <c r="J248" i="16"/>
  <c r="K248" i="16" s="1"/>
  <c r="J253" i="16"/>
  <c r="K253" i="16" s="1"/>
  <c r="J272" i="16"/>
  <c r="K272" i="16" s="1"/>
  <c r="J280" i="16"/>
  <c r="K280" i="16" s="1"/>
  <c r="J283" i="16"/>
  <c r="K283" i="16" s="1"/>
  <c r="J304" i="16"/>
  <c r="K304" i="16" s="1"/>
  <c r="J312" i="16"/>
  <c r="K312" i="16" s="1"/>
  <c r="J328" i="16"/>
  <c r="K328" i="16" s="1"/>
  <c r="J336" i="16"/>
  <c r="K336" i="16" s="1"/>
  <c r="J360" i="16"/>
  <c r="K360" i="16" s="1"/>
  <c r="J368" i="16"/>
  <c r="K368" i="16" s="1"/>
  <c r="J371" i="16"/>
  <c r="K371" i="16" s="1"/>
  <c r="J376" i="16"/>
  <c r="K376" i="16" s="1"/>
  <c r="J384" i="16"/>
  <c r="K384" i="16" s="1"/>
  <c r="J392" i="16"/>
  <c r="K392" i="16" s="1"/>
  <c r="J395" i="16"/>
  <c r="K395" i="16" s="1"/>
  <c r="J400" i="16"/>
  <c r="K400" i="16" s="1"/>
  <c r="J407" i="16"/>
  <c r="K407" i="16" s="1"/>
  <c r="J424" i="16"/>
  <c r="K424" i="16" s="1"/>
  <c r="J432" i="16"/>
  <c r="K432" i="16" s="1"/>
  <c r="J435" i="16"/>
  <c r="K435" i="16" s="1"/>
  <c r="J440" i="16"/>
  <c r="K440" i="16" s="1"/>
  <c r="J448" i="16"/>
  <c r="K448" i="16" s="1"/>
  <c r="J470" i="16"/>
  <c r="K470" i="16" s="1"/>
  <c r="J479" i="16"/>
  <c r="K479" i="16" s="1"/>
  <c r="J488" i="16"/>
  <c r="K488" i="16" s="1"/>
  <c r="J499" i="16"/>
  <c r="K499" i="16" s="1"/>
  <c r="J528" i="16"/>
  <c r="K528" i="16" s="1"/>
  <c r="J560" i="16"/>
  <c r="K560" i="16" s="1"/>
  <c r="J563" i="16"/>
  <c r="K563" i="16" s="1"/>
  <c r="J576" i="16"/>
  <c r="K576" i="16" s="1"/>
  <c r="J616" i="16"/>
  <c r="K616" i="16" s="1"/>
  <c r="J626" i="16"/>
  <c r="K626" i="16" s="1"/>
  <c r="J627" i="16"/>
  <c r="K627" i="16" s="1"/>
  <c r="J632" i="16"/>
  <c r="K632" i="16" s="1"/>
  <c r="J656" i="16"/>
  <c r="K656" i="16" s="1"/>
  <c r="J662" i="16"/>
  <c r="K662" i="16" s="1"/>
  <c r="J691" i="16"/>
  <c r="K691" i="16" s="1"/>
  <c r="J704" i="16"/>
  <c r="K704" i="16" s="1"/>
  <c r="J726" i="16"/>
  <c r="K726" i="16" s="1"/>
  <c r="J744" i="16"/>
  <c r="K744" i="16" s="1"/>
  <c r="J755" i="16"/>
  <c r="K755" i="16" s="1"/>
  <c r="J760" i="16"/>
  <c r="K760" i="16" s="1"/>
  <c r="J783" i="16"/>
  <c r="K783" i="16" s="1"/>
  <c r="J791" i="16"/>
  <c r="K791" i="16" s="1"/>
  <c r="J798" i="16"/>
  <c r="K798" i="16" s="1"/>
  <c r="J816" i="16"/>
  <c r="K816" i="16" s="1"/>
  <c r="J819" i="16"/>
  <c r="K819" i="16" s="1"/>
  <c r="J832" i="16"/>
  <c r="K832" i="16" s="1"/>
  <c r="J846" i="16"/>
  <c r="K846" i="16" s="1"/>
  <c r="J880" i="16"/>
  <c r="K880" i="16" s="1"/>
  <c r="J883" i="16"/>
  <c r="K883" i="16" s="1"/>
  <c r="J926" i="16"/>
  <c r="K926" i="16" s="1"/>
  <c r="J927" i="16"/>
  <c r="K927" i="16" s="1"/>
  <c r="J947" i="16"/>
  <c r="K947" i="16" s="1"/>
  <c r="J958" i="16"/>
  <c r="K958" i="16" s="1"/>
  <c r="J975" i="16"/>
  <c r="K975" i="16" s="1"/>
  <c r="J983" i="16"/>
  <c r="K983" i="16" s="1"/>
  <c r="J1011" i="16"/>
  <c r="K1011" i="16" s="1"/>
  <c r="J1015" i="16"/>
  <c r="K1015" i="16" s="1"/>
  <c r="J1016" i="16"/>
  <c r="K1016" i="16" s="1"/>
  <c r="J1056" i="16"/>
  <c r="K1056" i="16" s="1"/>
  <c r="J1058" i="16"/>
  <c r="K1058" i="16" s="1"/>
  <c r="J1064" i="16"/>
  <c r="K1064" i="16" s="1"/>
  <c r="J1080" i="16"/>
  <c r="K1080" i="16" s="1"/>
  <c r="J1084" i="16"/>
  <c r="K1084" i="16" s="1"/>
  <c r="J1092" i="16"/>
  <c r="K1092" i="16" s="1"/>
  <c r="J1104" i="16"/>
  <c r="K1104" i="16" s="1"/>
  <c r="J1120" i="16"/>
  <c r="K1120" i="16" s="1"/>
  <c r="J1128" i="16"/>
  <c r="K1128" i="16" s="1"/>
  <c r="J1144" i="16"/>
  <c r="K1144" i="16" s="1"/>
  <c r="J1148" i="16"/>
  <c r="K1148" i="16" s="1"/>
  <c r="J2" i="16"/>
  <c r="K2" i="16" s="1"/>
  <c r="C129" i="6"/>
  <c r="C131" i="6"/>
  <c r="C132" i="6"/>
  <c r="C133" i="6"/>
  <c r="C134" i="6"/>
  <c r="C135" i="6"/>
  <c r="C136" i="6"/>
  <c r="C137" i="6"/>
  <c r="C139" i="6"/>
  <c r="C140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126" i="6"/>
  <c r="D3" i="14"/>
  <c r="E3" i="14" s="1"/>
  <c r="D4" i="14"/>
  <c r="D5" i="14"/>
  <c r="C5" i="14" s="1"/>
  <c r="D6" i="14"/>
  <c r="H6" i="14" s="1"/>
  <c r="D7" i="14"/>
  <c r="D8" i="14"/>
  <c r="D9" i="14"/>
  <c r="D10" i="14"/>
  <c r="C10" i="14" s="1"/>
  <c r="D11" i="14"/>
  <c r="D12" i="14"/>
  <c r="D13" i="14"/>
  <c r="D14" i="14"/>
  <c r="D15" i="14"/>
  <c r="C15" i="14" s="1"/>
  <c r="D16" i="14"/>
  <c r="E16" i="14" s="1"/>
  <c r="D17" i="14"/>
  <c r="D18" i="14"/>
  <c r="D19" i="14"/>
  <c r="D20" i="14"/>
  <c r="D21" i="14"/>
  <c r="D22" i="14"/>
  <c r="D23" i="14"/>
  <c r="C23" i="14" s="1"/>
  <c r="D24" i="14"/>
  <c r="D25" i="14"/>
  <c r="D26" i="14"/>
  <c r="C26" i="14" s="1"/>
  <c r="D27" i="14"/>
  <c r="C27" i="14" s="1"/>
  <c r="D28" i="14"/>
  <c r="D29" i="14"/>
  <c r="D30" i="14"/>
  <c r="D31" i="14"/>
  <c r="C31" i="14" s="1"/>
  <c r="D32" i="14"/>
  <c r="E32" i="14" s="1"/>
  <c r="D33" i="14"/>
  <c r="D34" i="14"/>
  <c r="D35" i="14"/>
  <c r="D36" i="14"/>
  <c r="D37" i="14"/>
  <c r="D38" i="14"/>
  <c r="D39" i="14"/>
  <c r="D40" i="14"/>
  <c r="D41" i="14"/>
  <c r="D42" i="14"/>
  <c r="D43" i="14"/>
  <c r="D44" i="14"/>
  <c r="C44" i="14" s="1"/>
  <c r="D45" i="14"/>
  <c r="D46" i="14"/>
  <c r="D47" i="14"/>
  <c r="C47" i="14" s="1"/>
  <c r="D48" i="14"/>
  <c r="C48" i="14" s="1"/>
  <c r="D49" i="14"/>
  <c r="D50" i="14"/>
  <c r="D51" i="14"/>
  <c r="D52" i="14"/>
  <c r="C52" i="14" s="1"/>
  <c r="D53" i="14"/>
  <c r="D54" i="14"/>
  <c r="D55" i="14"/>
  <c r="D56" i="14"/>
  <c r="D57" i="14"/>
  <c r="D58" i="14"/>
  <c r="D59" i="14"/>
  <c r="D60" i="14"/>
  <c r="E60" i="14" s="1"/>
  <c r="D61" i="14"/>
  <c r="D62" i="14"/>
  <c r="D63" i="14"/>
  <c r="C63" i="14" s="1"/>
  <c r="D64" i="14"/>
  <c r="D65" i="14"/>
  <c r="D66" i="14"/>
  <c r="C66" i="14" s="1"/>
  <c r="D67" i="14"/>
  <c r="D68" i="14"/>
  <c r="D69" i="14"/>
  <c r="D70" i="14"/>
  <c r="D71" i="14"/>
  <c r="D72" i="14"/>
  <c r="D73" i="14"/>
  <c r="D74" i="14"/>
  <c r="C74" i="14" s="1"/>
  <c r="D75" i="14"/>
  <c r="D76" i="14"/>
  <c r="D77" i="14"/>
  <c r="D78" i="14"/>
  <c r="D79" i="14"/>
  <c r="C79" i="14" s="1"/>
  <c r="D80" i="14"/>
  <c r="E80" i="14" s="1"/>
  <c r="D81" i="14"/>
  <c r="D82" i="14"/>
  <c r="D83" i="14"/>
  <c r="D84" i="14"/>
  <c r="D85" i="14"/>
  <c r="D86" i="14"/>
  <c r="D87" i="14"/>
  <c r="C87" i="14" s="1"/>
  <c r="D88" i="14"/>
  <c r="D89" i="14"/>
  <c r="D90" i="14"/>
  <c r="C90" i="14" s="1"/>
  <c r="D91" i="14"/>
  <c r="C91" i="14" s="1"/>
  <c r="D92" i="14"/>
  <c r="D93" i="14"/>
  <c r="D94" i="14"/>
  <c r="D95" i="14"/>
  <c r="C95" i="14" s="1"/>
  <c r="D96" i="14"/>
  <c r="E96" i="14" s="1"/>
  <c r="D97" i="14"/>
  <c r="D98" i="14"/>
  <c r="F98" i="14" s="1"/>
  <c r="D99" i="14"/>
  <c r="D100" i="14"/>
  <c r="D101" i="14"/>
  <c r="D102" i="14"/>
  <c r="D103" i="14"/>
  <c r="D104" i="14"/>
  <c r="D105" i="14"/>
  <c r="D106" i="14"/>
  <c r="D107" i="14"/>
  <c r="D108" i="14"/>
  <c r="C108" i="14" s="1"/>
  <c r="D109" i="14"/>
  <c r="D110" i="14"/>
  <c r="C110" i="14" s="1"/>
  <c r="D111" i="14"/>
  <c r="C111" i="14" s="1"/>
  <c r="D112" i="14"/>
  <c r="D113" i="14"/>
  <c r="D114" i="14"/>
  <c r="D115" i="14"/>
  <c r="C115" i="14" s="1"/>
  <c r="D116" i="14"/>
  <c r="D117" i="14"/>
  <c r="D118" i="14"/>
  <c r="D119" i="14"/>
  <c r="D120" i="14"/>
  <c r="D121" i="14"/>
  <c r="D122" i="14"/>
  <c r="D123" i="14"/>
  <c r="D124" i="14"/>
  <c r="D125" i="14"/>
  <c r="C125" i="14" s="1"/>
  <c r="D126" i="14"/>
  <c r="D127" i="14"/>
  <c r="D128" i="14"/>
  <c r="C128" i="14" s="1"/>
  <c r="D129" i="14"/>
  <c r="D130" i="14"/>
  <c r="D131" i="14"/>
  <c r="D132" i="14"/>
  <c r="D133" i="14"/>
  <c r="H133" i="14" s="1"/>
  <c r="D134" i="14"/>
  <c r="D135" i="14"/>
  <c r="D136" i="14"/>
  <c r="C136" i="14" s="1"/>
  <c r="D137" i="14"/>
  <c r="D138" i="14"/>
  <c r="D139" i="14"/>
  <c r="D140" i="14"/>
  <c r="D141" i="14"/>
  <c r="C141" i="14" s="1"/>
  <c r="D142" i="14"/>
  <c r="E142" i="14" s="1"/>
  <c r="D143" i="14"/>
  <c r="D144" i="14"/>
  <c r="D145" i="14"/>
  <c r="D146" i="14"/>
  <c r="D147" i="14"/>
  <c r="D148" i="14"/>
  <c r="D149" i="14"/>
  <c r="C149" i="14" s="1"/>
  <c r="D150" i="14"/>
  <c r="D151" i="14"/>
  <c r="D152" i="14"/>
  <c r="C152" i="14" s="1"/>
  <c r="D153" i="14"/>
  <c r="C153" i="14" s="1"/>
  <c r="D154" i="14"/>
  <c r="D155" i="14"/>
  <c r="D156" i="14"/>
  <c r="D157" i="14"/>
  <c r="C157" i="14" s="1"/>
  <c r="D158" i="14"/>
  <c r="E158" i="14" s="1"/>
  <c r="D159" i="14"/>
  <c r="D160" i="14"/>
  <c r="D161" i="14"/>
  <c r="D162" i="14"/>
  <c r="D163" i="14"/>
  <c r="D164" i="14"/>
  <c r="D165" i="14"/>
  <c r="D166" i="14"/>
  <c r="H166" i="14" s="1"/>
  <c r="D167" i="14"/>
  <c r="D168" i="14"/>
  <c r="D169" i="14"/>
  <c r="D170" i="14"/>
  <c r="C170" i="14" s="1"/>
  <c r="N170" i="14" s="1"/>
  <c r="D171" i="14"/>
  <c r="D172" i="14"/>
  <c r="D173" i="14"/>
  <c r="C173" i="14" s="1"/>
  <c r="D174" i="14"/>
  <c r="E174" i="14" s="1"/>
  <c r="D175" i="14"/>
  <c r="D176" i="14"/>
  <c r="D177" i="14"/>
  <c r="C177" i="14" s="1"/>
  <c r="D178" i="14"/>
  <c r="D179" i="14"/>
  <c r="D180" i="14"/>
  <c r="D181" i="14"/>
  <c r="D182" i="14"/>
  <c r="D183" i="14"/>
  <c r="D184" i="14"/>
  <c r="D185" i="14"/>
  <c r="E185" i="14" s="1"/>
  <c r="D186" i="14"/>
  <c r="D187" i="14"/>
  <c r="D188" i="14"/>
  <c r="C188" i="14" s="1"/>
  <c r="D189" i="14"/>
  <c r="D190" i="14"/>
  <c r="D191" i="14"/>
  <c r="C191" i="14" s="1"/>
  <c r="D192" i="14"/>
  <c r="D193" i="14"/>
  <c r="D194" i="14"/>
  <c r="D195" i="14"/>
  <c r="D196" i="14"/>
  <c r="D197" i="14"/>
  <c r="D198" i="14"/>
  <c r="D199" i="14"/>
  <c r="C199" i="14" s="1"/>
  <c r="D200" i="14"/>
  <c r="D201" i="14"/>
  <c r="D202" i="14"/>
  <c r="D203" i="14"/>
  <c r="D204" i="14"/>
  <c r="C204" i="14" s="1"/>
  <c r="D205" i="14"/>
  <c r="E205" i="14" s="1"/>
  <c r="D206" i="14"/>
  <c r="F206" i="14" s="1"/>
  <c r="D207" i="14"/>
  <c r="D208" i="14"/>
  <c r="D209" i="14"/>
  <c r="D210" i="14"/>
  <c r="D211" i="14"/>
  <c r="D212" i="14"/>
  <c r="C212" i="14" s="1"/>
  <c r="D213" i="14"/>
  <c r="D214" i="14"/>
  <c r="D215" i="14"/>
  <c r="C215" i="14" s="1"/>
  <c r="D216" i="14"/>
  <c r="C216" i="14" s="1"/>
  <c r="D217" i="14"/>
  <c r="D218" i="14"/>
  <c r="D219" i="14"/>
  <c r="D220" i="14"/>
  <c r="C220" i="14" s="1"/>
  <c r="D221" i="14"/>
  <c r="E221" i="14" s="1"/>
  <c r="D222" i="14"/>
  <c r="F222" i="14" s="1"/>
  <c r="D223" i="14"/>
  <c r="D224" i="14"/>
  <c r="D225" i="14"/>
  <c r="D226" i="14"/>
  <c r="C226" i="14" s="1"/>
  <c r="D227" i="14"/>
  <c r="D228" i="14"/>
  <c r="D229" i="14"/>
  <c r="C229" i="14" s="1"/>
  <c r="D230" i="14"/>
  <c r="D231" i="14"/>
  <c r="C231" i="14" s="1"/>
  <c r="D232" i="14"/>
  <c r="D233" i="14"/>
  <c r="C233" i="14" s="1"/>
  <c r="D234" i="14"/>
  <c r="C234" i="14" s="1"/>
  <c r="D235" i="14"/>
  <c r="D236" i="14"/>
  <c r="D237" i="14"/>
  <c r="E237" i="14" s="1"/>
  <c r="D238" i="14"/>
  <c r="D239" i="14"/>
  <c r="D240" i="14"/>
  <c r="D241" i="14"/>
  <c r="D242" i="14"/>
  <c r="D243" i="14"/>
  <c r="D244" i="14"/>
  <c r="C244" i="14" s="1"/>
  <c r="D245" i="14"/>
  <c r="C245" i="14" s="1"/>
  <c r="D246" i="14"/>
  <c r="D247" i="14"/>
  <c r="C247" i="14" s="1"/>
  <c r="D248" i="14"/>
  <c r="C248" i="14" s="1"/>
  <c r="D249" i="14"/>
  <c r="E249" i="14" s="1"/>
  <c r="D250" i="14"/>
  <c r="D251" i="14"/>
  <c r="D252" i="14"/>
  <c r="C252" i="14" s="1"/>
  <c r="D253" i="14"/>
  <c r="D254" i="14"/>
  <c r="D255" i="14"/>
  <c r="D256" i="14"/>
  <c r="H256" i="14" s="1"/>
  <c r="D257" i="14"/>
  <c r="C257" i="14" s="1"/>
  <c r="D258" i="14"/>
  <c r="C258" i="14" s="1"/>
  <c r="D259" i="14"/>
  <c r="D260" i="14"/>
  <c r="D261" i="14"/>
  <c r="D262" i="14"/>
  <c r="C262" i="14" s="1"/>
  <c r="D263" i="14"/>
  <c r="D264" i="14"/>
  <c r="D265" i="14"/>
  <c r="D266" i="14"/>
  <c r="D267" i="14"/>
  <c r="C267" i="14" s="1"/>
  <c r="D268" i="14"/>
  <c r="E268" i="14" s="1"/>
  <c r="D269" i="14"/>
  <c r="F269" i="14" s="1"/>
  <c r="D270" i="14"/>
  <c r="D271" i="14"/>
  <c r="C271" i="14" s="1"/>
  <c r="D272" i="14"/>
  <c r="D273" i="14"/>
  <c r="D274" i="14"/>
  <c r="D275" i="14"/>
  <c r="C275" i="14" s="1"/>
  <c r="D276" i="14"/>
  <c r="D277" i="14"/>
  <c r="D278" i="14"/>
  <c r="D279" i="14"/>
  <c r="D280" i="14"/>
  <c r="C280" i="14" s="1"/>
  <c r="D281" i="14"/>
  <c r="D282" i="14"/>
  <c r="C282" i="14" s="1"/>
  <c r="D283" i="14"/>
  <c r="E283" i="14" s="1"/>
  <c r="D284" i="14"/>
  <c r="F284" i="14" s="1"/>
  <c r="D285" i="14"/>
  <c r="C285" i="14" s="1"/>
  <c r="D286" i="14"/>
  <c r="C286" i="14" s="1"/>
  <c r="D287" i="14"/>
  <c r="C287" i="14" s="1"/>
  <c r="D288" i="14"/>
  <c r="C288" i="14" s="1"/>
  <c r="D289" i="14"/>
  <c r="D290" i="14"/>
  <c r="D291" i="14"/>
  <c r="D292" i="14"/>
  <c r="D293" i="14"/>
  <c r="D294" i="14"/>
  <c r="D295" i="14"/>
  <c r="D296" i="14"/>
  <c r="C296" i="14" s="1"/>
  <c r="D297" i="14"/>
  <c r="D298" i="14"/>
  <c r="C298" i="14" s="1"/>
  <c r="D299" i="14"/>
  <c r="C299" i="14" s="1"/>
  <c r="D300" i="14"/>
  <c r="D301" i="14"/>
  <c r="D302" i="14"/>
  <c r="C302" i="14" s="1"/>
  <c r="D303" i="14"/>
  <c r="C303" i="14" s="1"/>
  <c r="D304" i="14"/>
  <c r="D305" i="14"/>
  <c r="D306" i="14"/>
  <c r="D307" i="14"/>
  <c r="D308" i="14"/>
  <c r="D309" i="14"/>
  <c r="D310" i="14"/>
  <c r="D311" i="14"/>
  <c r="E311" i="14" s="1"/>
  <c r="D312" i="14"/>
  <c r="C312" i="14" s="1"/>
  <c r="D313" i="14"/>
  <c r="D314" i="14"/>
  <c r="C314" i="14" s="1"/>
  <c r="D315" i="14"/>
  <c r="D316" i="14"/>
  <c r="D317" i="14"/>
  <c r="C317" i="14" s="1"/>
  <c r="D318" i="14"/>
  <c r="C318" i="14" s="1"/>
  <c r="D319" i="14"/>
  <c r="D320" i="14"/>
  <c r="C320" i="14" s="1"/>
  <c r="D321" i="14"/>
  <c r="D322" i="14"/>
  <c r="D323" i="14"/>
  <c r="C323" i="14" s="1"/>
  <c r="D324" i="14"/>
  <c r="D325" i="14"/>
  <c r="D326" i="14"/>
  <c r="D327" i="14"/>
  <c r="C327" i="14" s="1"/>
  <c r="D328" i="14"/>
  <c r="C328" i="14" s="1"/>
  <c r="D329" i="14"/>
  <c r="D330" i="14"/>
  <c r="C330" i="14" s="1"/>
  <c r="D331" i="14"/>
  <c r="F331" i="14" s="1"/>
  <c r="D332" i="14"/>
  <c r="D333" i="14"/>
  <c r="D334" i="14"/>
  <c r="D335" i="14"/>
  <c r="D336" i="14"/>
  <c r="D337" i="14"/>
  <c r="D338" i="14"/>
  <c r="C338" i="14" s="1"/>
  <c r="D339" i="14"/>
  <c r="C339" i="14" s="1"/>
  <c r="D340" i="14"/>
  <c r="C340" i="14" s="1"/>
  <c r="D341" i="14"/>
  <c r="C341" i="14" s="1"/>
  <c r="D342" i="14"/>
  <c r="D343" i="14"/>
  <c r="C343" i="14" s="1"/>
  <c r="D344" i="14"/>
  <c r="C344" i="14" s="1"/>
  <c r="D345" i="14"/>
  <c r="D346" i="14"/>
  <c r="D347" i="14"/>
  <c r="F347" i="14" s="1"/>
  <c r="D348" i="14"/>
  <c r="D349" i="14"/>
  <c r="D350" i="14"/>
  <c r="D351" i="14"/>
  <c r="D352" i="14"/>
  <c r="D353" i="14"/>
  <c r="D354" i="14"/>
  <c r="C354" i="14" s="1"/>
  <c r="D355" i="14"/>
  <c r="C355" i="14" s="1"/>
  <c r="D356" i="14"/>
  <c r="D357" i="14"/>
  <c r="D358" i="14"/>
  <c r="D359" i="14"/>
  <c r="D360" i="14"/>
  <c r="C360" i="14" s="1"/>
  <c r="D361" i="14"/>
  <c r="D362" i="14"/>
  <c r="C362" i="14" s="1"/>
  <c r="D363" i="14"/>
  <c r="C363" i="14" s="1"/>
  <c r="D364" i="14"/>
  <c r="C364" i="14" s="1"/>
  <c r="D365" i="14"/>
  <c r="C365" i="14" s="1"/>
  <c r="D366" i="14"/>
  <c r="D367" i="14"/>
  <c r="D368" i="14"/>
  <c r="D369" i="14"/>
  <c r="D370" i="14"/>
  <c r="C370" i="14" s="1"/>
  <c r="D371" i="14"/>
  <c r="C371" i="14" s="1"/>
  <c r="D372" i="14"/>
  <c r="C372" i="14" s="1"/>
  <c r="D373" i="14"/>
  <c r="C373" i="14" s="1"/>
  <c r="D374" i="14"/>
  <c r="D375" i="14"/>
  <c r="F375" i="14" s="1"/>
  <c r="D376" i="14"/>
  <c r="C376" i="14" s="1"/>
  <c r="D377" i="14"/>
  <c r="D378" i="14"/>
  <c r="D379" i="14"/>
  <c r="D380" i="14"/>
  <c r="D381" i="14"/>
  <c r="D382" i="14"/>
  <c r="D383" i="14"/>
  <c r="D384" i="14"/>
  <c r="C384" i="14" s="1"/>
  <c r="D385" i="14"/>
  <c r="D386" i="14"/>
  <c r="C386" i="14" s="1"/>
  <c r="D387" i="14"/>
  <c r="C387" i="14" s="1"/>
  <c r="D388" i="14"/>
  <c r="D389" i="14"/>
  <c r="D390" i="14"/>
  <c r="D391" i="14"/>
  <c r="D392" i="14"/>
  <c r="D393" i="14"/>
  <c r="D394" i="14"/>
  <c r="C394" i="14" s="1"/>
  <c r="D395" i="14"/>
  <c r="F395" i="14" s="1"/>
  <c r="D396" i="14"/>
  <c r="C396" i="14" s="1"/>
  <c r="D397" i="14"/>
  <c r="C397" i="14" s="1"/>
  <c r="D398" i="14"/>
  <c r="D399" i="14"/>
  <c r="D400" i="14"/>
  <c r="D401" i="14"/>
  <c r="D402" i="14"/>
  <c r="C402" i="14" s="1"/>
  <c r="D403" i="14"/>
  <c r="C403" i="14" s="1"/>
  <c r="D404" i="14"/>
  <c r="C404" i="14" s="1"/>
  <c r="D405" i="14"/>
  <c r="C405" i="14" s="1"/>
  <c r="D406" i="14"/>
  <c r="E406" i="14" s="1"/>
  <c r="D407" i="14"/>
  <c r="C407" i="14" s="1"/>
  <c r="D408" i="14"/>
  <c r="C408" i="14" s="1"/>
  <c r="D409" i="14"/>
  <c r="D410" i="14"/>
  <c r="D411" i="14"/>
  <c r="F411" i="14" s="1"/>
  <c r="D412" i="14"/>
  <c r="D413" i="14"/>
  <c r="D414" i="14"/>
  <c r="D415" i="14"/>
  <c r="D416" i="14"/>
  <c r="C416" i="14" s="1"/>
  <c r="D417" i="14"/>
  <c r="D418" i="14"/>
  <c r="C418" i="14" s="1"/>
  <c r="D419" i="14"/>
  <c r="C419" i="14" s="1"/>
  <c r="D420" i="14"/>
  <c r="J420" i="14" s="1"/>
  <c r="D421" i="14"/>
  <c r="D422" i="14"/>
  <c r="D423" i="14"/>
  <c r="D424" i="14"/>
  <c r="C424" i="14" s="1"/>
  <c r="D425" i="14"/>
  <c r="D426" i="14"/>
  <c r="C426" i="14" s="1"/>
  <c r="D427" i="14"/>
  <c r="C427" i="14" s="1"/>
  <c r="D428" i="14"/>
  <c r="C428" i="14" s="1"/>
  <c r="D429" i="14"/>
  <c r="C429" i="14" s="1"/>
  <c r="D430" i="14"/>
  <c r="D431" i="14"/>
  <c r="E431" i="14" s="1"/>
  <c r="D432" i="14"/>
  <c r="D433" i="14"/>
  <c r="D434" i="14"/>
  <c r="C434" i="14" s="1"/>
  <c r="D435" i="14"/>
  <c r="C435" i="14" s="1"/>
  <c r="D436" i="14"/>
  <c r="C436" i="14" s="1"/>
  <c r="D437" i="14"/>
  <c r="C437" i="14" s="1"/>
  <c r="D438" i="14"/>
  <c r="D439" i="14"/>
  <c r="F439" i="14" s="1"/>
  <c r="D440" i="14"/>
  <c r="C440" i="14" s="1"/>
  <c r="D441" i="14"/>
  <c r="D442" i="14"/>
  <c r="E442" i="14" s="1"/>
  <c r="D443" i="14"/>
  <c r="D444" i="14"/>
  <c r="D2" i="14"/>
  <c r="E2" i="14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2" i="6"/>
  <c r="C125" i="6"/>
  <c r="C115" i="6"/>
  <c r="C116" i="6"/>
  <c r="C117" i="6"/>
  <c r="C118" i="6"/>
  <c r="C119" i="6"/>
  <c r="C120" i="6"/>
  <c r="C121" i="6"/>
  <c r="C122" i="6"/>
  <c r="C123" i="6"/>
  <c r="C124" i="6"/>
  <c r="C114" i="6"/>
  <c r="C113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7" i="6"/>
  <c r="C108" i="6"/>
  <c r="C109" i="6"/>
  <c r="C110" i="6"/>
  <c r="C111" i="6"/>
  <c r="C112" i="6"/>
  <c r="C86" i="6"/>
  <c r="C67" i="6"/>
  <c r="C68" i="6"/>
  <c r="C71" i="6"/>
  <c r="C72" i="6"/>
  <c r="C74" i="6"/>
  <c r="C75" i="6"/>
  <c r="C76" i="6"/>
  <c r="C77" i="6"/>
  <c r="C78" i="6"/>
  <c r="C79" i="6"/>
  <c r="C80" i="6"/>
  <c r="C81" i="6"/>
  <c r="C82" i="6"/>
  <c r="C83" i="6"/>
  <c r="C84" i="6"/>
  <c r="C85" i="6"/>
  <c r="C66" i="6"/>
  <c r="C61" i="6"/>
  <c r="C62" i="6"/>
  <c r="C63" i="6"/>
  <c r="C64" i="6"/>
  <c r="C60" i="6"/>
  <c r="C65" i="6"/>
  <c r="C59" i="6"/>
  <c r="C58" i="6"/>
  <c r="C57" i="6"/>
  <c r="C56" i="6"/>
  <c r="C48" i="6"/>
  <c r="C49" i="6"/>
  <c r="C50" i="6"/>
  <c r="C51" i="6"/>
  <c r="C52" i="6"/>
  <c r="C53" i="6"/>
  <c r="C54" i="6"/>
  <c r="C55" i="6"/>
  <c r="C47" i="6"/>
  <c r="C46" i="6"/>
  <c r="C45" i="6"/>
  <c r="C44" i="6"/>
  <c r="C40" i="6"/>
  <c r="C41" i="6"/>
  <c r="C43" i="6"/>
  <c r="C39" i="6"/>
  <c r="C38" i="6"/>
  <c r="C37" i="6"/>
  <c r="C36" i="6"/>
  <c r="C33" i="6"/>
  <c r="C34" i="6"/>
  <c r="C35" i="6"/>
  <c r="C32" i="6"/>
  <c r="C31" i="6"/>
  <c r="C27" i="6"/>
  <c r="C28" i="6"/>
  <c r="C29" i="6"/>
  <c r="C30" i="6"/>
  <c r="C26" i="6"/>
  <c r="C25" i="6"/>
  <c r="C17" i="6"/>
  <c r="C18" i="6"/>
  <c r="C19" i="6"/>
  <c r="C20" i="6"/>
  <c r="C21" i="6"/>
  <c r="C22" i="6"/>
  <c r="C23" i="6"/>
  <c r="C24" i="6"/>
  <c r="C16" i="6"/>
  <c r="C14" i="6"/>
  <c r="C13" i="6"/>
  <c r="C10" i="6"/>
  <c r="C11" i="6"/>
  <c r="C9" i="6"/>
  <c r="C3" i="6"/>
  <c r="C4" i="6"/>
  <c r="C5" i="6"/>
  <c r="C6" i="6"/>
  <c r="C7" i="6"/>
  <c r="C8" i="6"/>
  <c r="C2" i="6"/>
  <c r="G445" i="14" l="1"/>
  <c r="I445" i="14"/>
  <c r="K445" i="14"/>
  <c r="L445" i="14"/>
  <c r="M445" i="14"/>
  <c r="N445" i="14"/>
  <c r="E445" i="14"/>
  <c r="E363" i="14"/>
  <c r="E299" i="14"/>
  <c r="E111" i="14"/>
  <c r="E48" i="14"/>
  <c r="J393" i="16"/>
  <c r="K393" i="16" s="1"/>
  <c r="J329" i="16"/>
  <c r="K329" i="16" s="1"/>
  <c r="J161" i="16"/>
  <c r="J145" i="16"/>
  <c r="K145" i="16" s="1"/>
  <c r="J105" i="16"/>
  <c r="K105" i="16" s="1"/>
  <c r="J1094" i="16"/>
  <c r="K1094" i="16" s="1"/>
  <c r="J1070" i="16"/>
  <c r="K1070" i="16" s="1"/>
  <c r="J1054" i="16"/>
  <c r="K1054" i="16" s="1"/>
  <c r="J1038" i="16"/>
  <c r="K1038" i="16" s="1"/>
  <c r="J1030" i="16"/>
  <c r="K1030" i="16" s="1"/>
  <c r="J1022" i="16"/>
  <c r="K1022" i="16" s="1"/>
  <c r="J1006" i="16"/>
  <c r="K1006" i="16" s="1"/>
  <c r="J990" i="16"/>
  <c r="K990" i="16" s="1"/>
  <c r="J982" i="16"/>
  <c r="K982" i="16" s="1"/>
  <c r="J974" i="16"/>
  <c r="K974" i="16" s="1"/>
  <c r="J966" i="16"/>
  <c r="K966" i="16" s="1"/>
  <c r="J942" i="16"/>
  <c r="K942" i="16" s="1"/>
  <c r="J918" i="16"/>
  <c r="K918" i="16" s="1"/>
  <c r="J910" i="16"/>
  <c r="K910" i="16" s="1"/>
  <c r="J902" i="16"/>
  <c r="K902" i="16" s="1"/>
  <c r="J894" i="16"/>
  <c r="K894" i="16" s="1"/>
  <c r="J878" i="16"/>
  <c r="K878" i="16" s="1"/>
  <c r="J862" i="16"/>
  <c r="K862" i="16" s="1"/>
  <c r="J854" i="16"/>
  <c r="K854" i="16" s="1"/>
  <c r="J838" i="16"/>
  <c r="K838" i="16" s="1"/>
  <c r="J830" i="16"/>
  <c r="K830" i="16" s="1"/>
  <c r="J814" i="16"/>
  <c r="K814" i="16" s="1"/>
  <c r="J790" i="16"/>
  <c r="K790" i="16" s="1"/>
  <c r="J782" i="16"/>
  <c r="K782" i="16" s="1"/>
  <c r="J766" i="16"/>
  <c r="K766" i="16" s="1"/>
  <c r="J750" i="16"/>
  <c r="K750" i="16" s="1"/>
  <c r="J734" i="16"/>
  <c r="K734" i="16" s="1"/>
  <c r="J718" i="16"/>
  <c r="K718" i="16" s="1"/>
  <c r="J702" i="16"/>
  <c r="K702" i="16" s="1"/>
  <c r="J686" i="16"/>
  <c r="K686" i="16" s="1"/>
  <c r="J654" i="16"/>
  <c r="K654" i="16" s="1"/>
  <c r="J638" i="16"/>
  <c r="K638" i="16" s="1"/>
  <c r="J622" i="16"/>
  <c r="K622" i="16" s="1"/>
  <c r="J598" i="16"/>
  <c r="K598" i="16" s="1"/>
  <c r="J590" i="16"/>
  <c r="K590" i="16" s="1"/>
  <c r="J574" i="16"/>
  <c r="K574" i="16" s="1"/>
  <c r="J558" i="16"/>
  <c r="K558" i="16" s="1"/>
  <c r="J534" i="16"/>
  <c r="K534" i="16" s="1"/>
  <c r="J510" i="16"/>
  <c r="K510" i="16" s="1"/>
  <c r="J494" i="16"/>
  <c r="K494" i="16" s="1"/>
  <c r="J462" i="16"/>
  <c r="K462" i="16" s="1"/>
  <c r="J446" i="16"/>
  <c r="K446" i="16" s="1"/>
  <c r="J1009" i="16"/>
  <c r="K1009" i="16" s="1"/>
  <c r="J945" i="16"/>
  <c r="K945" i="16" s="1"/>
  <c r="J817" i="16"/>
  <c r="K817" i="16" s="1"/>
  <c r="J881" i="16"/>
  <c r="K881" i="16" s="1"/>
  <c r="J1151" i="16"/>
  <c r="K1151" i="16" s="1"/>
  <c r="J1111" i="16"/>
  <c r="K1111" i="16" s="1"/>
  <c r="J1103" i="16"/>
  <c r="K1103" i="16" s="1"/>
  <c r="J1087" i="16"/>
  <c r="K1087" i="16" s="1"/>
  <c r="J1047" i="16"/>
  <c r="K1047" i="16" s="1"/>
  <c r="J1031" i="16"/>
  <c r="K1031" i="16" s="1"/>
  <c r="J1007" i="16"/>
  <c r="K1007" i="16" s="1"/>
  <c r="J999" i="16"/>
  <c r="K999" i="16" s="1"/>
  <c r="J991" i="16"/>
  <c r="K991" i="16" s="1"/>
  <c r="J967" i="16"/>
  <c r="K967" i="16" s="1"/>
  <c r="J951" i="16"/>
  <c r="K951" i="16" s="1"/>
  <c r="J943" i="16"/>
  <c r="K943" i="16" s="1"/>
  <c r="J935" i="16"/>
  <c r="K935" i="16" s="1"/>
  <c r="J919" i="16"/>
  <c r="K919" i="16" s="1"/>
  <c r="J911" i="16"/>
  <c r="K911" i="16" s="1"/>
  <c r="J903" i="16"/>
  <c r="K903" i="16" s="1"/>
  <c r="J887" i="16"/>
  <c r="K887" i="16" s="1"/>
  <c r="J879" i="16"/>
  <c r="K879" i="16" s="1"/>
  <c r="J871" i="16"/>
  <c r="K871" i="16" s="1"/>
  <c r="J863" i="16"/>
  <c r="K863" i="16" s="1"/>
  <c r="J855" i="16"/>
  <c r="K855" i="16" s="1"/>
  <c r="J847" i="16"/>
  <c r="K847" i="16" s="1"/>
  <c r="J839" i="16"/>
  <c r="K839" i="16" s="1"/>
  <c r="J823" i="16"/>
  <c r="K823" i="16" s="1"/>
  <c r="J815" i="16"/>
  <c r="K815" i="16" s="1"/>
  <c r="J807" i="16"/>
  <c r="K807" i="16" s="1"/>
  <c r="J799" i="16"/>
  <c r="K799" i="16" s="1"/>
  <c r="J775" i="16"/>
  <c r="K775" i="16" s="1"/>
  <c r="J759" i="16"/>
  <c r="K759" i="16" s="1"/>
  <c r="J751" i="16"/>
  <c r="K751" i="16" s="1"/>
  <c r="J743" i="16"/>
  <c r="K743" i="16" s="1"/>
  <c r="J735" i="16"/>
  <c r="K735" i="16" s="1"/>
  <c r="J727" i="16"/>
  <c r="K727" i="16" s="1"/>
  <c r="J719" i="16"/>
  <c r="K719" i="16" s="1"/>
  <c r="J711" i="16"/>
  <c r="K711" i="16" s="1"/>
  <c r="J695" i="16"/>
  <c r="K695" i="16" s="1"/>
  <c r="J687" i="16"/>
  <c r="K687" i="16" s="1"/>
  <c r="J679" i="16"/>
  <c r="K679" i="16" s="1"/>
  <c r="J671" i="16"/>
  <c r="K671" i="16" s="1"/>
  <c r="J663" i="16"/>
  <c r="K663" i="16" s="1"/>
  <c r="J655" i="16"/>
  <c r="K655" i="16" s="1"/>
  <c r="J647" i="16"/>
  <c r="K647" i="16" s="1"/>
  <c r="J631" i="16"/>
  <c r="K631" i="16" s="1"/>
  <c r="J623" i="16"/>
  <c r="K623" i="16" s="1"/>
  <c r="J615" i="16"/>
  <c r="K615" i="16" s="1"/>
  <c r="J607" i="16"/>
  <c r="K607" i="16" s="1"/>
  <c r="J599" i="16"/>
  <c r="K599" i="16" s="1"/>
  <c r="J583" i="16"/>
  <c r="K583" i="16" s="1"/>
  <c r="J567" i="16"/>
  <c r="K567" i="16" s="1"/>
  <c r="J559" i="16"/>
  <c r="K559" i="16" s="1"/>
  <c r="J551" i="16"/>
  <c r="K551" i="16" s="1"/>
  <c r="J543" i="16"/>
  <c r="K543" i="16" s="1"/>
  <c r="J535" i="16"/>
  <c r="K535" i="16" s="1"/>
  <c r="J519" i="16"/>
  <c r="K519" i="16" s="1"/>
  <c r="J503" i="16"/>
  <c r="K503" i="16" s="1"/>
  <c r="J495" i="16"/>
  <c r="K495" i="16" s="1"/>
  <c r="J487" i="16"/>
  <c r="K487" i="16" s="1"/>
  <c r="J471" i="16"/>
  <c r="K471" i="16" s="1"/>
  <c r="J455" i="16"/>
  <c r="K455" i="16" s="1"/>
  <c r="J439" i="16"/>
  <c r="K439" i="16" s="1"/>
  <c r="J431" i="16"/>
  <c r="K431" i="16" s="1"/>
  <c r="J415" i="16"/>
  <c r="K415" i="16" s="1"/>
  <c r="J367" i="16"/>
  <c r="K367" i="16" s="1"/>
  <c r="J343" i="16"/>
  <c r="K343" i="16" s="1"/>
  <c r="J279" i="16"/>
  <c r="K279" i="16" s="1"/>
  <c r="J231" i="16"/>
  <c r="K231" i="16" s="1"/>
  <c r="J167" i="16"/>
  <c r="K167" i="16" s="1"/>
  <c r="J87" i="16"/>
  <c r="K87" i="16" s="1"/>
  <c r="J23" i="16"/>
  <c r="K23" i="16" s="1"/>
  <c r="J753" i="16"/>
  <c r="K753" i="16" s="1"/>
  <c r="J689" i="16"/>
  <c r="K689" i="16" s="1"/>
  <c r="J625" i="16"/>
  <c r="K625" i="16" s="1"/>
  <c r="J425" i="16"/>
  <c r="K425" i="16" s="1"/>
  <c r="J337" i="16"/>
  <c r="K337" i="16" s="1"/>
  <c r="J265" i="16"/>
  <c r="K265" i="16" s="1"/>
  <c r="J241" i="16"/>
  <c r="K241" i="16" s="1"/>
  <c r="J201" i="16"/>
  <c r="K201" i="16" s="1"/>
  <c r="J185" i="16"/>
  <c r="K185" i="16" s="1"/>
  <c r="J153" i="16"/>
  <c r="K153" i="16" s="1"/>
  <c r="J121" i="16"/>
  <c r="K121" i="16" s="1"/>
  <c r="J73" i="16"/>
  <c r="K73" i="16" s="1"/>
  <c r="J33" i="16"/>
  <c r="K33" i="16" s="1"/>
  <c r="J561" i="16"/>
  <c r="K561" i="16" s="1"/>
  <c r="J497" i="16"/>
  <c r="K497" i="16" s="1"/>
  <c r="J433" i="16"/>
  <c r="K433" i="16" s="1"/>
  <c r="J409" i="16"/>
  <c r="K409" i="16" s="1"/>
  <c r="J369" i="16"/>
  <c r="K369" i="16" s="1"/>
  <c r="J353" i="16"/>
  <c r="K353" i="16" s="1"/>
  <c r="J345" i="16"/>
  <c r="K345" i="16" s="1"/>
  <c r="J321" i="16"/>
  <c r="K321" i="16" s="1"/>
  <c r="J313" i="16"/>
  <c r="K313" i="16" s="1"/>
  <c r="J305" i="16"/>
  <c r="K305" i="16" s="1"/>
  <c r="J297" i="16"/>
  <c r="K297" i="16" s="1"/>
  <c r="J281" i="16"/>
  <c r="K281" i="16" s="1"/>
  <c r="J273" i="16"/>
  <c r="J249" i="16"/>
  <c r="K249" i="16" s="1"/>
  <c r="J233" i="16"/>
  <c r="K233" i="16" s="1"/>
  <c r="J217" i="16"/>
  <c r="K217" i="16" s="1"/>
  <c r="J209" i="16"/>
  <c r="K209" i="16" s="1"/>
  <c r="J193" i="16"/>
  <c r="K193" i="16" s="1"/>
  <c r="J177" i="16"/>
  <c r="K177" i="16" s="1"/>
  <c r="J129" i="16"/>
  <c r="K129" i="16" s="1"/>
  <c r="J113" i="16"/>
  <c r="J97" i="16"/>
  <c r="K97" i="16" s="1"/>
  <c r="J89" i="16"/>
  <c r="K89" i="16" s="1"/>
  <c r="J65" i="16"/>
  <c r="K65" i="16" s="1"/>
  <c r="J57" i="16"/>
  <c r="K57" i="16" s="1"/>
  <c r="J49" i="16"/>
  <c r="J41" i="16"/>
  <c r="K41" i="16" s="1"/>
  <c r="J25" i="16"/>
  <c r="K25" i="16" s="1"/>
  <c r="J9" i="16"/>
  <c r="K9" i="16" s="1"/>
  <c r="J1152" i="16"/>
  <c r="K1152" i="16" s="1"/>
  <c r="J1136" i="16"/>
  <c r="K1136" i="16" s="1"/>
  <c r="J1112" i="16"/>
  <c r="K1112" i="16" s="1"/>
  <c r="J1096" i="16"/>
  <c r="K1096" i="16" s="1"/>
  <c r="J1088" i="16"/>
  <c r="K1088" i="16" s="1"/>
  <c r="J1072" i="16"/>
  <c r="K1072" i="16" s="1"/>
  <c r="J1048" i="16"/>
  <c r="K1048" i="16" s="1"/>
  <c r="J1024" i="16"/>
  <c r="K1024" i="16" s="1"/>
  <c r="J1008" i="16"/>
  <c r="K1008" i="16" s="1"/>
  <c r="J960" i="16"/>
  <c r="K960" i="16" s="1"/>
  <c r="J952" i="16"/>
  <c r="K952" i="16" s="1"/>
  <c r="J944" i="16"/>
  <c r="K944" i="16" s="1"/>
  <c r="J936" i="16"/>
  <c r="K936" i="16" s="1"/>
  <c r="J912" i="16"/>
  <c r="K912" i="16" s="1"/>
  <c r="J888" i="16"/>
  <c r="K888" i="16" s="1"/>
  <c r="J872" i="16"/>
  <c r="K872" i="16" s="1"/>
  <c r="J848" i="16"/>
  <c r="K848" i="16" s="1"/>
  <c r="J768" i="16"/>
  <c r="K768" i="16" s="1"/>
  <c r="J752" i="16"/>
  <c r="K752" i="16" s="1"/>
  <c r="J720" i="16"/>
  <c r="K720" i="16" s="1"/>
  <c r="J696" i="16"/>
  <c r="K696" i="16" s="1"/>
  <c r="J680" i="16"/>
  <c r="K680" i="16" s="1"/>
  <c r="J640" i="16"/>
  <c r="K640" i="16" s="1"/>
  <c r="J624" i="16"/>
  <c r="K624" i="16" s="1"/>
  <c r="J592" i="16"/>
  <c r="K592" i="16" s="1"/>
  <c r="J568" i="16"/>
  <c r="K568" i="16" s="1"/>
  <c r="J552" i="16"/>
  <c r="K552" i="16" s="1"/>
  <c r="J512" i="16"/>
  <c r="K512" i="16" s="1"/>
  <c r="J504" i="16"/>
  <c r="K504" i="16" s="1"/>
  <c r="J496" i="16"/>
  <c r="K496" i="16" s="1"/>
  <c r="J464" i="16"/>
  <c r="K464" i="16" s="1"/>
  <c r="J175" i="16"/>
  <c r="K175" i="16" s="1"/>
  <c r="J1150" i="16"/>
  <c r="K1150" i="16" s="1"/>
  <c r="J1142" i="16"/>
  <c r="K1142" i="16" s="1"/>
  <c r="J1134" i="16"/>
  <c r="K1134" i="16" s="1"/>
  <c r="J1126" i="16"/>
  <c r="K1126" i="16" s="1"/>
  <c r="J1118" i="16"/>
  <c r="K1118" i="16" s="1"/>
  <c r="J1110" i="16"/>
  <c r="K1110" i="16" s="1"/>
  <c r="J1102" i="16"/>
  <c r="K1102" i="16" s="1"/>
  <c r="J1086" i="16"/>
  <c r="K1086" i="16" s="1"/>
  <c r="J1078" i="16"/>
  <c r="K1078" i="16" s="1"/>
  <c r="J1062" i="16"/>
  <c r="K1062" i="16" s="1"/>
  <c r="J1046" i="16"/>
  <c r="K1046" i="16" s="1"/>
  <c r="J434" i="16"/>
  <c r="K434" i="16" s="1"/>
  <c r="J394" i="16"/>
  <c r="K394" i="16" s="1"/>
  <c r="J370" i="16"/>
  <c r="K370" i="16" s="1"/>
  <c r="J282" i="16"/>
  <c r="K282" i="16" s="1"/>
  <c r="J226" i="16"/>
  <c r="K226" i="16" s="1"/>
  <c r="J194" i="16"/>
  <c r="K194" i="16" s="1"/>
  <c r="J170" i="16"/>
  <c r="K170" i="16" s="1"/>
  <c r="J114" i="16"/>
  <c r="K114" i="16" s="1"/>
  <c r="J26" i="16"/>
  <c r="K26" i="16" s="1"/>
  <c r="J257" i="16"/>
  <c r="K257" i="16" s="1"/>
  <c r="J225" i="16"/>
  <c r="K225" i="16" s="1"/>
  <c r="J169" i="16"/>
  <c r="J138" i="16"/>
  <c r="K138" i="16" s="1"/>
  <c r="J137" i="16"/>
  <c r="K137" i="16" s="1"/>
  <c r="C375" i="14"/>
  <c r="G375" i="14" s="1"/>
  <c r="C331" i="14"/>
  <c r="N331" i="14" s="1"/>
  <c r="F52" i="14"/>
  <c r="C439" i="14"/>
  <c r="E427" i="14"/>
  <c r="C174" i="14"/>
  <c r="I174" i="14" s="1"/>
  <c r="F427" i="14"/>
  <c r="E405" i="14"/>
  <c r="E373" i="14"/>
  <c r="F363" i="14"/>
  <c r="I424" i="14"/>
  <c r="K424" i="14"/>
  <c r="N424" i="14"/>
  <c r="G424" i="14"/>
  <c r="M424" i="14"/>
  <c r="L424" i="14"/>
  <c r="M416" i="14"/>
  <c r="L416" i="14"/>
  <c r="K416" i="14"/>
  <c r="N416" i="14"/>
  <c r="I416" i="14"/>
  <c r="G416" i="14"/>
  <c r="M384" i="14"/>
  <c r="L384" i="14"/>
  <c r="I384" i="14"/>
  <c r="N384" i="14"/>
  <c r="K384" i="14"/>
  <c r="G384" i="14"/>
  <c r="N360" i="14"/>
  <c r="I360" i="14"/>
  <c r="G360" i="14"/>
  <c r="K360" i="14"/>
  <c r="M360" i="14"/>
  <c r="L360" i="14"/>
  <c r="N328" i="14"/>
  <c r="I328" i="14"/>
  <c r="M328" i="14"/>
  <c r="L328" i="14"/>
  <c r="K328" i="14"/>
  <c r="G328" i="14"/>
  <c r="M320" i="14"/>
  <c r="L320" i="14"/>
  <c r="K320" i="14"/>
  <c r="N320" i="14"/>
  <c r="I320" i="14"/>
  <c r="G320" i="14"/>
  <c r="N312" i="14"/>
  <c r="M312" i="14"/>
  <c r="L312" i="14"/>
  <c r="K312" i="14"/>
  <c r="I312" i="14"/>
  <c r="G312" i="14"/>
  <c r="N296" i="14"/>
  <c r="I296" i="14"/>
  <c r="G296" i="14"/>
  <c r="L296" i="14"/>
  <c r="K296" i="14"/>
  <c r="M296" i="14"/>
  <c r="N280" i="14"/>
  <c r="M280" i="14"/>
  <c r="L280" i="14"/>
  <c r="K280" i="14"/>
  <c r="I280" i="14"/>
  <c r="G280" i="14"/>
  <c r="M258" i="14"/>
  <c r="L258" i="14"/>
  <c r="K258" i="14"/>
  <c r="I258" i="14"/>
  <c r="G258" i="14"/>
  <c r="N258" i="14"/>
  <c r="N226" i="14"/>
  <c r="L226" i="14"/>
  <c r="K226" i="14"/>
  <c r="M226" i="14"/>
  <c r="I226" i="14"/>
  <c r="G226" i="14"/>
  <c r="I5" i="14"/>
  <c r="L5" i="14"/>
  <c r="K5" i="14"/>
  <c r="M5" i="14"/>
  <c r="G5" i="14"/>
  <c r="N5" i="14"/>
  <c r="M271" i="14"/>
  <c r="L271" i="14"/>
  <c r="K271" i="14"/>
  <c r="N271" i="14"/>
  <c r="I271" i="14"/>
  <c r="G271" i="14"/>
  <c r="N437" i="14"/>
  <c r="M437" i="14"/>
  <c r="L437" i="14"/>
  <c r="I437" i="14"/>
  <c r="K437" i="14"/>
  <c r="G437" i="14"/>
  <c r="N405" i="14"/>
  <c r="M405" i="14"/>
  <c r="L405" i="14"/>
  <c r="I405" i="14"/>
  <c r="K405" i="14"/>
  <c r="G405" i="14"/>
  <c r="N373" i="14"/>
  <c r="M373" i="14"/>
  <c r="L373" i="14"/>
  <c r="I373" i="14"/>
  <c r="K373" i="14"/>
  <c r="G373" i="14"/>
  <c r="N341" i="14"/>
  <c r="M341" i="14"/>
  <c r="L341" i="14"/>
  <c r="K341" i="14"/>
  <c r="I341" i="14"/>
  <c r="G341" i="14"/>
  <c r="N231" i="14"/>
  <c r="M231" i="14"/>
  <c r="L231" i="14"/>
  <c r="K231" i="14"/>
  <c r="I231" i="14"/>
  <c r="G231" i="14"/>
  <c r="N215" i="14"/>
  <c r="M215" i="14"/>
  <c r="L215" i="14"/>
  <c r="K215" i="14"/>
  <c r="I215" i="14"/>
  <c r="G215" i="14"/>
  <c r="N152" i="14"/>
  <c r="M152" i="14"/>
  <c r="L152" i="14"/>
  <c r="K152" i="14"/>
  <c r="I152" i="14"/>
  <c r="G152" i="14"/>
  <c r="N90" i="14"/>
  <c r="M90" i="14"/>
  <c r="L90" i="14"/>
  <c r="K90" i="14"/>
  <c r="I90" i="14"/>
  <c r="G90" i="14"/>
  <c r="N26" i="14"/>
  <c r="M26" i="14"/>
  <c r="L26" i="14"/>
  <c r="K26" i="14"/>
  <c r="I26" i="14"/>
  <c r="G26" i="14"/>
  <c r="N286" i="14"/>
  <c r="M286" i="14"/>
  <c r="L286" i="14"/>
  <c r="K286" i="14"/>
  <c r="I286" i="14"/>
  <c r="G286" i="14"/>
  <c r="N436" i="14"/>
  <c r="M436" i="14"/>
  <c r="L436" i="14"/>
  <c r="K436" i="14"/>
  <c r="I436" i="14"/>
  <c r="G436" i="14"/>
  <c r="N404" i="14"/>
  <c r="M404" i="14"/>
  <c r="L404" i="14"/>
  <c r="K404" i="14"/>
  <c r="I404" i="14"/>
  <c r="G404" i="14"/>
  <c r="N372" i="14"/>
  <c r="M372" i="14"/>
  <c r="L372" i="14"/>
  <c r="K372" i="14"/>
  <c r="I372" i="14"/>
  <c r="G372" i="14"/>
  <c r="N340" i="14"/>
  <c r="M340" i="14"/>
  <c r="L340" i="14"/>
  <c r="K340" i="14"/>
  <c r="I340" i="14"/>
  <c r="G340" i="14"/>
  <c r="N435" i="14"/>
  <c r="M435" i="14"/>
  <c r="L435" i="14"/>
  <c r="K435" i="14"/>
  <c r="I435" i="14"/>
  <c r="G435" i="14"/>
  <c r="N427" i="14"/>
  <c r="M427" i="14"/>
  <c r="L427" i="14"/>
  <c r="K427" i="14"/>
  <c r="I427" i="14"/>
  <c r="G427" i="14"/>
  <c r="N403" i="14"/>
  <c r="M403" i="14"/>
  <c r="L403" i="14"/>
  <c r="K403" i="14"/>
  <c r="I403" i="14"/>
  <c r="G403" i="14"/>
  <c r="N371" i="14"/>
  <c r="M371" i="14"/>
  <c r="L371" i="14"/>
  <c r="K371" i="14"/>
  <c r="I371" i="14"/>
  <c r="G371" i="14"/>
  <c r="N363" i="14"/>
  <c r="M363" i="14"/>
  <c r="L363" i="14"/>
  <c r="K363" i="14"/>
  <c r="I363" i="14"/>
  <c r="G363" i="14"/>
  <c r="N339" i="14"/>
  <c r="M339" i="14"/>
  <c r="L339" i="14"/>
  <c r="K339" i="14"/>
  <c r="G339" i="14"/>
  <c r="I339" i="14"/>
  <c r="N323" i="14"/>
  <c r="M323" i="14"/>
  <c r="L323" i="14"/>
  <c r="K323" i="14"/>
  <c r="G323" i="14"/>
  <c r="I323" i="14"/>
  <c r="N299" i="14"/>
  <c r="M299" i="14"/>
  <c r="L299" i="14"/>
  <c r="K299" i="14"/>
  <c r="I299" i="14"/>
  <c r="G299" i="14"/>
  <c r="N245" i="14"/>
  <c r="M245" i="14"/>
  <c r="L245" i="14"/>
  <c r="K245" i="14"/>
  <c r="I245" i="14"/>
  <c r="G245" i="14"/>
  <c r="N426" i="14"/>
  <c r="M426" i="14"/>
  <c r="L426" i="14"/>
  <c r="K426" i="14"/>
  <c r="I426" i="14"/>
  <c r="G426" i="14"/>
  <c r="N370" i="14"/>
  <c r="M370" i="14"/>
  <c r="L370" i="14"/>
  <c r="K370" i="14"/>
  <c r="G370" i="14"/>
  <c r="I370" i="14"/>
  <c r="N338" i="14"/>
  <c r="M338" i="14"/>
  <c r="L338" i="14"/>
  <c r="K338" i="14"/>
  <c r="G338" i="14"/>
  <c r="I338" i="14"/>
  <c r="N314" i="14"/>
  <c r="M314" i="14"/>
  <c r="L314" i="14"/>
  <c r="K314" i="14"/>
  <c r="I314" i="14"/>
  <c r="G314" i="14"/>
  <c r="N282" i="14"/>
  <c r="M282" i="14"/>
  <c r="L282" i="14"/>
  <c r="K282" i="14"/>
  <c r="I282" i="14"/>
  <c r="G282" i="14"/>
  <c r="N252" i="14"/>
  <c r="M252" i="14"/>
  <c r="L252" i="14"/>
  <c r="K252" i="14"/>
  <c r="I252" i="14"/>
  <c r="G252" i="14"/>
  <c r="N204" i="14"/>
  <c r="M204" i="14"/>
  <c r="L204" i="14"/>
  <c r="K204" i="14"/>
  <c r="I204" i="14"/>
  <c r="G204" i="14"/>
  <c r="N188" i="14"/>
  <c r="M188" i="14"/>
  <c r="L188" i="14"/>
  <c r="K188" i="14"/>
  <c r="G188" i="14"/>
  <c r="I188" i="14"/>
  <c r="N173" i="14"/>
  <c r="M173" i="14"/>
  <c r="L173" i="14"/>
  <c r="K173" i="14"/>
  <c r="I173" i="14"/>
  <c r="G173" i="14"/>
  <c r="N141" i="14"/>
  <c r="M141" i="14"/>
  <c r="L141" i="14"/>
  <c r="K141" i="14"/>
  <c r="I141" i="14"/>
  <c r="G141" i="14"/>
  <c r="N125" i="14"/>
  <c r="M125" i="14"/>
  <c r="L125" i="14"/>
  <c r="K125" i="14"/>
  <c r="G125" i="14"/>
  <c r="I125" i="14"/>
  <c r="N110" i="14"/>
  <c r="M110" i="14"/>
  <c r="L110" i="14"/>
  <c r="K110" i="14"/>
  <c r="I110" i="14"/>
  <c r="G110" i="14"/>
  <c r="N79" i="14"/>
  <c r="M79" i="14"/>
  <c r="L79" i="14"/>
  <c r="K79" i="14"/>
  <c r="I79" i="14"/>
  <c r="G79" i="14"/>
  <c r="N63" i="14"/>
  <c r="M63" i="14"/>
  <c r="L63" i="14"/>
  <c r="K63" i="14"/>
  <c r="G63" i="14"/>
  <c r="I63" i="14"/>
  <c r="N47" i="14"/>
  <c r="M47" i="14"/>
  <c r="L47" i="14"/>
  <c r="K47" i="14"/>
  <c r="I47" i="14"/>
  <c r="G47" i="14"/>
  <c r="N15" i="14"/>
  <c r="M15" i="14"/>
  <c r="L15" i="14"/>
  <c r="K15" i="14"/>
  <c r="I15" i="14"/>
  <c r="G15" i="14"/>
  <c r="N434" i="14"/>
  <c r="M434" i="14"/>
  <c r="L434" i="14"/>
  <c r="K434" i="14"/>
  <c r="G434" i="14"/>
  <c r="I434" i="14"/>
  <c r="N402" i="14"/>
  <c r="M402" i="14"/>
  <c r="L402" i="14"/>
  <c r="K402" i="14"/>
  <c r="G402" i="14"/>
  <c r="I402" i="14"/>
  <c r="N267" i="14"/>
  <c r="M267" i="14"/>
  <c r="L267" i="14"/>
  <c r="K267" i="14"/>
  <c r="I267" i="14"/>
  <c r="G267" i="14"/>
  <c r="J425" i="14"/>
  <c r="H425" i="14"/>
  <c r="F425" i="14"/>
  <c r="E425" i="14"/>
  <c r="C425" i="14"/>
  <c r="J385" i="14"/>
  <c r="H385" i="14"/>
  <c r="F385" i="14"/>
  <c r="E385" i="14"/>
  <c r="C385" i="14"/>
  <c r="J337" i="14"/>
  <c r="H337" i="14"/>
  <c r="F337" i="14"/>
  <c r="E337" i="14"/>
  <c r="C337" i="14"/>
  <c r="J289" i="14"/>
  <c r="E289" i="14"/>
  <c r="C289" i="14"/>
  <c r="J259" i="14"/>
  <c r="H259" i="14"/>
  <c r="E259" i="14"/>
  <c r="C259" i="14"/>
  <c r="F259" i="14"/>
  <c r="J211" i="14"/>
  <c r="H211" i="14"/>
  <c r="E211" i="14"/>
  <c r="C211" i="14"/>
  <c r="F211" i="14"/>
  <c r="J179" i="14"/>
  <c r="E179" i="14"/>
  <c r="C179" i="14"/>
  <c r="H179" i="14"/>
  <c r="J140" i="14"/>
  <c r="H140" i="14"/>
  <c r="F140" i="14"/>
  <c r="E140" i="14"/>
  <c r="C140" i="14"/>
  <c r="J102" i="14"/>
  <c r="F102" i="14"/>
  <c r="E102" i="14"/>
  <c r="C102" i="14"/>
  <c r="H102" i="14"/>
  <c r="J54" i="14"/>
  <c r="F54" i="14"/>
  <c r="E54" i="14"/>
  <c r="C54" i="14"/>
  <c r="H54" i="14"/>
  <c r="J14" i="14"/>
  <c r="H14" i="14"/>
  <c r="F14" i="14"/>
  <c r="E14" i="14"/>
  <c r="C14" i="14"/>
  <c r="N408" i="14"/>
  <c r="M408" i="14"/>
  <c r="L408" i="14"/>
  <c r="I408" i="14"/>
  <c r="G408" i="14"/>
  <c r="K408" i="14"/>
  <c r="N365" i="14"/>
  <c r="M365" i="14"/>
  <c r="L365" i="14"/>
  <c r="K365" i="14"/>
  <c r="I365" i="14"/>
  <c r="G365" i="14"/>
  <c r="M288" i="14"/>
  <c r="L288" i="14"/>
  <c r="K288" i="14"/>
  <c r="N288" i="14"/>
  <c r="I288" i="14"/>
  <c r="G288" i="14"/>
  <c r="N234" i="14"/>
  <c r="I234" i="14"/>
  <c r="G234" i="14"/>
  <c r="M234" i="14"/>
  <c r="L234" i="14"/>
  <c r="N136" i="14"/>
  <c r="M136" i="14"/>
  <c r="L136" i="14"/>
  <c r="K136" i="14"/>
  <c r="I136" i="14"/>
  <c r="G136" i="14"/>
  <c r="N31" i="14"/>
  <c r="M31" i="14"/>
  <c r="L31" i="14"/>
  <c r="K31" i="14"/>
  <c r="I31" i="14"/>
  <c r="G31" i="14"/>
  <c r="J432" i="14"/>
  <c r="H432" i="14"/>
  <c r="F432" i="14"/>
  <c r="E432" i="14"/>
  <c r="J392" i="14"/>
  <c r="H392" i="14"/>
  <c r="F392" i="14"/>
  <c r="E392" i="14"/>
  <c r="J352" i="14"/>
  <c r="H352" i="14"/>
  <c r="F352" i="14"/>
  <c r="E352" i="14"/>
  <c r="J304" i="14"/>
  <c r="H304" i="14"/>
  <c r="E304" i="14"/>
  <c r="C304" i="14"/>
  <c r="F304" i="14"/>
  <c r="J265" i="14"/>
  <c r="H265" i="14"/>
  <c r="F265" i="14"/>
  <c r="E265" i="14"/>
  <c r="J234" i="14"/>
  <c r="H234" i="14"/>
  <c r="F234" i="14"/>
  <c r="E234" i="14"/>
  <c r="J194" i="14"/>
  <c r="H194" i="14"/>
  <c r="E194" i="14"/>
  <c r="F194" i="14"/>
  <c r="J163" i="14"/>
  <c r="H163" i="14"/>
  <c r="F163" i="14"/>
  <c r="E163" i="14"/>
  <c r="J123" i="14"/>
  <c r="H123" i="14"/>
  <c r="F123" i="14"/>
  <c r="E123" i="14"/>
  <c r="C123" i="14"/>
  <c r="J101" i="14"/>
  <c r="H101" i="14"/>
  <c r="F101" i="14"/>
  <c r="E101" i="14"/>
  <c r="J69" i="14"/>
  <c r="H69" i="14"/>
  <c r="F69" i="14"/>
  <c r="E69" i="14"/>
  <c r="J45" i="14"/>
  <c r="H45" i="14"/>
  <c r="F45" i="14"/>
  <c r="E45" i="14"/>
  <c r="C45" i="14"/>
  <c r="J13" i="14"/>
  <c r="H13" i="14"/>
  <c r="F13" i="14"/>
  <c r="E13" i="14"/>
  <c r="C13" i="14"/>
  <c r="N418" i="14"/>
  <c r="M418" i="14"/>
  <c r="L418" i="14"/>
  <c r="K418" i="14"/>
  <c r="G418" i="14"/>
  <c r="I418" i="14"/>
  <c r="N386" i="14"/>
  <c r="M386" i="14"/>
  <c r="L386" i="14"/>
  <c r="K386" i="14"/>
  <c r="G386" i="14"/>
  <c r="I386" i="14"/>
  <c r="N354" i="14"/>
  <c r="M354" i="14"/>
  <c r="L354" i="14"/>
  <c r="K354" i="14"/>
  <c r="G354" i="14"/>
  <c r="I354" i="14"/>
  <c r="N317" i="14"/>
  <c r="M317" i="14"/>
  <c r="L317" i="14"/>
  <c r="K317" i="14"/>
  <c r="I317" i="14"/>
  <c r="G317" i="14"/>
  <c r="N275" i="14"/>
  <c r="M275" i="14"/>
  <c r="L275" i="14"/>
  <c r="K275" i="14"/>
  <c r="G275" i="14"/>
  <c r="I275" i="14"/>
  <c r="N233" i="14"/>
  <c r="I233" i="14"/>
  <c r="G233" i="14"/>
  <c r="K233" i="14"/>
  <c r="L233" i="14"/>
  <c r="L153" i="14"/>
  <c r="K153" i="14"/>
  <c r="N153" i="14"/>
  <c r="I153" i="14"/>
  <c r="G153" i="14"/>
  <c r="M153" i="14"/>
  <c r="L91" i="14"/>
  <c r="K91" i="14"/>
  <c r="M91" i="14"/>
  <c r="I91" i="14"/>
  <c r="G91" i="14"/>
  <c r="N91" i="14"/>
  <c r="N48" i="14"/>
  <c r="M48" i="14"/>
  <c r="L48" i="14"/>
  <c r="K48" i="14"/>
  <c r="I48" i="14"/>
  <c r="G48" i="14"/>
  <c r="L27" i="14"/>
  <c r="K27" i="14"/>
  <c r="N27" i="14"/>
  <c r="M27" i="14"/>
  <c r="I27" i="14"/>
  <c r="G27" i="14"/>
  <c r="H289" i="14"/>
  <c r="M233" i="14"/>
  <c r="J439" i="14"/>
  <c r="H439" i="14"/>
  <c r="E439" i="14"/>
  <c r="J431" i="14"/>
  <c r="H431" i="14"/>
  <c r="F431" i="14"/>
  <c r="J423" i="14"/>
  <c r="H423" i="14"/>
  <c r="J415" i="14"/>
  <c r="H415" i="14"/>
  <c r="F415" i="14"/>
  <c r="J407" i="14"/>
  <c r="H407" i="14"/>
  <c r="E407" i="14"/>
  <c r="H399" i="14"/>
  <c r="F399" i="14"/>
  <c r="E399" i="14"/>
  <c r="J399" i="14"/>
  <c r="J391" i="14"/>
  <c r="H391" i="14"/>
  <c r="J383" i="14"/>
  <c r="H383" i="14"/>
  <c r="F383" i="14"/>
  <c r="E383" i="14"/>
  <c r="J375" i="14"/>
  <c r="H375" i="14"/>
  <c r="J367" i="14"/>
  <c r="H367" i="14"/>
  <c r="F367" i="14"/>
  <c r="E367" i="14"/>
  <c r="J359" i="14"/>
  <c r="H359" i="14"/>
  <c r="J351" i="14"/>
  <c r="H351" i="14"/>
  <c r="F351" i="14"/>
  <c r="E351" i="14"/>
  <c r="J343" i="14"/>
  <c r="H343" i="14"/>
  <c r="J335" i="14"/>
  <c r="H335" i="14"/>
  <c r="F335" i="14"/>
  <c r="E335" i="14"/>
  <c r="J327" i="14"/>
  <c r="H327" i="14"/>
  <c r="J319" i="14"/>
  <c r="H319" i="14"/>
  <c r="F319" i="14"/>
  <c r="E319" i="14"/>
  <c r="J311" i="14"/>
  <c r="H311" i="14"/>
  <c r="C311" i="14"/>
  <c r="J303" i="14"/>
  <c r="H303" i="14"/>
  <c r="E303" i="14"/>
  <c r="F303" i="14"/>
  <c r="J295" i="14"/>
  <c r="H295" i="14"/>
  <c r="F295" i="14"/>
  <c r="J287" i="14"/>
  <c r="H287" i="14"/>
  <c r="F287" i="14"/>
  <c r="E287" i="14"/>
  <c r="J279" i="14"/>
  <c r="H279" i="14"/>
  <c r="C279" i="14"/>
  <c r="F279" i="14"/>
  <c r="J272" i="14"/>
  <c r="H272" i="14"/>
  <c r="F272" i="14"/>
  <c r="E272" i="14"/>
  <c r="J264" i="14"/>
  <c r="H264" i="14"/>
  <c r="J257" i="14"/>
  <c r="H257" i="14"/>
  <c r="F257" i="14"/>
  <c r="E257" i="14"/>
  <c r="J249" i="14"/>
  <c r="H249" i="14"/>
  <c r="C249" i="14"/>
  <c r="J241" i="14"/>
  <c r="H241" i="14"/>
  <c r="E241" i="14"/>
  <c r="F241" i="14"/>
  <c r="J233" i="14"/>
  <c r="H233" i="14"/>
  <c r="F233" i="14"/>
  <c r="J225" i="14"/>
  <c r="H225" i="14"/>
  <c r="F225" i="14"/>
  <c r="E225" i="14"/>
  <c r="J217" i="14"/>
  <c r="H217" i="14"/>
  <c r="C217" i="14"/>
  <c r="F217" i="14"/>
  <c r="J209" i="14"/>
  <c r="H209" i="14"/>
  <c r="F209" i="14"/>
  <c r="E209" i="14"/>
  <c r="J201" i="14"/>
  <c r="H201" i="14"/>
  <c r="J193" i="14"/>
  <c r="H193" i="14"/>
  <c r="F193" i="14"/>
  <c r="E193" i="14"/>
  <c r="J185" i="14"/>
  <c r="H185" i="14"/>
  <c r="C185" i="14"/>
  <c r="J177" i="14"/>
  <c r="H177" i="14"/>
  <c r="E177" i="14"/>
  <c r="F177" i="14"/>
  <c r="J170" i="14"/>
  <c r="H170" i="14"/>
  <c r="F170" i="14"/>
  <c r="J162" i="14"/>
  <c r="H162" i="14"/>
  <c r="F162" i="14"/>
  <c r="E162" i="14"/>
  <c r="J154" i="14"/>
  <c r="H154" i="14"/>
  <c r="F154" i="14"/>
  <c r="C154" i="14"/>
  <c r="J146" i="14"/>
  <c r="H146" i="14"/>
  <c r="E146" i="14"/>
  <c r="F146" i="14"/>
  <c r="J138" i="14"/>
  <c r="H138" i="14"/>
  <c r="F138" i="14"/>
  <c r="J130" i="14"/>
  <c r="H130" i="14"/>
  <c r="F130" i="14"/>
  <c r="E130" i="14"/>
  <c r="J115" i="14"/>
  <c r="H115" i="14"/>
  <c r="F115" i="14"/>
  <c r="E115" i="14"/>
  <c r="J108" i="14"/>
  <c r="H108" i="14"/>
  <c r="J100" i="14"/>
  <c r="H100" i="14"/>
  <c r="F100" i="14"/>
  <c r="E100" i="14"/>
  <c r="J92" i="14"/>
  <c r="H92" i="14"/>
  <c r="F92" i="14"/>
  <c r="C92" i="14"/>
  <c r="J84" i="14"/>
  <c r="H84" i="14"/>
  <c r="F84" i="14"/>
  <c r="E84" i="14"/>
  <c r="J76" i="14"/>
  <c r="H76" i="14"/>
  <c r="F76" i="14"/>
  <c r="J68" i="14"/>
  <c r="H68" i="14"/>
  <c r="F68" i="14"/>
  <c r="E68" i="14"/>
  <c r="J60" i="14"/>
  <c r="H60" i="14"/>
  <c r="F60" i="14"/>
  <c r="C60" i="14"/>
  <c r="J52" i="14"/>
  <c r="H52" i="14"/>
  <c r="E52" i="14"/>
  <c r="J44" i="14"/>
  <c r="H44" i="14"/>
  <c r="F44" i="14"/>
  <c r="J36" i="14"/>
  <c r="H36" i="14"/>
  <c r="E36" i="14"/>
  <c r="J28" i="14"/>
  <c r="H28" i="14"/>
  <c r="F28" i="14"/>
  <c r="C28" i="14"/>
  <c r="J20" i="14"/>
  <c r="H20" i="14"/>
  <c r="F20" i="14"/>
  <c r="E20" i="14"/>
  <c r="J12" i="14"/>
  <c r="H12" i="14"/>
  <c r="F12" i="14"/>
  <c r="J4" i="14"/>
  <c r="H4" i="14"/>
  <c r="F4" i="14"/>
  <c r="E4" i="14"/>
  <c r="C395" i="14"/>
  <c r="C352" i="14"/>
  <c r="C272" i="14"/>
  <c r="C193" i="14"/>
  <c r="C130" i="14"/>
  <c r="C68" i="14"/>
  <c r="C4" i="14"/>
  <c r="E426" i="14"/>
  <c r="E402" i="14"/>
  <c r="E359" i="14"/>
  <c r="E295" i="14"/>
  <c r="E233" i="14"/>
  <c r="E170" i="14"/>
  <c r="E108" i="14"/>
  <c r="E44" i="14"/>
  <c r="F423" i="14"/>
  <c r="F359" i="14"/>
  <c r="F201" i="14"/>
  <c r="F36" i="14"/>
  <c r="J441" i="14"/>
  <c r="F441" i="14"/>
  <c r="E441" i="14"/>
  <c r="H441" i="14"/>
  <c r="C441" i="14"/>
  <c r="J393" i="14"/>
  <c r="H393" i="14"/>
  <c r="F393" i="14"/>
  <c r="E393" i="14"/>
  <c r="C393" i="14"/>
  <c r="J345" i="14"/>
  <c r="H345" i="14"/>
  <c r="F345" i="14"/>
  <c r="E345" i="14"/>
  <c r="C345" i="14"/>
  <c r="J297" i="14"/>
  <c r="H297" i="14"/>
  <c r="F297" i="14"/>
  <c r="E297" i="14"/>
  <c r="C297" i="14"/>
  <c r="J243" i="14"/>
  <c r="H243" i="14"/>
  <c r="E243" i="14"/>
  <c r="C243" i="14"/>
  <c r="J164" i="14"/>
  <c r="F164" i="14"/>
  <c r="E164" i="14"/>
  <c r="C164" i="14"/>
  <c r="H164" i="14"/>
  <c r="J38" i="14"/>
  <c r="F38" i="14"/>
  <c r="E38" i="14"/>
  <c r="C38" i="14"/>
  <c r="N177" i="14"/>
  <c r="M177" i="14"/>
  <c r="L177" i="14"/>
  <c r="K177" i="14"/>
  <c r="G177" i="14"/>
  <c r="I177" i="14"/>
  <c r="J416" i="14"/>
  <c r="H416" i="14"/>
  <c r="F416" i="14"/>
  <c r="J376" i="14"/>
  <c r="H376" i="14"/>
  <c r="F376" i="14"/>
  <c r="E376" i="14"/>
  <c r="J336" i="14"/>
  <c r="H336" i="14"/>
  <c r="F336" i="14"/>
  <c r="E336" i="14"/>
  <c r="C336" i="14"/>
  <c r="J273" i="14"/>
  <c r="H273" i="14"/>
  <c r="E273" i="14"/>
  <c r="F273" i="14"/>
  <c r="C273" i="14"/>
  <c r="J218" i="14"/>
  <c r="H218" i="14"/>
  <c r="E218" i="14"/>
  <c r="F218" i="14"/>
  <c r="C218" i="14"/>
  <c r="J147" i="14"/>
  <c r="H147" i="14"/>
  <c r="F147" i="14"/>
  <c r="E147" i="14"/>
  <c r="C147" i="14"/>
  <c r="J37" i="14"/>
  <c r="H37" i="14"/>
  <c r="F37" i="14"/>
  <c r="E37" i="14"/>
  <c r="N111" i="14"/>
  <c r="M111" i="14"/>
  <c r="L111" i="14"/>
  <c r="K111" i="14"/>
  <c r="I111" i="14"/>
  <c r="G111" i="14"/>
  <c r="J406" i="14"/>
  <c r="H406" i="14"/>
  <c r="C406" i="14"/>
  <c r="F406" i="14"/>
  <c r="H374" i="14"/>
  <c r="J374" i="14"/>
  <c r="C374" i="14"/>
  <c r="F374" i="14"/>
  <c r="E374" i="14"/>
  <c r="J342" i="14"/>
  <c r="C342" i="14"/>
  <c r="H342" i="14"/>
  <c r="F342" i="14"/>
  <c r="E342" i="14"/>
  <c r="H310" i="14"/>
  <c r="J310" i="14"/>
  <c r="F310" i="14"/>
  <c r="E310" i="14"/>
  <c r="H294" i="14"/>
  <c r="F294" i="14"/>
  <c r="J294" i="14"/>
  <c r="C294" i="14"/>
  <c r="E294" i="14"/>
  <c r="J278" i="14"/>
  <c r="F278" i="14"/>
  <c r="H278" i="14"/>
  <c r="E278" i="14"/>
  <c r="H263" i="14"/>
  <c r="F263" i="14"/>
  <c r="J263" i="14"/>
  <c r="C263" i="14"/>
  <c r="E263" i="14"/>
  <c r="H248" i="14"/>
  <c r="J248" i="14"/>
  <c r="F248" i="14"/>
  <c r="E248" i="14"/>
  <c r="H224" i="14"/>
  <c r="J224" i="14"/>
  <c r="F224" i="14"/>
  <c r="E224" i="14"/>
  <c r="H184" i="14"/>
  <c r="J184" i="14"/>
  <c r="F184" i="14"/>
  <c r="E184" i="14"/>
  <c r="H161" i="14"/>
  <c r="J161" i="14"/>
  <c r="E161" i="14"/>
  <c r="C161" i="14"/>
  <c r="H153" i="14"/>
  <c r="J153" i="14"/>
  <c r="F153" i="14"/>
  <c r="E153" i="14"/>
  <c r="H137" i="14"/>
  <c r="F137" i="14"/>
  <c r="C137" i="14"/>
  <c r="J137" i="14"/>
  <c r="E137" i="14"/>
  <c r="H122" i="14"/>
  <c r="J122" i="14"/>
  <c r="F122" i="14"/>
  <c r="E122" i="14"/>
  <c r="H107" i="14"/>
  <c r="J107" i="14"/>
  <c r="F107" i="14"/>
  <c r="C107" i="14"/>
  <c r="E107" i="14"/>
  <c r="H99" i="14"/>
  <c r="J99" i="14"/>
  <c r="F99" i="14"/>
  <c r="E99" i="14"/>
  <c r="C99" i="14"/>
  <c r="H91" i="14"/>
  <c r="J91" i="14"/>
  <c r="F91" i="14"/>
  <c r="E91" i="14"/>
  <c r="H83" i="14"/>
  <c r="J83" i="14"/>
  <c r="F83" i="14"/>
  <c r="E83" i="14"/>
  <c r="C83" i="14"/>
  <c r="H75" i="14"/>
  <c r="J75" i="14"/>
  <c r="F75" i="14"/>
  <c r="C75" i="14"/>
  <c r="E75" i="14"/>
  <c r="H67" i="14"/>
  <c r="J67" i="14"/>
  <c r="E67" i="14"/>
  <c r="F67" i="14"/>
  <c r="C67" i="14"/>
  <c r="H59" i="14"/>
  <c r="J59" i="14"/>
  <c r="F59" i="14"/>
  <c r="E59" i="14"/>
  <c r="H51" i="14"/>
  <c r="J51" i="14"/>
  <c r="F51" i="14"/>
  <c r="E51" i="14"/>
  <c r="C51" i="14"/>
  <c r="H43" i="14"/>
  <c r="F43" i="14"/>
  <c r="J43" i="14"/>
  <c r="C43" i="14"/>
  <c r="E43" i="14"/>
  <c r="H35" i="14"/>
  <c r="J35" i="14"/>
  <c r="E35" i="14"/>
  <c r="F35" i="14"/>
  <c r="C35" i="14"/>
  <c r="H19" i="14"/>
  <c r="J19" i="14"/>
  <c r="F19" i="14"/>
  <c r="E19" i="14"/>
  <c r="C19" i="14"/>
  <c r="H11" i="14"/>
  <c r="J11" i="14"/>
  <c r="F11" i="14"/>
  <c r="C11" i="14"/>
  <c r="E11" i="14"/>
  <c r="C415" i="14"/>
  <c r="N394" i="14"/>
  <c r="M394" i="14"/>
  <c r="L394" i="14"/>
  <c r="K394" i="14"/>
  <c r="I394" i="14"/>
  <c r="G394" i="14"/>
  <c r="C383" i="14"/>
  <c r="N362" i="14"/>
  <c r="M362" i="14"/>
  <c r="L362" i="14"/>
  <c r="K362" i="14"/>
  <c r="I362" i="14"/>
  <c r="G362" i="14"/>
  <c r="C351" i="14"/>
  <c r="N327" i="14"/>
  <c r="I327" i="14"/>
  <c r="M327" i="14"/>
  <c r="L327" i="14"/>
  <c r="K327" i="14"/>
  <c r="G327" i="14"/>
  <c r="N298" i="14"/>
  <c r="M298" i="14"/>
  <c r="L298" i="14"/>
  <c r="K298" i="14"/>
  <c r="I298" i="14"/>
  <c r="G298" i="14"/>
  <c r="N285" i="14"/>
  <c r="M285" i="14"/>
  <c r="L285" i="14"/>
  <c r="K285" i="14"/>
  <c r="I285" i="14"/>
  <c r="G285" i="14"/>
  <c r="M257" i="14"/>
  <c r="L257" i="14"/>
  <c r="K257" i="14"/>
  <c r="G257" i="14"/>
  <c r="N257" i="14"/>
  <c r="I257" i="14"/>
  <c r="N244" i="14"/>
  <c r="M244" i="14"/>
  <c r="L244" i="14"/>
  <c r="K244" i="14"/>
  <c r="G244" i="14"/>
  <c r="I244" i="14"/>
  <c r="N229" i="14"/>
  <c r="M229" i="14"/>
  <c r="L229" i="14"/>
  <c r="K229" i="14"/>
  <c r="G229" i="14"/>
  <c r="I229" i="14"/>
  <c r="N212" i="14"/>
  <c r="M212" i="14"/>
  <c r="L212" i="14"/>
  <c r="K212" i="14"/>
  <c r="I212" i="14"/>
  <c r="G212" i="14"/>
  <c r="N191" i="14"/>
  <c r="M191" i="14"/>
  <c r="L191" i="14"/>
  <c r="K191" i="14"/>
  <c r="I191" i="14"/>
  <c r="G191" i="14"/>
  <c r="M170" i="14"/>
  <c r="I170" i="14"/>
  <c r="G170" i="14"/>
  <c r="L170" i="14"/>
  <c r="K170" i="14"/>
  <c r="N149" i="14"/>
  <c r="M149" i="14"/>
  <c r="L149" i="14"/>
  <c r="K149" i="14"/>
  <c r="I149" i="14"/>
  <c r="G149" i="14"/>
  <c r="N128" i="14"/>
  <c r="M128" i="14"/>
  <c r="L128" i="14"/>
  <c r="K128" i="14"/>
  <c r="I128" i="14"/>
  <c r="G128" i="14"/>
  <c r="N108" i="14"/>
  <c r="I108" i="14"/>
  <c r="M108" i="14"/>
  <c r="G108" i="14"/>
  <c r="K108" i="14"/>
  <c r="L108" i="14"/>
  <c r="N87" i="14"/>
  <c r="M87" i="14"/>
  <c r="L87" i="14"/>
  <c r="K87" i="14"/>
  <c r="I87" i="14"/>
  <c r="G87" i="14"/>
  <c r="N66" i="14"/>
  <c r="M66" i="14"/>
  <c r="L66" i="14"/>
  <c r="K66" i="14"/>
  <c r="I66" i="14"/>
  <c r="G66" i="14"/>
  <c r="M44" i="14"/>
  <c r="I44" i="14"/>
  <c r="N44" i="14"/>
  <c r="G44" i="14"/>
  <c r="K44" i="14"/>
  <c r="L44" i="14"/>
  <c r="N23" i="14"/>
  <c r="M23" i="14"/>
  <c r="L23" i="14"/>
  <c r="K23" i="14"/>
  <c r="I23" i="14"/>
  <c r="G23" i="14"/>
  <c r="E423" i="14"/>
  <c r="E395" i="14"/>
  <c r="E347" i="14"/>
  <c r="F185" i="14"/>
  <c r="F401" i="14"/>
  <c r="E401" i="14"/>
  <c r="H401" i="14"/>
  <c r="C401" i="14"/>
  <c r="J401" i="14"/>
  <c r="J353" i="14"/>
  <c r="F353" i="14"/>
  <c r="E353" i="14"/>
  <c r="H353" i="14"/>
  <c r="C353" i="14"/>
  <c r="J313" i="14"/>
  <c r="H313" i="14"/>
  <c r="E313" i="14"/>
  <c r="C313" i="14"/>
  <c r="F313" i="14"/>
  <c r="J266" i="14"/>
  <c r="H266" i="14"/>
  <c r="F266" i="14"/>
  <c r="E266" i="14"/>
  <c r="C266" i="14"/>
  <c r="J227" i="14"/>
  <c r="E227" i="14"/>
  <c r="C227" i="14"/>
  <c r="H227" i="14"/>
  <c r="J187" i="14"/>
  <c r="H187" i="14"/>
  <c r="E187" i="14"/>
  <c r="C187" i="14"/>
  <c r="F187" i="14"/>
  <c r="J148" i="14"/>
  <c r="F148" i="14"/>
  <c r="H148" i="14"/>
  <c r="E148" i="14"/>
  <c r="C148" i="14"/>
  <c r="J124" i="14"/>
  <c r="H124" i="14"/>
  <c r="F124" i="14"/>
  <c r="E124" i="14"/>
  <c r="C124" i="14"/>
  <c r="J94" i="14"/>
  <c r="H94" i="14"/>
  <c r="F94" i="14"/>
  <c r="E94" i="14"/>
  <c r="C94" i="14"/>
  <c r="J62" i="14"/>
  <c r="H62" i="14"/>
  <c r="F62" i="14"/>
  <c r="E62" i="14"/>
  <c r="C62" i="14"/>
  <c r="J22" i="14"/>
  <c r="F22" i="14"/>
  <c r="H22" i="14"/>
  <c r="E22" i="14"/>
  <c r="C22" i="14"/>
  <c r="N419" i="14"/>
  <c r="M419" i="14"/>
  <c r="L419" i="14"/>
  <c r="K419" i="14"/>
  <c r="I419" i="14"/>
  <c r="G419" i="14"/>
  <c r="N376" i="14"/>
  <c r="K376" i="14"/>
  <c r="M376" i="14"/>
  <c r="L376" i="14"/>
  <c r="I376" i="14"/>
  <c r="G376" i="14"/>
  <c r="M318" i="14"/>
  <c r="L318" i="14"/>
  <c r="K318" i="14"/>
  <c r="N318" i="14"/>
  <c r="I318" i="14"/>
  <c r="G318" i="14"/>
  <c r="N262" i="14"/>
  <c r="M262" i="14"/>
  <c r="L262" i="14"/>
  <c r="K262" i="14"/>
  <c r="I262" i="14"/>
  <c r="G262" i="14"/>
  <c r="N220" i="14"/>
  <c r="M220" i="14"/>
  <c r="L220" i="14"/>
  <c r="K220" i="14"/>
  <c r="I220" i="14"/>
  <c r="G220" i="14"/>
  <c r="N95" i="14"/>
  <c r="M95" i="14"/>
  <c r="L95" i="14"/>
  <c r="K95" i="14"/>
  <c r="I95" i="14"/>
  <c r="G95" i="14"/>
  <c r="K234" i="14"/>
  <c r="J440" i="14"/>
  <c r="H440" i="14"/>
  <c r="F440" i="14"/>
  <c r="E440" i="14"/>
  <c r="J400" i="14"/>
  <c r="H400" i="14"/>
  <c r="F400" i="14"/>
  <c r="E400" i="14"/>
  <c r="J368" i="14"/>
  <c r="H368" i="14"/>
  <c r="F368" i="14"/>
  <c r="E368" i="14"/>
  <c r="J328" i="14"/>
  <c r="H328" i="14"/>
  <c r="F328" i="14"/>
  <c r="E328" i="14"/>
  <c r="J288" i="14"/>
  <c r="H288" i="14"/>
  <c r="E288" i="14"/>
  <c r="F288" i="14"/>
  <c r="J250" i="14"/>
  <c r="H250" i="14"/>
  <c r="E250" i="14"/>
  <c r="F250" i="14"/>
  <c r="J210" i="14"/>
  <c r="H210" i="14"/>
  <c r="E210" i="14"/>
  <c r="F210" i="14"/>
  <c r="C210" i="14"/>
  <c r="J178" i="14"/>
  <c r="H178" i="14"/>
  <c r="E178" i="14"/>
  <c r="C178" i="14"/>
  <c r="F178" i="14"/>
  <c r="J139" i="14"/>
  <c r="H139" i="14"/>
  <c r="F139" i="14"/>
  <c r="E139" i="14"/>
  <c r="C139" i="14"/>
  <c r="J116" i="14"/>
  <c r="H116" i="14"/>
  <c r="F116" i="14"/>
  <c r="E116" i="14"/>
  <c r="C116" i="14"/>
  <c r="J85" i="14"/>
  <c r="H85" i="14"/>
  <c r="F85" i="14"/>
  <c r="E85" i="14"/>
  <c r="C85" i="14"/>
  <c r="J61" i="14"/>
  <c r="H61" i="14"/>
  <c r="F61" i="14"/>
  <c r="E61" i="14"/>
  <c r="C61" i="14"/>
  <c r="J29" i="14"/>
  <c r="H29" i="14"/>
  <c r="F29" i="14"/>
  <c r="E29" i="14"/>
  <c r="C29" i="14"/>
  <c r="J5" i="14"/>
  <c r="H5" i="14"/>
  <c r="F5" i="14"/>
  <c r="E5" i="14"/>
  <c r="K407" i="14"/>
  <c r="M407" i="14"/>
  <c r="L407" i="14"/>
  <c r="N407" i="14"/>
  <c r="I407" i="14"/>
  <c r="G407" i="14"/>
  <c r="M343" i="14"/>
  <c r="L343" i="14"/>
  <c r="K343" i="14"/>
  <c r="I343" i="14"/>
  <c r="G343" i="14"/>
  <c r="N343" i="14"/>
  <c r="M302" i="14"/>
  <c r="L302" i="14"/>
  <c r="K302" i="14"/>
  <c r="I302" i="14"/>
  <c r="G302" i="14"/>
  <c r="N302" i="14"/>
  <c r="M174" i="14"/>
  <c r="J414" i="14"/>
  <c r="H414" i="14"/>
  <c r="C414" i="14"/>
  <c r="F414" i="14"/>
  <c r="E414" i="14"/>
  <c r="J382" i="14"/>
  <c r="H382" i="14"/>
  <c r="C382" i="14"/>
  <c r="F382" i="14"/>
  <c r="E382" i="14"/>
  <c r="H350" i="14"/>
  <c r="J350" i="14"/>
  <c r="C350" i="14"/>
  <c r="F350" i="14"/>
  <c r="E350" i="14"/>
  <c r="J318" i="14"/>
  <c r="F318" i="14"/>
  <c r="H318" i="14"/>
  <c r="E318" i="14"/>
  <c r="J302" i="14"/>
  <c r="F302" i="14"/>
  <c r="H302" i="14"/>
  <c r="E302" i="14"/>
  <c r="H286" i="14"/>
  <c r="J286" i="14"/>
  <c r="F286" i="14"/>
  <c r="E286" i="14"/>
  <c r="J271" i="14"/>
  <c r="H271" i="14"/>
  <c r="F271" i="14"/>
  <c r="E271" i="14"/>
  <c r="J256" i="14"/>
  <c r="F256" i="14"/>
  <c r="E256" i="14"/>
  <c r="J240" i="14"/>
  <c r="F240" i="14"/>
  <c r="E240" i="14"/>
  <c r="H240" i="14"/>
  <c r="H232" i="14"/>
  <c r="F232" i="14"/>
  <c r="J232" i="14"/>
  <c r="C232" i="14"/>
  <c r="E232" i="14"/>
  <c r="H216" i="14"/>
  <c r="J216" i="14"/>
  <c r="F216" i="14"/>
  <c r="E216" i="14"/>
  <c r="H169" i="14"/>
  <c r="F169" i="14"/>
  <c r="C169" i="14"/>
  <c r="E169" i="14"/>
  <c r="H145" i="14"/>
  <c r="J145" i="14"/>
  <c r="F145" i="14"/>
  <c r="E145" i="14"/>
  <c r="C145" i="14"/>
  <c r="H129" i="14"/>
  <c r="J129" i="14"/>
  <c r="F129" i="14"/>
  <c r="E129" i="14"/>
  <c r="C129" i="14"/>
  <c r="H114" i="14"/>
  <c r="J114" i="14"/>
  <c r="F114" i="14"/>
  <c r="E114" i="14"/>
  <c r="C114" i="14"/>
  <c r="H27" i="14"/>
  <c r="J27" i="14"/>
  <c r="F27" i="14"/>
  <c r="E27" i="14"/>
  <c r="J2" i="14"/>
  <c r="H2" i="14"/>
  <c r="F2" i="14"/>
  <c r="H437" i="14"/>
  <c r="J437" i="14"/>
  <c r="F437" i="14"/>
  <c r="H429" i="14"/>
  <c r="J429" i="14"/>
  <c r="F429" i="14"/>
  <c r="E429" i="14"/>
  <c r="H421" i="14"/>
  <c r="J421" i="14"/>
  <c r="F421" i="14"/>
  <c r="J413" i="14"/>
  <c r="H413" i="14"/>
  <c r="F413" i="14"/>
  <c r="H405" i="14"/>
  <c r="J405" i="14"/>
  <c r="F405" i="14"/>
  <c r="H397" i="14"/>
  <c r="J397" i="14"/>
  <c r="F397" i="14"/>
  <c r="E397" i="14"/>
  <c r="H389" i="14"/>
  <c r="J389" i="14"/>
  <c r="F389" i="14"/>
  <c r="J381" i="14"/>
  <c r="H381" i="14"/>
  <c r="F381" i="14"/>
  <c r="E381" i="14"/>
  <c r="H373" i="14"/>
  <c r="J373" i="14"/>
  <c r="F373" i="14"/>
  <c r="H365" i="14"/>
  <c r="J365" i="14"/>
  <c r="F365" i="14"/>
  <c r="E365" i="14"/>
  <c r="H357" i="14"/>
  <c r="J357" i="14"/>
  <c r="F357" i="14"/>
  <c r="E357" i="14"/>
  <c r="H349" i="14"/>
  <c r="J349" i="14"/>
  <c r="F349" i="14"/>
  <c r="E349" i="14"/>
  <c r="H341" i="14"/>
  <c r="J341" i="14"/>
  <c r="F341" i="14"/>
  <c r="E341" i="14"/>
  <c r="H333" i="14"/>
  <c r="J333" i="14"/>
  <c r="F333" i="14"/>
  <c r="E333" i="14"/>
  <c r="C333" i="14"/>
  <c r="H325" i="14"/>
  <c r="J325" i="14"/>
  <c r="E325" i="14"/>
  <c r="F325" i="14"/>
  <c r="H317" i="14"/>
  <c r="J317" i="14"/>
  <c r="F317" i="14"/>
  <c r="E317" i="14"/>
  <c r="H309" i="14"/>
  <c r="J309" i="14"/>
  <c r="F309" i="14"/>
  <c r="E309" i="14"/>
  <c r="H301" i="14"/>
  <c r="J301" i="14"/>
  <c r="F301" i="14"/>
  <c r="E301" i="14"/>
  <c r="C301" i="14"/>
  <c r="H293" i="14"/>
  <c r="J293" i="14"/>
  <c r="F293" i="14"/>
  <c r="E293" i="14"/>
  <c r="H285" i="14"/>
  <c r="J285" i="14"/>
  <c r="F285" i="14"/>
  <c r="E285" i="14"/>
  <c r="H277" i="14"/>
  <c r="J277" i="14"/>
  <c r="F277" i="14"/>
  <c r="E277" i="14"/>
  <c r="H270" i="14"/>
  <c r="J270" i="14"/>
  <c r="F270" i="14"/>
  <c r="E270" i="14"/>
  <c r="C270" i="14"/>
  <c r="H262" i="14"/>
  <c r="J262" i="14"/>
  <c r="E262" i="14"/>
  <c r="F262" i="14"/>
  <c r="H255" i="14"/>
  <c r="J255" i="14"/>
  <c r="F255" i="14"/>
  <c r="E255" i="14"/>
  <c r="H247" i="14"/>
  <c r="J247" i="14"/>
  <c r="F247" i="14"/>
  <c r="E247" i="14"/>
  <c r="H239" i="14"/>
  <c r="J239" i="14"/>
  <c r="F239" i="14"/>
  <c r="E239" i="14"/>
  <c r="C239" i="14"/>
  <c r="H231" i="14"/>
  <c r="J231" i="14"/>
  <c r="F231" i="14"/>
  <c r="E231" i="14"/>
  <c r="H223" i="14"/>
  <c r="J223" i="14"/>
  <c r="F223" i="14"/>
  <c r="E223" i="14"/>
  <c r="H215" i="14"/>
  <c r="J215" i="14"/>
  <c r="F215" i="14"/>
  <c r="E215" i="14"/>
  <c r="H207" i="14"/>
  <c r="J207" i="14"/>
  <c r="F207" i="14"/>
  <c r="E207" i="14"/>
  <c r="C207" i="14"/>
  <c r="H199" i="14"/>
  <c r="J199" i="14"/>
  <c r="E199" i="14"/>
  <c r="F199" i="14"/>
  <c r="H191" i="14"/>
  <c r="J191" i="14"/>
  <c r="F191" i="14"/>
  <c r="E191" i="14"/>
  <c r="H183" i="14"/>
  <c r="J183" i="14"/>
  <c r="F183" i="14"/>
  <c r="E183" i="14"/>
  <c r="H176" i="14"/>
  <c r="J176" i="14"/>
  <c r="F176" i="14"/>
  <c r="E176" i="14"/>
  <c r="C176" i="14"/>
  <c r="H168" i="14"/>
  <c r="F168" i="14"/>
  <c r="E168" i="14"/>
  <c r="J168" i="14"/>
  <c r="H160" i="14"/>
  <c r="J160" i="14"/>
  <c r="F160" i="14"/>
  <c r="E160" i="14"/>
  <c r="H152" i="14"/>
  <c r="J152" i="14"/>
  <c r="E152" i="14"/>
  <c r="H144" i="14"/>
  <c r="J144" i="14"/>
  <c r="E144" i="14"/>
  <c r="C144" i="14"/>
  <c r="F144" i="14"/>
  <c r="H136" i="14"/>
  <c r="F136" i="14"/>
  <c r="J136" i="14"/>
  <c r="E136" i="14"/>
  <c r="H128" i="14"/>
  <c r="J128" i="14"/>
  <c r="F128" i="14"/>
  <c r="E128" i="14"/>
  <c r="H121" i="14"/>
  <c r="J121" i="14"/>
  <c r="F121" i="14"/>
  <c r="E121" i="14"/>
  <c r="H113" i="14"/>
  <c r="J113" i="14"/>
  <c r="F113" i="14"/>
  <c r="E113" i="14"/>
  <c r="C113" i="14"/>
  <c r="H106" i="14"/>
  <c r="F106" i="14"/>
  <c r="J106" i="14"/>
  <c r="E106" i="14"/>
  <c r="H98" i="14"/>
  <c r="J98" i="14"/>
  <c r="E98" i="14"/>
  <c r="H90" i="14"/>
  <c r="J90" i="14"/>
  <c r="F90" i="14"/>
  <c r="E90" i="14"/>
  <c r="H82" i="14"/>
  <c r="J82" i="14"/>
  <c r="E82" i="14"/>
  <c r="C82" i="14"/>
  <c r="F82" i="14"/>
  <c r="H74" i="14"/>
  <c r="F74" i="14"/>
  <c r="J74" i="14"/>
  <c r="E74" i="14"/>
  <c r="H66" i="14"/>
  <c r="J66" i="14"/>
  <c r="E66" i="14"/>
  <c r="F66" i="14"/>
  <c r="H58" i="14"/>
  <c r="J58" i="14"/>
  <c r="F58" i="14"/>
  <c r="E58" i="14"/>
  <c r="H50" i="14"/>
  <c r="J50" i="14"/>
  <c r="F50" i="14"/>
  <c r="E50" i="14"/>
  <c r="C50" i="14"/>
  <c r="H42" i="14"/>
  <c r="J42" i="14"/>
  <c r="F42" i="14"/>
  <c r="E42" i="14"/>
  <c r="H34" i="14"/>
  <c r="J34" i="14"/>
  <c r="E34" i="14"/>
  <c r="F34" i="14"/>
  <c r="H26" i="14"/>
  <c r="J26" i="14"/>
  <c r="F26" i="14"/>
  <c r="E26" i="14"/>
  <c r="H18" i="14"/>
  <c r="J18" i="14"/>
  <c r="F18" i="14"/>
  <c r="E18" i="14"/>
  <c r="C18" i="14"/>
  <c r="H10" i="14"/>
  <c r="F10" i="14"/>
  <c r="J10" i="14"/>
  <c r="E10" i="14"/>
  <c r="C2" i="14"/>
  <c r="C413" i="14"/>
  <c r="C392" i="14"/>
  <c r="C381" i="14"/>
  <c r="C349" i="14"/>
  <c r="C325" i="14"/>
  <c r="C310" i="14"/>
  <c r="C268" i="14"/>
  <c r="C256" i="14"/>
  <c r="C241" i="14"/>
  <c r="C209" i="14"/>
  <c r="C168" i="14"/>
  <c r="C146" i="14"/>
  <c r="C106" i="14"/>
  <c r="C84" i="14"/>
  <c r="C42" i="14"/>
  <c r="C20" i="14"/>
  <c r="E421" i="14"/>
  <c r="E391" i="14"/>
  <c r="E343" i="14"/>
  <c r="E279" i="14"/>
  <c r="E217" i="14"/>
  <c r="E154" i="14"/>
  <c r="E92" i="14"/>
  <c r="E28" i="14"/>
  <c r="F407" i="14"/>
  <c r="F343" i="14"/>
  <c r="F264" i="14"/>
  <c r="F179" i="14"/>
  <c r="J433" i="14"/>
  <c r="H433" i="14"/>
  <c r="F433" i="14"/>
  <c r="E433" i="14"/>
  <c r="C433" i="14"/>
  <c r="J369" i="14"/>
  <c r="F369" i="14"/>
  <c r="E369" i="14"/>
  <c r="C369" i="14"/>
  <c r="J305" i="14"/>
  <c r="E305" i="14"/>
  <c r="C305" i="14"/>
  <c r="H305" i="14"/>
  <c r="J219" i="14"/>
  <c r="H219" i="14"/>
  <c r="E219" i="14"/>
  <c r="C219" i="14"/>
  <c r="F219" i="14"/>
  <c r="J78" i="14"/>
  <c r="H78" i="14"/>
  <c r="F78" i="14"/>
  <c r="E78" i="14"/>
  <c r="C78" i="14"/>
  <c r="N115" i="14"/>
  <c r="M115" i="14"/>
  <c r="L115" i="14"/>
  <c r="K115" i="14"/>
  <c r="G115" i="14"/>
  <c r="I115" i="14"/>
  <c r="J312" i="14"/>
  <c r="H312" i="14"/>
  <c r="E312" i="14"/>
  <c r="F312" i="14"/>
  <c r="N428" i="14"/>
  <c r="M428" i="14"/>
  <c r="L428" i="14"/>
  <c r="K428" i="14"/>
  <c r="I428" i="14"/>
  <c r="G428" i="14"/>
  <c r="H438" i="14"/>
  <c r="J438" i="14"/>
  <c r="C438" i="14"/>
  <c r="F438" i="14"/>
  <c r="J366" i="14"/>
  <c r="H366" i="14"/>
  <c r="C366" i="14"/>
  <c r="F366" i="14"/>
  <c r="E366" i="14"/>
  <c r="H200" i="14"/>
  <c r="F200" i="14"/>
  <c r="J200" i="14"/>
  <c r="C200" i="14"/>
  <c r="E200" i="14"/>
  <c r="H444" i="14"/>
  <c r="J444" i="14"/>
  <c r="F444" i="14"/>
  <c r="E444" i="14"/>
  <c r="J436" i="14"/>
  <c r="H436" i="14"/>
  <c r="F436" i="14"/>
  <c r="E436" i="14"/>
  <c r="H412" i="14"/>
  <c r="J412" i="14"/>
  <c r="F412" i="14"/>
  <c r="E412" i="14"/>
  <c r="J404" i="14"/>
  <c r="H404" i="14"/>
  <c r="F404" i="14"/>
  <c r="E404" i="14"/>
  <c r="J396" i="14"/>
  <c r="H396" i="14"/>
  <c r="F396" i="14"/>
  <c r="E396" i="14"/>
  <c r="J388" i="14"/>
  <c r="F388" i="14"/>
  <c r="E388" i="14"/>
  <c r="H380" i="14"/>
  <c r="J380" i="14"/>
  <c r="F380" i="14"/>
  <c r="E380" i="14"/>
  <c r="J372" i="14"/>
  <c r="H372" i="14"/>
  <c r="F372" i="14"/>
  <c r="E372" i="14"/>
  <c r="H364" i="14"/>
  <c r="J364" i="14"/>
  <c r="F364" i="14"/>
  <c r="E364" i="14"/>
  <c r="H356" i="14"/>
  <c r="J356" i="14"/>
  <c r="F356" i="14"/>
  <c r="E356" i="14"/>
  <c r="H348" i="14"/>
  <c r="J348" i="14"/>
  <c r="F348" i="14"/>
  <c r="E348" i="14"/>
  <c r="H340" i="14"/>
  <c r="J340" i="14"/>
  <c r="F340" i="14"/>
  <c r="E340" i="14"/>
  <c r="H332" i="14"/>
  <c r="J332" i="14"/>
  <c r="F332" i="14"/>
  <c r="E332" i="14"/>
  <c r="C332" i="14"/>
  <c r="H324" i="14"/>
  <c r="E324" i="14"/>
  <c r="C324" i="14"/>
  <c r="J324" i="14"/>
  <c r="F324" i="14"/>
  <c r="H316" i="14"/>
  <c r="J316" i="14"/>
  <c r="E316" i="14"/>
  <c r="C316" i="14"/>
  <c r="F316" i="14"/>
  <c r="H308" i="14"/>
  <c r="J308" i="14"/>
  <c r="F308" i="14"/>
  <c r="E308" i="14"/>
  <c r="C308" i="14"/>
  <c r="H300" i="14"/>
  <c r="J300" i="14"/>
  <c r="E300" i="14"/>
  <c r="C300" i="14"/>
  <c r="F300" i="14"/>
  <c r="H292" i="14"/>
  <c r="J292" i="14"/>
  <c r="E292" i="14"/>
  <c r="C292" i="14"/>
  <c r="F292" i="14"/>
  <c r="H284" i="14"/>
  <c r="J284" i="14"/>
  <c r="E284" i="14"/>
  <c r="C284" i="14"/>
  <c r="H276" i="14"/>
  <c r="J276" i="14"/>
  <c r="F276" i="14"/>
  <c r="E276" i="14"/>
  <c r="C276" i="14"/>
  <c r="H269" i="14"/>
  <c r="J269" i="14"/>
  <c r="E269" i="14"/>
  <c r="C269" i="14"/>
  <c r="H261" i="14"/>
  <c r="E261" i="14"/>
  <c r="C261" i="14"/>
  <c r="F261" i="14"/>
  <c r="H254" i="14"/>
  <c r="J254" i="14"/>
  <c r="E254" i="14"/>
  <c r="C254" i="14"/>
  <c r="F254" i="14"/>
  <c r="H246" i="14"/>
  <c r="J246" i="14"/>
  <c r="F246" i="14"/>
  <c r="E246" i="14"/>
  <c r="C246" i="14"/>
  <c r="H238" i="14"/>
  <c r="J238" i="14"/>
  <c r="E238" i="14"/>
  <c r="C238" i="14"/>
  <c r="F238" i="14"/>
  <c r="H230" i="14"/>
  <c r="J230" i="14"/>
  <c r="E230" i="14"/>
  <c r="C230" i="14"/>
  <c r="F230" i="14"/>
  <c r="H222" i="14"/>
  <c r="J222" i="14"/>
  <c r="E222" i="14"/>
  <c r="C222" i="14"/>
  <c r="H214" i="14"/>
  <c r="J214" i="14"/>
  <c r="F214" i="14"/>
  <c r="E214" i="14"/>
  <c r="C214" i="14"/>
  <c r="H206" i="14"/>
  <c r="J206" i="14"/>
  <c r="E206" i="14"/>
  <c r="C206" i="14"/>
  <c r="H198" i="14"/>
  <c r="J198" i="14"/>
  <c r="E198" i="14"/>
  <c r="C198" i="14"/>
  <c r="F198" i="14"/>
  <c r="H190" i="14"/>
  <c r="J190" i="14"/>
  <c r="E190" i="14"/>
  <c r="C190" i="14"/>
  <c r="F190" i="14"/>
  <c r="H182" i="14"/>
  <c r="J182" i="14"/>
  <c r="F182" i="14"/>
  <c r="E182" i="14"/>
  <c r="C182" i="14"/>
  <c r="H175" i="14"/>
  <c r="J175" i="14"/>
  <c r="E175" i="14"/>
  <c r="C175" i="14"/>
  <c r="F175" i="14"/>
  <c r="H167" i="14"/>
  <c r="F167" i="14"/>
  <c r="J167" i="14"/>
  <c r="E167" i="14"/>
  <c r="C167" i="14"/>
  <c r="H159" i="14"/>
  <c r="J159" i="14"/>
  <c r="F159" i="14"/>
  <c r="E159" i="14"/>
  <c r="C159" i="14"/>
  <c r="H151" i="14"/>
  <c r="J151" i="14"/>
  <c r="F151" i="14"/>
  <c r="E151" i="14"/>
  <c r="C151" i="14"/>
  <c r="H143" i="14"/>
  <c r="J143" i="14"/>
  <c r="F143" i="14"/>
  <c r="E143" i="14"/>
  <c r="C143" i="14"/>
  <c r="H135" i="14"/>
  <c r="F135" i="14"/>
  <c r="J135" i="14"/>
  <c r="E135" i="14"/>
  <c r="C135" i="14"/>
  <c r="H127" i="14"/>
  <c r="J127" i="14"/>
  <c r="F127" i="14"/>
  <c r="E127" i="14"/>
  <c r="C127" i="14"/>
  <c r="H120" i="14"/>
  <c r="J120" i="14"/>
  <c r="F120" i="14"/>
  <c r="E120" i="14"/>
  <c r="C120" i="14"/>
  <c r="H112" i="14"/>
  <c r="J112" i="14"/>
  <c r="F112" i="14"/>
  <c r="E112" i="14"/>
  <c r="C112" i="14"/>
  <c r="H105" i="14"/>
  <c r="F105" i="14"/>
  <c r="J105" i="14"/>
  <c r="E105" i="14"/>
  <c r="C105" i="14"/>
  <c r="H97" i="14"/>
  <c r="J97" i="14"/>
  <c r="F97" i="14"/>
  <c r="E97" i="14"/>
  <c r="C97" i="14"/>
  <c r="H89" i="14"/>
  <c r="J89" i="14"/>
  <c r="F89" i="14"/>
  <c r="E89" i="14"/>
  <c r="C89" i="14"/>
  <c r="H81" i="14"/>
  <c r="J81" i="14"/>
  <c r="F81" i="14"/>
  <c r="E81" i="14"/>
  <c r="C81" i="14"/>
  <c r="H73" i="14"/>
  <c r="F73" i="14"/>
  <c r="J73" i="14"/>
  <c r="E73" i="14"/>
  <c r="C73" i="14"/>
  <c r="H65" i="14"/>
  <c r="J65" i="14"/>
  <c r="F65" i="14"/>
  <c r="E65" i="14"/>
  <c r="C65" i="14"/>
  <c r="H57" i="14"/>
  <c r="J57" i="14"/>
  <c r="F57" i="14"/>
  <c r="E57" i="14"/>
  <c r="C57" i="14"/>
  <c r="H49" i="14"/>
  <c r="J49" i="14"/>
  <c r="F49" i="14"/>
  <c r="E49" i="14"/>
  <c r="C49" i="14"/>
  <c r="H41" i="14"/>
  <c r="F41" i="14"/>
  <c r="J41" i="14"/>
  <c r="E41" i="14"/>
  <c r="C41" i="14"/>
  <c r="H33" i="14"/>
  <c r="J33" i="14"/>
  <c r="F33" i="14"/>
  <c r="E33" i="14"/>
  <c r="C33" i="14"/>
  <c r="H25" i="14"/>
  <c r="J25" i="14"/>
  <c r="F25" i="14"/>
  <c r="E25" i="14"/>
  <c r="C25" i="14"/>
  <c r="H17" i="14"/>
  <c r="J17" i="14"/>
  <c r="F17" i="14"/>
  <c r="E17" i="14"/>
  <c r="C17" i="14"/>
  <c r="H9" i="14"/>
  <c r="F9" i="14"/>
  <c r="J9" i="14"/>
  <c r="E9" i="14"/>
  <c r="C9" i="14"/>
  <c r="C444" i="14"/>
  <c r="C423" i="14"/>
  <c r="C412" i="14"/>
  <c r="C391" i="14"/>
  <c r="C380" i="14"/>
  <c r="C359" i="14"/>
  <c r="C348" i="14"/>
  <c r="C309" i="14"/>
  <c r="C295" i="14"/>
  <c r="C255" i="14"/>
  <c r="C240" i="14"/>
  <c r="C225" i="14"/>
  <c r="C205" i="14"/>
  <c r="C184" i="14"/>
  <c r="C163" i="14"/>
  <c r="C142" i="14"/>
  <c r="C122" i="14"/>
  <c r="C101" i="14"/>
  <c r="C80" i="14"/>
  <c r="C59" i="14"/>
  <c r="C37" i="14"/>
  <c r="C16" i="14"/>
  <c r="E438" i="14"/>
  <c r="E416" i="14"/>
  <c r="E389" i="14"/>
  <c r="E331" i="14"/>
  <c r="F249" i="14"/>
  <c r="F161" i="14"/>
  <c r="H38" i="14"/>
  <c r="J261" i="14"/>
  <c r="H417" i="14"/>
  <c r="J417" i="14"/>
  <c r="F417" i="14"/>
  <c r="E417" i="14"/>
  <c r="C417" i="14"/>
  <c r="J377" i="14"/>
  <c r="H377" i="14"/>
  <c r="F377" i="14"/>
  <c r="E377" i="14"/>
  <c r="C377" i="14"/>
  <c r="J329" i="14"/>
  <c r="H329" i="14"/>
  <c r="F329" i="14"/>
  <c r="E329" i="14"/>
  <c r="C329" i="14"/>
  <c r="J281" i="14"/>
  <c r="H281" i="14"/>
  <c r="E281" i="14"/>
  <c r="C281" i="14"/>
  <c r="F281" i="14"/>
  <c r="J251" i="14"/>
  <c r="H251" i="14"/>
  <c r="E251" i="14"/>
  <c r="C251" i="14"/>
  <c r="F251" i="14"/>
  <c r="J203" i="14"/>
  <c r="H203" i="14"/>
  <c r="F203" i="14"/>
  <c r="E203" i="14"/>
  <c r="C203" i="14"/>
  <c r="J172" i="14"/>
  <c r="H172" i="14"/>
  <c r="F172" i="14"/>
  <c r="E172" i="14"/>
  <c r="C172" i="14"/>
  <c r="J132" i="14"/>
  <c r="F132" i="14"/>
  <c r="E132" i="14"/>
  <c r="C132" i="14"/>
  <c r="H132" i="14"/>
  <c r="J109" i="14"/>
  <c r="H109" i="14"/>
  <c r="F109" i="14"/>
  <c r="E109" i="14"/>
  <c r="C109" i="14"/>
  <c r="J70" i="14"/>
  <c r="F70" i="14"/>
  <c r="H70" i="14"/>
  <c r="E70" i="14"/>
  <c r="C70" i="14"/>
  <c r="J30" i="14"/>
  <c r="H30" i="14"/>
  <c r="F30" i="14"/>
  <c r="E30" i="14"/>
  <c r="C30" i="14"/>
  <c r="N429" i="14"/>
  <c r="M429" i="14"/>
  <c r="L429" i="14"/>
  <c r="K429" i="14"/>
  <c r="I429" i="14"/>
  <c r="G429" i="14"/>
  <c r="N387" i="14"/>
  <c r="M387" i="14"/>
  <c r="L387" i="14"/>
  <c r="K387" i="14"/>
  <c r="G387" i="14"/>
  <c r="I387" i="14"/>
  <c r="N344" i="14"/>
  <c r="M344" i="14"/>
  <c r="L344" i="14"/>
  <c r="K344" i="14"/>
  <c r="I344" i="14"/>
  <c r="G344" i="14"/>
  <c r="N303" i="14"/>
  <c r="M303" i="14"/>
  <c r="L303" i="14"/>
  <c r="K303" i="14"/>
  <c r="G303" i="14"/>
  <c r="I303" i="14"/>
  <c r="N248" i="14"/>
  <c r="M248" i="14"/>
  <c r="L248" i="14"/>
  <c r="K248" i="14"/>
  <c r="I248" i="14"/>
  <c r="G248" i="14"/>
  <c r="N157" i="14"/>
  <c r="M157" i="14"/>
  <c r="L157" i="14"/>
  <c r="K157" i="14"/>
  <c r="I157" i="14"/>
  <c r="G157" i="14"/>
  <c r="N52" i="14"/>
  <c r="M52" i="14"/>
  <c r="L52" i="14"/>
  <c r="K52" i="14"/>
  <c r="G52" i="14"/>
  <c r="I52" i="14"/>
  <c r="N10" i="14"/>
  <c r="M10" i="14"/>
  <c r="L10" i="14"/>
  <c r="K10" i="14"/>
  <c r="I10" i="14"/>
  <c r="G10" i="14"/>
  <c r="F305" i="14"/>
  <c r="J424" i="14"/>
  <c r="H424" i="14"/>
  <c r="F424" i="14"/>
  <c r="E424" i="14"/>
  <c r="J384" i="14"/>
  <c r="H384" i="14"/>
  <c r="F384" i="14"/>
  <c r="E384" i="14"/>
  <c r="J344" i="14"/>
  <c r="H344" i="14"/>
  <c r="F344" i="14"/>
  <c r="E344" i="14"/>
  <c r="J296" i="14"/>
  <c r="H296" i="14"/>
  <c r="F296" i="14"/>
  <c r="E296" i="14"/>
  <c r="J258" i="14"/>
  <c r="H258" i="14"/>
  <c r="E258" i="14"/>
  <c r="F258" i="14"/>
  <c r="J226" i="14"/>
  <c r="H226" i="14"/>
  <c r="E226" i="14"/>
  <c r="F226" i="14"/>
  <c r="J186" i="14"/>
  <c r="H186" i="14"/>
  <c r="E186" i="14"/>
  <c r="F186" i="14"/>
  <c r="C186" i="14"/>
  <c r="J155" i="14"/>
  <c r="H155" i="14"/>
  <c r="F155" i="14"/>
  <c r="E155" i="14"/>
  <c r="C155" i="14"/>
  <c r="J93" i="14"/>
  <c r="H93" i="14"/>
  <c r="F93" i="14"/>
  <c r="E93" i="14"/>
  <c r="C93" i="14"/>
  <c r="N247" i="14"/>
  <c r="M247" i="14"/>
  <c r="L247" i="14"/>
  <c r="K247" i="14"/>
  <c r="I247" i="14"/>
  <c r="G247" i="14"/>
  <c r="J430" i="14"/>
  <c r="H430" i="14"/>
  <c r="C430" i="14"/>
  <c r="F430" i="14"/>
  <c r="E430" i="14"/>
  <c r="J390" i="14"/>
  <c r="H390" i="14"/>
  <c r="C390" i="14"/>
  <c r="F390" i="14"/>
  <c r="E390" i="14"/>
  <c r="J334" i="14"/>
  <c r="H334" i="14"/>
  <c r="F334" i="14"/>
  <c r="E334" i="14"/>
  <c r="H192" i="14"/>
  <c r="J192" i="14"/>
  <c r="F192" i="14"/>
  <c r="E192" i="14"/>
  <c r="C192" i="14"/>
  <c r="H420" i="14"/>
  <c r="F420" i="14"/>
  <c r="E420" i="14"/>
  <c r="J443" i="14"/>
  <c r="E443" i="14"/>
  <c r="H443" i="14"/>
  <c r="J435" i="14"/>
  <c r="H435" i="14"/>
  <c r="F435" i="14"/>
  <c r="E435" i="14"/>
  <c r="J427" i="14"/>
  <c r="H427" i="14"/>
  <c r="J419" i="14"/>
  <c r="H419" i="14"/>
  <c r="E419" i="14"/>
  <c r="F419" i="14"/>
  <c r="J411" i="14"/>
  <c r="H411" i="14"/>
  <c r="E411" i="14"/>
  <c r="J403" i="14"/>
  <c r="H403" i="14"/>
  <c r="F403" i="14"/>
  <c r="E403" i="14"/>
  <c r="J395" i="14"/>
  <c r="H395" i="14"/>
  <c r="J387" i="14"/>
  <c r="H387" i="14"/>
  <c r="F387" i="14"/>
  <c r="E387" i="14"/>
  <c r="J379" i="14"/>
  <c r="H379" i="14"/>
  <c r="J371" i="14"/>
  <c r="H371" i="14"/>
  <c r="F371" i="14"/>
  <c r="E371" i="14"/>
  <c r="J363" i="14"/>
  <c r="H363" i="14"/>
  <c r="J355" i="14"/>
  <c r="F355" i="14"/>
  <c r="E355" i="14"/>
  <c r="H355" i="14"/>
  <c r="J347" i="14"/>
  <c r="H347" i="14"/>
  <c r="J339" i="14"/>
  <c r="H339" i="14"/>
  <c r="F339" i="14"/>
  <c r="E339" i="14"/>
  <c r="J331" i="14"/>
  <c r="H331" i="14"/>
  <c r="J323" i="14"/>
  <c r="H323" i="14"/>
  <c r="F323" i="14"/>
  <c r="E323" i="14"/>
  <c r="J315" i="14"/>
  <c r="F315" i="14"/>
  <c r="H315" i="14"/>
  <c r="C315" i="14"/>
  <c r="J307" i="14"/>
  <c r="H307" i="14"/>
  <c r="F307" i="14"/>
  <c r="E307" i="14"/>
  <c r="J299" i="14"/>
  <c r="H299" i="14"/>
  <c r="F299" i="14"/>
  <c r="J291" i="14"/>
  <c r="H291" i="14"/>
  <c r="F291" i="14"/>
  <c r="E291" i="14"/>
  <c r="J283" i="14"/>
  <c r="H283" i="14"/>
  <c r="C283" i="14"/>
  <c r="F283" i="14"/>
  <c r="J268" i="14"/>
  <c r="H268" i="14"/>
  <c r="F268" i="14"/>
  <c r="J253" i="14"/>
  <c r="F253" i="14"/>
  <c r="C253" i="14"/>
  <c r="H253" i="14"/>
  <c r="J245" i="14"/>
  <c r="H245" i="14"/>
  <c r="F245" i="14"/>
  <c r="E245" i="14"/>
  <c r="J237" i="14"/>
  <c r="H237" i="14"/>
  <c r="F237" i="14"/>
  <c r="J229" i="14"/>
  <c r="H229" i="14"/>
  <c r="F229" i="14"/>
  <c r="E229" i="14"/>
  <c r="J221" i="14"/>
  <c r="H221" i="14"/>
  <c r="C221" i="14"/>
  <c r="F221" i="14"/>
  <c r="J213" i="14"/>
  <c r="F213" i="14"/>
  <c r="H213" i="14"/>
  <c r="E213" i="14"/>
  <c r="C213" i="14"/>
  <c r="J205" i="14"/>
  <c r="H205" i="14"/>
  <c r="F205" i="14"/>
  <c r="J197" i="14"/>
  <c r="F197" i="14"/>
  <c r="C197" i="14"/>
  <c r="H197" i="14"/>
  <c r="E197" i="14"/>
  <c r="J189" i="14"/>
  <c r="H189" i="14"/>
  <c r="F189" i="14"/>
  <c r="C189" i="14"/>
  <c r="J181" i="14"/>
  <c r="H181" i="14"/>
  <c r="F181" i="14"/>
  <c r="E181" i="14"/>
  <c r="C181" i="14"/>
  <c r="J174" i="14"/>
  <c r="H174" i="14"/>
  <c r="F174" i="14"/>
  <c r="J166" i="14"/>
  <c r="F166" i="14"/>
  <c r="C166" i="14"/>
  <c r="E166" i="14"/>
  <c r="J158" i="14"/>
  <c r="H158" i="14"/>
  <c r="F158" i="14"/>
  <c r="C158" i="14"/>
  <c r="J150" i="14"/>
  <c r="F150" i="14"/>
  <c r="H150" i="14"/>
  <c r="E150" i="14"/>
  <c r="C150" i="14"/>
  <c r="J142" i="14"/>
  <c r="H142" i="14"/>
  <c r="F142" i="14"/>
  <c r="J134" i="14"/>
  <c r="F134" i="14"/>
  <c r="H134" i="14"/>
  <c r="C134" i="14"/>
  <c r="E134" i="14"/>
  <c r="J126" i="14"/>
  <c r="H126" i="14"/>
  <c r="F126" i="14"/>
  <c r="C126" i="14"/>
  <c r="J119" i="14"/>
  <c r="F119" i="14"/>
  <c r="H119" i="14"/>
  <c r="E119" i="14"/>
  <c r="C119" i="14"/>
  <c r="J111" i="14"/>
  <c r="H111" i="14"/>
  <c r="F111" i="14"/>
  <c r="J104" i="14"/>
  <c r="F104" i="14"/>
  <c r="H104" i="14"/>
  <c r="C104" i="14"/>
  <c r="E104" i="14"/>
  <c r="J96" i="14"/>
  <c r="H96" i="14"/>
  <c r="F96" i="14"/>
  <c r="C96" i="14"/>
  <c r="J88" i="14"/>
  <c r="F88" i="14"/>
  <c r="H88" i="14"/>
  <c r="E88" i="14"/>
  <c r="C88" i="14"/>
  <c r="J80" i="14"/>
  <c r="H80" i="14"/>
  <c r="F80" i="14"/>
  <c r="J72" i="14"/>
  <c r="F72" i="14"/>
  <c r="H72" i="14"/>
  <c r="C72" i="14"/>
  <c r="E72" i="14"/>
  <c r="J64" i="14"/>
  <c r="H64" i="14"/>
  <c r="F64" i="14"/>
  <c r="C64" i="14"/>
  <c r="J56" i="14"/>
  <c r="F56" i="14"/>
  <c r="H56" i="14"/>
  <c r="E56" i="14"/>
  <c r="C56" i="14"/>
  <c r="J48" i="14"/>
  <c r="H48" i="14"/>
  <c r="F48" i="14"/>
  <c r="J40" i="14"/>
  <c r="F40" i="14"/>
  <c r="H40" i="14"/>
  <c r="C40" i="14"/>
  <c r="E40" i="14"/>
  <c r="J32" i="14"/>
  <c r="H32" i="14"/>
  <c r="F32" i="14"/>
  <c r="C32" i="14"/>
  <c r="J24" i="14"/>
  <c r="F24" i="14"/>
  <c r="H24" i="14"/>
  <c r="E24" i="14"/>
  <c r="C24" i="14"/>
  <c r="J16" i="14"/>
  <c r="H16" i="14"/>
  <c r="F16" i="14"/>
  <c r="J8" i="14"/>
  <c r="F8" i="14"/>
  <c r="H8" i="14"/>
  <c r="C8" i="14"/>
  <c r="E8" i="14"/>
  <c r="C443" i="14"/>
  <c r="C432" i="14"/>
  <c r="C421" i="14"/>
  <c r="C411" i="14"/>
  <c r="C400" i="14"/>
  <c r="C389" i="14"/>
  <c r="C379" i="14"/>
  <c r="C368" i="14"/>
  <c r="C357" i="14"/>
  <c r="C347" i="14"/>
  <c r="C335" i="14"/>
  <c r="C307" i="14"/>
  <c r="C293" i="14"/>
  <c r="C278" i="14"/>
  <c r="C265" i="14"/>
  <c r="C237" i="14"/>
  <c r="C224" i="14"/>
  <c r="C183" i="14"/>
  <c r="C162" i="14"/>
  <c r="C121" i="14"/>
  <c r="C100" i="14"/>
  <c r="C58" i="14"/>
  <c r="C36" i="14"/>
  <c r="E437" i="14"/>
  <c r="E415" i="14"/>
  <c r="E379" i="14"/>
  <c r="E327" i="14"/>
  <c r="E264" i="14"/>
  <c r="E201" i="14"/>
  <c r="E138" i="14"/>
  <c r="E76" i="14"/>
  <c r="E12" i="14"/>
  <c r="F391" i="14"/>
  <c r="F327" i="14"/>
  <c r="F243" i="14"/>
  <c r="F152" i="14"/>
  <c r="J169" i="14"/>
  <c r="J409" i="14"/>
  <c r="H409" i="14"/>
  <c r="F409" i="14"/>
  <c r="E409" i="14"/>
  <c r="C409" i="14"/>
  <c r="J361" i="14"/>
  <c r="H361" i="14"/>
  <c r="F361" i="14"/>
  <c r="E361" i="14"/>
  <c r="C361" i="14"/>
  <c r="J321" i="14"/>
  <c r="H321" i="14"/>
  <c r="E321" i="14"/>
  <c r="C321" i="14"/>
  <c r="F321" i="14"/>
  <c r="J274" i="14"/>
  <c r="H274" i="14"/>
  <c r="E274" i="14"/>
  <c r="C274" i="14"/>
  <c r="F274" i="14"/>
  <c r="J235" i="14"/>
  <c r="H235" i="14"/>
  <c r="F235" i="14"/>
  <c r="E235" i="14"/>
  <c r="C235" i="14"/>
  <c r="J195" i="14"/>
  <c r="H195" i="14"/>
  <c r="E195" i="14"/>
  <c r="C195" i="14"/>
  <c r="F195" i="14"/>
  <c r="J156" i="14"/>
  <c r="H156" i="14"/>
  <c r="F156" i="14"/>
  <c r="E156" i="14"/>
  <c r="C156" i="14"/>
  <c r="J117" i="14"/>
  <c r="F117" i="14"/>
  <c r="E117" i="14"/>
  <c r="C117" i="14"/>
  <c r="H117" i="14"/>
  <c r="J86" i="14"/>
  <c r="F86" i="14"/>
  <c r="H86" i="14"/>
  <c r="E86" i="14"/>
  <c r="C86" i="14"/>
  <c r="J46" i="14"/>
  <c r="H46" i="14"/>
  <c r="F46" i="14"/>
  <c r="E46" i="14"/>
  <c r="C46" i="14"/>
  <c r="N440" i="14"/>
  <c r="K440" i="14"/>
  <c r="M440" i="14"/>
  <c r="L440" i="14"/>
  <c r="I440" i="14"/>
  <c r="G440" i="14"/>
  <c r="N397" i="14"/>
  <c r="M397" i="14"/>
  <c r="L397" i="14"/>
  <c r="I397" i="14"/>
  <c r="K397" i="14"/>
  <c r="G397" i="14"/>
  <c r="N355" i="14"/>
  <c r="M355" i="14"/>
  <c r="L355" i="14"/>
  <c r="K355" i="14"/>
  <c r="G355" i="14"/>
  <c r="I355" i="14"/>
  <c r="N199" i="14"/>
  <c r="M199" i="14"/>
  <c r="L199" i="14"/>
  <c r="K199" i="14"/>
  <c r="I199" i="14"/>
  <c r="G199" i="14"/>
  <c r="N74" i="14"/>
  <c r="M74" i="14"/>
  <c r="L74" i="14"/>
  <c r="K74" i="14"/>
  <c r="I74" i="14"/>
  <c r="G74" i="14"/>
  <c r="H369" i="14"/>
  <c r="J408" i="14"/>
  <c r="H408" i="14"/>
  <c r="F408" i="14"/>
  <c r="E408" i="14"/>
  <c r="J360" i="14"/>
  <c r="H360" i="14"/>
  <c r="F360" i="14"/>
  <c r="E360" i="14"/>
  <c r="J320" i="14"/>
  <c r="H320" i="14"/>
  <c r="E320" i="14"/>
  <c r="F320" i="14"/>
  <c r="J280" i="14"/>
  <c r="H280" i="14"/>
  <c r="E280" i="14"/>
  <c r="F280" i="14"/>
  <c r="J242" i="14"/>
  <c r="H242" i="14"/>
  <c r="E242" i="14"/>
  <c r="C242" i="14"/>
  <c r="F242" i="14"/>
  <c r="J202" i="14"/>
  <c r="H202" i="14"/>
  <c r="F202" i="14"/>
  <c r="E202" i="14"/>
  <c r="C202" i="14"/>
  <c r="J171" i="14"/>
  <c r="H171" i="14"/>
  <c r="F171" i="14"/>
  <c r="E171" i="14"/>
  <c r="C171" i="14"/>
  <c r="J131" i="14"/>
  <c r="H131" i="14"/>
  <c r="F131" i="14"/>
  <c r="E131" i="14"/>
  <c r="J77" i="14"/>
  <c r="H77" i="14"/>
  <c r="F77" i="14"/>
  <c r="E77" i="14"/>
  <c r="C77" i="14"/>
  <c r="J53" i="14"/>
  <c r="H53" i="14"/>
  <c r="F53" i="14"/>
  <c r="E53" i="14"/>
  <c r="C53" i="14"/>
  <c r="J21" i="14"/>
  <c r="H21" i="14"/>
  <c r="F21" i="14"/>
  <c r="E21" i="14"/>
  <c r="C21" i="14"/>
  <c r="N439" i="14"/>
  <c r="K439" i="14"/>
  <c r="M439" i="14"/>
  <c r="L439" i="14"/>
  <c r="I439" i="14"/>
  <c r="G439" i="14"/>
  <c r="N396" i="14"/>
  <c r="M396" i="14"/>
  <c r="L396" i="14"/>
  <c r="K396" i="14"/>
  <c r="I396" i="14"/>
  <c r="G396" i="14"/>
  <c r="N364" i="14"/>
  <c r="M364" i="14"/>
  <c r="L364" i="14"/>
  <c r="K364" i="14"/>
  <c r="I364" i="14"/>
  <c r="G364" i="14"/>
  <c r="N330" i="14"/>
  <c r="M330" i="14"/>
  <c r="L330" i="14"/>
  <c r="K330" i="14"/>
  <c r="I330" i="14"/>
  <c r="G330" i="14"/>
  <c r="N287" i="14"/>
  <c r="M287" i="14"/>
  <c r="L287" i="14"/>
  <c r="K287" i="14"/>
  <c r="G287" i="14"/>
  <c r="I287" i="14"/>
  <c r="L216" i="14"/>
  <c r="K216" i="14"/>
  <c r="M216" i="14"/>
  <c r="N216" i="14"/>
  <c r="I216" i="14"/>
  <c r="G216" i="14"/>
  <c r="C194" i="14"/>
  <c r="C131" i="14"/>
  <c r="C69" i="14"/>
  <c r="F289" i="14"/>
  <c r="J422" i="14"/>
  <c r="H422" i="14"/>
  <c r="C422" i="14"/>
  <c r="E422" i="14"/>
  <c r="F422" i="14"/>
  <c r="H398" i="14"/>
  <c r="J398" i="14"/>
  <c r="C398" i="14"/>
  <c r="F398" i="14"/>
  <c r="E398" i="14"/>
  <c r="H358" i="14"/>
  <c r="J358" i="14"/>
  <c r="C358" i="14"/>
  <c r="F358" i="14"/>
  <c r="E358" i="14"/>
  <c r="H326" i="14"/>
  <c r="F326" i="14"/>
  <c r="J326" i="14"/>
  <c r="C326" i="14"/>
  <c r="E326" i="14"/>
  <c r="H208" i="14"/>
  <c r="J208" i="14"/>
  <c r="F208" i="14"/>
  <c r="E208" i="14"/>
  <c r="C208" i="14"/>
  <c r="J428" i="14"/>
  <c r="H428" i="14"/>
  <c r="F428" i="14"/>
  <c r="E428" i="14"/>
  <c r="J442" i="14"/>
  <c r="F442" i="14"/>
  <c r="H442" i="14"/>
  <c r="J434" i="14"/>
  <c r="H434" i="14"/>
  <c r="F434" i="14"/>
  <c r="J426" i="14"/>
  <c r="H426" i="14"/>
  <c r="F426" i="14"/>
  <c r="J418" i="14"/>
  <c r="H418" i="14"/>
  <c r="F418" i="14"/>
  <c r="E418" i="14"/>
  <c r="J410" i="14"/>
  <c r="F410" i="14"/>
  <c r="H410" i="14"/>
  <c r="E410" i="14"/>
  <c r="J402" i="14"/>
  <c r="H402" i="14"/>
  <c r="F402" i="14"/>
  <c r="J394" i="14"/>
  <c r="H394" i="14"/>
  <c r="F394" i="14"/>
  <c r="E394" i="14"/>
  <c r="J386" i="14"/>
  <c r="H386" i="14"/>
  <c r="F386" i="14"/>
  <c r="E386" i="14"/>
  <c r="H378" i="14"/>
  <c r="F378" i="14"/>
  <c r="E378" i="14"/>
  <c r="J378" i="14"/>
  <c r="J370" i="14"/>
  <c r="H370" i="14"/>
  <c r="F370" i="14"/>
  <c r="E370" i="14"/>
  <c r="J362" i="14"/>
  <c r="H362" i="14"/>
  <c r="F362" i="14"/>
  <c r="E362" i="14"/>
  <c r="J354" i="14"/>
  <c r="F354" i="14"/>
  <c r="E354" i="14"/>
  <c r="H354" i="14"/>
  <c r="J346" i="14"/>
  <c r="H346" i="14"/>
  <c r="F346" i="14"/>
  <c r="E346" i="14"/>
  <c r="J338" i="14"/>
  <c r="H338" i="14"/>
  <c r="F338" i="14"/>
  <c r="E338" i="14"/>
  <c r="J330" i="14"/>
  <c r="H330" i="14"/>
  <c r="F330" i="14"/>
  <c r="E330" i="14"/>
  <c r="J322" i="14"/>
  <c r="H322" i="14"/>
  <c r="F322" i="14"/>
  <c r="E322" i="14"/>
  <c r="C322" i="14"/>
  <c r="J314" i="14"/>
  <c r="H314" i="14"/>
  <c r="F314" i="14"/>
  <c r="E314" i="14"/>
  <c r="J306" i="14"/>
  <c r="H306" i="14"/>
  <c r="F306" i="14"/>
  <c r="E306" i="14"/>
  <c r="J298" i="14"/>
  <c r="H298" i="14"/>
  <c r="F298" i="14"/>
  <c r="E298" i="14"/>
  <c r="J290" i="14"/>
  <c r="F290" i="14"/>
  <c r="E290" i="14"/>
  <c r="H290" i="14"/>
  <c r="C290" i="14"/>
  <c r="J282" i="14"/>
  <c r="H282" i="14"/>
  <c r="F282" i="14"/>
  <c r="E282" i="14"/>
  <c r="J275" i="14"/>
  <c r="H275" i="14"/>
  <c r="F275" i="14"/>
  <c r="E275" i="14"/>
  <c r="J267" i="14"/>
  <c r="F267" i="14"/>
  <c r="H267" i="14"/>
  <c r="E267" i="14"/>
  <c r="J260" i="14"/>
  <c r="H260" i="14"/>
  <c r="F260" i="14"/>
  <c r="E260" i="14"/>
  <c r="C260" i="14"/>
  <c r="J252" i="14"/>
  <c r="F252" i="14"/>
  <c r="E252" i="14"/>
  <c r="H252" i="14"/>
  <c r="J244" i="14"/>
  <c r="H244" i="14"/>
  <c r="F244" i="14"/>
  <c r="E244" i="14"/>
  <c r="J236" i="14"/>
  <c r="H236" i="14"/>
  <c r="F236" i="14"/>
  <c r="E236" i="14"/>
  <c r="J228" i="14"/>
  <c r="H228" i="14"/>
  <c r="F228" i="14"/>
  <c r="E228" i="14"/>
  <c r="C228" i="14"/>
  <c r="J220" i="14"/>
  <c r="H220" i="14"/>
  <c r="F220" i="14"/>
  <c r="E220" i="14"/>
  <c r="J212" i="14"/>
  <c r="F212" i="14"/>
  <c r="H212" i="14"/>
  <c r="E212" i="14"/>
  <c r="J204" i="14"/>
  <c r="H204" i="14"/>
  <c r="F204" i="14"/>
  <c r="E204" i="14"/>
  <c r="J196" i="14"/>
  <c r="F196" i="14"/>
  <c r="E196" i="14"/>
  <c r="C196" i="14"/>
  <c r="H196" i="14"/>
  <c r="J188" i="14"/>
  <c r="H188" i="14"/>
  <c r="F188" i="14"/>
  <c r="E188" i="14"/>
  <c r="J180" i="14"/>
  <c r="F180" i="14"/>
  <c r="E180" i="14"/>
  <c r="H180" i="14"/>
  <c r="J173" i="14"/>
  <c r="H173" i="14"/>
  <c r="F173" i="14"/>
  <c r="E173" i="14"/>
  <c r="J165" i="14"/>
  <c r="H165" i="14"/>
  <c r="E165" i="14"/>
  <c r="F165" i="14"/>
  <c r="C165" i="14"/>
  <c r="J157" i="14"/>
  <c r="H157" i="14"/>
  <c r="F157" i="14"/>
  <c r="E157" i="14"/>
  <c r="J149" i="14"/>
  <c r="F149" i="14"/>
  <c r="H149" i="14"/>
  <c r="E149" i="14"/>
  <c r="J141" i="14"/>
  <c r="H141" i="14"/>
  <c r="F141" i="14"/>
  <c r="E141" i="14"/>
  <c r="J133" i="14"/>
  <c r="F133" i="14"/>
  <c r="E133" i="14"/>
  <c r="C133" i="14"/>
  <c r="J125" i="14"/>
  <c r="H125" i="14"/>
  <c r="F125" i="14"/>
  <c r="E125" i="14"/>
  <c r="J118" i="14"/>
  <c r="F118" i="14"/>
  <c r="E118" i="14"/>
  <c r="H118" i="14"/>
  <c r="J110" i="14"/>
  <c r="H110" i="14"/>
  <c r="F110" i="14"/>
  <c r="E110" i="14"/>
  <c r="J103" i="14"/>
  <c r="F103" i="14"/>
  <c r="H103" i="14"/>
  <c r="E103" i="14"/>
  <c r="C103" i="14"/>
  <c r="J95" i="14"/>
  <c r="H95" i="14"/>
  <c r="F95" i="14"/>
  <c r="E95" i="14"/>
  <c r="J87" i="14"/>
  <c r="F87" i="14"/>
  <c r="H87" i="14"/>
  <c r="E87" i="14"/>
  <c r="J79" i="14"/>
  <c r="H79" i="14"/>
  <c r="F79" i="14"/>
  <c r="E79" i="14"/>
  <c r="J71" i="14"/>
  <c r="F71" i="14"/>
  <c r="E71" i="14"/>
  <c r="C71" i="14"/>
  <c r="H71" i="14"/>
  <c r="J63" i="14"/>
  <c r="H63" i="14"/>
  <c r="F63" i="14"/>
  <c r="E63" i="14"/>
  <c r="J55" i="14"/>
  <c r="F55" i="14"/>
  <c r="E55" i="14"/>
  <c r="H55" i="14"/>
  <c r="J47" i="14"/>
  <c r="H47" i="14"/>
  <c r="F47" i="14"/>
  <c r="E47" i="14"/>
  <c r="J39" i="14"/>
  <c r="F39" i="14"/>
  <c r="H39" i="14"/>
  <c r="E39" i="14"/>
  <c r="C39" i="14"/>
  <c r="J31" i="14"/>
  <c r="H31" i="14"/>
  <c r="F31" i="14"/>
  <c r="E31" i="14"/>
  <c r="J23" i="14"/>
  <c r="F23" i="14"/>
  <c r="H23" i="14"/>
  <c r="E23" i="14"/>
  <c r="J15" i="14"/>
  <c r="H15" i="14"/>
  <c r="F15" i="14"/>
  <c r="E15" i="14"/>
  <c r="J7" i="14"/>
  <c r="F7" i="14"/>
  <c r="H7" i="14"/>
  <c r="E7" i="14"/>
  <c r="C7" i="14"/>
  <c r="C442" i="14"/>
  <c r="C431" i="14"/>
  <c r="C420" i="14"/>
  <c r="C410" i="14"/>
  <c r="C399" i="14"/>
  <c r="C388" i="14"/>
  <c r="C378" i="14"/>
  <c r="C367" i="14"/>
  <c r="C356" i="14"/>
  <c r="C346" i="14"/>
  <c r="C334" i="14"/>
  <c r="C319" i="14"/>
  <c r="C306" i="14"/>
  <c r="C291" i="14"/>
  <c r="C277" i="14"/>
  <c r="C264" i="14"/>
  <c r="C250" i="14"/>
  <c r="C236" i="14"/>
  <c r="C223" i="14"/>
  <c r="C201" i="14"/>
  <c r="C180" i="14"/>
  <c r="C160" i="14"/>
  <c r="C138" i="14"/>
  <c r="C118" i="14"/>
  <c r="C98" i="14"/>
  <c r="C76" i="14"/>
  <c r="C55" i="14"/>
  <c r="C34" i="14"/>
  <c r="C12" i="14"/>
  <c r="E434" i="14"/>
  <c r="E413" i="14"/>
  <c r="E375" i="14"/>
  <c r="E315" i="14"/>
  <c r="E253" i="14"/>
  <c r="E189" i="14"/>
  <c r="E126" i="14"/>
  <c r="E64" i="14"/>
  <c r="F443" i="14"/>
  <c r="F379" i="14"/>
  <c r="F311" i="14"/>
  <c r="F227" i="14"/>
  <c r="F108" i="14"/>
  <c r="H388" i="14"/>
  <c r="C3" i="14"/>
  <c r="J6" i="14"/>
  <c r="F6" i="14"/>
  <c r="E6" i="14"/>
  <c r="C6" i="14"/>
  <c r="H3" i="14"/>
  <c r="J3" i="14"/>
  <c r="F3" i="14"/>
  <c r="J1095" i="16"/>
  <c r="K1095" i="16" s="1"/>
  <c r="J1119" i="16"/>
  <c r="K1119" i="16" s="1"/>
  <c r="J1055" i="16"/>
  <c r="K1055" i="16" s="1"/>
  <c r="J1127" i="16"/>
  <c r="K1127" i="16" s="1"/>
  <c r="J1063" i="16"/>
  <c r="K1063" i="16" s="1"/>
  <c r="J1135" i="16"/>
  <c r="K1135" i="16" s="1"/>
  <c r="J1071" i="16"/>
  <c r="K1071" i="16" s="1"/>
  <c r="J1143" i="16"/>
  <c r="K1143" i="16" s="1"/>
  <c r="J1079" i="16"/>
  <c r="K1079" i="16" s="1"/>
  <c r="J670" i="16"/>
  <c r="K670" i="16" s="1"/>
  <c r="J606" i="16"/>
  <c r="K606" i="16" s="1"/>
  <c r="J542" i="16"/>
  <c r="K542" i="16" s="1"/>
  <c r="J478" i="16"/>
  <c r="K478" i="16" s="1"/>
  <c r="J359" i="16"/>
  <c r="K359" i="16" s="1"/>
  <c r="J303" i="16"/>
  <c r="K303" i="16" s="1"/>
  <c r="J215" i="16"/>
  <c r="K215" i="16" s="1"/>
  <c r="J103" i="16"/>
  <c r="K103" i="16" s="1"/>
  <c r="J47" i="16"/>
  <c r="K47" i="16" s="1"/>
  <c r="J998" i="16"/>
  <c r="K998" i="16" s="1"/>
  <c r="J934" i="16"/>
  <c r="K934" i="16" s="1"/>
  <c r="J870" i="16"/>
  <c r="K870" i="16" s="1"/>
  <c r="J806" i="16"/>
  <c r="K806" i="16" s="1"/>
  <c r="J742" i="16"/>
  <c r="K742" i="16" s="1"/>
  <c r="J678" i="16"/>
  <c r="K678" i="16" s="1"/>
  <c r="J614" i="16"/>
  <c r="K614" i="16" s="1"/>
  <c r="J550" i="16"/>
  <c r="K550" i="16" s="1"/>
  <c r="J486" i="16"/>
  <c r="K486" i="16" s="1"/>
  <c r="J423" i="16"/>
  <c r="K423" i="16" s="1"/>
  <c r="J357" i="16"/>
  <c r="K357" i="16" s="1"/>
  <c r="J301" i="16"/>
  <c r="K301" i="16" s="1"/>
  <c r="J269" i="16"/>
  <c r="K269" i="16" s="1"/>
  <c r="J245" i="16"/>
  <c r="K245" i="16" s="1"/>
  <c r="J213" i="16"/>
  <c r="K213" i="16" s="1"/>
  <c r="J101" i="16"/>
  <c r="K101" i="16" s="1"/>
  <c r="J45" i="16"/>
  <c r="K45" i="16" s="1"/>
  <c r="J1004" i="16"/>
  <c r="K1004" i="16" s="1"/>
  <c r="J940" i="16"/>
  <c r="K940" i="16" s="1"/>
  <c r="J876" i="16"/>
  <c r="K876" i="16" s="1"/>
  <c r="J812" i="16"/>
  <c r="K812" i="16" s="1"/>
  <c r="J748" i="16"/>
  <c r="K748" i="16" s="1"/>
  <c r="J684" i="16"/>
  <c r="K684" i="16" s="1"/>
  <c r="J620" i="16"/>
  <c r="K620" i="16" s="1"/>
  <c r="J556" i="16"/>
  <c r="K556" i="16" s="1"/>
  <c r="J492" i="16"/>
  <c r="K492" i="16" s="1"/>
  <c r="J429" i="16"/>
  <c r="K429" i="16" s="1"/>
  <c r="J365" i="16"/>
  <c r="K365" i="16" s="1"/>
  <c r="J333" i="16"/>
  <c r="K333" i="16" s="1"/>
  <c r="J309" i="16"/>
  <c r="K309" i="16" s="1"/>
  <c r="J277" i="16"/>
  <c r="K277" i="16" s="1"/>
  <c r="J165" i="16"/>
  <c r="K165" i="16" s="1"/>
  <c r="J109" i="16"/>
  <c r="K109" i="16" s="1"/>
  <c r="J77" i="16"/>
  <c r="K77" i="16" s="1"/>
  <c r="J53" i="16"/>
  <c r="K53" i="16" s="1"/>
  <c r="J195" i="16"/>
  <c r="K195" i="16" s="1"/>
  <c r="J1002" i="16"/>
  <c r="K1002" i="16" s="1"/>
  <c r="J938" i="16"/>
  <c r="K938" i="16" s="1"/>
  <c r="J874" i="16"/>
  <c r="K874" i="16" s="1"/>
  <c r="J810" i="16"/>
  <c r="K810" i="16" s="1"/>
  <c r="J746" i="16"/>
  <c r="K746" i="16" s="1"/>
  <c r="J682" i="16"/>
  <c r="K682" i="16" s="1"/>
  <c r="J618" i="16"/>
  <c r="K618" i="16" s="1"/>
  <c r="J554" i="16"/>
  <c r="K554" i="16" s="1"/>
  <c r="J490" i="16"/>
  <c r="K490" i="16" s="1"/>
  <c r="J427" i="16"/>
  <c r="K427" i="16" s="1"/>
  <c r="J275" i="16"/>
  <c r="K275" i="16" s="1"/>
  <c r="J251" i="16"/>
  <c r="K251" i="16" s="1"/>
  <c r="J984" i="16"/>
  <c r="K984" i="16" s="1"/>
  <c r="J920" i="16"/>
  <c r="K920" i="16" s="1"/>
  <c r="J856" i="16"/>
  <c r="K856" i="16" s="1"/>
  <c r="J792" i="16"/>
  <c r="K792" i="16" s="1"/>
  <c r="J774" i="16"/>
  <c r="K774" i="16" s="1"/>
  <c r="J728" i="16"/>
  <c r="K728" i="16" s="1"/>
  <c r="J710" i="16"/>
  <c r="K710" i="16" s="1"/>
  <c r="J664" i="16"/>
  <c r="K664" i="16" s="1"/>
  <c r="J646" i="16"/>
  <c r="K646" i="16" s="1"/>
  <c r="J600" i="16"/>
  <c r="K600" i="16" s="1"/>
  <c r="J591" i="16"/>
  <c r="K591" i="16" s="1"/>
  <c r="J582" i="16"/>
  <c r="K582" i="16" s="1"/>
  <c r="J536" i="16"/>
  <c r="K536" i="16" s="1"/>
  <c r="J527" i="16"/>
  <c r="K527" i="16" s="1"/>
  <c r="J518" i="16"/>
  <c r="K518" i="16" s="1"/>
  <c r="J472" i="16"/>
  <c r="K472" i="16" s="1"/>
  <c r="J463" i="16"/>
  <c r="K463" i="16" s="1"/>
  <c r="J454" i="16"/>
  <c r="K454" i="16" s="1"/>
  <c r="J417" i="16"/>
  <c r="K417" i="16" s="1"/>
  <c r="J408" i="16"/>
  <c r="K408" i="16" s="1"/>
  <c r="J352" i="16"/>
  <c r="K352" i="16" s="1"/>
  <c r="J320" i="16"/>
  <c r="K320" i="16" s="1"/>
  <c r="J296" i="16"/>
  <c r="K296" i="16" s="1"/>
  <c r="J264" i="16"/>
  <c r="K264" i="16" s="1"/>
  <c r="J240" i="16"/>
  <c r="K240" i="16" s="1"/>
  <c r="J152" i="16"/>
  <c r="J96" i="16"/>
  <c r="K96" i="16" s="1"/>
  <c r="J64" i="16"/>
  <c r="K64" i="16" s="1"/>
  <c r="J40" i="16"/>
  <c r="K40" i="16" s="1"/>
  <c r="J8" i="16"/>
  <c r="K8" i="16" s="1"/>
  <c r="J992" i="16"/>
  <c r="K992" i="16" s="1"/>
  <c r="J928" i="16"/>
  <c r="K928" i="16" s="1"/>
  <c r="J864" i="16"/>
  <c r="K864" i="16" s="1"/>
  <c r="J800" i="16"/>
  <c r="K800" i="16" s="1"/>
  <c r="J736" i="16"/>
  <c r="K736" i="16" s="1"/>
  <c r="J672" i="16"/>
  <c r="K672" i="16" s="1"/>
  <c r="J608" i="16"/>
  <c r="K608" i="16" s="1"/>
  <c r="J544" i="16"/>
  <c r="K544" i="16" s="1"/>
  <c r="J526" i="16"/>
  <c r="K526" i="16" s="1"/>
  <c r="J480" i="16"/>
  <c r="K480" i="16" s="1"/>
  <c r="J416" i="16"/>
  <c r="K416" i="16" s="1"/>
  <c r="J385" i="16"/>
  <c r="K385" i="16" s="1"/>
  <c r="J361" i="16"/>
  <c r="K361" i="16" s="1"/>
  <c r="J295" i="16"/>
  <c r="K295" i="16" s="1"/>
  <c r="J239" i="16"/>
  <c r="K239" i="16" s="1"/>
  <c r="J208" i="16"/>
  <c r="K208" i="16" s="1"/>
  <c r="J184" i="16"/>
  <c r="K184" i="16" s="1"/>
  <c r="J151" i="16"/>
  <c r="K151" i="16" s="1"/>
  <c r="J39" i="16"/>
  <c r="K39" i="16" s="1"/>
  <c r="J1032" i="16"/>
  <c r="K1032" i="16" s="1"/>
  <c r="J1023" i="16"/>
  <c r="K1023" i="16" s="1"/>
  <c r="J1014" i="16"/>
  <c r="K1014" i="16" s="1"/>
  <c r="J968" i="16"/>
  <c r="K968" i="16" s="1"/>
  <c r="J959" i="16"/>
  <c r="K959" i="16" s="1"/>
  <c r="J950" i="16"/>
  <c r="K950" i="16" s="1"/>
  <c r="J904" i="16"/>
  <c r="K904" i="16" s="1"/>
  <c r="J895" i="16"/>
  <c r="K895" i="16" s="1"/>
  <c r="J886" i="16"/>
  <c r="K886" i="16" s="1"/>
  <c r="J840" i="16"/>
  <c r="K840" i="16" s="1"/>
  <c r="J831" i="16"/>
  <c r="K831" i="16" s="1"/>
  <c r="J822" i="16"/>
  <c r="K822" i="16" s="1"/>
  <c r="J776" i="16"/>
  <c r="K776" i="16" s="1"/>
  <c r="J767" i="16"/>
  <c r="K767" i="16" s="1"/>
  <c r="J758" i="16"/>
  <c r="K758" i="16" s="1"/>
  <c r="J712" i="16"/>
  <c r="K712" i="16" s="1"/>
  <c r="J703" i="16"/>
  <c r="K703" i="16" s="1"/>
  <c r="J694" i="16"/>
  <c r="K694" i="16" s="1"/>
  <c r="J648" i="16"/>
  <c r="K648" i="16" s="1"/>
  <c r="J639" i="16"/>
  <c r="K639" i="16" s="1"/>
  <c r="J630" i="16"/>
  <c r="K630" i="16" s="1"/>
  <c r="J584" i="16"/>
  <c r="K584" i="16" s="1"/>
  <c r="J575" i="16"/>
  <c r="K575" i="16" s="1"/>
  <c r="J566" i="16"/>
  <c r="K566" i="16" s="1"/>
  <c r="J520" i="16"/>
  <c r="K520" i="16" s="1"/>
  <c r="J511" i="16"/>
  <c r="K511" i="16" s="1"/>
  <c r="J502" i="16"/>
  <c r="K502" i="16" s="1"/>
  <c r="J456" i="16"/>
  <c r="K456" i="16" s="1"/>
  <c r="J447" i="16"/>
  <c r="K447" i="16" s="1"/>
  <c r="J438" i="16"/>
  <c r="K438" i="16" s="1"/>
  <c r="J401" i="16"/>
  <c r="K401" i="16" s="1"/>
  <c r="J377" i="16"/>
  <c r="K377" i="16" s="1"/>
  <c r="J344" i="16"/>
  <c r="K344" i="16" s="1"/>
  <c r="J288" i="16"/>
  <c r="K288" i="16" s="1"/>
  <c r="J256" i="16"/>
  <c r="K256" i="16" s="1"/>
  <c r="J232" i="16"/>
  <c r="K232" i="16" s="1"/>
  <c r="J200" i="16"/>
  <c r="K200" i="16" s="1"/>
  <c r="J176" i="16"/>
  <c r="K176" i="16" s="1"/>
  <c r="J88" i="16"/>
  <c r="J32" i="16"/>
  <c r="J891" i="16"/>
  <c r="K891" i="16" s="1"/>
  <c r="J443" i="16"/>
  <c r="K443" i="16" s="1"/>
  <c r="J1100" i="16"/>
  <c r="K1100" i="16" s="1"/>
  <c r="J1027" i="16"/>
  <c r="K1027" i="16" s="1"/>
  <c r="J1018" i="16"/>
  <c r="K1018" i="16" s="1"/>
  <c r="J963" i="16"/>
  <c r="K963" i="16" s="1"/>
  <c r="J954" i="16"/>
  <c r="K954" i="16" s="1"/>
  <c r="J899" i="16"/>
  <c r="K899" i="16" s="1"/>
  <c r="J890" i="16"/>
  <c r="K890" i="16" s="1"/>
  <c r="J835" i="16"/>
  <c r="K835" i="16" s="1"/>
  <c r="J826" i="16"/>
  <c r="K826" i="16" s="1"/>
  <c r="J771" i="16"/>
  <c r="K771" i="16" s="1"/>
  <c r="J762" i="16"/>
  <c r="K762" i="16" s="1"/>
  <c r="J707" i="16"/>
  <c r="K707" i="16" s="1"/>
  <c r="J698" i="16"/>
  <c r="K698" i="16" s="1"/>
  <c r="J643" i="16"/>
  <c r="K643" i="16" s="1"/>
  <c r="J634" i="16"/>
  <c r="K634" i="16" s="1"/>
  <c r="J579" i="16"/>
  <c r="K579" i="16" s="1"/>
  <c r="J570" i="16"/>
  <c r="K570" i="16" s="1"/>
  <c r="J515" i="16"/>
  <c r="K515" i="16" s="1"/>
  <c r="J506" i="16"/>
  <c r="K506" i="16" s="1"/>
  <c r="J451" i="16"/>
  <c r="K451" i="16" s="1"/>
  <c r="J442" i="16"/>
  <c r="K442" i="16" s="1"/>
  <c r="J348" i="16"/>
  <c r="K348" i="16" s="1"/>
  <c r="J339" i="16"/>
  <c r="K339" i="16" s="1"/>
  <c r="J315" i="16"/>
  <c r="K315" i="16" s="1"/>
  <c r="J260" i="16"/>
  <c r="K260" i="16" s="1"/>
  <c r="J92" i="16"/>
  <c r="J83" i="16"/>
  <c r="K83" i="16" s="1"/>
  <c r="J59" i="16"/>
  <c r="K59" i="16" s="1"/>
  <c r="J4" i="16"/>
  <c r="J166" i="16"/>
  <c r="K166" i="16" s="1"/>
  <c r="J677" i="16"/>
  <c r="K677" i="16" s="1"/>
  <c r="J7" i="16"/>
  <c r="K7" i="16" s="1"/>
  <c r="J44" i="16"/>
  <c r="K44" i="16" s="1"/>
  <c r="J70" i="16"/>
  <c r="K70" i="16" s="1"/>
  <c r="J100" i="16"/>
  <c r="K100" i="16" s="1"/>
  <c r="J127" i="16"/>
  <c r="K127" i="16" s="1"/>
  <c r="J159" i="16"/>
  <c r="K159" i="16" s="1"/>
  <c r="J190" i="16"/>
  <c r="K190" i="16" s="1"/>
  <c r="J222" i="16"/>
  <c r="K222" i="16" s="1"/>
  <c r="J252" i="16"/>
  <c r="K252" i="16" s="1"/>
  <c r="J278" i="16"/>
  <c r="K278" i="16" s="1"/>
  <c r="J311" i="16"/>
  <c r="K311" i="16" s="1"/>
  <c r="J335" i="16"/>
  <c r="K335" i="16" s="1"/>
  <c r="J374" i="16"/>
  <c r="K374" i="16" s="1"/>
  <c r="J398" i="16"/>
  <c r="K398" i="16" s="1"/>
  <c r="J453" i="16"/>
  <c r="K453" i="16" s="1"/>
  <c r="J525" i="16"/>
  <c r="K525" i="16" s="1"/>
  <c r="J597" i="16"/>
  <c r="K597" i="16" s="1"/>
  <c r="J669" i="16"/>
  <c r="K669" i="16" s="1"/>
  <c r="J749" i="16"/>
  <c r="K749" i="16" s="1"/>
  <c r="J821" i="16"/>
  <c r="K821" i="16" s="1"/>
  <c r="J893" i="16"/>
  <c r="K893" i="16" s="1"/>
  <c r="J965" i="16"/>
  <c r="K965" i="16" s="1"/>
  <c r="J1037" i="16"/>
  <c r="K1037" i="16" s="1"/>
  <c r="J1109" i="16"/>
  <c r="K1109" i="16" s="1"/>
  <c r="J340" i="16"/>
  <c r="K340" i="16" s="1"/>
  <c r="J1108" i="16"/>
  <c r="K1108" i="16" s="1"/>
  <c r="J1044" i="16"/>
  <c r="K1044" i="16" s="1"/>
  <c r="J1035" i="16"/>
  <c r="K1035" i="16" s="1"/>
  <c r="J1026" i="16"/>
  <c r="K1026" i="16" s="1"/>
  <c r="J971" i="16"/>
  <c r="K971" i="16" s="1"/>
  <c r="J962" i="16"/>
  <c r="K962" i="16" s="1"/>
  <c r="J907" i="16"/>
  <c r="K907" i="16" s="1"/>
  <c r="J898" i="16"/>
  <c r="K898" i="16" s="1"/>
  <c r="J843" i="16"/>
  <c r="K843" i="16" s="1"/>
  <c r="J834" i="16"/>
  <c r="K834" i="16" s="1"/>
  <c r="J779" i="16"/>
  <c r="K779" i="16" s="1"/>
  <c r="J770" i="16"/>
  <c r="K770" i="16" s="1"/>
  <c r="J715" i="16"/>
  <c r="K715" i="16" s="1"/>
  <c r="J706" i="16"/>
  <c r="K706" i="16" s="1"/>
  <c r="J651" i="16"/>
  <c r="K651" i="16" s="1"/>
  <c r="J642" i="16"/>
  <c r="K642" i="16" s="1"/>
  <c r="J587" i="16"/>
  <c r="K587" i="16" s="1"/>
  <c r="J578" i="16"/>
  <c r="K578" i="16" s="1"/>
  <c r="J523" i="16"/>
  <c r="K523" i="16" s="1"/>
  <c r="J514" i="16"/>
  <c r="K514" i="16" s="1"/>
  <c r="J459" i="16"/>
  <c r="K459" i="16" s="1"/>
  <c r="J450" i="16"/>
  <c r="K450" i="16" s="1"/>
  <c r="J404" i="16"/>
  <c r="K404" i="16" s="1"/>
  <c r="J347" i="16"/>
  <c r="K347" i="16" s="1"/>
  <c r="J291" i="16"/>
  <c r="K291" i="16" s="1"/>
  <c r="J259" i="16"/>
  <c r="K259" i="16" s="1"/>
  <c r="J235" i="16"/>
  <c r="K235" i="16" s="1"/>
  <c r="J203" i="16"/>
  <c r="K203" i="16" s="1"/>
  <c r="J179" i="16"/>
  <c r="K179" i="16" s="1"/>
  <c r="J148" i="16"/>
  <c r="K148" i="16" s="1"/>
  <c r="J91" i="16"/>
  <c r="K91" i="16" s="1"/>
  <c r="J35" i="16"/>
  <c r="K35" i="16" s="1"/>
  <c r="J3" i="16"/>
  <c r="K3" i="16" s="1"/>
  <c r="J955" i="16"/>
  <c r="K955" i="16" s="1"/>
  <c r="J827" i="16"/>
  <c r="K827" i="16" s="1"/>
  <c r="J571" i="16"/>
  <c r="K571" i="16" s="1"/>
  <c r="J507" i="16"/>
  <c r="K507" i="16" s="1"/>
  <c r="J1116" i="16"/>
  <c r="K1116" i="16" s="1"/>
  <c r="J1052" i="16"/>
  <c r="K1052" i="16" s="1"/>
  <c r="J1034" i="16"/>
  <c r="K1034" i="16" s="1"/>
  <c r="J979" i="16"/>
  <c r="K979" i="16" s="1"/>
  <c r="J970" i="16"/>
  <c r="K970" i="16" s="1"/>
  <c r="J915" i="16"/>
  <c r="K915" i="16" s="1"/>
  <c r="J906" i="16"/>
  <c r="K906" i="16" s="1"/>
  <c r="J851" i="16"/>
  <c r="K851" i="16" s="1"/>
  <c r="J842" i="16"/>
  <c r="K842" i="16" s="1"/>
  <c r="J787" i="16"/>
  <c r="K787" i="16" s="1"/>
  <c r="J778" i="16"/>
  <c r="K778" i="16" s="1"/>
  <c r="J723" i="16"/>
  <c r="K723" i="16" s="1"/>
  <c r="J714" i="16"/>
  <c r="K714" i="16" s="1"/>
  <c r="J659" i="16"/>
  <c r="K659" i="16" s="1"/>
  <c r="J650" i="16"/>
  <c r="K650" i="16" s="1"/>
  <c r="J595" i="16"/>
  <c r="K595" i="16" s="1"/>
  <c r="J586" i="16"/>
  <c r="K586" i="16" s="1"/>
  <c r="J531" i="16"/>
  <c r="K531" i="16" s="1"/>
  <c r="J522" i="16"/>
  <c r="K522" i="16" s="1"/>
  <c r="J467" i="16"/>
  <c r="J458" i="16"/>
  <c r="K458" i="16" s="1"/>
  <c r="J412" i="16"/>
  <c r="K412" i="16" s="1"/>
  <c r="J403" i="16"/>
  <c r="K403" i="16" s="1"/>
  <c r="J379" i="16"/>
  <c r="K379" i="16" s="1"/>
  <c r="J324" i="16"/>
  <c r="K324" i="16" s="1"/>
  <c r="J156" i="16"/>
  <c r="K156" i="16" s="1"/>
  <c r="J147" i="16"/>
  <c r="K147" i="16" s="1"/>
  <c r="J123" i="16"/>
  <c r="K123" i="16" s="1"/>
  <c r="J68" i="16"/>
  <c r="K68" i="16" s="1"/>
  <c r="J1019" i="16"/>
  <c r="K1019" i="16" s="1"/>
  <c r="J699" i="16"/>
  <c r="K699" i="16" s="1"/>
  <c r="J635" i="16"/>
  <c r="K635" i="16" s="1"/>
  <c r="J1124" i="16"/>
  <c r="K1124" i="16" s="1"/>
  <c r="J1060" i="16"/>
  <c r="K1060" i="16" s="1"/>
  <c r="J987" i="16"/>
  <c r="K987" i="16" s="1"/>
  <c r="J978" i="16"/>
  <c r="K978" i="16" s="1"/>
  <c r="J923" i="16"/>
  <c r="K923" i="16" s="1"/>
  <c r="J914" i="16"/>
  <c r="K914" i="16" s="1"/>
  <c r="J859" i="16"/>
  <c r="K859" i="16" s="1"/>
  <c r="J850" i="16"/>
  <c r="K850" i="16" s="1"/>
  <c r="J795" i="16"/>
  <c r="K795" i="16" s="1"/>
  <c r="J786" i="16"/>
  <c r="K786" i="16" s="1"/>
  <c r="J731" i="16"/>
  <c r="K731" i="16" s="1"/>
  <c r="J722" i="16"/>
  <c r="K722" i="16" s="1"/>
  <c r="J667" i="16"/>
  <c r="K667" i="16" s="1"/>
  <c r="J658" i="16"/>
  <c r="K658" i="16" s="1"/>
  <c r="J603" i="16"/>
  <c r="K603" i="16" s="1"/>
  <c r="J594" i="16"/>
  <c r="K594" i="16" s="1"/>
  <c r="J539" i="16"/>
  <c r="K539" i="16" s="1"/>
  <c r="J530" i="16"/>
  <c r="K530" i="16" s="1"/>
  <c r="J475" i="16"/>
  <c r="K475" i="16" s="1"/>
  <c r="J466" i="16"/>
  <c r="K466" i="16" s="1"/>
  <c r="J411" i="16"/>
  <c r="K411" i="16" s="1"/>
  <c r="J355" i="16"/>
  <c r="K355" i="16" s="1"/>
  <c r="J323" i="16"/>
  <c r="K323" i="16" s="1"/>
  <c r="J299" i="16"/>
  <c r="K299" i="16" s="1"/>
  <c r="J267" i="16"/>
  <c r="K267" i="16" s="1"/>
  <c r="J243" i="16"/>
  <c r="K243" i="16" s="1"/>
  <c r="J212" i="16"/>
  <c r="K212" i="16" s="1"/>
  <c r="J155" i="16"/>
  <c r="J99" i="16"/>
  <c r="K99" i="16" s="1"/>
  <c r="J67" i="16"/>
  <c r="K67" i="16" s="1"/>
  <c r="J43" i="16"/>
  <c r="K43" i="16" s="1"/>
  <c r="J11" i="16"/>
  <c r="K11" i="16" s="1"/>
  <c r="J1132" i="16"/>
  <c r="K1132" i="16" s="1"/>
  <c r="J1068" i="16"/>
  <c r="K1068" i="16" s="1"/>
  <c r="J995" i="16"/>
  <c r="K995" i="16" s="1"/>
  <c r="J986" i="16"/>
  <c r="K986" i="16" s="1"/>
  <c r="J931" i="16"/>
  <c r="K931" i="16" s="1"/>
  <c r="J922" i="16"/>
  <c r="K922" i="16" s="1"/>
  <c r="J867" i="16"/>
  <c r="K867" i="16" s="1"/>
  <c r="J858" i="16"/>
  <c r="K858" i="16" s="1"/>
  <c r="J803" i="16"/>
  <c r="K803" i="16" s="1"/>
  <c r="J794" i="16"/>
  <c r="K794" i="16" s="1"/>
  <c r="J739" i="16"/>
  <c r="K739" i="16" s="1"/>
  <c r="J730" i="16"/>
  <c r="K730" i="16" s="1"/>
  <c r="J675" i="16"/>
  <c r="K675" i="16" s="1"/>
  <c r="J666" i="16"/>
  <c r="K666" i="16" s="1"/>
  <c r="J611" i="16"/>
  <c r="K611" i="16" s="1"/>
  <c r="J602" i="16"/>
  <c r="K602" i="16" s="1"/>
  <c r="J547" i="16"/>
  <c r="K547" i="16" s="1"/>
  <c r="J538" i="16"/>
  <c r="K538" i="16" s="1"/>
  <c r="J483" i="16"/>
  <c r="K483" i="16" s="1"/>
  <c r="J474" i="16"/>
  <c r="K474" i="16" s="1"/>
  <c r="J419" i="16"/>
  <c r="K419" i="16" s="1"/>
  <c r="J388" i="16"/>
  <c r="K388" i="16" s="1"/>
  <c r="J220" i="16"/>
  <c r="K220" i="16" s="1"/>
  <c r="J211" i="16"/>
  <c r="K211" i="16" s="1"/>
  <c r="J187" i="16"/>
  <c r="K187" i="16" s="1"/>
  <c r="J132" i="16"/>
  <c r="K132" i="16" s="1"/>
  <c r="J763" i="16"/>
  <c r="K763" i="16" s="1"/>
  <c r="J84" i="16"/>
  <c r="K84" i="16" s="1"/>
  <c r="J1140" i="16"/>
  <c r="K1140" i="16" s="1"/>
  <c r="J1076" i="16"/>
  <c r="K1076" i="16" s="1"/>
  <c r="J1003" i="16"/>
  <c r="K1003" i="16" s="1"/>
  <c r="J994" i="16"/>
  <c r="K994" i="16" s="1"/>
  <c r="J939" i="16"/>
  <c r="K939" i="16" s="1"/>
  <c r="J930" i="16"/>
  <c r="K930" i="16" s="1"/>
  <c r="J875" i="16"/>
  <c r="K875" i="16" s="1"/>
  <c r="J866" i="16"/>
  <c r="K866" i="16" s="1"/>
  <c r="J811" i="16"/>
  <c r="K811" i="16" s="1"/>
  <c r="J802" i="16"/>
  <c r="K802" i="16" s="1"/>
  <c r="J747" i="16"/>
  <c r="K747" i="16" s="1"/>
  <c r="J738" i="16"/>
  <c r="K738" i="16" s="1"/>
  <c r="J683" i="16"/>
  <c r="K683" i="16" s="1"/>
  <c r="J674" i="16"/>
  <c r="K674" i="16" s="1"/>
  <c r="J619" i="16"/>
  <c r="K619" i="16" s="1"/>
  <c r="J610" i="16"/>
  <c r="K610" i="16" s="1"/>
  <c r="J555" i="16"/>
  <c r="K555" i="16" s="1"/>
  <c r="J546" i="16"/>
  <c r="K546" i="16" s="1"/>
  <c r="J491" i="16"/>
  <c r="K491" i="16" s="1"/>
  <c r="J482" i="16"/>
  <c r="K482" i="16" s="1"/>
  <c r="J428" i="16"/>
  <c r="J387" i="16"/>
  <c r="K387" i="16" s="1"/>
  <c r="J363" i="16"/>
  <c r="K363" i="16" s="1"/>
  <c r="J331" i="16"/>
  <c r="K331" i="16" s="1"/>
  <c r="J307" i="16"/>
  <c r="K307" i="16" s="1"/>
  <c r="J276" i="16"/>
  <c r="K276" i="16" s="1"/>
  <c r="J219" i="16"/>
  <c r="K219" i="16" s="1"/>
  <c r="J163" i="16"/>
  <c r="K163" i="16" s="1"/>
  <c r="J131" i="16"/>
  <c r="K131" i="16" s="1"/>
  <c r="J107" i="16"/>
  <c r="K107" i="16" s="1"/>
  <c r="J75" i="16"/>
  <c r="K75" i="16" s="1"/>
  <c r="J51" i="16"/>
  <c r="K51" i="16" s="1"/>
  <c r="J20" i="16"/>
  <c r="K20" i="16" s="1"/>
  <c r="J1099" i="16"/>
  <c r="K1099" i="16" s="1"/>
  <c r="J1017" i="16"/>
  <c r="K1017" i="16" s="1"/>
  <c r="J953" i="16"/>
  <c r="K953" i="16" s="1"/>
  <c r="J889" i="16"/>
  <c r="K889" i="16" s="1"/>
  <c r="J825" i="16"/>
  <c r="K825" i="16" s="1"/>
  <c r="J761" i="16"/>
  <c r="K761" i="16" s="1"/>
  <c r="J697" i="16"/>
  <c r="K697" i="16" s="1"/>
  <c r="J633" i="16"/>
  <c r="K633" i="16" s="1"/>
  <c r="J569" i="16"/>
  <c r="K569" i="16" s="1"/>
  <c r="J505" i="16"/>
  <c r="K505" i="16" s="1"/>
  <c r="J441" i="16"/>
  <c r="K441" i="16" s="1"/>
  <c r="J338" i="16"/>
  <c r="K338" i="16" s="1"/>
  <c r="J314" i="16"/>
  <c r="K314" i="16" s="1"/>
  <c r="J82" i="16"/>
  <c r="K82" i="16" s="1"/>
  <c r="J58" i="16"/>
  <c r="K58" i="16" s="1"/>
  <c r="J230" i="16"/>
  <c r="K230" i="16" s="1"/>
  <c r="J741" i="16"/>
  <c r="K741" i="16" s="1"/>
  <c r="J12" i="16"/>
  <c r="K12" i="16" s="1"/>
  <c r="J46" i="16"/>
  <c r="K46" i="16" s="1"/>
  <c r="J71" i="16"/>
  <c r="K71" i="16" s="1"/>
  <c r="J108" i="16"/>
  <c r="K108" i="16" s="1"/>
  <c r="J134" i="16"/>
  <c r="K134" i="16" s="1"/>
  <c r="J164" i="16"/>
  <c r="K164" i="16" s="1"/>
  <c r="J191" i="16"/>
  <c r="K191" i="16" s="1"/>
  <c r="J223" i="16"/>
  <c r="K223" i="16" s="1"/>
  <c r="J254" i="16"/>
  <c r="K254" i="16" s="1"/>
  <c r="J286" i="16"/>
  <c r="K286" i="16" s="1"/>
  <c r="J316" i="16"/>
  <c r="K316" i="16" s="1"/>
  <c r="J342" i="16"/>
  <c r="K342" i="16" s="1"/>
  <c r="J375" i="16"/>
  <c r="K375" i="16" s="1"/>
  <c r="J399" i="16"/>
  <c r="K399" i="16" s="1"/>
  <c r="J461" i="16"/>
  <c r="K461" i="16" s="1"/>
  <c r="J533" i="16"/>
  <c r="K533" i="16" s="1"/>
  <c r="J605" i="16"/>
  <c r="K605" i="16" s="1"/>
  <c r="J685" i="16"/>
  <c r="K685" i="16" s="1"/>
  <c r="J757" i="16"/>
  <c r="K757" i="16" s="1"/>
  <c r="J829" i="16"/>
  <c r="K829" i="16" s="1"/>
  <c r="J901" i="16"/>
  <c r="K901" i="16" s="1"/>
  <c r="J973" i="16"/>
  <c r="K973" i="16" s="1"/>
  <c r="J1045" i="16"/>
  <c r="K1045" i="16" s="1"/>
  <c r="J1117" i="16"/>
  <c r="K1117" i="16" s="1"/>
  <c r="J1107" i="16"/>
  <c r="K1107" i="16" s="1"/>
  <c r="J1043" i="16"/>
  <c r="K1043" i="16" s="1"/>
  <c r="J1025" i="16"/>
  <c r="K1025" i="16" s="1"/>
  <c r="J961" i="16"/>
  <c r="K961" i="16" s="1"/>
  <c r="J897" i="16"/>
  <c r="K897" i="16" s="1"/>
  <c r="J833" i="16"/>
  <c r="K833" i="16" s="1"/>
  <c r="J769" i="16"/>
  <c r="K769" i="16" s="1"/>
  <c r="J705" i="16"/>
  <c r="K705" i="16" s="1"/>
  <c r="J641" i="16"/>
  <c r="K641" i="16" s="1"/>
  <c r="J577" i="16"/>
  <c r="K577" i="16" s="1"/>
  <c r="J513" i="16"/>
  <c r="K513" i="16" s="1"/>
  <c r="J449" i="16"/>
  <c r="K449" i="16" s="1"/>
  <c r="J346" i="16"/>
  <c r="K346" i="16" s="1"/>
  <c r="J290" i="16"/>
  <c r="K290" i="16" s="1"/>
  <c r="J258" i="16"/>
  <c r="K258" i="16" s="1"/>
  <c r="J234" i="16"/>
  <c r="K234" i="16" s="1"/>
  <c r="J202" i="16"/>
  <c r="K202" i="16" s="1"/>
  <c r="J178" i="16"/>
  <c r="K178" i="16" s="1"/>
  <c r="J90" i="16"/>
  <c r="K90" i="16" s="1"/>
  <c r="J34" i="16"/>
  <c r="K34" i="16" s="1"/>
  <c r="J294" i="16"/>
  <c r="K294" i="16" s="1"/>
  <c r="J805" i="16"/>
  <c r="K805" i="16" s="1"/>
  <c r="J14" i="16"/>
  <c r="K14" i="16" s="1"/>
  <c r="J52" i="16"/>
  <c r="J76" i="16"/>
  <c r="K76" i="16" s="1"/>
  <c r="J110" i="16"/>
  <c r="J135" i="16"/>
  <c r="K135" i="16" s="1"/>
  <c r="J172" i="16"/>
  <c r="K172" i="16" s="1"/>
  <c r="J198" i="16"/>
  <c r="K198" i="16" s="1"/>
  <c r="J228" i="16"/>
  <c r="K228" i="16" s="1"/>
  <c r="J255" i="16"/>
  <c r="K255" i="16" s="1"/>
  <c r="J287" i="16"/>
  <c r="K287" i="16" s="1"/>
  <c r="J318" i="16"/>
  <c r="K318" i="16" s="1"/>
  <c r="J350" i="16"/>
  <c r="K350" i="16" s="1"/>
  <c r="J380" i="16"/>
  <c r="K380" i="16" s="1"/>
  <c r="J406" i="16"/>
  <c r="K406" i="16" s="1"/>
  <c r="J469" i="16"/>
  <c r="K469" i="16" s="1"/>
  <c r="J541" i="16"/>
  <c r="K541" i="16" s="1"/>
  <c r="J621" i="16"/>
  <c r="K621" i="16" s="1"/>
  <c r="J693" i="16"/>
  <c r="K693" i="16" s="1"/>
  <c r="J765" i="16"/>
  <c r="K765" i="16" s="1"/>
  <c r="J837" i="16"/>
  <c r="K837" i="16" s="1"/>
  <c r="J909" i="16"/>
  <c r="K909" i="16" s="1"/>
  <c r="J981" i="16"/>
  <c r="K981" i="16" s="1"/>
  <c r="J1053" i="16"/>
  <c r="K1053" i="16" s="1"/>
  <c r="J1125" i="16"/>
  <c r="K1125" i="16" s="1"/>
  <c r="J1115" i="16"/>
  <c r="K1115" i="16" s="1"/>
  <c r="J1051" i="16"/>
  <c r="K1051" i="16" s="1"/>
  <c r="J1033" i="16"/>
  <c r="K1033" i="16" s="1"/>
  <c r="J969" i="16"/>
  <c r="K969" i="16" s="1"/>
  <c r="J905" i="16"/>
  <c r="K905" i="16" s="1"/>
  <c r="J841" i="16"/>
  <c r="K841" i="16" s="1"/>
  <c r="J777" i="16"/>
  <c r="K777" i="16" s="1"/>
  <c r="J713" i="16"/>
  <c r="K713" i="16" s="1"/>
  <c r="J649" i="16"/>
  <c r="K649" i="16" s="1"/>
  <c r="J585" i="16"/>
  <c r="K585" i="16" s="1"/>
  <c r="J521" i="16"/>
  <c r="K521" i="16" s="1"/>
  <c r="J457" i="16"/>
  <c r="K457" i="16" s="1"/>
  <c r="J402" i="16"/>
  <c r="K402" i="16" s="1"/>
  <c r="J378" i="16"/>
  <c r="K378" i="16" s="1"/>
  <c r="J146" i="16"/>
  <c r="K146" i="16" s="1"/>
  <c r="J122" i="16"/>
  <c r="K122" i="16" s="1"/>
  <c r="J358" i="16"/>
  <c r="K358" i="16" s="1"/>
  <c r="J869" i="16"/>
  <c r="K869" i="16" s="1"/>
  <c r="J15" i="16"/>
  <c r="K15" i="16" s="1"/>
  <c r="J54" i="16"/>
  <c r="K54" i="16" s="1"/>
  <c r="J78" i="16"/>
  <c r="K78" i="16" s="1"/>
  <c r="J116" i="16"/>
  <c r="K116" i="16" s="1"/>
  <c r="J140" i="16"/>
  <c r="K140" i="16" s="1"/>
  <c r="J174" i="16"/>
  <c r="K174" i="16" s="1"/>
  <c r="J199" i="16"/>
  <c r="K199" i="16" s="1"/>
  <c r="J236" i="16"/>
  <c r="K236" i="16" s="1"/>
  <c r="J262" i="16"/>
  <c r="K262" i="16" s="1"/>
  <c r="J292" i="16"/>
  <c r="K292" i="16" s="1"/>
  <c r="J319" i="16"/>
  <c r="K319" i="16" s="1"/>
  <c r="J351" i="16"/>
  <c r="K351" i="16" s="1"/>
  <c r="J382" i="16"/>
  <c r="K382" i="16" s="1"/>
  <c r="J414" i="16"/>
  <c r="K414" i="16" s="1"/>
  <c r="J477" i="16"/>
  <c r="K477" i="16" s="1"/>
  <c r="J557" i="16"/>
  <c r="K557" i="16" s="1"/>
  <c r="J629" i="16"/>
  <c r="K629" i="16" s="1"/>
  <c r="J701" i="16"/>
  <c r="K701" i="16" s="1"/>
  <c r="J773" i="16"/>
  <c r="K773" i="16" s="1"/>
  <c r="J845" i="16"/>
  <c r="K845" i="16" s="1"/>
  <c r="J917" i="16"/>
  <c r="K917" i="16" s="1"/>
  <c r="J989" i="16"/>
  <c r="K989" i="16" s="1"/>
  <c r="J1069" i="16"/>
  <c r="K1069" i="16" s="1"/>
  <c r="J1133" i="16"/>
  <c r="K1133" i="16" s="1"/>
  <c r="J1123" i="16"/>
  <c r="K1123" i="16" s="1"/>
  <c r="J1059" i="16"/>
  <c r="K1059" i="16" s="1"/>
  <c r="J977" i="16"/>
  <c r="K977" i="16" s="1"/>
  <c r="J913" i="16"/>
  <c r="K913" i="16" s="1"/>
  <c r="J849" i="16"/>
  <c r="K849" i="16" s="1"/>
  <c r="J785" i="16"/>
  <c r="K785" i="16" s="1"/>
  <c r="J721" i="16"/>
  <c r="K721" i="16" s="1"/>
  <c r="J657" i="16"/>
  <c r="K657" i="16" s="1"/>
  <c r="J593" i="16"/>
  <c r="K593" i="16" s="1"/>
  <c r="J529" i="16"/>
  <c r="K529" i="16" s="1"/>
  <c r="J465" i="16"/>
  <c r="K465" i="16" s="1"/>
  <c r="J410" i="16"/>
  <c r="K410" i="16" s="1"/>
  <c r="J354" i="16"/>
  <c r="K354" i="16" s="1"/>
  <c r="J322" i="16"/>
  <c r="K322" i="16" s="1"/>
  <c r="J298" i="16"/>
  <c r="K298" i="16" s="1"/>
  <c r="J266" i="16"/>
  <c r="K266" i="16" s="1"/>
  <c r="J242" i="16"/>
  <c r="K242" i="16" s="1"/>
  <c r="J154" i="16"/>
  <c r="K154" i="16" s="1"/>
  <c r="J98" i="16"/>
  <c r="J66" i="16"/>
  <c r="K66" i="16" s="1"/>
  <c r="J42" i="16"/>
  <c r="K42" i="16" s="1"/>
  <c r="J10" i="16"/>
  <c r="K10" i="16" s="1"/>
  <c r="J422" i="16"/>
  <c r="K422" i="16" s="1"/>
  <c r="J933" i="16"/>
  <c r="K933" i="16" s="1"/>
  <c r="J22" i="16"/>
  <c r="K22" i="16" s="1"/>
  <c r="J55" i="16"/>
  <c r="K55" i="16" s="1"/>
  <c r="J79" i="16"/>
  <c r="K79" i="16" s="1"/>
  <c r="J118" i="16"/>
  <c r="K118" i="16" s="1"/>
  <c r="J142" i="16"/>
  <c r="K142" i="16" s="1"/>
  <c r="J180" i="16"/>
  <c r="K180" i="16" s="1"/>
  <c r="J204" i="16"/>
  <c r="K204" i="16" s="1"/>
  <c r="J238" i="16"/>
  <c r="K238" i="16" s="1"/>
  <c r="J263" i="16"/>
  <c r="K263" i="16" s="1"/>
  <c r="J300" i="16"/>
  <c r="K300" i="16" s="1"/>
  <c r="J326" i="16"/>
  <c r="K326" i="16" s="1"/>
  <c r="J356" i="16"/>
  <c r="K356" i="16" s="1"/>
  <c r="J383" i="16"/>
  <c r="K383" i="16" s="1"/>
  <c r="J420" i="16"/>
  <c r="K420" i="16" s="1"/>
  <c r="J493" i="16"/>
  <c r="K493" i="16" s="1"/>
  <c r="J565" i="16"/>
  <c r="K565" i="16" s="1"/>
  <c r="J637" i="16"/>
  <c r="K637" i="16" s="1"/>
  <c r="J709" i="16"/>
  <c r="K709" i="16" s="1"/>
  <c r="J781" i="16"/>
  <c r="K781" i="16" s="1"/>
  <c r="J853" i="16"/>
  <c r="K853" i="16" s="1"/>
  <c r="J925" i="16"/>
  <c r="K925" i="16" s="1"/>
  <c r="J1005" i="16"/>
  <c r="K1005" i="16" s="1"/>
  <c r="J1077" i="16"/>
  <c r="K1077" i="16" s="1"/>
  <c r="J1141" i="16"/>
  <c r="K1141" i="16" s="1"/>
  <c r="J1131" i="16"/>
  <c r="K1131" i="16" s="1"/>
  <c r="J1067" i="16"/>
  <c r="K1067" i="16" s="1"/>
  <c r="J1040" i="16"/>
  <c r="K1040" i="16" s="1"/>
  <c r="J985" i="16"/>
  <c r="K985" i="16" s="1"/>
  <c r="J921" i="16"/>
  <c r="K921" i="16" s="1"/>
  <c r="J857" i="16"/>
  <c r="K857" i="16" s="1"/>
  <c r="J793" i="16"/>
  <c r="K793" i="16" s="1"/>
  <c r="J729" i="16"/>
  <c r="K729" i="16" s="1"/>
  <c r="J665" i="16"/>
  <c r="K665" i="16" s="1"/>
  <c r="J601" i="16"/>
  <c r="K601" i="16" s="1"/>
  <c r="J537" i="16"/>
  <c r="K537" i="16" s="1"/>
  <c r="J473" i="16"/>
  <c r="K473" i="16" s="1"/>
  <c r="J418" i="16"/>
  <c r="K418" i="16" s="1"/>
  <c r="J210" i="16"/>
  <c r="K210" i="16" s="1"/>
  <c r="J186" i="16"/>
  <c r="K186" i="16" s="1"/>
  <c r="J485" i="16"/>
  <c r="K485" i="16" s="1"/>
  <c r="J997" i="16"/>
  <c r="K997" i="16" s="1"/>
  <c r="J30" i="16"/>
  <c r="K30" i="16" s="1"/>
  <c r="J60" i="16"/>
  <c r="K60" i="16" s="1"/>
  <c r="J86" i="16"/>
  <c r="K86" i="16" s="1"/>
  <c r="J119" i="16"/>
  <c r="K119" i="16" s="1"/>
  <c r="J143" i="16"/>
  <c r="K143" i="16" s="1"/>
  <c r="J182" i="16"/>
  <c r="K182" i="16" s="1"/>
  <c r="J206" i="16"/>
  <c r="K206" i="16" s="1"/>
  <c r="J244" i="16"/>
  <c r="K244" i="16" s="1"/>
  <c r="J268" i="16"/>
  <c r="K268" i="16" s="1"/>
  <c r="J302" i="16"/>
  <c r="K302" i="16" s="1"/>
  <c r="J327" i="16"/>
  <c r="K327" i="16" s="1"/>
  <c r="J364" i="16"/>
  <c r="K364" i="16" s="1"/>
  <c r="J390" i="16"/>
  <c r="K390" i="16" s="1"/>
  <c r="J430" i="16"/>
  <c r="K430" i="16" s="1"/>
  <c r="J501" i="16"/>
  <c r="K501" i="16" s="1"/>
  <c r="J573" i="16"/>
  <c r="K573" i="16" s="1"/>
  <c r="J645" i="16"/>
  <c r="K645" i="16" s="1"/>
  <c r="J717" i="16"/>
  <c r="K717" i="16" s="1"/>
  <c r="J789" i="16"/>
  <c r="K789" i="16" s="1"/>
  <c r="J861" i="16"/>
  <c r="K861" i="16" s="1"/>
  <c r="J941" i="16"/>
  <c r="K941" i="16" s="1"/>
  <c r="J1013" i="16"/>
  <c r="K1013" i="16" s="1"/>
  <c r="J1085" i="16"/>
  <c r="K1085" i="16" s="1"/>
  <c r="J1149" i="16"/>
  <c r="K1149" i="16" s="1"/>
  <c r="J1139" i="16"/>
  <c r="K1139" i="16" s="1"/>
  <c r="J1075" i="16"/>
  <c r="K1075" i="16" s="1"/>
  <c r="J993" i="16"/>
  <c r="K993" i="16" s="1"/>
  <c r="J929" i="16"/>
  <c r="K929" i="16" s="1"/>
  <c r="J865" i="16"/>
  <c r="K865" i="16" s="1"/>
  <c r="J801" i="16"/>
  <c r="K801" i="16" s="1"/>
  <c r="J737" i="16"/>
  <c r="K737" i="16" s="1"/>
  <c r="J673" i="16"/>
  <c r="K673" i="16" s="1"/>
  <c r="J609" i="16"/>
  <c r="K609" i="16" s="1"/>
  <c r="J545" i="16"/>
  <c r="K545" i="16" s="1"/>
  <c r="J481" i="16"/>
  <c r="K481" i="16" s="1"/>
  <c r="J386" i="16"/>
  <c r="K386" i="16" s="1"/>
  <c r="J362" i="16"/>
  <c r="K362" i="16" s="1"/>
  <c r="J330" i="16"/>
  <c r="K330" i="16" s="1"/>
  <c r="J306" i="16"/>
  <c r="K306" i="16" s="1"/>
  <c r="J218" i="16"/>
  <c r="K218" i="16" s="1"/>
  <c r="J162" i="16"/>
  <c r="K162" i="16" s="1"/>
  <c r="J130" i="16"/>
  <c r="K130" i="16" s="1"/>
  <c r="J106" i="16"/>
  <c r="K106" i="16" s="1"/>
  <c r="J74" i="16"/>
  <c r="K74" i="16" s="1"/>
  <c r="J50" i="16"/>
  <c r="K50" i="16" s="1"/>
  <c r="J38" i="16"/>
  <c r="K38" i="16" s="1"/>
  <c r="J549" i="16"/>
  <c r="K549" i="16" s="1"/>
  <c r="J1061" i="16"/>
  <c r="K1061" i="16" s="1"/>
  <c r="J31" i="16"/>
  <c r="K31" i="16" s="1"/>
  <c r="J62" i="16"/>
  <c r="K62" i="16" s="1"/>
  <c r="J94" i="16"/>
  <c r="J124" i="16"/>
  <c r="K124" i="16" s="1"/>
  <c r="J150" i="16"/>
  <c r="K150" i="16" s="1"/>
  <c r="J183" i="16"/>
  <c r="K183" i="16" s="1"/>
  <c r="J207" i="16"/>
  <c r="K207" i="16" s="1"/>
  <c r="J246" i="16"/>
  <c r="K246" i="16" s="1"/>
  <c r="J270" i="16"/>
  <c r="K270" i="16" s="1"/>
  <c r="J308" i="16"/>
  <c r="K308" i="16" s="1"/>
  <c r="J332" i="16"/>
  <c r="K332" i="16" s="1"/>
  <c r="J366" i="16"/>
  <c r="K366" i="16" s="1"/>
  <c r="J391" i="16"/>
  <c r="K391" i="16" s="1"/>
  <c r="J437" i="16"/>
  <c r="K437" i="16" s="1"/>
  <c r="J509" i="16"/>
  <c r="K509" i="16" s="1"/>
  <c r="J581" i="16"/>
  <c r="K581" i="16" s="1"/>
  <c r="J653" i="16"/>
  <c r="K653" i="16" s="1"/>
  <c r="J725" i="16"/>
  <c r="K725" i="16" s="1"/>
  <c r="J797" i="16"/>
  <c r="K797" i="16" s="1"/>
  <c r="J877" i="16"/>
  <c r="K877" i="16" s="1"/>
  <c r="J949" i="16"/>
  <c r="K949" i="16" s="1"/>
  <c r="J1021" i="16"/>
  <c r="K1021" i="16" s="1"/>
  <c r="J1093" i="16"/>
  <c r="K1093" i="16" s="1"/>
  <c r="J1147" i="16"/>
  <c r="K1147" i="16" s="1"/>
  <c r="J1083" i="16"/>
  <c r="K1083" i="16" s="1"/>
  <c r="J1001" i="16"/>
  <c r="K1001" i="16" s="1"/>
  <c r="J937" i="16"/>
  <c r="K937" i="16" s="1"/>
  <c r="J873" i="16"/>
  <c r="K873" i="16" s="1"/>
  <c r="J809" i="16"/>
  <c r="K809" i="16" s="1"/>
  <c r="J745" i="16"/>
  <c r="K745" i="16" s="1"/>
  <c r="J681" i="16"/>
  <c r="K681" i="16" s="1"/>
  <c r="J617" i="16"/>
  <c r="K617" i="16" s="1"/>
  <c r="J553" i="16"/>
  <c r="K553" i="16" s="1"/>
  <c r="J489" i="16"/>
  <c r="K489" i="16" s="1"/>
  <c r="J426" i="16"/>
  <c r="K426" i="16" s="1"/>
  <c r="J274" i="16"/>
  <c r="K274" i="16" s="1"/>
  <c r="J250" i="16"/>
  <c r="K250" i="16" s="1"/>
  <c r="J18" i="16"/>
  <c r="K18" i="16" s="1"/>
  <c r="J102" i="16"/>
  <c r="K102" i="16" s="1"/>
  <c r="J613" i="16"/>
  <c r="K613" i="16" s="1"/>
  <c r="J6" i="16"/>
  <c r="K6" i="16" s="1"/>
  <c r="J36" i="16"/>
  <c r="K36" i="16" s="1"/>
  <c r="J63" i="16"/>
  <c r="K63" i="16" s="1"/>
  <c r="J95" i="16"/>
  <c r="K95" i="16" s="1"/>
  <c r="J126" i="16"/>
  <c r="K126" i="16" s="1"/>
  <c r="J158" i="16"/>
  <c r="K158" i="16" s="1"/>
  <c r="J188" i="16"/>
  <c r="J214" i="16"/>
  <c r="K214" i="16" s="1"/>
  <c r="J247" i="16"/>
  <c r="K247" i="16" s="1"/>
  <c r="J271" i="16"/>
  <c r="K271" i="16" s="1"/>
  <c r="J310" i="16"/>
  <c r="K310" i="16" s="1"/>
  <c r="J334" i="16"/>
  <c r="K334" i="16" s="1"/>
  <c r="J372" i="16"/>
  <c r="K372" i="16" s="1"/>
  <c r="J396" i="16"/>
  <c r="K396" i="16" s="1"/>
  <c r="J445" i="16"/>
  <c r="K445" i="16" s="1"/>
  <c r="J517" i="16"/>
  <c r="K517" i="16" s="1"/>
  <c r="J589" i="16"/>
  <c r="K589" i="16" s="1"/>
  <c r="J661" i="16"/>
  <c r="K661" i="16" s="1"/>
  <c r="J733" i="16"/>
  <c r="K733" i="16" s="1"/>
  <c r="J813" i="16"/>
  <c r="K813" i="16" s="1"/>
  <c r="J885" i="16"/>
  <c r="K885" i="16" s="1"/>
  <c r="J957" i="16"/>
  <c r="K957" i="16" s="1"/>
  <c r="K1029" i="16"/>
  <c r="J1101" i="16"/>
  <c r="K1101" i="16" s="1"/>
  <c r="K174" i="14" l="1"/>
  <c r="I375" i="14"/>
  <c r="L375" i="14"/>
  <c r="M375" i="14"/>
  <c r="N375" i="14"/>
  <c r="K375" i="14"/>
  <c r="G331" i="14"/>
  <c r="K331" i="14"/>
  <c r="I331" i="14"/>
  <c r="L331" i="14"/>
  <c r="M331" i="14"/>
  <c r="L174" i="14"/>
  <c r="N174" i="14"/>
  <c r="G174" i="14"/>
  <c r="N351" i="14"/>
  <c r="M351" i="14"/>
  <c r="L351" i="14"/>
  <c r="K351" i="14"/>
  <c r="G351" i="14"/>
  <c r="I351" i="14"/>
  <c r="N11" i="14"/>
  <c r="M11" i="14"/>
  <c r="L11" i="14"/>
  <c r="K11" i="14"/>
  <c r="G11" i="14"/>
  <c r="I11" i="14"/>
  <c r="N294" i="14"/>
  <c r="M294" i="14"/>
  <c r="L294" i="14"/>
  <c r="K294" i="14"/>
  <c r="I294" i="14"/>
  <c r="G294" i="14"/>
  <c r="N147" i="14"/>
  <c r="I147" i="14"/>
  <c r="L147" i="14"/>
  <c r="K147" i="14"/>
  <c r="M147" i="14"/>
  <c r="G147" i="14"/>
  <c r="N393" i="14"/>
  <c r="K393" i="14"/>
  <c r="I393" i="14"/>
  <c r="M393" i="14"/>
  <c r="L393" i="14"/>
  <c r="G393" i="14"/>
  <c r="L130" i="14"/>
  <c r="K130" i="14"/>
  <c r="M130" i="14"/>
  <c r="N130" i="14"/>
  <c r="I130" i="14"/>
  <c r="G130" i="14"/>
  <c r="N28" i="14"/>
  <c r="L28" i="14"/>
  <c r="K28" i="14"/>
  <c r="I28" i="14"/>
  <c r="G28" i="14"/>
  <c r="M28" i="14"/>
  <c r="N185" i="14"/>
  <c r="M185" i="14"/>
  <c r="L185" i="14"/>
  <c r="K185" i="14"/>
  <c r="I185" i="14"/>
  <c r="G185" i="14"/>
  <c r="N311" i="14"/>
  <c r="M311" i="14"/>
  <c r="L311" i="14"/>
  <c r="K311" i="14"/>
  <c r="I311" i="14"/>
  <c r="G311" i="14"/>
  <c r="N13" i="14"/>
  <c r="M13" i="14"/>
  <c r="I13" i="14"/>
  <c r="L13" i="14"/>
  <c r="K13" i="14"/>
  <c r="G13" i="14"/>
  <c r="N304" i="14"/>
  <c r="M304" i="14"/>
  <c r="L304" i="14"/>
  <c r="K304" i="14"/>
  <c r="I304" i="14"/>
  <c r="G304" i="14"/>
  <c r="N140" i="14"/>
  <c r="M140" i="14"/>
  <c r="I140" i="14"/>
  <c r="L140" i="14"/>
  <c r="K140" i="14"/>
  <c r="G140" i="14"/>
  <c r="N425" i="14"/>
  <c r="K425" i="14"/>
  <c r="I425" i="14"/>
  <c r="G425" i="14"/>
  <c r="L425" i="14"/>
  <c r="M425" i="14"/>
  <c r="N98" i="14"/>
  <c r="M98" i="14"/>
  <c r="L98" i="14"/>
  <c r="K98" i="14"/>
  <c r="I98" i="14"/>
  <c r="G98" i="14"/>
  <c r="N46" i="14"/>
  <c r="M46" i="14"/>
  <c r="I46" i="14"/>
  <c r="G46" i="14"/>
  <c r="K46" i="14"/>
  <c r="L46" i="14"/>
  <c r="N361" i="14"/>
  <c r="K361" i="14"/>
  <c r="I361" i="14"/>
  <c r="G361" i="14"/>
  <c r="L361" i="14"/>
  <c r="M361" i="14"/>
  <c r="N8" i="14"/>
  <c r="M8" i="14"/>
  <c r="L8" i="14"/>
  <c r="K8" i="14"/>
  <c r="I8" i="14"/>
  <c r="G8" i="14"/>
  <c r="N189" i="14"/>
  <c r="M189" i="14"/>
  <c r="L189" i="14"/>
  <c r="K189" i="14"/>
  <c r="I189" i="14"/>
  <c r="G189" i="14"/>
  <c r="N283" i="14"/>
  <c r="M283" i="14"/>
  <c r="L283" i="14"/>
  <c r="K283" i="14"/>
  <c r="I283" i="14"/>
  <c r="G283" i="14"/>
  <c r="N205" i="14"/>
  <c r="M205" i="14"/>
  <c r="L205" i="14"/>
  <c r="K205" i="14"/>
  <c r="I205" i="14"/>
  <c r="G205" i="14"/>
  <c r="N284" i="14"/>
  <c r="M284" i="14"/>
  <c r="L284" i="14"/>
  <c r="K284" i="14"/>
  <c r="I284" i="14"/>
  <c r="G284" i="14"/>
  <c r="M366" i="14"/>
  <c r="L366" i="14"/>
  <c r="K366" i="14"/>
  <c r="N366" i="14"/>
  <c r="I366" i="14"/>
  <c r="G366" i="14"/>
  <c r="N29" i="14"/>
  <c r="M29" i="14"/>
  <c r="I29" i="14"/>
  <c r="L29" i="14"/>
  <c r="K29" i="14"/>
  <c r="G29" i="14"/>
  <c r="M383" i="14"/>
  <c r="L383" i="14"/>
  <c r="N383" i="14"/>
  <c r="K383" i="14"/>
  <c r="G383" i="14"/>
  <c r="I383" i="14"/>
  <c r="N264" i="14"/>
  <c r="I264" i="14"/>
  <c r="M264" i="14"/>
  <c r="L264" i="14"/>
  <c r="K264" i="14"/>
  <c r="G264" i="14"/>
  <c r="N326" i="14"/>
  <c r="M326" i="14"/>
  <c r="L326" i="14"/>
  <c r="K326" i="14"/>
  <c r="I326" i="14"/>
  <c r="G326" i="14"/>
  <c r="N235" i="14"/>
  <c r="I235" i="14"/>
  <c r="G235" i="14"/>
  <c r="M235" i="14"/>
  <c r="K235" i="14"/>
  <c r="L235" i="14"/>
  <c r="N58" i="14"/>
  <c r="M58" i="14"/>
  <c r="L58" i="14"/>
  <c r="K58" i="14"/>
  <c r="I58" i="14"/>
  <c r="G58" i="14"/>
  <c r="N225" i="14"/>
  <c r="M225" i="14"/>
  <c r="L225" i="14"/>
  <c r="K225" i="14"/>
  <c r="G225" i="14"/>
  <c r="I225" i="14"/>
  <c r="N167" i="14"/>
  <c r="M167" i="14"/>
  <c r="L167" i="14"/>
  <c r="K167" i="14"/>
  <c r="I167" i="14"/>
  <c r="G167" i="14"/>
  <c r="N246" i="14"/>
  <c r="M246" i="14"/>
  <c r="L246" i="14"/>
  <c r="K246" i="14"/>
  <c r="I246" i="14"/>
  <c r="G246" i="14"/>
  <c r="N241" i="14"/>
  <c r="M241" i="14"/>
  <c r="L241" i="14"/>
  <c r="K241" i="14"/>
  <c r="G241" i="14"/>
  <c r="I241" i="14"/>
  <c r="N138" i="14"/>
  <c r="M138" i="14"/>
  <c r="I138" i="14"/>
  <c r="L138" i="14"/>
  <c r="K138" i="14"/>
  <c r="G138" i="14"/>
  <c r="N277" i="14"/>
  <c r="M277" i="14"/>
  <c r="L277" i="14"/>
  <c r="K277" i="14"/>
  <c r="I277" i="14"/>
  <c r="G277" i="14"/>
  <c r="N378" i="14"/>
  <c r="M378" i="14"/>
  <c r="L378" i="14"/>
  <c r="K378" i="14"/>
  <c r="I378" i="14"/>
  <c r="G378" i="14"/>
  <c r="N39" i="14"/>
  <c r="L39" i="14"/>
  <c r="K39" i="14"/>
  <c r="I39" i="14"/>
  <c r="G39" i="14"/>
  <c r="N322" i="14"/>
  <c r="M322" i="14"/>
  <c r="L322" i="14"/>
  <c r="K322" i="14"/>
  <c r="G322" i="14"/>
  <c r="I322" i="14"/>
  <c r="N100" i="14"/>
  <c r="M100" i="14"/>
  <c r="L100" i="14"/>
  <c r="K100" i="14"/>
  <c r="I100" i="14"/>
  <c r="G100" i="14"/>
  <c r="N293" i="14"/>
  <c r="M293" i="14"/>
  <c r="L293" i="14"/>
  <c r="K293" i="14"/>
  <c r="I293" i="14"/>
  <c r="G293" i="14"/>
  <c r="K400" i="14"/>
  <c r="N400" i="14"/>
  <c r="M400" i="14"/>
  <c r="L400" i="14"/>
  <c r="I400" i="14"/>
  <c r="G400" i="14"/>
  <c r="N72" i="14"/>
  <c r="M72" i="14"/>
  <c r="L72" i="14"/>
  <c r="K72" i="14"/>
  <c r="I72" i="14"/>
  <c r="G72" i="14"/>
  <c r="N119" i="14"/>
  <c r="M119" i="14"/>
  <c r="L119" i="14"/>
  <c r="K119" i="14"/>
  <c r="I119" i="14"/>
  <c r="G119" i="14"/>
  <c r="N221" i="14"/>
  <c r="M221" i="14"/>
  <c r="L221" i="14"/>
  <c r="K221" i="14"/>
  <c r="I221" i="14"/>
  <c r="G221" i="14"/>
  <c r="N390" i="14"/>
  <c r="M390" i="14"/>
  <c r="L390" i="14"/>
  <c r="K390" i="14"/>
  <c r="I390" i="14"/>
  <c r="G390" i="14"/>
  <c r="N186" i="14"/>
  <c r="M186" i="14"/>
  <c r="I186" i="14"/>
  <c r="L186" i="14"/>
  <c r="K186" i="14"/>
  <c r="G186" i="14"/>
  <c r="N109" i="14"/>
  <c r="M109" i="14"/>
  <c r="I109" i="14"/>
  <c r="G109" i="14"/>
  <c r="L109" i="14"/>
  <c r="K109" i="14"/>
  <c r="N417" i="14"/>
  <c r="K417" i="14"/>
  <c r="M417" i="14"/>
  <c r="L417" i="14"/>
  <c r="G417" i="14"/>
  <c r="I417" i="14"/>
  <c r="N80" i="14"/>
  <c r="M80" i="14"/>
  <c r="L80" i="14"/>
  <c r="K80" i="14"/>
  <c r="I80" i="14"/>
  <c r="G80" i="14"/>
  <c r="M240" i="14"/>
  <c r="L240" i="14"/>
  <c r="K240" i="14"/>
  <c r="I240" i="14"/>
  <c r="N240" i="14"/>
  <c r="G240" i="14"/>
  <c r="N412" i="14"/>
  <c r="M412" i="14"/>
  <c r="L412" i="14"/>
  <c r="K412" i="14"/>
  <c r="I412" i="14"/>
  <c r="G412" i="14"/>
  <c r="N17" i="14"/>
  <c r="M17" i="14"/>
  <c r="L17" i="14"/>
  <c r="K17" i="14"/>
  <c r="I17" i="14"/>
  <c r="G17" i="14"/>
  <c r="N81" i="14"/>
  <c r="M81" i="14"/>
  <c r="L81" i="14"/>
  <c r="K81" i="14"/>
  <c r="I81" i="14"/>
  <c r="G81" i="14"/>
  <c r="N143" i="14"/>
  <c r="M143" i="14"/>
  <c r="L143" i="14"/>
  <c r="K143" i="14"/>
  <c r="I143" i="14"/>
  <c r="G143" i="14"/>
  <c r="N206" i="14"/>
  <c r="M206" i="14"/>
  <c r="L206" i="14"/>
  <c r="K206" i="14"/>
  <c r="I206" i="14"/>
  <c r="G206" i="14"/>
  <c r="N300" i="14"/>
  <c r="M300" i="14"/>
  <c r="L300" i="14"/>
  <c r="K300" i="14"/>
  <c r="I300" i="14"/>
  <c r="G300" i="14"/>
  <c r="N324" i="14"/>
  <c r="M324" i="14"/>
  <c r="L324" i="14"/>
  <c r="K324" i="14"/>
  <c r="I324" i="14"/>
  <c r="G324" i="14"/>
  <c r="N200" i="14"/>
  <c r="M200" i="14"/>
  <c r="L200" i="14"/>
  <c r="K200" i="14"/>
  <c r="G200" i="14"/>
  <c r="I200" i="14"/>
  <c r="N305" i="14"/>
  <c r="M305" i="14"/>
  <c r="L305" i="14"/>
  <c r="K305" i="14"/>
  <c r="G305" i="14"/>
  <c r="I305" i="14"/>
  <c r="N20" i="14"/>
  <c r="M20" i="14"/>
  <c r="L20" i="14"/>
  <c r="K20" i="14"/>
  <c r="G20" i="14"/>
  <c r="I20" i="14"/>
  <c r="M256" i="14"/>
  <c r="L256" i="14"/>
  <c r="K256" i="14"/>
  <c r="I256" i="14"/>
  <c r="G256" i="14"/>
  <c r="N256" i="14"/>
  <c r="N2" i="14"/>
  <c r="M2" i="14"/>
  <c r="L2" i="14"/>
  <c r="I2" i="14"/>
  <c r="K2" i="14"/>
  <c r="G2" i="14"/>
  <c r="N82" i="14"/>
  <c r="M82" i="14"/>
  <c r="L82" i="14"/>
  <c r="K82" i="14"/>
  <c r="I82" i="14"/>
  <c r="G82" i="14"/>
  <c r="N176" i="14"/>
  <c r="M176" i="14"/>
  <c r="L176" i="14"/>
  <c r="K176" i="14"/>
  <c r="I176" i="14"/>
  <c r="G176" i="14"/>
  <c r="M85" i="14"/>
  <c r="I85" i="14"/>
  <c r="L85" i="14"/>
  <c r="K85" i="14"/>
  <c r="N85" i="14"/>
  <c r="G85" i="14"/>
  <c r="N178" i="14"/>
  <c r="M178" i="14"/>
  <c r="I178" i="14"/>
  <c r="L178" i="14"/>
  <c r="K178" i="14"/>
  <c r="G178" i="14"/>
  <c r="N94" i="14"/>
  <c r="M94" i="14"/>
  <c r="I94" i="14"/>
  <c r="G94" i="14"/>
  <c r="L94" i="14"/>
  <c r="K94" i="14"/>
  <c r="N187" i="14"/>
  <c r="M187" i="14"/>
  <c r="L187" i="14"/>
  <c r="K187" i="14"/>
  <c r="G187" i="14"/>
  <c r="I187" i="14"/>
  <c r="N266" i="14"/>
  <c r="I266" i="14"/>
  <c r="M266" i="14"/>
  <c r="L266" i="14"/>
  <c r="K266" i="14"/>
  <c r="G266" i="14"/>
  <c r="N401" i="14"/>
  <c r="K401" i="14"/>
  <c r="M401" i="14"/>
  <c r="L401" i="14"/>
  <c r="G401" i="14"/>
  <c r="I401" i="14"/>
  <c r="N35" i="14"/>
  <c r="M35" i="14"/>
  <c r="L35" i="14"/>
  <c r="K35" i="14"/>
  <c r="I35" i="14"/>
  <c r="G35" i="14"/>
  <c r="N38" i="14"/>
  <c r="M38" i="14"/>
  <c r="L38" i="14"/>
  <c r="K38" i="14"/>
  <c r="G38" i="14"/>
  <c r="I38" i="14"/>
  <c r="L193" i="14"/>
  <c r="K193" i="14"/>
  <c r="N193" i="14"/>
  <c r="M193" i="14"/>
  <c r="I193" i="14"/>
  <c r="G193" i="14"/>
  <c r="L154" i="14"/>
  <c r="K154" i="14"/>
  <c r="N154" i="14"/>
  <c r="I154" i="14"/>
  <c r="G154" i="14"/>
  <c r="M154" i="14"/>
  <c r="N14" i="14"/>
  <c r="M14" i="14"/>
  <c r="I14" i="14"/>
  <c r="L14" i="14"/>
  <c r="K14" i="14"/>
  <c r="G14" i="14"/>
  <c r="N250" i="14"/>
  <c r="M250" i="14"/>
  <c r="L250" i="14"/>
  <c r="K250" i="14"/>
  <c r="I250" i="14"/>
  <c r="G250" i="14"/>
  <c r="N265" i="14"/>
  <c r="I265" i="14"/>
  <c r="M265" i="14"/>
  <c r="L265" i="14"/>
  <c r="K265" i="14"/>
  <c r="G265" i="14"/>
  <c r="N158" i="14"/>
  <c r="M158" i="14"/>
  <c r="L158" i="14"/>
  <c r="K158" i="14"/>
  <c r="I158" i="14"/>
  <c r="G158" i="14"/>
  <c r="N329" i="14"/>
  <c r="I329" i="14"/>
  <c r="M329" i="14"/>
  <c r="L329" i="14"/>
  <c r="K329" i="14"/>
  <c r="G329" i="14"/>
  <c r="N22" i="14"/>
  <c r="M22" i="14"/>
  <c r="L22" i="14"/>
  <c r="K22" i="14"/>
  <c r="G22" i="14"/>
  <c r="I22" i="14"/>
  <c r="N367" i="14"/>
  <c r="M367" i="14"/>
  <c r="L367" i="14"/>
  <c r="K367" i="14"/>
  <c r="G367" i="14"/>
  <c r="I367" i="14"/>
  <c r="N202" i="14"/>
  <c r="M202" i="14"/>
  <c r="I202" i="14"/>
  <c r="L202" i="14"/>
  <c r="K202" i="14"/>
  <c r="G202" i="14"/>
  <c r="N203" i="14"/>
  <c r="M203" i="14"/>
  <c r="I203" i="14"/>
  <c r="L203" i="14"/>
  <c r="K203" i="14"/>
  <c r="G203" i="14"/>
  <c r="N105" i="14"/>
  <c r="M105" i="14"/>
  <c r="L105" i="14"/>
  <c r="K105" i="14"/>
  <c r="I105" i="14"/>
  <c r="G105" i="14"/>
  <c r="N413" i="14"/>
  <c r="M413" i="14"/>
  <c r="L413" i="14"/>
  <c r="K413" i="14"/>
  <c r="I413" i="14"/>
  <c r="G413" i="14"/>
  <c r="N160" i="14"/>
  <c r="M160" i="14"/>
  <c r="L160" i="14"/>
  <c r="K160" i="14"/>
  <c r="I160" i="14"/>
  <c r="G160" i="14"/>
  <c r="N388" i="14"/>
  <c r="M388" i="14"/>
  <c r="L388" i="14"/>
  <c r="K388" i="14"/>
  <c r="I388" i="14"/>
  <c r="G388" i="14"/>
  <c r="L208" i="14"/>
  <c r="K208" i="14"/>
  <c r="M208" i="14"/>
  <c r="N208" i="14"/>
  <c r="G208" i="14"/>
  <c r="I208" i="14"/>
  <c r="N117" i="14"/>
  <c r="M117" i="14"/>
  <c r="L117" i="14"/>
  <c r="K117" i="14"/>
  <c r="I117" i="14"/>
  <c r="G117" i="14"/>
  <c r="N121" i="14"/>
  <c r="M121" i="14"/>
  <c r="L121" i="14"/>
  <c r="K121" i="14"/>
  <c r="I121" i="14"/>
  <c r="G121" i="14"/>
  <c r="N307" i="14"/>
  <c r="M307" i="14"/>
  <c r="L307" i="14"/>
  <c r="K307" i="14"/>
  <c r="I307" i="14"/>
  <c r="G307" i="14"/>
  <c r="N411" i="14"/>
  <c r="M411" i="14"/>
  <c r="L411" i="14"/>
  <c r="K411" i="14"/>
  <c r="I411" i="14"/>
  <c r="G411" i="14"/>
  <c r="N104" i="14"/>
  <c r="M104" i="14"/>
  <c r="L104" i="14"/>
  <c r="K104" i="14"/>
  <c r="I104" i="14"/>
  <c r="G104" i="14"/>
  <c r="N150" i="14"/>
  <c r="M150" i="14"/>
  <c r="L150" i="14"/>
  <c r="K150" i="14"/>
  <c r="I150" i="14"/>
  <c r="G150" i="14"/>
  <c r="N181" i="14"/>
  <c r="M181" i="14"/>
  <c r="L181" i="14"/>
  <c r="K181" i="14"/>
  <c r="I181" i="14"/>
  <c r="G181" i="14"/>
  <c r="N101" i="14"/>
  <c r="I101" i="14"/>
  <c r="L101" i="14"/>
  <c r="K101" i="14"/>
  <c r="M101" i="14"/>
  <c r="G101" i="14"/>
  <c r="N255" i="14"/>
  <c r="M255" i="14"/>
  <c r="L255" i="14"/>
  <c r="K255" i="14"/>
  <c r="I255" i="14"/>
  <c r="G255" i="14"/>
  <c r="K423" i="14"/>
  <c r="I423" i="14"/>
  <c r="N423" i="14"/>
  <c r="G423" i="14"/>
  <c r="M423" i="14"/>
  <c r="L423" i="14"/>
  <c r="N57" i="14"/>
  <c r="M57" i="14"/>
  <c r="L57" i="14"/>
  <c r="K57" i="14"/>
  <c r="I57" i="14"/>
  <c r="G57" i="14"/>
  <c r="N120" i="14"/>
  <c r="M120" i="14"/>
  <c r="L120" i="14"/>
  <c r="K120" i="14"/>
  <c r="I120" i="14"/>
  <c r="G120" i="14"/>
  <c r="N182" i="14"/>
  <c r="M182" i="14"/>
  <c r="L182" i="14"/>
  <c r="K182" i="14"/>
  <c r="I182" i="14"/>
  <c r="G182" i="14"/>
  <c r="N222" i="14"/>
  <c r="M222" i="14"/>
  <c r="L222" i="14"/>
  <c r="K222" i="14"/>
  <c r="I222" i="14"/>
  <c r="G222" i="14"/>
  <c r="N276" i="14"/>
  <c r="M276" i="14"/>
  <c r="L276" i="14"/>
  <c r="K276" i="14"/>
  <c r="I276" i="14"/>
  <c r="G276" i="14"/>
  <c r="N42" i="14"/>
  <c r="M42" i="14"/>
  <c r="L42" i="14"/>
  <c r="K42" i="14"/>
  <c r="I42" i="14"/>
  <c r="G42" i="14"/>
  <c r="N268" i="14"/>
  <c r="M268" i="14"/>
  <c r="L268" i="14"/>
  <c r="K268" i="14"/>
  <c r="I268" i="14"/>
  <c r="G268" i="14"/>
  <c r="N144" i="14"/>
  <c r="M144" i="14"/>
  <c r="L144" i="14"/>
  <c r="K144" i="14"/>
  <c r="I144" i="14"/>
  <c r="G144" i="14"/>
  <c r="N207" i="14"/>
  <c r="M207" i="14"/>
  <c r="L207" i="14"/>
  <c r="K207" i="14"/>
  <c r="I207" i="14"/>
  <c r="G207" i="14"/>
  <c r="L145" i="14"/>
  <c r="K145" i="14"/>
  <c r="N145" i="14"/>
  <c r="M145" i="14"/>
  <c r="G145" i="14"/>
  <c r="I145" i="14"/>
  <c r="N350" i="14"/>
  <c r="M350" i="14"/>
  <c r="L350" i="14"/>
  <c r="K350" i="14"/>
  <c r="I350" i="14"/>
  <c r="G350" i="14"/>
  <c r="N75" i="14"/>
  <c r="M75" i="14"/>
  <c r="L75" i="14"/>
  <c r="K75" i="14"/>
  <c r="G75" i="14"/>
  <c r="I75" i="14"/>
  <c r="N273" i="14"/>
  <c r="M273" i="14"/>
  <c r="L273" i="14"/>
  <c r="K273" i="14"/>
  <c r="I273" i="14"/>
  <c r="G273" i="14"/>
  <c r="N243" i="14"/>
  <c r="M243" i="14"/>
  <c r="L243" i="14"/>
  <c r="K243" i="14"/>
  <c r="G243" i="14"/>
  <c r="I243" i="14"/>
  <c r="N272" i="14"/>
  <c r="M272" i="14"/>
  <c r="L272" i="14"/>
  <c r="K272" i="14"/>
  <c r="G272" i="14"/>
  <c r="I272" i="14"/>
  <c r="N279" i="14"/>
  <c r="M279" i="14"/>
  <c r="L279" i="14"/>
  <c r="K279" i="14"/>
  <c r="I279" i="14"/>
  <c r="G279" i="14"/>
  <c r="N123" i="14"/>
  <c r="M123" i="14"/>
  <c r="I123" i="14"/>
  <c r="L123" i="14"/>
  <c r="K123" i="14"/>
  <c r="G123" i="14"/>
  <c r="N211" i="14"/>
  <c r="M211" i="14"/>
  <c r="L211" i="14"/>
  <c r="K211" i="14"/>
  <c r="G211" i="14"/>
  <c r="I211" i="14"/>
  <c r="N30" i="14"/>
  <c r="M30" i="14"/>
  <c r="I30" i="14"/>
  <c r="G30" i="14"/>
  <c r="L30" i="14"/>
  <c r="K30" i="14"/>
  <c r="N230" i="14"/>
  <c r="M230" i="14"/>
  <c r="L230" i="14"/>
  <c r="K230" i="14"/>
  <c r="I230" i="14"/>
  <c r="G230" i="14"/>
  <c r="M336" i="14"/>
  <c r="L336" i="14"/>
  <c r="K336" i="14"/>
  <c r="I336" i="14"/>
  <c r="G336" i="14"/>
  <c r="N336" i="14"/>
  <c r="N290" i="14"/>
  <c r="M290" i="14"/>
  <c r="L290" i="14"/>
  <c r="K290" i="14"/>
  <c r="G290" i="14"/>
  <c r="I290" i="14"/>
  <c r="N40" i="14"/>
  <c r="M40" i="14"/>
  <c r="L40" i="14"/>
  <c r="K40" i="14"/>
  <c r="I40" i="14"/>
  <c r="G40" i="14"/>
  <c r="N433" i="14"/>
  <c r="M433" i="14"/>
  <c r="L433" i="14"/>
  <c r="K433" i="14"/>
  <c r="G433" i="14"/>
  <c r="I433" i="14"/>
  <c r="N291" i="14"/>
  <c r="M291" i="14"/>
  <c r="L291" i="14"/>
  <c r="K291" i="14"/>
  <c r="I291" i="14"/>
  <c r="G291" i="14"/>
  <c r="N12" i="14"/>
  <c r="M12" i="14"/>
  <c r="I12" i="14"/>
  <c r="L12" i="14"/>
  <c r="K12" i="14"/>
  <c r="G12" i="14"/>
  <c r="N180" i="14"/>
  <c r="M180" i="14"/>
  <c r="L180" i="14"/>
  <c r="K180" i="14"/>
  <c r="I180" i="14"/>
  <c r="G180" i="14"/>
  <c r="N306" i="14"/>
  <c r="M306" i="14"/>
  <c r="L306" i="14"/>
  <c r="K306" i="14"/>
  <c r="G306" i="14"/>
  <c r="I306" i="14"/>
  <c r="N399" i="14"/>
  <c r="M399" i="14"/>
  <c r="L399" i="14"/>
  <c r="G399" i="14"/>
  <c r="K399" i="14"/>
  <c r="I399" i="14"/>
  <c r="N71" i="14"/>
  <c r="M71" i="14"/>
  <c r="L71" i="14"/>
  <c r="K71" i="14"/>
  <c r="I71" i="14"/>
  <c r="G71" i="14"/>
  <c r="N103" i="14"/>
  <c r="M103" i="14"/>
  <c r="L103" i="14"/>
  <c r="K103" i="14"/>
  <c r="I103" i="14"/>
  <c r="G103" i="14"/>
  <c r="M398" i="14"/>
  <c r="L398" i="14"/>
  <c r="K398" i="14"/>
  <c r="N398" i="14"/>
  <c r="I398" i="14"/>
  <c r="G398" i="14"/>
  <c r="N21" i="14"/>
  <c r="I21" i="14"/>
  <c r="L21" i="14"/>
  <c r="K21" i="14"/>
  <c r="M21" i="14"/>
  <c r="G21" i="14"/>
  <c r="I171" i="14"/>
  <c r="M171" i="14"/>
  <c r="G171" i="14"/>
  <c r="N171" i="14"/>
  <c r="L171" i="14"/>
  <c r="K171" i="14"/>
  <c r="N321" i="14"/>
  <c r="M321" i="14"/>
  <c r="L321" i="14"/>
  <c r="K321" i="14"/>
  <c r="G321" i="14"/>
  <c r="I321" i="14"/>
  <c r="N162" i="14"/>
  <c r="M162" i="14"/>
  <c r="L162" i="14"/>
  <c r="K162" i="14"/>
  <c r="I162" i="14"/>
  <c r="G162" i="14"/>
  <c r="N335" i="14"/>
  <c r="M335" i="14"/>
  <c r="L335" i="14"/>
  <c r="K335" i="14"/>
  <c r="G335" i="14"/>
  <c r="I335" i="14"/>
  <c r="N421" i="14"/>
  <c r="M421" i="14"/>
  <c r="L421" i="14"/>
  <c r="K421" i="14"/>
  <c r="I421" i="14"/>
  <c r="G421" i="14"/>
  <c r="N32" i="14"/>
  <c r="M32" i="14"/>
  <c r="L32" i="14"/>
  <c r="K32" i="14"/>
  <c r="I32" i="14"/>
  <c r="G32" i="14"/>
  <c r="N134" i="14"/>
  <c r="M134" i="14"/>
  <c r="L134" i="14"/>
  <c r="K134" i="14"/>
  <c r="I134" i="14"/>
  <c r="G134" i="14"/>
  <c r="N213" i="14"/>
  <c r="M213" i="14"/>
  <c r="L213" i="14"/>
  <c r="K213" i="14"/>
  <c r="I213" i="14"/>
  <c r="G213" i="14"/>
  <c r="N172" i="14"/>
  <c r="M172" i="14"/>
  <c r="I172" i="14"/>
  <c r="G172" i="14"/>
  <c r="K172" i="14"/>
  <c r="L172" i="14"/>
  <c r="N281" i="14"/>
  <c r="I281" i="14"/>
  <c r="G281" i="14"/>
  <c r="M281" i="14"/>
  <c r="L281" i="14"/>
  <c r="K281" i="14"/>
  <c r="N122" i="14"/>
  <c r="M122" i="14"/>
  <c r="L122" i="14"/>
  <c r="K122" i="14"/>
  <c r="G122" i="14"/>
  <c r="I122" i="14"/>
  <c r="N295" i="14"/>
  <c r="I295" i="14"/>
  <c r="G295" i="14"/>
  <c r="K295" i="14"/>
  <c r="L295" i="14"/>
  <c r="M295" i="14"/>
  <c r="N444" i="14"/>
  <c r="M444" i="14"/>
  <c r="L444" i="14"/>
  <c r="I444" i="14"/>
  <c r="K444" i="14"/>
  <c r="G444" i="14"/>
  <c r="N33" i="14"/>
  <c r="M33" i="14"/>
  <c r="L33" i="14"/>
  <c r="K33" i="14"/>
  <c r="I33" i="14"/>
  <c r="G33" i="14"/>
  <c r="N97" i="14"/>
  <c r="M97" i="14"/>
  <c r="L97" i="14"/>
  <c r="K97" i="14"/>
  <c r="I97" i="14"/>
  <c r="G97" i="14"/>
  <c r="N159" i="14"/>
  <c r="M159" i="14"/>
  <c r="L159" i="14"/>
  <c r="K159" i="14"/>
  <c r="I159" i="14"/>
  <c r="G159" i="14"/>
  <c r="N261" i="14"/>
  <c r="M261" i="14"/>
  <c r="L261" i="14"/>
  <c r="K261" i="14"/>
  <c r="I261" i="14"/>
  <c r="G261" i="14"/>
  <c r="N316" i="14"/>
  <c r="M316" i="14"/>
  <c r="L316" i="14"/>
  <c r="K316" i="14"/>
  <c r="I316" i="14"/>
  <c r="G316" i="14"/>
  <c r="N438" i="14"/>
  <c r="M438" i="14"/>
  <c r="L438" i="14"/>
  <c r="K438" i="14"/>
  <c r="I438" i="14"/>
  <c r="G438" i="14"/>
  <c r="N84" i="14"/>
  <c r="M84" i="14"/>
  <c r="L84" i="14"/>
  <c r="K84" i="14"/>
  <c r="G84" i="14"/>
  <c r="I84" i="14"/>
  <c r="N310" i="14"/>
  <c r="M310" i="14"/>
  <c r="L310" i="14"/>
  <c r="K310" i="14"/>
  <c r="I310" i="14"/>
  <c r="G310" i="14"/>
  <c r="N239" i="14"/>
  <c r="M239" i="14"/>
  <c r="L239" i="14"/>
  <c r="K239" i="14"/>
  <c r="I239" i="14"/>
  <c r="G239" i="14"/>
  <c r="N139" i="14"/>
  <c r="M139" i="14"/>
  <c r="I139" i="14"/>
  <c r="L139" i="14"/>
  <c r="K139" i="14"/>
  <c r="G139" i="14"/>
  <c r="N148" i="14"/>
  <c r="M148" i="14"/>
  <c r="L148" i="14"/>
  <c r="K148" i="14"/>
  <c r="G148" i="14"/>
  <c r="I148" i="14"/>
  <c r="N353" i="14"/>
  <c r="M353" i="14"/>
  <c r="L353" i="14"/>
  <c r="K353" i="14"/>
  <c r="G353" i="14"/>
  <c r="I353" i="14"/>
  <c r="L51" i="14"/>
  <c r="K51" i="14"/>
  <c r="M51" i="14"/>
  <c r="N51" i="14"/>
  <c r="G51" i="14"/>
  <c r="I51" i="14"/>
  <c r="M342" i="14"/>
  <c r="L342" i="14"/>
  <c r="K342" i="14"/>
  <c r="I342" i="14"/>
  <c r="G342" i="14"/>
  <c r="N342" i="14"/>
  <c r="M406" i="14"/>
  <c r="L406" i="14"/>
  <c r="K406" i="14"/>
  <c r="N406" i="14"/>
  <c r="I406" i="14"/>
  <c r="G406" i="14"/>
  <c r="N345" i="14"/>
  <c r="I345" i="14"/>
  <c r="G345" i="14"/>
  <c r="M345" i="14"/>
  <c r="L345" i="14"/>
  <c r="K345" i="14"/>
  <c r="N352" i="14"/>
  <c r="M352" i="14"/>
  <c r="L352" i="14"/>
  <c r="K352" i="14"/>
  <c r="I352" i="14"/>
  <c r="G352" i="14"/>
  <c r="N289" i="14"/>
  <c r="M289" i="14"/>
  <c r="L289" i="14"/>
  <c r="K289" i="14"/>
  <c r="G289" i="14"/>
  <c r="I289" i="14"/>
  <c r="N385" i="14"/>
  <c r="M385" i="14"/>
  <c r="L385" i="14"/>
  <c r="K385" i="14"/>
  <c r="G385" i="14"/>
  <c r="I385" i="14"/>
  <c r="N356" i="14"/>
  <c r="M356" i="14"/>
  <c r="L356" i="14"/>
  <c r="K356" i="14"/>
  <c r="I356" i="14"/>
  <c r="G356" i="14"/>
  <c r="N36" i="14"/>
  <c r="M36" i="14"/>
  <c r="L36" i="14"/>
  <c r="K36" i="14"/>
  <c r="I36" i="14"/>
  <c r="G36" i="14"/>
  <c r="N56" i="14"/>
  <c r="M56" i="14"/>
  <c r="L56" i="14"/>
  <c r="K56" i="14"/>
  <c r="I56" i="14"/>
  <c r="G56" i="14"/>
  <c r="N93" i="14"/>
  <c r="M93" i="14"/>
  <c r="I93" i="14"/>
  <c r="L93" i="14"/>
  <c r="K93" i="14"/>
  <c r="G93" i="14"/>
  <c r="M37" i="14"/>
  <c r="I37" i="14"/>
  <c r="L37" i="14"/>
  <c r="K37" i="14"/>
  <c r="N37" i="14"/>
  <c r="G37" i="14"/>
  <c r="N65" i="14"/>
  <c r="M65" i="14"/>
  <c r="L65" i="14"/>
  <c r="K65" i="14"/>
  <c r="I65" i="14"/>
  <c r="G65" i="14"/>
  <c r="N392" i="14"/>
  <c r="K392" i="14"/>
  <c r="I392" i="14"/>
  <c r="M392" i="14"/>
  <c r="L392" i="14"/>
  <c r="G392" i="14"/>
  <c r="N99" i="14"/>
  <c r="M99" i="14"/>
  <c r="L99" i="14"/>
  <c r="K99" i="14"/>
  <c r="I99" i="14"/>
  <c r="G99" i="14"/>
  <c r="N374" i="14"/>
  <c r="M374" i="14"/>
  <c r="L374" i="14"/>
  <c r="K374" i="14"/>
  <c r="I374" i="14"/>
  <c r="G374" i="14"/>
  <c r="L68" i="14"/>
  <c r="K68" i="14"/>
  <c r="N68" i="14"/>
  <c r="I68" i="14"/>
  <c r="G68" i="14"/>
  <c r="M68" i="14"/>
  <c r="N259" i="14"/>
  <c r="M259" i="14"/>
  <c r="L259" i="14"/>
  <c r="K259" i="14"/>
  <c r="G259" i="14"/>
  <c r="I259" i="14"/>
  <c r="N6" i="14"/>
  <c r="M6" i="14"/>
  <c r="L6" i="14"/>
  <c r="K6" i="14"/>
  <c r="I6" i="14"/>
  <c r="G6" i="14"/>
  <c r="N389" i="14"/>
  <c r="K389" i="14"/>
  <c r="M389" i="14"/>
  <c r="L389" i="14"/>
  <c r="I389" i="14"/>
  <c r="G389" i="14"/>
  <c r="N41" i="14"/>
  <c r="M41" i="14"/>
  <c r="L41" i="14"/>
  <c r="K41" i="14"/>
  <c r="I41" i="14"/>
  <c r="G41" i="14"/>
  <c r="N34" i="14"/>
  <c r="M34" i="14"/>
  <c r="L34" i="14"/>
  <c r="K34" i="14"/>
  <c r="I34" i="14"/>
  <c r="G34" i="14"/>
  <c r="N201" i="14"/>
  <c r="M201" i="14"/>
  <c r="I201" i="14"/>
  <c r="L201" i="14"/>
  <c r="K201" i="14"/>
  <c r="G201" i="14"/>
  <c r="M319" i="14"/>
  <c r="L319" i="14"/>
  <c r="K319" i="14"/>
  <c r="N319" i="14"/>
  <c r="G319" i="14"/>
  <c r="I319" i="14"/>
  <c r="N410" i="14"/>
  <c r="M410" i="14"/>
  <c r="L410" i="14"/>
  <c r="I410" i="14"/>
  <c r="G410" i="14"/>
  <c r="K410" i="14"/>
  <c r="N133" i="14"/>
  <c r="M133" i="14"/>
  <c r="L133" i="14"/>
  <c r="K133" i="14"/>
  <c r="I133" i="14"/>
  <c r="G133" i="14"/>
  <c r="N165" i="14"/>
  <c r="M165" i="14"/>
  <c r="L165" i="14"/>
  <c r="K165" i="14"/>
  <c r="I165" i="14"/>
  <c r="G165" i="14"/>
  <c r="I69" i="14"/>
  <c r="L69" i="14"/>
  <c r="K69" i="14"/>
  <c r="N69" i="14"/>
  <c r="G69" i="14"/>
  <c r="M69" i="14"/>
  <c r="N86" i="14"/>
  <c r="M86" i="14"/>
  <c r="L86" i="14"/>
  <c r="K86" i="14"/>
  <c r="G86" i="14"/>
  <c r="I86" i="14"/>
  <c r="N195" i="14"/>
  <c r="M195" i="14"/>
  <c r="L195" i="14"/>
  <c r="K195" i="14"/>
  <c r="I195" i="14"/>
  <c r="G195" i="14"/>
  <c r="N409" i="14"/>
  <c r="I409" i="14"/>
  <c r="G409" i="14"/>
  <c r="M409" i="14"/>
  <c r="L409" i="14"/>
  <c r="K409" i="14"/>
  <c r="N183" i="14"/>
  <c r="M183" i="14"/>
  <c r="L183" i="14"/>
  <c r="K183" i="14"/>
  <c r="I183" i="14"/>
  <c r="G183" i="14"/>
  <c r="N347" i="14"/>
  <c r="M347" i="14"/>
  <c r="L347" i="14"/>
  <c r="K347" i="14"/>
  <c r="I347" i="14"/>
  <c r="G347" i="14"/>
  <c r="N432" i="14"/>
  <c r="M432" i="14"/>
  <c r="L432" i="14"/>
  <c r="K432" i="14"/>
  <c r="I432" i="14"/>
  <c r="G432" i="14"/>
  <c r="N64" i="14"/>
  <c r="M64" i="14"/>
  <c r="L64" i="14"/>
  <c r="K64" i="14"/>
  <c r="I64" i="14"/>
  <c r="G64" i="14"/>
  <c r="N166" i="14"/>
  <c r="M166" i="14"/>
  <c r="L166" i="14"/>
  <c r="K166" i="14"/>
  <c r="I166" i="14"/>
  <c r="G166" i="14"/>
  <c r="N155" i="14"/>
  <c r="M155" i="14"/>
  <c r="I155" i="14"/>
  <c r="L155" i="14"/>
  <c r="K155" i="14"/>
  <c r="G155" i="14"/>
  <c r="N70" i="14"/>
  <c r="M70" i="14"/>
  <c r="L70" i="14"/>
  <c r="K70" i="14"/>
  <c r="I70" i="14"/>
  <c r="G70" i="14"/>
  <c r="N377" i="14"/>
  <c r="K377" i="14"/>
  <c r="M377" i="14"/>
  <c r="L377" i="14"/>
  <c r="I377" i="14"/>
  <c r="G377" i="14"/>
  <c r="N142" i="14"/>
  <c r="M142" i="14"/>
  <c r="L142" i="14"/>
  <c r="K142" i="14"/>
  <c r="I142" i="14"/>
  <c r="G142" i="14"/>
  <c r="N309" i="14"/>
  <c r="M309" i="14"/>
  <c r="L309" i="14"/>
  <c r="K309" i="14"/>
  <c r="I309" i="14"/>
  <c r="G309" i="14"/>
  <c r="N9" i="14"/>
  <c r="M9" i="14"/>
  <c r="L9" i="14"/>
  <c r="K9" i="14"/>
  <c r="I9" i="14"/>
  <c r="G9" i="14"/>
  <c r="N73" i="14"/>
  <c r="M73" i="14"/>
  <c r="L73" i="14"/>
  <c r="K73" i="14"/>
  <c r="I73" i="14"/>
  <c r="G73" i="14"/>
  <c r="N135" i="14"/>
  <c r="M135" i="14"/>
  <c r="L135" i="14"/>
  <c r="K135" i="14"/>
  <c r="I135" i="14"/>
  <c r="G135" i="14"/>
  <c r="N238" i="14"/>
  <c r="M238" i="14"/>
  <c r="L238" i="14"/>
  <c r="K238" i="14"/>
  <c r="I238" i="14"/>
  <c r="G238" i="14"/>
  <c r="N292" i="14"/>
  <c r="M292" i="14"/>
  <c r="L292" i="14"/>
  <c r="K292" i="14"/>
  <c r="I292" i="14"/>
  <c r="G292" i="14"/>
  <c r="N332" i="14"/>
  <c r="M332" i="14"/>
  <c r="L332" i="14"/>
  <c r="K332" i="14"/>
  <c r="I332" i="14"/>
  <c r="G332" i="14"/>
  <c r="N219" i="14"/>
  <c r="M219" i="14"/>
  <c r="I219" i="14"/>
  <c r="G219" i="14"/>
  <c r="L219" i="14"/>
  <c r="K219" i="14"/>
  <c r="N369" i="14"/>
  <c r="M369" i="14"/>
  <c r="L369" i="14"/>
  <c r="K369" i="14"/>
  <c r="G369" i="14"/>
  <c r="I369" i="14"/>
  <c r="N106" i="14"/>
  <c r="M106" i="14"/>
  <c r="L106" i="14"/>
  <c r="K106" i="14"/>
  <c r="I106" i="14"/>
  <c r="G106" i="14"/>
  <c r="N325" i="14"/>
  <c r="M325" i="14"/>
  <c r="L325" i="14"/>
  <c r="K325" i="14"/>
  <c r="I325" i="14"/>
  <c r="G325" i="14"/>
  <c r="N270" i="14"/>
  <c r="M270" i="14"/>
  <c r="L270" i="14"/>
  <c r="K270" i="14"/>
  <c r="I270" i="14"/>
  <c r="G270" i="14"/>
  <c r="N414" i="14"/>
  <c r="M414" i="14"/>
  <c r="L414" i="14"/>
  <c r="K414" i="14"/>
  <c r="I414" i="14"/>
  <c r="G414" i="14"/>
  <c r="N61" i="14"/>
  <c r="M61" i="14"/>
  <c r="I61" i="14"/>
  <c r="L61" i="14"/>
  <c r="K61" i="14"/>
  <c r="G61" i="14"/>
  <c r="N62" i="14"/>
  <c r="M62" i="14"/>
  <c r="L62" i="14"/>
  <c r="K62" i="14"/>
  <c r="G62" i="14"/>
  <c r="I62" i="14"/>
  <c r="L19" i="14"/>
  <c r="K19" i="14"/>
  <c r="N19" i="14"/>
  <c r="M19" i="14"/>
  <c r="G19" i="14"/>
  <c r="I19" i="14"/>
  <c r="L67" i="14"/>
  <c r="K67" i="14"/>
  <c r="N67" i="14"/>
  <c r="I67" i="14"/>
  <c r="G67" i="14"/>
  <c r="M67" i="14"/>
  <c r="N395" i="14"/>
  <c r="M395" i="14"/>
  <c r="L395" i="14"/>
  <c r="K395" i="14"/>
  <c r="I395" i="14"/>
  <c r="G395" i="14"/>
  <c r="M92" i="14"/>
  <c r="L92" i="14"/>
  <c r="K92" i="14"/>
  <c r="I92" i="14"/>
  <c r="G92" i="14"/>
  <c r="N92" i="14"/>
  <c r="N249" i="14"/>
  <c r="M249" i="14"/>
  <c r="L249" i="14"/>
  <c r="K249" i="14"/>
  <c r="I249" i="14"/>
  <c r="G249" i="14"/>
  <c r="N102" i="14"/>
  <c r="M102" i="14"/>
  <c r="L102" i="14"/>
  <c r="K102" i="14"/>
  <c r="G102" i="14"/>
  <c r="I102" i="14"/>
  <c r="N379" i="14"/>
  <c r="M379" i="14"/>
  <c r="L379" i="14"/>
  <c r="K379" i="14"/>
  <c r="I379" i="14"/>
  <c r="G379" i="14"/>
  <c r="N132" i="14"/>
  <c r="M132" i="14"/>
  <c r="L132" i="14"/>
  <c r="K132" i="14"/>
  <c r="I132" i="14"/>
  <c r="G132" i="14"/>
  <c r="N127" i="14"/>
  <c r="M127" i="14"/>
  <c r="L127" i="14"/>
  <c r="K127" i="14"/>
  <c r="G127" i="14"/>
  <c r="I127" i="14"/>
  <c r="N50" i="14"/>
  <c r="M50" i="14"/>
  <c r="L50" i="14"/>
  <c r="K50" i="14"/>
  <c r="I50" i="14"/>
  <c r="G50" i="14"/>
  <c r="N263" i="14"/>
  <c r="M263" i="14"/>
  <c r="L263" i="14"/>
  <c r="K263" i="14"/>
  <c r="I263" i="14"/>
  <c r="G263" i="14"/>
  <c r="N7" i="14"/>
  <c r="M7" i="14"/>
  <c r="L7" i="14"/>
  <c r="K7" i="14"/>
  <c r="I7" i="14"/>
  <c r="G7" i="14"/>
  <c r="N88" i="14"/>
  <c r="M88" i="14"/>
  <c r="L88" i="14"/>
  <c r="K88" i="14"/>
  <c r="I88" i="14"/>
  <c r="G88" i="14"/>
  <c r="N253" i="14"/>
  <c r="M253" i="14"/>
  <c r="L253" i="14"/>
  <c r="K253" i="14"/>
  <c r="I253" i="14"/>
  <c r="G253" i="14"/>
  <c r="N391" i="14"/>
  <c r="K391" i="14"/>
  <c r="I391" i="14"/>
  <c r="M391" i="14"/>
  <c r="L391" i="14"/>
  <c r="G391" i="14"/>
  <c r="L114" i="14"/>
  <c r="K114" i="14"/>
  <c r="N114" i="14"/>
  <c r="M114" i="14"/>
  <c r="G114" i="14"/>
  <c r="I114" i="14"/>
  <c r="N55" i="14"/>
  <c r="M55" i="14"/>
  <c r="L55" i="14"/>
  <c r="K55" i="14"/>
  <c r="I55" i="14"/>
  <c r="G55" i="14"/>
  <c r="N223" i="14"/>
  <c r="M223" i="14"/>
  <c r="L223" i="14"/>
  <c r="K223" i="14"/>
  <c r="I223" i="14"/>
  <c r="G223" i="14"/>
  <c r="M334" i="14"/>
  <c r="L334" i="14"/>
  <c r="K334" i="14"/>
  <c r="N334" i="14"/>
  <c r="I334" i="14"/>
  <c r="G334" i="14"/>
  <c r="N420" i="14"/>
  <c r="M420" i="14"/>
  <c r="L420" i="14"/>
  <c r="K420" i="14"/>
  <c r="I420" i="14"/>
  <c r="G420" i="14"/>
  <c r="I131" i="14"/>
  <c r="L131" i="14"/>
  <c r="K131" i="14"/>
  <c r="M131" i="14"/>
  <c r="G131" i="14"/>
  <c r="N131" i="14"/>
  <c r="N77" i="14"/>
  <c r="M77" i="14"/>
  <c r="I77" i="14"/>
  <c r="L77" i="14"/>
  <c r="K77" i="14"/>
  <c r="G77" i="14"/>
  <c r="N224" i="14"/>
  <c r="M224" i="14"/>
  <c r="L224" i="14"/>
  <c r="K224" i="14"/>
  <c r="I224" i="14"/>
  <c r="G224" i="14"/>
  <c r="N357" i="14"/>
  <c r="M357" i="14"/>
  <c r="L357" i="14"/>
  <c r="I357" i="14"/>
  <c r="K357" i="14"/>
  <c r="G357" i="14"/>
  <c r="N443" i="14"/>
  <c r="M443" i="14"/>
  <c r="L443" i="14"/>
  <c r="K443" i="14"/>
  <c r="I443" i="14"/>
  <c r="G443" i="14"/>
  <c r="N96" i="14"/>
  <c r="M96" i="14"/>
  <c r="L96" i="14"/>
  <c r="K96" i="14"/>
  <c r="I96" i="14"/>
  <c r="G96" i="14"/>
  <c r="N197" i="14"/>
  <c r="M197" i="14"/>
  <c r="L197" i="14"/>
  <c r="K197" i="14"/>
  <c r="I197" i="14"/>
  <c r="G197" i="14"/>
  <c r="N315" i="14"/>
  <c r="M315" i="14"/>
  <c r="L315" i="14"/>
  <c r="K315" i="14"/>
  <c r="I315" i="14"/>
  <c r="G315" i="14"/>
  <c r="M163" i="14"/>
  <c r="I163" i="14"/>
  <c r="L163" i="14"/>
  <c r="K163" i="14"/>
  <c r="N163" i="14"/>
  <c r="G163" i="14"/>
  <c r="N348" i="14"/>
  <c r="M348" i="14"/>
  <c r="L348" i="14"/>
  <c r="K348" i="14"/>
  <c r="I348" i="14"/>
  <c r="G348" i="14"/>
  <c r="N49" i="14"/>
  <c r="M49" i="14"/>
  <c r="L49" i="14"/>
  <c r="K49" i="14"/>
  <c r="I49" i="14"/>
  <c r="G49" i="14"/>
  <c r="N112" i="14"/>
  <c r="M112" i="14"/>
  <c r="L112" i="14"/>
  <c r="K112" i="14"/>
  <c r="I112" i="14"/>
  <c r="G112" i="14"/>
  <c r="N198" i="14"/>
  <c r="M198" i="14"/>
  <c r="L198" i="14"/>
  <c r="K198" i="14"/>
  <c r="I198" i="14"/>
  <c r="G198" i="14"/>
  <c r="N214" i="14"/>
  <c r="M214" i="14"/>
  <c r="L214" i="14"/>
  <c r="K214" i="14"/>
  <c r="I214" i="14"/>
  <c r="G214" i="14"/>
  <c r="N308" i="14"/>
  <c r="M308" i="14"/>
  <c r="L308" i="14"/>
  <c r="K308" i="14"/>
  <c r="I308" i="14"/>
  <c r="G308" i="14"/>
  <c r="N146" i="14"/>
  <c r="M146" i="14"/>
  <c r="L146" i="14"/>
  <c r="K146" i="14"/>
  <c r="G146" i="14"/>
  <c r="I146" i="14"/>
  <c r="N349" i="14"/>
  <c r="M349" i="14"/>
  <c r="L349" i="14"/>
  <c r="K349" i="14"/>
  <c r="I349" i="14"/>
  <c r="G349" i="14"/>
  <c r="N301" i="14"/>
  <c r="M301" i="14"/>
  <c r="L301" i="14"/>
  <c r="K301" i="14"/>
  <c r="I301" i="14"/>
  <c r="G301" i="14"/>
  <c r="L129" i="14"/>
  <c r="K129" i="14"/>
  <c r="M129" i="14"/>
  <c r="N129" i="14"/>
  <c r="I129" i="14"/>
  <c r="G129" i="14"/>
  <c r="N232" i="14"/>
  <c r="M232" i="14"/>
  <c r="L232" i="14"/>
  <c r="K232" i="14"/>
  <c r="I232" i="14"/>
  <c r="G232" i="14"/>
  <c r="M210" i="14"/>
  <c r="I210" i="14"/>
  <c r="L210" i="14"/>
  <c r="K210" i="14"/>
  <c r="N210" i="14"/>
  <c r="G210" i="14"/>
  <c r="N107" i="14"/>
  <c r="M107" i="14"/>
  <c r="L107" i="14"/>
  <c r="K107" i="14"/>
  <c r="G107" i="14"/>
  <c r="I107" i="14"/>
  <c r="N218" i="14"/>
  <c r="M218" i="14"/>
  <c r="I218" i="14"/>
  <c r="L218" i="14"/>
  <c r="K218" i="14"/>
  <c r="G218" i="14"/>
  <c r="N441" i="14"/>
  <c r="K441" i="14"/>
  <c r="M441" i="14"/>
  <c r="L441" i="14"/>
  <c r="I441" i="14"/>
  <c r="G441" i="14"/>
  <c r="N60" i="14"/>
  <c r="M60" i="14"/>
  <c r="L60" i="14"/>
  <c r="K60" i="14"/>
  <c r="I60" i="14"/>
  <c r="G60" i="14"/>
  <c r="I45" i="14"/>
  <c r="M45" i="14"/>
  <c r="N45" i="14"/>
  <c r="G45" i="14"/>
  <c r="K45" i="14"/>
  <c r="L45" i="14"/>
  <c r="N442" i="14"/>
  <c r="M442" i="14"/>
  <c r="L442" i="14"/>
  <c r="K442" i="14"/>
  <c r="I442" i="14"/>
  <c r="G442" i="14"/>
  <c r="N260" i="14"/>
  <c r="M260" i="14"/>
  <c r="L260" i="14"/>
  <c r="K260" i="14"/>
  <c r="G260" i="14"/>
  <c r="I260" i="14"/>
  <c r="N380" i="14"/>
  <c r="M380" i="14"/>
  <c r="L380" i="14"/>
  <c r="K380" i="14"/>
  <c r="I380" i="14"/>
  <c r="G380" i="14"/>
  <c r="N209" i="14"/>
  <c r="M209" i="14"/>
  <c r="L209" i="14"/>
  <c r="K209" i="14"/>
  <c r="G209" i="14"/>
  <c r="I209" i="14"/>
  <c r="M382" i="14"/>
  <c r="L382" i="14"/>
  <c r="K382" i="14"/>
  <c r="N382" i="14"/>
  <c r="I382" i="14"/>
  <c r="G382" i="14"/>
  <c r="N313" i="14"/>
  <c r="M313" i="14"/>
  <c r="L313" i="14"/>
  <c r="K313" i="14"/>
  <c r="I313" i="14"/>
  <c r="G313" i="14"/>
  <c r="N43" i="14"/>
  <c r="M43" i="14"/>
  <c r="L43" i="14"/>
  <c r="K43" i="14"/>
  <c r="G43" i="14"/>
  <c r="I43" i="14"/>
  <c r="N137" i="14"/>
  <c r="M137" i="14"/>
  <c r="L137" i="14"/>
  <c r="K137" i="14"/>
  <c r="G137" i="14"/>
  <c r="I137" i="14"/>
  <c r="N54" i="14"/>
  <c r="M54" i="14"/>
  <c r="L54" i="14"/>
  <c r="K54" i="14"/>
  <c r="I54" i="14"/>
  <c r="G54" i="14"/>
  <c r="N118" i="14"/>
  <c r="M118" i="14"/>
  <c r="L118" i="14"/>
  <c r="K118" i="14"/>
  <c r="I118" i="14"/>
  <c r="G118" i="14"/>
  <c r="N422" i="14"/>
  <c r="M422" i="14"/>
  <c r="L422" i="14"/>
  <c r="K422" i="14"/>
  <c r="I422" i="14"/>
  <c r="G422" i="14"/>
  <c r="N53" i="14"/>
  <c r="M53" i="14"/>
  <c r="I53" i="14"/>
  <c r="L53" i="14"/>
  <c r="K53" i="14"/>
  <c r="G53" i="14"/>
  <c r="M278" i="14"/>
  <c r="L278" i="14"/>
  <c r="K278" i="14"/>
  <c r="N278" i="14"/>
  <c r="I278" i="14"/>
  <c r="G278" i="14"/>
  <c r="N59" i="14"/>
  <c r="M59" i="14"/>
  <c r="L59" i="14"/>
  <c r="K59" i="14"/>
  <c r="G59" i="14"/>
  <c r="I59" i="14"/>
  <c r="N190" i="14"/>
  <c r="M190" i="14"/>
  <c r="L190" i="14"/>
  <c r="K190" i="14"/>
  <c r="G190" i="14"/>
  <c r="I190" i="14"/>
  <c r="N113" i="14"/>
  <c r="M113" i="14"/>
  <c r="L113" i="14"/>
  <c r="K113" i="14"/>
  <c r="I113" i="14"/>
  <c r="G113" i="14"/>
  <c r="N169" i="14"/>
  <c r="M169" i="14"/>
  <c r="L169" i="14"/>
  <c r="K169" i="14"/>
  <c r="G169" i="14"/>
  <c r="I169" i="14"/>
  <c r="L3" i="14"/>
  <c r="K3" i="14"/>
  <c r="M3" i="14"/>
  <c r="I3" i="14"/>
  <c r="G3" i="14"/>
  <c r="N3" i="14"/>
  <c r="N76" i="14"/>
  <c r="M76" i="14"/>
  <c r="I76" i="14"/>
  <c r="L76" i="14"/>
  <c r="K76" i="14"/>
  <c r="G76" i="14"/>
  <c r="N236" i="14"/>
  <c r="M236" i="14"/>
  <c r="L236" i="14"/>
  <c r="K236" i="14"/>
  <c r="I236" i="14"/>
  <c r="G236" i="14"/>
  <c r="N346" i="14"/>
  <c r="M346" i="14"/>
  <c r="L346" i="14"/>
  <c r="K346" i="14"/>
  <c r="I346" i="14"/>
  <c r="G346" i="14"/>
  <c r="N431" i="14"/>
  <c r="M431" i="14"/>
  <c r="L431" i="14"/>
  <c r="K431" i="14"/>
  <c r="G431" i="14"/>
  <c r="I431" i="14"/>
  <c r="N196" i="14"/>
  <c r="M196" i="14"/>
  <c r="L196" i="14"/>
  <c r="K196" i="14"/>
  <c r="I196" i="14"/>
  <c r="G196" i="14"/>
  <c r="N228" i="14"/>
  <c r="M228" i="14"/>
  <c r="L228" i="14"/>
  <c r="K228" i="14"/>
  <c r="G228" i="14"/>
  <c r="I228" i="14"/>
  <c r="N358" i="14"/>
  <c r="M358" i="14"/>
  <c r="L358" i="14"/>
  <c r="K358" i="14"/>
  <c r="I358" i="14"/>
  <c r="G358" i="14"/>
  <c r="I194" i="14"/>
  <c r="L194" i="14"/>
  <c r="K194" i="14"/>
  <c r="N194" i="14"/>
  <c r="G194" i="14"/>
  <c r="M194" i="14"/>
  <c r="N242" i="14"/>
  <c r="M242" i="14"/>
  <c r="L242" i="14"/>
  <c r="K242" i="14"/>
  <c r="I242" i="14"/>
  <c r="G242" i="14"/>
  <c r="N156" i="14"/>
  <c r="M156" i="14"/>
  <c r="I156" i="14"/>
  <c r="G156" i="14"/>
  <c r="L156" i="14"/>
  <c r="K156" i="14"/>
  <c r="N274" i="14"/>
  <c r="M274" i="14"/>
  <c r="L274" i="14"/>
  <c r="K274" i="14"/>
  <c r="G274" i="14"/>
  <c r="I274" i="14"/>
  <c r="N237" i="14"/>
  <c r="M237" i="14"/>
  <c r="L237" i="14"/>
  <c r="K237" i="14"/>
  <c r="I237" i="14"/>
  <c r="G237" i="14"/>
  <c r="N368" i="14"/>
  <c r="M368" i="14"/>
  <c r="L368" i="14"/>
  <c r="K368" i="14"/>
  <c r="I368" i="14"/>
  <c r="G368" i="14"/>
  <c r="N24" i="14"/>
  <c r="M24" i="14"/>
  <c r="L24" i="14"/>
  <c r="K24" i="14"/>
  <c r="I24" i="14"/>
  <c r="G24" i="14"/>
  <c r="N126" i="14"/>
  <c r="M126" i="14"/>
  <c r="L126" i="14"/>
  <c r="K126" i="14"/>
  <c r="I126" i="14"/>
  <c r="G126" i="14"/>
  <c r="L192" i="14"/>
  <c r="K192" i="14"/>
  <c r="N192" i="14"/>
  <c r="M192" i="14"/>
  <c r="I192" i="14"/>
  <c r="G192" i="14"/>
  <c r="M430" i="14"/>
  <c r="L430" i="14"/>
  <c r="K430" i="14"/>
  <c r="I430" i="14"/>
  <c r="G430" i="14"/>
  <c r="N430" i="14"/>
  <c r="N251" i="14"/>
  <c r="M251" i="14"/>
  <c r="L251" i="14"/>
  <c r="K251" i="14"/>
  <c r="I251" i="14"/>
  <c r="G251" i="14"/>
  <c r="N16" i="14"/>
  <c r="M16" i="14"/>
  <c r="L16" i="14"/>
  <c r="K16" i="14"/>
  <c r="I16" i="14"/>
  <c r="G16" i="14"/>
  <c r="N184" i="14"/>
  <c r="M184" i="14"/>
  <c r="L184" i="14"/>
  <c r="K184" i="14"/>
  <c r="G184" i="14"/>
  <c r="I184" i="14"/>
  <c r="N359" i="14"/>
  <c r="I359" i="14"/>
  <c r="G359" i="14"/>
  <c r="K359" i="14"/>
  <c r="M359" i="14"/>
  <c r="L359" i="14"/>
  <c r="N25" i="14"/>
  <c r="M25" i="14"/>
  <c r="L25" i="14"/>
  <c r="K25" i="14"/>
  <c r="I25" i="14"/>
  <c r="G25" i="14"/>
  <c r="N89" i="14"/>
  <c r="M89" i="14"/>
  <c r="L89" i="14"/>
  <c r="K89" i="14"/>
  <c r="I89" i="14"/>
  <c r="G89" i="14"/>
  <c r="N151" i="14"/>
  <c r="M151" i="14"/>
  <c r="L151" i="14"/>
  <c r="K151" i="14"/>
  <c r="I151" i="14"/>
  <c r="G151" i="14"/>
  <c r="N175" i="14"/>
  <c r="M175" i="14"/>
  <c r="L175" i="14"/>
  <c r="K175" i="14"/>
  <c r="I175" i="14"/>
  <c r="G175" i="14"/>
  <c r="N254" i="14"/>
  <c r="M254" i="14"/>
  <c r="L254" i="14"/>
  <c r="K254" i="14"/>
  <c r="I254" i="14"/>
  <c r="G254" i="14"/>
  <c r="N269" i="14"/>
  <c r="M269" i="14"/>
  <c r="L269" i="14"/>
  <c r="K269" i="14"/>
  <c r="I269" i="14"/>
  <c r="G269" i="14"/>
  <c r="N78" i="14"/>
  <c r="M78" i="14"/>
  <c r="I78" i="14"/>
  <c r="L78" i="14"/>
  <c r="K78" i="14"/>
  <c r="G78" i="14"/>
  <c r="N168" i="14"/>
  <c r="M168" i="14"/>
  <c r="L168" i="14"/>
  <c r="K168" i="14"/>
  <c r="I168" i="14"/>
  <c r="G168" i="14"/>
  <c r="N381" i="14"/>
  <c r="M381" i="14"/>
  <c r="L381" i="14"/>
  <c r="K381" i="14"/>
  <c r="I381" i="14"/>
  <c r="G381" i="14"/>
  <c r="N18" i="14"/>
  <c r="M18" i="14"/>
  <c r="L18" i="14"/>
  <c r="K18" i="14"/>
  <c r="I18" i="14"/>
  <c r="G18" i="14"/>
  <c r="N333" i="14"/>
  <c r="M333" i="14"/>
  <c r="L333" i="14"/>
  <c r="K333" i="14"/>
  <c r="I333" i="14"/>
  <c r="G333" i="14"/>
  <c r="N116" i="14"/>
  <c r="M116" i="14"/>
  <c r="I116" i="14"/>
  <c r="L116" i="14"/>
  <c r="K116" i="14"/>
  <c r="G116" i="14"/>
  <c r="N124" i="14"/>
  <c r="M124" i="14"/>
  <c r="L124" i="14"/>
  <c r="K124" i="14"/>
  <c r="G124" i="14"/>
  <c r="I124" i="14"/>
  <c r="N227" i="14"/>
  <c r="M227" i="14"/>
  <c r="L227" i="14"/>
  <c r="K227" i="14"/>
  <c r="G227" i="14"/>
  <c r="I227" i="14"/>
  <c r="N415" i="14"/>
  <c r="M415" i="14"/>
  <c r="L415" i="14"/>
  <c r="K415" i="14"/>
  <c r="G415" i="14"/>
  <c r="I415" i="14"/>
  <c r="L83" i="14"/>
  <c r="K83" i="14"/>
  <c r="M83" i="14"/>
  <c r="N83" i="14"/>
  <c r="G83" i="14"/>
  <c r="I83" i="14"/>
  <c r="N161" i="14"/>
  <c r="M161" i="14"/>
  <c r="L161" i="14"/>
  <c r="K161" i="14"/>
  <c r="I161" i="14"/>
  <c r="G161" i="14"/>
  <c r="N164" i="14"/>
  <c r="M164" i="14"/>
  <c r="L164" i="14"/>
  <c r="K164" i="14"/>
  <c r="G164" i="14"/>
  <c r="I164" i="14"/>
  <c r="N297" i="14"/>
  <c r="I297" i="14"/>
  <c r="G297" i="14"/>
  <c r="L297" i="14"/>
  <c r="M297" i="14"/>
  <c r="K297" i="14"/>
  <c r="L4" i="14"/>
  <c r="K4" i="14"/>
  <c r="M4" i="14"/>
  <c r="I4" i="14"/>
  <c r="G4" i="14"/>
  <c r="N4" i="14"/>
  <c r="L217" i="14"/>
  <c r="K217" i="14"/>
  <c r="M217" i="14"/>
  <c r="I217" i="14"/>
  <c r="N217" i="14"/>
  <c r="G217" i="14"/>
  <c r="N179" i="14"/>
  <c r="M179" i="14"/>
  <c r="L179" i="14"/>
  <c r="K179" i="14"/>
  <c r="I179" i="14"/>
  <c r="G179" i="14"/>
  <c r="N337" i="14"/>
  <c r="M337" i="14"/>
  <c r="L337" i="14"/>
  <c r="K337" i="14"/>
  <c r="G337" i="14"/>
  <c r="I337" i="14"/>
</calcChain>
</file>

<file path=xl/sharedStrings.xml><?xml version="1.0" encoding="utf-8"?>
<sst xmlns="http://schemas.openxmlformats.org/spreadsheetml/2006/main" count="35515" uniqueCount="14524">
  <si>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</si>
  <si>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</si>
  <si>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</si>
  <si>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</si>
  <si>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</si>
  <si>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</si>
  <si>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</si>
  <si>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</si>
  <si>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</si>
  <si>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</si>
  <si>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</si>
  <si>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</si>
  <si>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</si>
  <si>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NC_003450.3</t>
  </si>
  <si>
    <t>plus</t>
  </si>
  <si>
    <t>chromosomal replication initiator protein DnaA</t>
  </si>
  <si>
    <t>dnaA</t>
  </si>
  <si>
    <t>protein-coding</t>
  </si>
  <si>
    <t>WP_011013309.1</t>
  </si>
  <si>
    <t>CGL_RS00005</t>
  </si>
  <si>
    <t>DNA polymerase III subunit beta</t>
  </si>
  <si>
    <t>dnaN</t>
  </si>
  <si>
    <t>WP_003855336.1</t>
  </si>
  <si>
    <t>CGL_RS00010</t>
  </si>
  <si>
    <t>DNA replication/repair protein RecF</t>
  </si>
  <si>
    <t>recF</t>
  </si>
  <si>
    <t>WP_011013310.1</t>
  </si>
  <si>
    <t>CGL_RS00015</t>
  </si>
  <si>
    <t>DUF721 domain-containing protein</t>
  </si>
  <si>
    <t>WP_003855338.1</t>
  </si>
  <si>
    <t>CGL_RS00020</t>
  </si>
  <si>
    <t>DNA topoisomerase (ATP-hydrolyzing) subunit B</t>
  </si>
  <si>
    <t>gyrB</t>
  </si>
  <si>
    <t>WP_011013311.1</t>
  </si>
  <si>
    <t>CGL_RS00025</t>
  </si>
  <si>
    <t>alpha/beta fold hydrolase</t>
  </si>
  <si>
    <t>WP_011013312.1</t>
  </si>
  <si>
    <t>CGL_RS00030</t>
  </si>
  <si>
    <t>minus</t>
  </si>
  <si>
    <t>YczE/YyaS/YitT family protein</t>
  </si>
  <si>
    <t>WP_003855341.1</t>
  </si>
  <si>
    <t>CGL_RS00035</t>
  </si>
  <si>
    <t>DUF6918 family protein</t>
  </si>
  <si>
    <t>WP_011013314.1</t>
  </si>
  <si>
    <t>CGL_RS00040</t>
  </si>
  <si>
    <t>transcriptional regulator SsuR</t>
  </si>
  <si>
    <t>ssuR</t>
  </si>
  <si>
    <t>WP_011013315.1</t>
  </si>
  <si>
    <t>CGL_RS00045</t>
  </si>
  <si>
    <t>hypothetical protein</t>
  </si>
  <si>
    <t>WP_003855344.1</t>
  </si>
  <si>
    <t>CGL_RS00050</t>
  </si>
  <si>
    <t>WP_003855345.1</t>
  </si>
  <si>
    <t>CGL_RS00055</t>
  </si>
  <si>
    <t>DNA gyrase subunit A</t>
  </si>
  <si>
    <t>gyrA</t>
  </si>
  <si>
    <t>WP_208396445.1</t>
  </si>
  <si>
    <t>CGL_RS00060</t>
  </si>
  <si>
    <t>DUF3566 domain-containing protein</t>
  </si>
  <si>
    <t>WP_003860996.1</t>
  </si>
  <si>
    <t>CGL_RS00065</t>
  </si>
  <si>
    <t>tRNA-Ile</t>
  </si>
  <si>
    <t>tRNA</t>
  </si>
  <si>
    <t>CGL_RS00070</t>
  </si>
  <si>
    <t>tRNA-Ala</t>
  </si>
  <si>
    <t>CGL_RS00075</t>
  </si>
  <si>
    <t>YeiH family protein</t>
  </si>
  <si>
    <t>WP_011265442.1</t>
  </si>
  <si>
    <t>CGL_RS00080</t>
  </si>
  <si>
    <t>LysR family transcriptional regulator</t>
  </si>
  <si>
    <t>WP_011013318.1</t>
  </si>
  <si>
    <t>CGL_RS00085</t>
  </si>
  <si>
    <t>SMI1/KNR4 family protein</t>
  </si>
  <si>
    <t>WP_011013319.1</t>
  </si>
  <si>
    <t>CGL_RS00090</t>
  </si>
  <si>
    <t>cytochrome c biogenesis CcdA family protein</t>
  </si>
  <si>
    <t>WP_011013320.1</t>
  </si>
  <si>
    <t>CGL_RS00095</t>
  </si>
  <si>
    <t>DsbA family protein</t>
  </si>
  <si>
    <t>WP_011265444.1</t>
  </si>
  <si>
    <t>CGL_RS00100</t>
  </si>
  <si>
    <t>BlaI/MecI/CopY family transcriptional regulator</t>
  </si>
  <si>
    <t>WP_011013322.1</t>
  </si>
  <si>
    <t>CGL_RS00105</t>
  </si>
  <si>
    <t>M56 family metallopeptidase</t>
  </si>
  <si>
    <t>WP_011013323.1</t>
  </si>
  <si>
    <t>CGL_RS00110</t>
  </si>
  <si>
    <t>WP_174694926.1</t>
  </si>
  <si>
    <t>CGL_RS00115</t>
  </si>
  <si>
    <t>metallophosphoesterase</t>
  </si>
  <si>
    <t>WP_231838301.1</t>
  </si>
  <si>
    <t>CGL_RS00120</t>
  </si>
  <si>
    <t>5'-nucleotidase C-terminal domain-containing protein</t>
  </si>
  <si>
    <t>WP_011013325.1</t>
  </si>
  <si>
    <t>CGL_RS00125</t>
  </si>
  <si>
    <t>CGL_RS00130</t>
  </si>
  <si>
    <t>WP_011265448.1</t>
  </si>
  <si>
    <t>CGL_RS00135</t>
  </si>
  <si>
    <t>CGL_RS00140</t>
  </si>
  <si>
    <t>CGL_RS00145</t>
  </si>
  <si>
    <t>organic hydroperoxide resistance protein</t>
  </si>
  <si>
    <t>WP_011013326.1</t>
  </si>
  <si>
    <t>CGL_RS00150</t>
  </si>
  <si>
    <t>ATP-binding protein</t>
  </si>
  <si>
    <t>WP_011013327.1</t>
  </si>
  <si>
    <t>CGL_RS00155</t>
  </si>
  <si>
    <t>zinc metallochaperone AztD</t>
  </si>
  <si>
    <t>aztD</t>
  </si>
  <si>
    <t>WP_011013328.1</t>
  </si>
  <si>
    <t>CGL_RS00160</t>
  </si>
  <si>
    <t>metal ABC transporter substrate-binding protein</t>
  </si>
  <si>
    <t>WP_011013329.1</t>
  </si>
  <si>
    <t>CGL_RS00165</t>
  </si>
  <si>
    <t>zinc ABC transporter permease AztB</t>
  </si>
  <si>
    <t>aztB</t>
  </si>
  <si>
    <t>WP_011013330.1</t>
  </si>
  <si>
    <t>CGL_RS00170</t>
  </si>
  <si>
    <t>zinc ABC transporter ATP-binding protein AztA</t>
  </si>
  <si>
    <t>aztA</t>
  </si>
  <si>
    <t>WP_011013331.1</t>
  </si>
  <si>
    <t>CGL_RS00175</t>
  </si>
  <si>
    <t>substrate-binding domain-containing protein</t>
  </si>
  <si>
    <t>WP_011013332.1</t>
  </si>
  <si>
    <t>CGL_RS00180</t>
  </si>
  <si>
    <t>ABC transporter permease</t>
  </si>
  <si>
    <t>WP_003855379.1</t>
  </si>
  <si>
    <t>CGL_RS00185</t>
  </si>
  <si>
    <t>ATP-binding cassette domain-containing protein</t>
  </si>
  <si>
    <t>WP_011013333.1</t>
  </si>
  <si>
    <t>CGL_RS00190</t>
  </si>
  <si>
    <t>WP_011013334.1</t>
  </si>
  <si>
    <t>CGL_RS00195</t>
  </si>
  <si>
    <t>peptidylprolyl isomerase</t>
  </si>
  <si>
    <t>WP_031512456.1</t>
  </si>
  <si>
    <t>CGL_RS00200</t>
  </si>
  <si>
    <t>rhomboid family intramembrane serine protease</t>
  </si>
  <si>
    <t>WP_034983883.1</t>
  </si>
  <si>
    <t>CGL_RS00205</t>
  </si>
  <si>
    <t>helix-turn-helix domain-containing protein</t>
  </si>
  <si>
    <t>WP_231838302.1</t>
  </si>
  <si>
    <t>CGL_RS00210</t>
  </si>
  <si>
    <t>uncharacterized gene</t>
  </si>
  <si>
    <t>pseudogene</t>
  </si>
  <si>
    <t>CGL_RS15565</t>
  </si>
  <si>
    <t>FecCD family ABC transporter permease</t>
  </si>
  <si>
    <t>WP_011013337.1</t>
  </si>
  <si>
    <t>CGL_RS00215</t>
  </si>
  <si>
    <t>ABC transporter ATP-binding protein</t>
  </si>
  <si>
    <t>WP_011013338.1</t>
  </si>
  <si>
    <t>CGL_RS00220</t>
  </si>
  <si>
    <t>siderophore-interacting protein</t>
  </si>
  <si>
    <t>WP_011013339.1</t>
  </si>
  <si>
    <t>CGL_RS00225</t>
  </si>
  <si>
    <t>cell division protein CrgA</t>
  </si>
  <si>
    <t>crgA</t>
  </si>
  <si>
    <t>WP_003861074.1</t>
  </si>
  <si>
    <t>CGL_RS00230</t>
  </si>
  <si>
    <t>Stk1 family PASTA domain-containing Ser/Thr kinase</t>
  </si>
  <si>
    <t>pknB</t>
  </si>
  <si>
    <t>WP_011013340.1</t>
  </si>
  <si>
    <t>CGL_RS00235</t>
  </si>
  <si>
    <t>serine/threonine-protein kinase</t>
  </si>
  <si>
    <t>WP_011013341.1</t>
  </si>
  <si>
    <t>CGL_RS00240</t>
  </si>
  <si>
    <t>penicillin-binding transpeptidase domain-containing protein</t>
  </si>
  <si>
    <t>WP_011013342.1</t>
  </si>
  <si>
    <t>CGL_RS00245</t>
  </si>
  <si>
    <t>FtsW/RodA/SpoVE family cell cycle protein</t>
  </si>
  <si>
    <t>WP_011013343.1</t>
  </si>
  <si>
    <t>CGL_RS00250</t>
  </si>
  <si>
    <t>PP2C family protein-serine/threonine phosphatase</t>
  </si>
  <si>
    <t>WP_011013344.1</t>
  </si>
  <si>
    <t>CGL_RS00255</t>
  </si>
  <si>
    <t>FHA domain-containing protein FhaB/FipA</t>
  </si>
  <si>
    <t>WP_003861086.1</t>
  </si>
  <si>
    <t>CGL_RS00260</t>
  </si>
  <si>
    <t>DUF3662 and FHA domain-containing protein</t>
  </si>
  <si>
    <t>WP_011265452.1</t>
  </si>
  <si>
    <t>CGL_RS00265</t>
  </si>
  <si>
    <t>tRNA-Leu</t>
  </si>
  <si>
    <t>CGL_RS00270</t>
  </si>
  <si>
    <t>WP_011013346.1</t>
  </si>
  <si>
    <t>CGL_RS15570</t>
  </si>
  <si>
    <t>WP_011013347.1</t>
  </si>
  <si>
    <t>CGL_RS00280</t>
  </si>
  <si>
    <t>NAD-dependent succinate-semialdehyde dehydrogenase</t>
  </si>
  <si>
    <t>WP_011013348.1</t>
  </si>
  <si>
    <t>CGL_RS00285</t>
  </si>
  <si>
    <t>phenol 2-monooxygenase</t>
  </si>
  <si>
    <t>WP_208400605.1</t>
  </si>
  <si>
    <t>CGL_RS00290</t>
  </si>
  <si>
    <t>MBL fold metallo-hydrolase</t>
  </si>
  <si>
    <t>WP_011013350.1</t>
  </si>
  <si>
    <t>CGL_RS00295</t>
  </si>
  <si>
    <t>sulfite exporter TauE/SafE family protein</t>
  </si>
  <si>
    <t>WP_011013351.1</t>
  </si>
  <si>
    <t>CGL_RS00300</t>
  </si>
  <si>
    <t>rhodanese-like domain-containing protein</t>
  </si>
  <si>
    <t>WP_011013352.1</t>
  </si>
  <si>
    <t>CGL_RS00305</t>
  </si>
  <si>
    <t>WP_011013353.1</t>
  </si>
  <si>
    <t>CGL_RS00310</t>
  </si>
  <si>
    <t>metal-sensitive transcriptional regulator</t>
  </si>
  <si>
    <t>WP_011013354.1</t>
  </si>
  <si>
    <t>CGL_RS00315</t>
  </si>
  <si>
    <t>WP_011013355.1</t>
  </si>
  <si>
    <t>CGL_RS00320</t>
  </si>
  <si>
    <t>polyphosphate polymerase domain-containing protein</t>
  </si>
  <si>
    <t>WP_011013356.1</t>
  </si>
  <si>
    <t>CGL_RS00325</t>
  </si>
  <si>
    <t>DUF4956 domain-containing protein</t>
  </si>
  <si>
    <t>WP_003855408.1</t>
  </si>
  <si>
    <t>CGL_RS00330</t>
  </si>
  <si>
    <t>CotH kinase family protein</t>
  </si>
  <si>
    <t>WP_011265453.1</t>
  </si>
  <si>
    <t>CGL_RS00335</t>
  </si>
  <si>
    <t>magnesium and cobalt transport protein CorA</t>
  </si>
  <si>
    <t>WP_011013358.1</t>
  </si>
  <si>
    <t>CGL_RS00340</t>
  </si>
  <si>
    <t>tautomerase family protein</t>
  </si>
  <si>
    <t>WP_003855411.1</t>
  </si>
  <si>
    <t>CGL_RS00345</t>
  </si>
  <si>
    <t>chloride channel protein</t>
  </si>
  <si>
    <t>WP_172820766.1</t>
  </si>
  <si>
    <t>CGL_RS00350</t>
  </si>
  <si>
    <t>nicotinamide riboside transporter PnuC</t>
  </si>
  <si>
    <t>pnuC</t>
  </si>
  <si>
    <t>WP_011013360.1</t>
  </si>
  <si>
    <t>CGL_RS00355</t>
  </si>
  <si>
    <t>PhoH family protein</t>
  </si>
  <si>
    <t>WP_011013361.1</t>
  </si>
  <si>
    <t>CGL_RS00360</t>
  </si>
  <si>
    <t>WP_011013362.1</t>
  </si>
  <si>
    <t>CGL_RS00365</t>
  </si>
  <si>
    <t>CitMHS family transporter</t>
  </si>
  <si>
    <t>WP_011265455.1</t>
  </si>
  <si>
    <t>CGL_RS00370</t>
  </si>
  <si>
    <t>sensor histidine kinase</t>
  </si>
  <si>
    <t>WP_011013364.1</t>
  </si>
  <si>
    <t>CGL_RS00375</t>
  </si>
  <si>
    <t>response regulator</t>
  </si>
  <si>
    <t>WP_003855418.1</t>
  </si>
  <si>
    <t>CGL_RS00380</t>
  </si>
  <si>
    <t>D-isomer specific 2-hydroxyacid dehydrogenase family protein</t>
  </si>
  <si>
    <t>WP_003861134.1</t>
  </si>
  <si>
    <t>CGL_RS00385</t>
  </si>
  <si>
    <t>WP_011013365.1</t>
  </si>
  <si>
    <t>CGL_RS00390</t>
  </si>
  <si>
    <t>biotin synthase BioB</t>
  </si>
  <si>
    <t>bioB</t>
  </si>
  <si>
    <t>WP_003861135.1</t>
  </si>
  <si>
    <t>CGL_RS00395</t>
  </si>
  <si>
    <t>WP_011013366.1</t>
  </si>
  <si>
    <t>CGL_RS00400</t>
  </si>
  <si>
    <t>CHY zinc finger protein</t>
  </si>
  <si>
    <t>WP_011265456.1</t>
  </si>
  <si>
    <t>CGL_RS00405</t>
  </si>
  <si>
    <t>16S ribosomal RNA</t>
  </si>
  <si>
    <t>rRNA</t>
  </si>
  <si>
    <t>CGL_RS00410</t>
  </si>
  <si>
    <t>23S ribosomal RNA</t>
  </si>
  <si>
    <t>CGL_RS00415</t>
  </si>
  <si>
    <t>5S ribosomal RNA</t>
  </si>
  <si>
    <t>rrf</t>
  </si>
  <si>
    <t>CGL_RS00420</t>
  </si>
  <si>
    <t>MFS transporter</t>
  </si>
  <si>
    <t>WP_011013368.1</t>
  </si>
  <si>
    <t>CGL_RS00425</t>
  </si>
  <si>
    <t>amidohydrolase family protein</t>
  </si>
  <si>
    <t>WP_011013369.1</t>
  </si>
  <si>
    <t>CGL_RS00430</t>
  </si>
  <si>
    <t>WP_227747736.1</t>
  </si>
  <si>
    <t>CGL_RS00435</t>
  </si>
  <si>
    <t>WP_011013371.1</t>
  </si>
  <si>
    <t>CGL_RS00440</t>
  </si>
  <si>
    <t>Sir2 family NAD-dependent protein deacetylase</t>
  </si>
  <si>
    <t>WP_162467700.1</t>
  </si>
  <si>
    <t>CGL_RS00445</t>
  </si>
  <si>
    <t>esterase/lipase family protein</t>
  </si>
  <si>
    <t>WP_011013373.1</t>
  </si>
  <si>
    <t>CGL_RS00450</t>
  </si>
  <si>
    <t>WP_011013374.1</t>
  </si>
  <si>
    <t>CGL_RS00455</t>
  </si>
  <si>
    <t>WP_011013375.1</t>
  </si>
  <si>
    <t>CGL_RS00460</t>
  </si>
  <si>
    <t>MarR family winged helix-turn-helix transcriptional regulator</t>
  </si>
  <si>
    <t>WP_011013376.1</t>
  </si>
  <si>
    <t>CGL_RS00465</t>
  </si>
  <si>
    <t>urease subunit gamma</t>
  </si>
  <si>
    <t>WP_003857708.1</t>
  </si>
  <si>
    <t>CGL_RS00470</t>
  </si>
  <si>
    <t>urease subunit beta</t>
  </si>
  <si>
    <t>WP_011013377.1</t>
  </si>
  <si>
    <t>CGL_RS00475</t>
  </si>
  <si>
    <t>urease subunit alpha</t>
  </si>
  <si>
    <t>ureC</t>
  </si>
  <si>
    <t>WP_011013378.1</t>
  </si>
  <si>
    <t>CGL_RS00480</t>
  </si>
  <si>
    <t>urease accessory protein UreE</t>
  </si>
  <si>
    <t>ureE</t>
  </si>
  <si>
    <t>WP_011013379.1</t>
  </si>
  <si>
    <t>CGL_RS00485</t>
  </si>
  <si>
    <t>urease accessory protein UreF</t>
  </si>
  <si>
    <t>WP_011013380.1</t>
  </si>
  <si>
    <t>CGL_RS00490</t>
  </si>
  <si>
    <t>urease accessory protein UreG</t>
  </si>
  <si>
    <t>ureG</t>
  </si>
  <si>
    <t>WP_003857703.1</t>
  </si>
  <si>
    <t>CGL_RS00495</t>
  </si>
  <si>
    <t>urease accessory protein UreD</t>
  </si>
  <si>
    <t>WP_011013381.1</t>
  </si>
  <si>
    <t>CGL_RS00500</t>
  </si>
  <si>
    <t>WP_041625295.1</t>
  </si>
  <si>
    <t>CGL_RS00505</t>
  </si>
  <si>
    <t>WP_011013383.1</t>
  </si>
  <si>
    <t>CGL_RS00510</t>
  </si>
  <si>
    <t>WP_011013384.1</t>
  </si>
  <si>
    <t>CGL_RS00515</t>
  </si>
  <si>
    <t>HSP90 family protein</t>
  </si>
  <si>
    <t>WP_011013385.1</t>
  </si>
  <si>
    <t>CGL_RS00520</t>
  </si>
  <si>
    <t>AMP nucleosidase</t>
  </si>
  <si>
    <t>amn</t>
  </si>
  <si>
    <t>WP_011013386.1</t>
  </si>
  <si>
    <t>CGL_RS00525</t>
  </si>
  <si>
    <t>WP_306556812.1</t>
  </si>
  <si>
    <t>CGL_RS00530</t>
  </si>
  <si>
    <t>thiamine pyrophosphate-binding protein</t>
  </si>
  <si>
    <t>WP_011013388.1</t>
  </si>
  <si>
    <t>CGL_RS00535</t>
  </si>
  <si>
    <t>PepSY domain-containing protein</t>
  </si>
  <si>
    <t>WP_011013389.1</t>
  </si>
  <si>
    <t>CGL_RS00540</t>
  </si>
  <si>
    <t>bifunctional proline dehydrogenase/L-glutamate gamma-semialdehyde dehydrogenase</t>
  </si>
  <si>
    <t>WP_172820765.1</t>
  </si>
  <si>
    <t>CGL_RS00545</t>
  </si>
  <si>
    <t>aldo/keto reductase</t>
  </si>
  <si>
    <t>WP_003858893.1</t>
  </si>
  <si>
    <t>CGL_RS00550</t>
  </si>
  <si>
    <t>AbgT family transporter</t>
  </si>
  <si>
    <t>WP_011013391.1</t>
  </si>
  <si>
    <t>CGL_RS00555</t>
  </si>
  <si>
    <t>M20 family metallopeptidase</t>
  </si>
  <si>
    <t>WP_011013392.1</t>
  </si>
  <si>
    <t>CGL_RS00560</t>
  </si>
  <si>
    <t>YidH family protein</t>
  </si>
  <si>
    <t>WP_003857248.1</t>
  </si>
  <si>
    <t>CGL_RS00565</t>
  </si>
  <si>
    <t>DUF202 domain-containing protein</t>
  </si>
  <si>
    <t>WP_003857246.1</t>
  </si>
  <si>
    <t>CGL_RS00570</t>
  </si>
  <si>
    <t>WP_227747737.1</t>
  </si>
  <si>
    <t>CGL_RS00575</t>
  </si>
  <si>
    <t>DeoR/GlpR family DNA-binding transcription regulator</t>
  </si>
  <si>
    <t>WP_011013394.1</t>
  </si>
  <si>
    <t>CGL_RS00580</t>
  </si>
  <si>
    <t>VOC family protein</t>
  </si>
  <si>
    <t>WP_003863690.1</t>
  </si>
  <si>
    <t>CGL_RS00585</t>
  </si>
  <si>
    <t>SixA phosphatase family protein</t>
  </si>
  <si>
    <t>WP_011013395.1</t>
  </si>
  <si>
    <t>CGL_RS00590</t>
  </si>
  <si>
    <t>mannitol dehydrogenase family protein</t>
  </si>
  <si>
    <t>WP_011013396.1</t>
  </si>
  <si>
    <t>CGL_RS00595</t>
  </si>
  <si>
    <t>RbtT/DalT/CsbX family MFS transporter</t>
  </si>
  <si>
    <t>WP_003857230.1</t>
  </si>
  <si>
    <t>CGL_RS00600</t>
  </si>
  <si>
    <t>WP_011013397.1</t>
  </si>
  <si>
    <t>CGL_RS00605</t>
  </si>
  <si>
    <t>xylulokinase</t>
  </si>
  <si>
    <t>xylB</t>
  </si>
  <si>
    <t>WP_011013398.1</t>
  </si>
  <si>
    <t>CGL_RS00610</t>
  </si>
  <si>
    <t>pantoate--beta-alanine ligase</t>
  </si>
  <si>
    <t>panC</t>
  </si>
  <si>
    <t>WP_011013399.1</t>
  </si>
  <si>
    <t>CGL_RS00615</t>
  </si>
  <si>
    <t>3-methyl-2-oxobutanoate hydroxymethyltransferase</t>
  </si>
  <si>
    <t>panB</t>
  </si>
  <si>
    <t>WP_011013400.1</t>
  </si>
  <si>
    <t>CGL_RS00620</t>
  </si>
  <si>
    <t>Fic family protein</t>
  </si>
  <si>
    <t>WP_011265465.1</t>
  </si>
  <si>
    <t>CGL_RS00625</t>
  </si>
  <si>
    <t>DNA-3-methyladenine glycosylase</t>
  </si>
  <si>
    <t>WP_011265466.1</t>
  </si>
  <si>
    <t>CGL_RS00630</t>
  </si>
  <si>
    <t>DUF1801 domain-containing protein</t>
  </si>
  <si>
    <t>WP_011013403.1</t>
  </si>
  <si>
    <t>CGL_RS00635</t>
  </si>
  <si>
    <t>alpha/beta hydrolase</t>
  </si>
  <si>
    <t>WP_011013404.1</t>
  </si>
  <si>
    <t>CGL_RS00640</t>
  </si>
  <si>
    <t>HAD family hydrolase</t>
  </si>
  <si>
    <t>WP_011013405.1</t>
  </si>
  <si>
    <t>CGL_RS00645</t>
  </si>
  <si>
    <t>gamma carbonic anhydrase family protein</t>
  </si>
  <si>
    <t>WP_011013406.1</t>
  </si>
  <si>
    <t>CGL_RS00650</t>
  </si>
  <si>
    <t>winged helix-turn-helix domain-containing protein</t>
  </si>
  <si>
    <t>WP_006283847.1</t>
  </si>
  <si>
    <t>CGL_RS00655</t>
  </si>
  <si>
    <t>WP_011013408.1</t>
  </si>
  <si>
    <t>CGL_RS00660</t>
  </si>
  <si>
    <t>WP_227747738.1</t>
  </si>
  <si>
    <t>CGL_RS00665</t>
  </si>
  <si>
    <t>WP_020948494.1</t>
  </si>
  <si>
    <t>CGL_RS00670</t>
  </si>
  <si>
    <t>membrane protein</t>
  </si>
  <si>
    <t>WP_011265468.1</t>
  </si>
  <si>
    <t>CGL_RS00675</t>
  </si>
  <si>
    <t>WP_011013412.1</t>
  </si>
  <si>
    <t>CGL_RS00680</t>
  </si>
  <si>
    <t>glycosyltransferase</t>
  </si>
  <si>
    <t>WP_011265469.1</t>
  </si>
  <si>
    <t>CGL_RS00685</t>
  </si>
  <si>
    <t>ArnT family glycosyltransferase</t>
  </si>
  <si>
    <t>WP_011265470.1</t>
  </si>
  <si>
    <t>CGL_RS00690</t>
  </si>
  <si>
    <t>ankyrin repeat domain-containing protein</t>
  </si>
  <si>
    <t>WP_011013415.1</t>
  </si>
  <si>
    <t>CGL_RS00695</t>
  </si>
  <si>
    <t>WP_003857192.1</t>
  </si>
  <si>
    <t>CGL_RS00700</t>
  </si>
  <si>
    <t>EamA family transporter</t>
  </si>
  <si>
    <t>WP_011013416.1</t>
  </si>
  <si>
    <t>CGL_RS00705</t>
  </si>
  <si>
    <t>trimeric intracellular cation channel family protein</t>
  </si>
  <si>
    <t>WP_011013417.1</t>
  </si>
  <si>
    <t>CGL_RS00710</t>
  </si>
  <si>
    <t>META domain-containing protein</t>
  </si>
  <si>
    <t>WP_003863712.1</t>
  </si>
  <si>
    <t>CGL_RS00715</t>
  </si>
  <si>
    <t>aspartate 1-decarboxylase</t>
  </si>
  <si>
    <t>panD</t>
  </si>
  <si>
    <t>WP_003857183.1</t>
  </si>
  <si>
    <t>CGL_RS00720</t>
  </si>
  <si>
    <t>DUF885 domain-containing protein</t>
  </si>
  <si>
    <t>WP_011013418.1</t>
  </si>
  <si>
    <t>CGL_RS00725</t>
  </si>
  <si>
    <t>AbrB family transcriptional regulator</t>
  </si>
  <si>
    <t>WP_011013419.1</t>
  </si>
  <si>
    <t>CGL_RS00730</t>
  </si>
  <si>
    <t>WP_011013420.1</t>
  </si>
  <si>
    <t>CGL_RS00735</t>
  </si>
  <si>
    <t>TSUP family transporter</t>
  </si>
  <si>
    <t>WP_003863714.1</t>
  </si>
  <si>
    <t>CGL_RS00740</t>
  </si>
  <si>
    <t>WP_011265472.1</t>
  </si>
  <si>
    <t>CGL_RS00745</t>
  </si>
  <si>
    <t>ATP-dependent RNA helicase</t>
  </si>
  <si>
    <t>WP_011013422.1</t>
  </si>
  <si>
    <t>CGL_RS00750</t>
  </si>
  <si>
    <t>sugar O-acetyltransferase</t>
  </si>
  <si>
    <t>WP_020948495.1</t>
  </si>
  <si>
    <t>CGL_RS00755</t>
  </si>
  <si>
    <t>alpha-ketoglutarate-dependent dioxygenase AlkB family protein</t>
  </si>
  <si>
    <t>WP_011013424.1</t>
  </si>
  <si>
    <t>CGL_RS00760</t>
  </si>
  <si>
    <t>DNA-3-methyladenine glycosylase I</t>
  </si>
  <si>
    <t>WP_227747739.1</t>
  </si>
  <si>
    <t>CGL_RS00765</t>
  </si>
  <si>
    <t>LysE family translocator</t>
  </si>
  <si>
    <t>WP_011013426.1</t>
  </si>
  <si>
    <t>CGL_RS00770</t>
  </si>
  <si>
    <t>RNA-binding S4 domain-containing protein</t>
  </si>
  <si>
    <t>WP_003857164.1</t>
  </si>
  <si>
    <t>CGL_RS00775</t>
  </si>
  <si>
    <t>WP_003857162.1</t>
  </si>
  <si>
    <t>CGL_RS00780</t>
  </si>
  <si>
    <t>MGMT family protein</t>
  </si>
  <si>
    <t>WP_003863721.1</t>
  </si>
  <si>
    <t>CGL_RS00785</t>
  </si>
  <si>
    <t>WP_011013427.1</t>
  </si>
  <si>
    <t>CGL_RS00790</t>
  </si>
  <si>
    <t>WP_011013428.1</t>
  </si>
  <si>
    <t>CGL_RS00795</t>
  </si>
  <si>
    <t>RidA family protein</t>
  </si>
  <si>
    <t>WP_011265478.1</t>
  </si>
  <si>
    <t>CGL_RS00800</t>
  </si>
  <si>
    <t>CG0192 family protein</t>
  </si>
  <si>
    <t>WP_003863725.1</t>
  </si>
  <si>
    <t>CGL_RS00805</t>
  </si>
  <si>
    <t>M13 family metallopeptidase</t>
  </si>
  <si>
    <t>WP_011013430.1</t>
  </si>
  <si>
    <t>CGL_RS00810</t>
  </si>
  <si>
    <t>WP_011013431.1</t>
  </si>
  <si>
    <t>CGL_RS00815</t>
  </si>
  <si>
    <t>PrsW family intramembrane metalloprotease</t>
  </si>
  <si>
    <t>WP_011013432.1</t>
  </si>
  <si>
    <t>CGL_RS00820</t>
  </si>
  <si>
    <t>GntR family transcriptional regulator IolR</t>
  </si>
  <si>
    <t>iolR</t>
  </si>
  <si>
    <t>WP_003857140.1</t>
  </si>
  <si>
    <t>CGL_RS00825</t>
  </si>
  <si>
    <t>5-dehydro-2-deoxygluconokinase</t>
  </si>
  <si>
    <t>iolC</t>
  </si>
  <si>
    <t>WP_003857138.1</t>
  </si>
  <si>
    <t>CGL_RS00830</t>
  </si>
  <si>
    <t>class I fructose-bisphosphate aldolase</t>
  </si>
  <si>
    <t>WP_003857137.1</t>
  </si>
  <si>
    <t>CGL_RS00835</t>
  </si>
  <si>
    <t>CoA-acylating methylmalonate-semialdehyde dehydrogenase</t>
  </si>
  <si>
    <t>WP_011013433.1</t>
  </si>
  <si>
    <t>CGL_RS00840</t>
  </si>
  <si>
    <t>5-deoxy-glucuronate isomerase</t>
  </si>
  <si>
    <t>iolB</t>
  </si>
  <si>
    <t>WP_003862468.1</t>
  </si>
  <si>
    <t>CGL_RS00845</t>
  </si>
  <si>
    <t>3D-(3,5/4)-trihydroxycyclohexane-1,2-dione acylhydrolase (decyclizing)</t>
  </si>
  <si>
    <t>iolD</t>
  </si>
  <si>
    <t>WP_011013434.1</t>
  </si>
  <si>
    <t>CGL_RS00850</t>
  </si>
  <si>
    <t>sugar phosphate isomerase/epimerase family protein</t>
  </si>
  <si>
    <t>WP_011013435.1</t>
  </si>
  <si>
    <t>CGL_RS00855</t>
  </si>
  <si>
    <t>Gfo/Idh/MocA family protein</t>
  </si>
  <si>
    <t>WP_011013436.1</t>
  </si>
  <si>
    <t>CGL_RS00860</t>
  </si>
  <si>
    <t>WP_011013437.1</t>
  </si>
  <si>
    <t>CGL_RS00865</t>
  </si>
  <si>
    <t>WP_041625642.1</t>
  </si>
  <si>
    <t>CGL_RS00870</t>
  </si>
  <si>
    <t>Gfo/Idh/MocA family oxidoreductase</t>
  </si>
  <si>
    <t>WP_011013439.1</t>
  </si>
  <si>
    <t>CGL_RS00875</t>
  </si>
  <si>
    <t>prevent-host-death protein</t>
  </si>
  <si>
    <t>WP_011013440.1</t>
  </si>
  <si>
    <t>CGL_RS00880</t>
  </si>
  <si>
    <t>WP_011265482.1</t>
  </si>
  <si>
    <t>CGL_RS00885</t>
  </si>
  <si>
    <t>LacI family DNA-binding transcriptional regulator</t>
  </si>
  <si>
    <t>WP_011013442.1</t>
  </si>
  <si>
    <t>CGL_RS00890</t>
  </si>
  <si>
    <t>WP_011013443.1</t>
  </si>
  <si>
    <t>CGL_RS00895</t>
  </si>
  <si>
    <t>WP_011013444.1</t>
  </si>
  <si>
    <t>CGL_RS00900</t>
  </si>
  <si>
    <t>WP_011013445.1</t>
  </si>
  <si>
    <t>CGL_RS00905</t>
  </si>
  <si>
    <t>cold-shock protein</t>
  </si>
  <si>
    <t>WP_003862487.1</t>
  </si>
  <si>
    <t>CGL_RS00910</t>
  </si>
  <si>
    <t>WP_003862490.1</t>
  </si>
  <si>
    <t>CGL_RS00920</t>
  </si>
  <si>
    <t>O-methyltransferase</t>
  </si>
  <si>
    <t>WP_011013446.1</t>
  </si>
  <si>
    <t>CGL_RS00925</t>
  </si>
  <si>
    <t>GNAT family N-acetyltransferase</t>
  </si>
  <si>
    <t>WP_011013447.1</t>
  </si>
  <si>
    <t>CGL_RS00930</t>
  </si>
  <si>
    <t>WP_011013448.1</t>
  </si>
  <si>
    <t>CGL_RS00935</t>
  </si>
  <si>
    <t>WP_011013449.1</t>
  </si>
  <si>
    <t>CGL_RS00940</t>
  </si>
  <si>
    <t>sugar porter family MFS transporter</t>
  </si>
  <si>
    <t>WP_011013450.1</t>
  </si>
  <si>
    <t>CGL_RS00945</t>
  </si>
  <si>
    <t>IS30-like element ISCg2 family transposase</t>
  </si>
  <si>
    <t>WP_011015431.1</t>
  </si>
  <si>
    <t>CGL_RS00950</t>
  </si>
  <si>
    <t>PAS domain-containing protein</t>
  </si>
  <si>
    <t>WP_011013452.1</t>
  </si>
  <si>
    <t>CGL_RS00955</t>
  </si>
  <si>
    <t>glutamate synthase large subunit</t>
  </si>
  <si>
    <t>gltB</t>
  </si>
  <si>
    <t>WP_011013453.1</t>
  </si>
  <si>
    <t>CGL_RS00960</t>
  </si>
  <si>
    <t>glutamate synthase subunit beta</t>
  </si>
  <si>
    <t>WP_011013454.1</t>
  </si>
  <si>
    <t>CGL_RS00965</t>
  </si>
  <si>
    <t>glutamate-cysteine ligase family protein</t>
  </si>
  <si>
    <t>WP_011265489.1</t>
  </si>
  <si>
    <t>CGL_RS00970</t>
  </si>
  <si>
    <t>arabinosyltransferase domain-containing protein</t>
  </si>
  <si>
    <t>WP_011013456.1</t>
  </si>
  <si>
    <t>CGL_RS00975</t>
  </si>
  <si>
    <t>galactan 5-O-arabinofuranosyltransferase</t>
  </si>
  <si>
    <t>WP_011013457.1</t>
  </si>
  <si>
    <t>CGL_RS00980</t>
  </si>
  <si>
    <t>decaprenylphospho-beta-D-erythro-pentofuranosid-2-ulose 2-reductase</t>
  </si>
  <si>
    <t>WP_011013458.1</t>
  </si>
  <si>
    <t>CGL_RS00985</t>
  </si>
  <si>
    <t>FAD-binding oxidoreductase</t>
  </si>
  <si>
    <t>WP_003863441.1</t>
  </si>
  <si>
    <t>CGL_RS00990</t>
  </si>
  <si>
    <t>WP_003857667.1</t>
  </si>
  <si>
    <t>CGL_RS00995</t>
  </si>
  <si>
    <t>WP_003863438.1</t>
  </si>
  <si>
    <t>CGL_RS01000</t>
  </si>
  <si>
    <t>WP_011013460.1</t>
  </si>
  <si>
    <t>CGL_RS01005</t>
  </si>
  <si>
    <t>WP_011013461.1</t>
  </si>
  <si>
    <t>CGL_RS01010</t>
  </si>
  <si>
    <t>GtrA family protein</t>
  </si>
  <si>
    <t>WP_011013462.1</t>
  </si>
  <si>
    <t>CGL_RS01015</t>
  </si>
  <si>
    <t>WP_011013463.1</t>
  </si>
  <si>
    <t>CGL_RS01020</t>
  </si>
  <si>
    <t>MOSC domain-containing protein</t>
  </si>
  <si>
    <t>WP_003857654.1</t>
  </si>
  <si>
    <t>CGL_RS01025</t>
  </si>
  <si>
    <t>galactofuranosyltransferase GlfT1</t>
  </si>
  <si>
    <t>WP_011265494.1</t>
  </si>
  <si>
    <t>CGL_RS01030</t>
  </si>
  <si>
    <t>WP_011013465.1</t>
  </si>
  <si>
    <t>CGL_RS01035</t>
  </si>
  <si>
    <t>galactan export ABC transporter ATP-binding subunit Wzt/RfbE</t>
  </si>
  <si>
    <t>WP_011013466.1</t>
  </si>
  <si>
    <t>CGL_RS01040</t>
  </si>
  <si>
    <t>galactan export ABC transporter permease subunit Wzm/RfbD</t>
  </si>
  <si>
    <t>WP_011265495.1</t>
  </si>
  <si>
    <t>CGL_RS01045</t>
  </si>
  <si>
    <t>aminotransferase class V-fold PLP-dependent enzyme</t>
  </si>
  <si>
    <t>WP_020948496.1</t>
  </si>
  <si>
    <t>CGL_RS01050</t>
  </si>
  <si>
    <t>NAD(P)H-quinone oxidoreductase</t>
  </si>
  <si>
    <t>WP_011265496.1</t>
  </si>
  <si>
    <t>CGL_RS01055</t>
  </si>
  <si>
    <t>WP_011013470.1</t>
  </si>
  <si>
    <t>CGL_RS01060</t>
  </si>
  <si>
    <t>tRNA-Ser</t>
  </si>
  <si>
    <t>CGL_RS01065</t>
  </si>
  <si>
    <t>2Fe-2S iron-sulfur cluster-binding protein</t>
  </si>
  <si>
    <t>WP_003857637.1</t>
  </si>
  <si>
    <t>CGL_RS01070</t>
  </si>
  <si>
    <t>alanine/glycine:cation symporter family protein</t>
  </si>
  <si>
    <t>WP_003863416.1</t>
  </si>
  <si>
    <t>CGL_RS01075</t>
  </si>
  <si>
    <t>type IV toxin-antitoxin system AbiEi family antitoxin domain-containing protein</t>
  </si>
  <si>
    <t>WP_011013471.1</t>
  </si>
  <si>
    <t>CGL_RS01085</t>
  </si>
  <si>
    <t>ThiF family adenylyltransferase</t>
  </si>
  <si>
    <t>WP_011013472.1</t>
  </si>
  <si>
    <t>CGL_RS01090</t>
  </si>
  <si>
    <t>molybdenum cofactor biosynthesis protein MoaE</t>
  </si>
  <si>
    <t>WP_011013473.1</t>
  </si>
  <si>
    <t>CGL_RS01095</t>
  </si>
  <si>
    <t>MogA/MoaB family molybdenum cofactor biosynthesis protein</t>
  </si>
  <si>
    <t>WP_011013474.1</t>
  </si>
  <si>
    <t>CGL_RS01100</t>
  </si>
  <si>
    <t>cyclic pyranopterin monophosphate synthase MoaC</t>
  </si>
  <si>
    <t>moaC</t>
  </si>
  <si>
    <t>WP_011013475.1</t>
  </si>
  <si>
    <t>CGL_RS01105</t>
  </si>
  <si>
    <t>molybdopterin molybdotransferase MoeA</t>
  </si>
  <si>
    <t>WP_011013476.1</t>
  </si>
  <si>
    <t>CGL_RS01110</t>
  </si>
  <si>
    <t>molybdate ABC transporter permease subunit</t>
  </si>
  <si>
    <t>WP_011013477.1</t>
  </si>
  <si>
    <t>CGL_RS01115</t>
  </si>
  <si>
    <t>molybdate ABC transporter substrate-binding protein</t>
  </si>
  <si>
    <t>modA</t>
  </si>
  <si>
    <t>WP_011013478.1</t>
  </si>
  <si>
    <t>CGL_RS01120</t>
  </si>
  <si>
    <t>MoaD/ThiS family protein</t>
  </si>
  <si>
    <t>WP_003863405.1</t>
  </si>
  <si>
    <t>CGL_RS01125</t>
  </si>
  <si>
    <t>WP_011013479.1</t>
  </si>
  <si>
    <t>CGL_RS01130</t>
  </si>
  <si>
    <t>phage holin family protein</t>
  </si>
  <si>
    <t>WP_011013480.1</t>
  </si>
  <si>
    <t>CGL_RS01135</t>
  </si>
  <si>
    <t>histidinol-phosphate transaminase</t>
  </si>
  <si>
    <t>hisC</t>
  </si>
  <si>
    <t>WP_011013481.1</t>
  </si>
  <si>
    <t>CGL_RS01140</t>
  </si>
  <si>
    <t>CGL_RS01145</t>
  </si>
  <si>
    <t>tRNA-Arg</t>
  </si>
  <si>
    <t>CGL_RS01150</t>
  </si>
  <si>
    <t>DUF3800 domain-containing protein</t>
  </si>
  <si>
    <t>WP_011013482.1</t>
  </si>
  <si>
    <t>CGL_RS01155</t>
  </si>
  <si>
    <t>WP_011013483.1</t>
  </si>
  <si>
    <t>CGL_RS01160</t>
  </si>
  <si>
    <t>WP_011013484.1</t>
  </si>
  <si>
    <t>CGL_RS01165</t>
  </si>
  <si>
    <t>alcohol dehydrogenase</t>
  </si>
  <si>
    <t>WP_011013485.1</t>
  </si>
  <si>
    <t>CGL_RS01170</t>
  </si>
  <si>
    <t>flavin monoamine oxidase family protein</t>
  </si>
  <si>
    <t>WP_011013486.1</t>
  </si>
  <si>
    <t>CGL_RS01175</t>
  </si>
  <si>
    <t>magnesium transporter</t>
  </si>
  <si>
    <t>mgtE</t>
  </si>
  <si>
    <t>WP_003863396.1</t>
  </si>
  <si>
    <t>CGL_RS01180</t>
  </si>
  <si>
    <t>SLC13 family permease</t>
  </si>
  <si>
    <t>WP_006285466.1</t>
  </si>
  <si>
    <t>CGL_RS01185</t>
  </si>
  <si>
    <t>CGL_RS01190</t>
  </si>
  <si>
    <t>prephenate dehydrogenase</t>
  </si>
  <si>
    <t>WP_011013487.1</t>
  </si>
  <si>
    <t>CGL_RS01195</t>
  </si>
  <si>
    <t>tRNA adenosine deaminase-associated protein</t>
  </si>
  <si>
    <t>WP_003863394.1</t>
  </si>
  <si>
    <t>CGL_RS01200</t>
  </si>
  <si>
    <t>tRNA adenosine(34) deaminase TadA</t>
  </si>
  <si>
    <t>tadA</t>
  </si>
  <si>
    <t>WP_003855650.1</t>
  </si>
  <si>
    <t>CGL_RS01205</t>
  </si>
  <si>
    <t>CsbD family protein</t>
  </si>
  <si>
    <t>WP_003855652.1</t>
  </si>
  <si>
    <t>CGL_RS01210</t>
  </si>
  <si>
    <t>CGL_RS01215</t>
  </si>
  <si>
    <t>WP_011013488.1</t>
  </si>
  <si>
    <t>CGL_RS01220</t>
  </si>
  <si>
    <t>MMPL family transporter</t>
  </si>
  <si>
    <t>WP_011013489.1</t>
  </si>
  <si>
    <t>CGL_RS01225</t>
  </si>
  <si>
    <t>tRNA guanosine(34) transglycosylase Tgt</t>
  </si>
  <si>
    <t>tgt</t>
  </si>
  <si>
    <t>WP_011013490.1</t>
  </si>
  <si>
    <t>CGL_RS01230</t>
  </si>
  <si>
    <t>queuosine precursor transporter</t>
  </si>
  <si>
    <t>WP_003863385.1</t>
  </si>
  <si>
    <t>CGL_RS01235</t>
  </si>
  <si>
    <t>DUF1611 domain-containing protein</t>
  </si>
  <si>
    <t>WP_011013491.1</t>
  </si>
  <si>
    <t>CGL_RS01240</t>
  </si>
  <si>
    <t>ABC transporter transmembrane domain-containing protein</t>
  </si>
  <si>
    <t>WP_011265504.1</t>
  </si>
  <si>
    <t>CGL_RS01245</t>
  </si>
  <si>
    <t>tRNA glutamyl-Q(34) synthetase GluQRS</t>
  </si>
  <si>
    <t>gluQRS</t>
  </si>
  <si>
    <t>WP_011013493.1</t>
  </si>
  <si>
    <t>CGL_RS01250</t>
  </si>
  <si>
    <t>intradiol ring-cleavage dioxygenase</t>
  </si>
  <si>
    <t>WP_011013494.1</t>
  </si>
  <si>
    <t>CGL_RS01255</t>
  </si>
  <si>
    <t>IS3 family transposase</t>
  </si>
  <si>
    <t>WP_011265505.1</t>
  </si>
  <si>
    <t>CGL_RS01260</t>
  </si>
  <si>
    <t>WP_231838282.1</t>
  </si>
  <si>
    <t>CGL_RS01265</t>
  </si>
  <si>
    <t>CGL_RS01270</t>
  </si>
  <si>
    <t>signal recognition particle sRNA small type</t>
  </si>
  <si>
    <t>ffs</t>
  </si>
  <si>
    <t>other</t>
  </si>
  <si>
    <t>CGL_RS01275</t>
  </si>
  <si>
    <t>aspartate transaminase</t>
  </si>
  <si>
    <t>WP_217994320.1</t>
  </si>
  <si>
    <t>CGL_RS01280</t>
  </si>
  <si>
    <t>suppressor of fused domain protein</t>
  </si>
  <si>
    <t>WP_011265506.1</t>
  </si>
  <si>
    <t>CGL_RS01285</t>
  </si>
  <si>
    <t>DNA polymerase III subunit gamma and tau</t>
  </si>
  <si>
    <t>WP_011013499.1</t>
  </si>
  <si>
    <t>CGL_RS01290</t>
  </si>
  <si>
    <t>YbaB/EbfC family nucleoid-associated protein</t>
  </si>
  <si>
    <t>WP_003855676.1</t>
  </si>
  <si>
    <t>CGL_RS01295</t>
  </si>
  <si>
    <t>recombination mediator RecR</t>
  </si>
  <si>
    <t>WP_011013500.1</t>
  </si>
  <si>
    <t>CGL_RS01300</t>
  </si>
  <si>
    <t>type 1 glutamine amidotransferase</t>
  </si>
  <si>
    <t>WP_011013501.1</t>
  </si>
  <si>
    <t>CGL_RS01305</t>
  </si>
  <si>
    <t>Mur ligase family protein</t>
  </si>
  <si>
    <t>WP_011013502.1</t>
  </si>
  <si>
    <t>CGL_RS01310</t>
  </si>
  <si>
    <t>DNA polymerase III subunit epsilon</t>
  </si>
  <si>
    <t>WP_011013503.1</t>
  </si>
  <si>
    <t>CGL_RS01315</t>
  </si>
  <si>
    <t>2-isopropylmalate synthase</t>
  </si>
  <si>
    <t>leuA</t>
  </si>
  <si>
    <t>WP_015439406.1</t>
  </si>
  <si>
    <t>CGL_RS01320</t>
  </si>
  <si>
    <t>DMT family transporter</t>
  </si>
  <si>
    <t>WP_011013505.1</t>
  </si>
  <si>
    <t>CGL_RS01325</t>
  </si>
  <si>
    <t>aspartate kinase</t>
  </si>
  <si>
    <t>WP_003855724.1</t>
  </si>
  <si>
    <t>CGL_RS01330</t>
  </si>
  <si>
    <t>aspartate-semialdehyde dehydrogenase</t>
  </si>
  <si>
    <t>WP_011013506.1</t>
  </si>
  <si>
    <t>CGL_RS01335</t>
  </si>
  <si>
    <t>WP_011013507.1</t>
  </si>
  <si>
    <t>CGL_RS01340</t>
  </si>
  <si>
    <t>RNA polymerase sigma factor</t>
  </si>
  <si>
    <t>WP_011013508.1</t>
  </si>
  <si>
    <t>CGL_RS01345</t>
  </si>
  <si>
    <t>catalase</t>
  </si>
  <si>
    <t>WP_374057883.1</t>
  </si>
  <si>
    <t>CGL_RS01350</t>
  </si>
  <si>
    <t>WP_011013510.1</t>
  </si>
  <si>
    <t>CGL_RS01355</t>
  </si>
  <si>
    <t>Lrp/AsnC family transcriptional regulator</t>
  </si>
  <si>
    <t>WP_011265509.1</t>
  </si>
  <si>
    <t>CGL_RS01360</t>
  </si>
  <si>
    <t>branched-chain amino acid exporter BrnF</t>
  </si>
  <si>
    <t>brnF</t>
  </si>
  <si>
    <t>WP_011265510.1</t>
  </si>
  <si>
    <t>CGL_RS01365</t>
  </si>
  <si>
    <t>branched-chain amino acid exporter BrnE</t>
  </si>
  <si>
    <t>brnE</t>
  </si>
  <si>
    <t>WP_011013513.1</t>
  </si>
  <si>
    <t>CGL_RS01370</t>
  </si>
  <si>
    <t>WP_011013514.1</t>
  </si>
  <si>
    <t>CGL_RS01375</t>
  </si>
  <si>
    <t>ArsR/SmtB family transcription factor</t>
  </si>
  <si>
    <t>WP_011013515.1</t>
  </si>
  <si>
    <t>CGL_RS01380</t>
  </si>
  <si>
    <t>ACR3 family arsenite efflux transporter</t>
  </si>
  <si>
    <t>arsB</t>
  </si>
  <si>
    <t>WP_011013516.1</t>
  </si>
  <si>
    <t>CGL_RS01385</t>
  </si>
  <si>
    <t>low molecular weight phosphatase family protein</t>
  </si>
  <si>
    <t>WP_003863342.1</t>
  </si>
  <si>
    <t>CGL_RS01390</t>
  </si>
  <si>
    <t>Na+/H+ antiporter subunit G</t>
  </si>
  <si>
    <t>WP_003863340.1</t>
  </si>
  <si>
    <t>CGL_RS01395</t>
  </si>
  <si>
    <t>cation:proton antiporter</t>
  </si>
  <si>
    <t>WP_011013517.1</t>
  </si>
  <si>
    <t>CGL_RS15510</t>
  </si>
  <si>
    <t>monovalent cation/H+ antiporter subunit E</t>
  </si>
  <si>
    <t>WP_011013518.1</t>
  </si>
  <si>
    <t>CGL_RS15515</t>
  </si>
  <si>
    <t>monovalent cation/H+ antiporter subunit D family protein</t>
  </si>
  <si>
    <t>WP_172820762.1</t>
  </si>
  <si>
    <t>CGL_RS01405</t>
  </si>
  <si>
    <t>cation:proton antiporter subunit C</t>
  </si>
  <si>
    <t>WP_011013520.1</t>
  </si>
  <si>
    <t>CGL_RS01410</t>
  </si>
  <si>
    <t>DUF4040 family protein</t>
  </si>
  <si>
    <t>WP_011013521.1</t>
  </si>
  <si>
    <t>CGL_RS01415</t>
  </si>
  <si>
    <t>YhgE/Pip domain-containing protein</t>
  </si>
  <si>
    <t>WP_011013522.1</t>
  </si>
  <si>
    <t>CGL_RS01420</t>
  </si>
  <si>
    <t>endonuclease domain-containing protein</t>
  </si>
  <si>
    <t>WP_011013523.1</t>
  </si>
  <si>
    <t>CGL_RS01425</t>
  </si>
  <si>
    <t>response regulator transcription factor</t>
  </si>
  <si>
    <t>WP_011013524.1</t>
  </si>
  <si>
    <t>CGL_RS01430</t>
  </si>
  <si>
    <t>WP_011013525.1</t>
  </si>
  <si>
    <t>CGL_RS01435</t>
  </si>
  <si>
    <t>WP_011265513.1</t>
  </si>
  <si>
    <t>CGL_RS01440</t>
  </si>
  <si>
    <t>DedA family protein</t>
  </si>
  <si>
    <t>WP_011013527.1</t>
  </si>
  <si>
    <t>CGL_RS01445</t>
  </si>
  <si>
    <t>tRNA-Pro</t>
  </si>
  <si>
    <t>CGL_RS01450</t>
  </si>
  <si>
    <t>WP_011013528.1</t>
  </si>
  <si>
    <t>CGL_RS01455</t>
  </si>
  <si>
    <t>GatB/YqeY domain-containing protein</t>
  </si>
  <si>
    <t>WP_003863321.1</t>
  </si>
  <si>
    <t>CGL_RS01460</t>
  </si>
  <si>
    <t>transglycosylase domain-containing protein</t>
  </si>
  <si>
    <t>WP_011013529.1</t>
  </si>
  <si>
    <t>CGL_RS01465</t>
  </si>
  <si>
    <t>WhiB family transcriptional regulator WhcA</t>
  </si>
  <si>
    <t>whcA</t>
  </si>
  <si>
    <t>WP_003863319.1</t>
  </si>
  <si>
    <t>CGL_RS01470</t>
  </si>
  <si>
    <t>DUF4177 domain-containing protein</t>
  </si>
  <si>
    <t>WP_003855791.1</t>
  </si>
  <si>
    <t>CGL_RS01475</t>
  </si>
  <si>
    <t>WP_003855793.1</t>
  </si>
  <si>
    <t>CGL_RS01480</t>
  </si>
  <si>
    <t>WP_011013531.1</t>
  </si>
  <si>
    <t>CGL_RS01485</t>
  </si>
  <si>
    <t>acyl-CoA synthetase</t>
  </si>
  <si>
    <t>WP_011013532.1</t>
  </si>
  <si>
    <t>CGL_RS01490</t>
  </si>
  <si>
    <t>WP_011265516.1</t>
  </si>
  <si>
    <t>CGL_RS01495</t>
  </si>
  <si>
    <t>SDR family NAD(P)-dependent oxidoreductase</t>
  </si>
  <si>
    <t>WP_011013534.1</t>
  </si>
  <si>
    <t>CGL_RS01500</t>
  </si>
  <si>
    <t>4-hydroxyphenyl-beta-ketoacyl-CoA hydrolase</t>
  </si>
  <si>
    <t>WP_011013535.1</t>
  </si>
  <si>
    <t>CGL_RS01505</t>
  </si>
  <si>
    <t>acyl-CoA dehydrogenase family protein</t>
  </si>
  <si>
    <t>WP_011013536.1</t>
  </si>
  <si>
    <t>CGL_RS01510</t>
  </si>
  <si>
    <t>MaoC family dehydratase</t>
  </si>
  <si>
    <t>WP_003863309.1</t>
  </si>
  <si>
    <t>CGL_RS01515</t>
  </si>
  <si>
    <t>WP_020948499.1</t>
  </si>
  <si>
    <t>CGL_RS01520</t>
  </si>
  <si>
    <t>CRP-like cAMP-activated global transcriptional regulator GlxR</t>
  </si>
  <si>
    <t>glxR</t>
  </si>
  <si>
    <t>WP_003855810.1</t>
  </si>
  <si>
    <t>CGL_RS01525</t>
  </si>
  <si>
    <t>WP_011013538.1</t>
  </si>
  <si>
    <t>CGL_RS01530</t>
  </si>
  <si>
    <t>endonuclease III</t>
  </si>
  <si>
    <t>nth</t>
  </si>
  <si>
    <t>WP_011013539.1</t>
  </si>
  <si>
    <t>CGL_RS01535</t>
  </si>
  <si>
    <t>TlpA family protein disulfide reductase</t>
  </si>
  <si>
    <t>WP_011013540.1</t>
  </si>
  <si>
    <t>CGL_RS01540</t>
  </si>
  <si>
    <t>NUDIX hydrolase</t>
  </si>
  <si>
    <t>WP_011013541.1</t>
  </si>
  <si>
    <t>CGL_RS01545</t>
  </si>
  <si>
    <t>MarP family serine protease</t>
  </si>
  <si>
    <t>WP_011013542.1</t>
  </si>
  <si>
    <t>CGL_RS01550</t>
  </si>
  <si>
    <t>WP_011013543.1</t>
  </si>
  <si>
    <t>CGL_RS01555</t>
  </si>
  <si>
    <t>WP_011013544.1</t>
  </si>
  <si>
    <t>CGL_RS01560</t>
  </si>
  <si>
    <t>WP_011013545.1</t>
  </si>
  <si>
    <t>CGL_RS01565</t>
  </si>
  <si>
    <t>septum site-determining protein Ssd</t>
  </si>
  <si>
    <t>ssd</t>
  </si>
  <si>
    <t>WP_011013546.1</t>
  </si>
  <si>
    <t>CGL_RS01570</t>
  </si>
  <si>
    <t>TadA family conjugal transfer-associated ATPase</t>
  </si>
  <si>
    <t>WP_011013547.1</t>
  </si>
  <si>
    <t>CGL_RS01575</t>
  </si>
  <si>
    <t>type II secretion system F family protein</t>
  </si>
  <si>
    <t>WP_011013548.1</t>
  </si>
  <si>
    <t>CGL_RS01580</t>
  </si>
  <si>
    <t>WP_011013549.1</t>
  </si>
  <si>
    <t>CGL_RS01585</t>
  </si>
  <si>
    <t>DUF4244 domain-containing protein</t>
  </si>
  <si>
    <t>WP_003855827.1</t>
  </si>
  <si>
    <t>CGL_RS01590</t>
  </si>
  <si>
    <t>WP_003863285.1</t>
  </si>
  <si>
    <t>CGL_RS01595</t>
  </si>
  <si>
    <t>Rv3654c family TadE-like protein</t>
  </si>
  <si>
    <t>WP_003855829.1</t>
  </si>
  <si>
    <t>CGL_RS01600</t>
  </si>
  <si>
    <t>DEAD/DEAH box helicase</t>
  </si>
  <si>
    <t>WP_011013550.1</t>
  </si>
  <si>
    <t>CGL_RS01605</t>
  </si>
  <si>
    <t>WP_011013551.1</t>
  </si>
  <si>
    <t>CGL_RS01610</t>
  </si>
  <si>
    <t>type I DNA topoisomerase</t>
  </si>
  <si>
    <t>topA</t>
  </si>
  <si>
    <t>WP_011013552.1</t>
  </si>
  <si>
    <t>CGL_RS01615</t>
  </si>
  <si>
    <t>lysoplasmalogenase</t>
  </si>
  <si>
    <t>WP_231838283.1</t>
  </si>
  <si>
    <t>CGL_RS01620</t>
  </si>
  <si>
    <t>class III adenylate cyclase</t>
  </si>
  <si>
    <t>WP_020948500.1</t>
  </si>
  <si>
    <t>CGL_RS01625</t>
  </si>
  <si>
    <t>DNA polymerase III subunit delta'</t>
  </si>
  <si>
    <t>WP_011013555.1</t>
  </si>
  <si>
    <t>CGL_RS01630</t>
  </si>
  <si>
    <t>tRNA-Thr</t>
  </si>
  <si>
    <t>CGL_RS01635</t>
  </si>
  <si>
    <t>Panacea domain-containing protein</t>
  </si>
  <si>
    <t>WP_011013556.1</t>
  </si>
  <si>
    <t>CGL_RS01640</t>
  </si>
  <si>
    <t>WP_011265526.1</t>
  </si>
  <si>
    <t>CGL_RS01645</t>
  </si>
  <si>
    <t>adenylate kinase</t>
  </si>
  <si>
    <t>WP_011013557.1</t>
  </si>
  <si>
    <t>CGL_RS01650</t>
  </si>
  <si>
    <t>RluA family pseudouridine synthase</t>
  </si>
  <si>
    <t>WP_011013558.1</t>
  </si>
  <si>
    <t>CGL_RS01655</t>
  </si>
  <si>
    <t>CGL_RS01660</t>
  </si>
  <si>
    <t>S-(hydroxymethyl)mycothiol dehydrogenase</t>
  </si>
  <si>
    <t>WP_003863269.1</t>
  </si>
  <si>
    <t>CGL_RS01665</t>
  </si>
  <si>
    <t>WP_011013561.1</t>
  </si>
  <si>
    <t>CGL_RS01670</t>
  </si>
  <si>
    <t>WP_011013562.1</t>
  </si>
  <si>
    <t>CGL_RS01675</t>
  </si>
  <si>
    <t>WP_011013563.1</t>
  </si>
  <si>
    <t>CGL_RS01680</t>
  </si>
  <si>
    <t>GDP-mannose 4,6-dehydratase</t>
  </si>
  <si>
    <t>WP_011013564.1</t>
  </si>
  <si>
    <t>CGL_RS01685</t>
  </si>
  <si>
    <t>DUF2304 domain-containing protein</t>
  </si>
  <si>
    <t>WP_011013565.1</t>
  </si>
  <si>
    <t>CGL_RS01690</t>
  </si>
  <si>
    <t>glycosyltransferase family 2 protein</t>
  </si>
  <si>
    <t>WP_011013566.1</t>
  </si>
  <si>
    <t>CGL_RS01695</t>
  </si>
  <si>
    <t>ribonuclease HI</t>
  </si>
  <si>
    <t>WP_011013567.1</t>
  </si>
  <si>
    <t>CGL_RS01700</t>
  </si>
  <si>
    <t>WP_011013568.1</t>
  </si>
  <si>
    <t>CGL_RS01705</t>
  </si>
  <si>
    <t>bifunctional metallophosphatase/5'-nucleotidase</t>
  </si>
  <si>
    <t>WP_011013569.1</t>
  </si>
  <si>
    <t>CGL_RS01710</t>
  </si>
  <si>
    <t>WP_011013570.1</t>
  </si>
  <si>
    <t>CGL_RS01720</t>
  </si>
  <si>
    <t>furfural detoxificationalcohol dehydrogenase FudC</t>
  </si>
  <si>
    <t>fudC</t>
  </si>
  <si>
    <t>WP_011013571.1</t>
  </si>
  <si>
    <t>CGL_RS01725</t>
  </si>
  <si>
    <t>glucose-1-phosphate thymidylyltransferase RfbA</t>
  </si>
  <si>
    <t>rfbA</t>
  </si>
  <si>
    <t>WP_011013572.1</t>
  </si>
  <si>
    <t>CGL_RS01730</t>
  </si>
  <si>
    <t>sugar nucleotide-binding protein</t>
  </si>
  <si>
    <t>WP_011013573.1</t>
  </si>
  <si>
    <t>CGL_RS01735</t>
  </si>
  <si>
    <t>dTDP-glucose 4,6-dehydratase</t>
  </si>
  <si>
    <t>rfbB</t>
  </si>
  <si>
    <t>WP_011013574.1</t>
  </si>
  <si>
    <t>CGL_RS01740</t>
  </si>
  <si>
    <t>nitroreductase family protein</t>
  </si>
  <si>
    <t>WP_011013575.1</t>
  </si>
  <si>
    <t>CGL_RS01745</t>
  </si>
  <si>
    <t>ABC transporter substrate-binding protein</t>
  </si>
  <si>
    <t>WP_011013576.1</t>
  </si>
  <si>
    <t>CGL_RS01750</t>
  </si>
  <si>
    <t>WP_011013577.1</t>
  </si>
  <si>
    <t>CGL_RS01755</t>
  </si>
  <si>
    <t>WP_011013578.1</t>
  </si>
  <si>
    <t>CGL_RS01760</t>
  </si>
  <si>
    <t>M1 family metallopeptidase</t>
  </si>
  <si>
    <t>WP_011013579.1</t>
  </si>
  <si>
    <t>CGL_RS01765</t>
  </si>
  <si>
    <t>prolyl oligopeptidase family serine peptidase</t>
  </si>
  <si>
    <t>WP_011013580.1</t>
  </si>
  <si>
    <t>CGL_RS01770</t>
  </si>
  <si>
    <t>excalibur calcium-binding domain-containing protein</t>
  </si>
  <si>
    <t>WP_020948502.1</t>
  </si>
  <si>
    <t>CGL_RS01775</t>
  </si>
  <si>
    <t>FUSC family protein</t>
  </si>
  <si>
    <t>WP_011265531.1</t>
  </si>
  <si>
    <t>CGL_RS01780</t>
  </si>
  <si>
    <t>WP_011013583.1</t>
  </si>
  <si>
    <t>CGL_RS01785</t>
  </si>
  <si>
    <t>polysaccharide biosynthesis tyrosine autokinase</t>
  </si>
  <si>
    <t>WP_011013584.1</t>
  </si>
  <si>
    <t>CGL_RS01790</t>
  </si>
  <si>
    <t>WP_011013585.1</t>
  </si>
  <si>
    <t>CGL_RS01795</t>
  </si>
  <si>
    <t>WD40/YVTN/BNR-like repeat-containing protein</t>
  </si>
  <si>
    <t>WP_011265532.1</t>
  </si>
  <si>
    <t>CGL_RS01800</t>
  </si>
  <si>
    <t>polysaccharide biosynthesis protein</t>
  </si>
  <si>
    <t>WP_011265533.1</t>
  </si>
  <si>
    <t>CGL_RS01805</t>
  </si>
  <si>
    <t>DegT/DnrJ/EryC1/StrS family aminotransferase</t>
  </si>
  <si>
    <t>WP_011013588.1</t>
  </si>
  <si>
    <t>CGL_RS01810</t>
  </si>
  <si>
    <t>sugar transferase</t>
  </si>
  <si>
    <t>WP_011013589.1</t>
  </si>
  <si>
    <t>CGL_RS01815</t>
  </si>
  <si>
    <t>glycosyltransferase family 4 protein</t>
  </si>
  <si>
    <t>WP_101677576.1</t>
  </si>
  <si>
    <t>CGL_RS01820</t>
  </si>
  <si>
    <t>lipopolysaccharide biosynthesis protein</t>
  </si>
  <si>
    <t>WP_011013591.1</t>
  </si>
  <si>
    <t>CGL_RS01825</t>
  </si>
  <si>
    <t>UDP-N-acetylglucosamine 1-carboxyvinyltransferase</t>
  </si>
  <si>
    <t>WP_011013592.1</t>
  </si>
  <si>
    <t>CGL_RS01830</t>
  </si>
  <si>
    <t>UDP-N-acetylmuramate dehydrogenase</t>
  </si>
  <si>
    <t>murB</t>
  </si>
  <si>
    <t>WP_011013593.1</t>
  </si>
  <si>
    <t>CGL_RS01835</t>
  </si>
  <si>
    <t>WP_011013594.1</t>
  </si>
  <si>
    <t>CGL_RS01840</t>
  </si>
  <si>
    <t>transposase</t>
  </si>
  <si>
    <t>WP_011013595.1</t>
  </si>
  <si>
    <t>CGL_RS15580</t>
  </si>
  <si>
    <t>WP_041625327.1</t>
  </si>
  <si>
    <t>CGL_RS15585</t>
  </si>
  <si>
    <t>WP_227747642.1</t>
  </si>
  <si>
    <t>CGL_RS15590</t>
  </si>
  <si>
    <t>SGNH hydrolase domain-containing protein</t>
  </si>
  <si>
    <t>WP_011013596.1</t>
  </si>
  <si>
    <t>CGL_RS01850</t>
  </si>
  <si>
    <t>acyltransferase family protein</t>
  </si>
  <si>
    <t>WP_011013597.1</t>
  </si>
  <si>
    <t>CGL_RS01855</t>
  </si>
  <si>
    <t>CGL_RS15595</t>
  </si>
  <si>
    <t>nucleotide sugar dehydrogenase</t>
  </si>
  <si>
    <t>WP_011013598.1</t>
  </si>
  <si>
    <t>CGL_RS01860</t>
  </si>
  <si>
    <t>O-antigen ligase family protein</t>
  </si>
  <si>
    <t>WP_011013599.1</t>
  </si>
  <si>
    <t>CGL_RS01865</t>
  </si>
  <si>
    <t>WP_011013600.1</t>
  </si>
  <si>
    <t>CGL_RS01870</t>
  </si>
  <si>
    <t>acetyltransferase</t>
  </si>
  <si>
    <t>WP_011013601.1</t>
  </si>
  <si>
    <t>CGL_RS01875</t>
  </si>
  <si>
    <t>dihydrolipoyl dehydrogenase</t>
  </si>
  <si>
    <t>lpdA</t>
  </si>
  <si>
    <t>WP_011013602.1</t>
  </si>
  <si>
    <t>CGL_RS01880</t>
  </si>
  <si>
    <t>UTP--glucose-1-phosphate uridylyltransferase</t>
  </si>
  <si>
    <t>WP_011265539.1</t>
  </si>
  <si>
    <t>CGL_RS01885</t>
  </si>
  <si>
    <t>Cys-tRNA(Pro) deacylase</t>
  </si>
  <si>
    <t>ybaK</t>
  </si>
  <si>
    <t>WP_011265540.1</t>
  </si>
  <si>
    <t>CGL_RS01890</t>
  </si>
  <si>
    <t>acetate metabolism transcriptional regulator RamB</t>
  </si>
  <si>
    <t>ramB</t>
  </si>
  <si>
    <t>WP_003859703.1</t>
  </si>
  <si>
    <t>CGL_RS01895</t>
  </si>
  <si>
    <t>succinate dehydrogenase cytochrome b subunit</t>
  </si>
  <si>
    <t>WP_003855465.1</t>
  </si>
  <si>
    <t>CGL_RS01900</t>
  </si>
  <si>
    <t>fumarate reductase/succinate dehydrogenase flavoprotein subunit</t>
  </si>
  <si>
    <t>WP_011013606.1</t>
  </si>
  <si>
    <t>CGL_RS01905</t>
  </si>
  <si>
    <t>succinate dehydrogenase/fumarate reductase iron-sulfur subunit</t>
  </si>
  <si>
    <t>WP_011013607.1</t>
  </si>
  <si>
    <t>CGL_RS01910</t>
  </si>
  <si>
    <t>WP_011013608.1</t>
  </si>
  <si>
    <t>CGL_RS01915</t>
  </si>
  <si>
    <t>WP_011265543.1</t>
  </si>
  <si>
    <t>CGL_RS01920</t>
  </si>
  <si>
    <t>winged helix DNA-binding domain-containing protein</t>
  </si>
  <si>
    <t>WP_011013610.1</t>
  </si>
  <si>
    <t>CGL_RS01925</t>
  </si>
  <si>
    <t>DUF445 domain-containing protein</t>
  </si>
  <si>
    <t>WP_011265544.1</t>
  </si>
  <si>
    <t>CGL_RS01930</t>
  </si>
  <si>
    <t>CGLAU_01105 family protein</t>
  </si>
  <si>
    <t>WP_011013612.1</t>
  </si>
  <si>
    <t>CGL_RS01935</t>
  </si>
  <si>
    <t>DUF2516 family protein</t>
  </si>
  <si>
    <t>WP_011013613.1</t>
  </si>
  <si>
    <t>CGL_RS01940</t>
  </si>
  <si>
    <t>TetR/AcrR family transcriptional regulator</t>
  </si>
  <si>
    <t>WP_011265545.1</t>
  </si>
  <si>
    <t>CGL_RS01945</t>
  </si>
  <si>
    <t>MDR family MFS transporter</t>
  </si>
  <si>
    <t>WP_003859734.1</t>
  </si>
  <si>
    <t>CGL_RS01950</t>
  </si>
  <si>
    <t>WP_011013615.1</t>
  </si>
  <si>
    <t>CGL_RS01955</t>
  </si>
  <si>
    <t>formyltetrahydrofolate deformylase</t>
  </si>
  <si>
    <t>purU</t>
  </si>
  <si>
    <t>WP_011013616.1</t>
  </si>
  <si>
    <t>CGL_RS01960</t>
  </si>
  <si>
    <t>deoxyribose-phosphate aldolase</t>
  </si>
  <si>
    <t>deoC</t>
  </si>
  <si>
    <t>WP_011265546.1</t>
  </si>
  <si>
    <t>CGL_RS01965</t>
  </si>
  <si>
    <t>WP_011013618.1</t>
  </si>
  <si>
    <t>CGL_RS01970</t>
  </si>
  <si>
    <t>WP_003855480.1</t>
  </si>
  <si>
    <t>CGL_RS01975</t>
  </si>
  <si>
    <t>heavy metal translocating P-type ATPase</t>
  </si>
  <si>
    <t>WP_011013619.1</t>
  </si>
  <si>
    <t>CGL_RS01980</t>
  </si>
  <si>
    <t>WP_011013620.1</t>
  </si>
  <si>
    <t>CGL_RS01985</t>
  </si>
  <si>
    <t>HtaA domain-containing protein</t>
  </si>
  <si>
    <t>WP_011013621.1</t>
  </si>
  <si>
    <t>CGL_RS01990</t>
  </si>
  <si>
    <t>heme/hemin ABC transporter substrate-binding protein</t>
  </si>
  <si>
    <t>WP_003859750.1</t>
  </si>
  <si>
    <t>CGL_RS01995</t>
  </si>
  <si>
    <t>WP_003859752.1</t>
  </si>
  <si>
    <t>CGL_RS02000</t>
  </si>
  <si>
    <t>heme ABC transporter ATP-binding protein</t>
  </si>
  <si>
    <t>WP_011013622.1</t>
  </si>
  <si>
    <t>CGL_RS02005</t>
  </si>
  <si>
    <t>WP_011013623.1</t>
  </si>
  <si>
    <t>CGL_RS15805</t>
  </si>
  <si>
    <t>WP_011013624.1</t>
  </si>
  <si>
    <t>CGL_RS02015</t>
  </si>
  <si>
    <t>LmeA family phospholipid-binding protein</t>
  </si>
  <si>
    <t>WP_011013625.1</t>
  </si>
  <si>
    <t>CGL_RS02020</t>
  </si>
  <si>
    <t>class I SAM-dependent methyltransferase</t>
  </si>
  <si>
    <t>WP_011013626.1</t>
  </si>
  <si>
    <t>CGL_RS02025</t>
  </si>
  <si>
    <t>DUF2505 domain-containing protein</t>
  </si>
  <si>
    <t>WP_003855491.1</t>
  </si>
  <si>
    <t>CGL_RS02030</t>
  </si>
  <si>
    <t>WP_003855492.1</t>
  </si>
  <si>
    <t>CGL_RS02035</t>
  </si>
  <si>
    <t>WP_011013627.1</t>
  </si>
  <si>
    <t>CGL_RS02040</t>
  </si>
  <si>
    <t>long-chain-fatty-acid--CoA ligase</t>
  </si>
  <si>
    <t>WP_003855494.1</t>
  </si>
  <si>
    <t>CGL_RS02045</t>
  </si>
  <si>
    <t>D-inositol-3-phosphate glycosyltransferase</t>
  </si>
  <si>
    <t>mshA</t>
  </si>
  <si>
    <t>WP_011013628.1</t>
  </si>
  <si>
    <t>CGL_RS02050</t>
  </si>
  <si>
    <t>phosphoglyceromutase</t>
  </si>
  <si>
    <t>WP_003855496.1</t>
  </si>
  <si>
    <t>CGL_RS02055</t>
  </si>
  <si>
    <t>WP_003855497.1</t>
  </si>
  <si>
    <t>CGL_RS02060</t>
  </si>
  <si>
    <t>WP_011013630.1</t>
  </si>
  <si>
    <t>CGL_RS02065</t>
  </si>
  <si>
    <t>WP_011013631.1</t>
  </si>
  <si>
    <t>CGL_RS02070</t>
  </si>
  <si>
    <t>WP_011013632.1</t>
  </si>
  <si>
    <t>CGL_RS02075</t>
  </si>
  <si>
    <t>WP_011013633.1</t>
  </si>
  <si>
    <t>CGL_RS02080</t>
  </si>
  <si>
    <t>Ppx/GppA phosphatase family protein</t>
  </si>
  <si>
    <t>WP_011265553.1</t>
  </si>
  <si>
    <t>CGL_RS02085</t>
  </si>
  <si>
    <t>WP_003855504.1</t>
  </si>
  <si>
    <t>CGL_RS02090</t>
  </si>
  <si>
    <t>pyrroline-5-carboxylate reductase</t>
  </si>
  <si>
    <t>proC</t>
  </si>
  <si>
    <t>WP_003855505.1</t>
  </si>
  <si>
    <t>CGL_RS02095</t>
  </si>
  <si>
    <t>WP_003855509.1</t>
  </si>
  <si>
    <t>CGL_RS02100</t>
  </si>
  <si>
    <t>30S ribosomal protein bS22</t>
  </si>
  <si>
    <t>WP_003855542.1</t>
  </si>
  <si>
    <t>CGL_RS02105</t>
  </si>
  <si>
    <t>HAD-IB family hydrolase</t>
  </si>
  <si>
    <t>WP_003855543.1</t>
  </si>
  <si>
    <t>CGL_RS02110</t>
  </si>
  <si>
    <t>glutaredoxin family protein</t>
  </si>
  <si>
    <t>WP_003855545.1</t>
  </si>
  <si>
    <t>CGL_RS02115</t>
  </si>
  <si>
    <t>glutamyl-tRNA reductase</t>
  </si>
  <si>
    <t>WP_011265556.1</t>
  </si>
  <si>
    <t>CGL_RS02120</t>
  </si>
  <si>
    <t>hydroxymethylbilane synthase</t>
  </si>
  <si>
    <t>hemC</t>
  </si>
  <si>
    <t>WP_011013637.1</t>
  </si>
  <si>
    <t>CGL_RS02125</t>
  </si>
  <si>
    <t>WP_020948509.1</t>
  </si>
  <si>
    <t>CGL_RS02130</t>
  </si>
  <si>
    <t>WP_003855552.1</t>
  </si>
  <si>
    <t>CGL_RS02135</t>
  </si>
  <si>
    <t>WP_011013638.1</t>
  </si>
  <si>
    <t>CGL_RS02140</t>
  </si>
  <si>
    <t>dehydroshikimate dehydratase QsuB</t>
  </si>
  <si>
    <t>qsuB</t>
  </si>
  <si>
    <t>WP_011013639.1</t>
  </si>
  <si>
    <t>CGL_RS02145</t>
  </si>
  <si>
    <t>type II 3-dehydroquinate dehydratase</t>
  </si>
  <si>
    <t>aroQ</t>
  </si>
  <si>
    <t>WP_003860435.1</t>
  </si>
  <si>
    <t>CGL_RS02150</t>
  </si>
  <si>
    <t>quinate/shikimate dehydrogenase (NAD+)</t>
  </si>
  <si>
    <t>WP_011013640.1</t>
  </si>
  <si>
    <t>CGL_RS02155</t>
  </si>
  <si>
    <t>ribosomal protein bL12</t>
  </si>
  <si>
    <t>WP_011013641.1</t>
  </si>
  <si>
    <t>CGL_RS02160</t>
  </si>
  <si>
    <t>WP_011013642.1</t>
  </si>
  <si>
    <t>CGL_RS02165</t>
  </si>
  <si>
    <t>WP_011265558.1</t>
  </si>
  <si>
    <t>CGL_RS02170</t>
  </si>
  <si>
    <t>WP_011013644.1</t>
  </si>
  <si>
    <t>CGL_RS02175</t>
  </si>
  <si>
    <t>bifunctional uroporphyrinogen-III C-methyltransferase/uroporphyrinogen-III synthase</t>
  </si>
  <si>
    <t>WP_011013645.1</t>
  </si>
  <si>
    <t>CGL_RS02185</t>
  </si>
  <si>
    <t>DUF3806 domain-containing protein</t>
  </si>
  <si>
    <t>WP_011265559.1</t>
  </si>
  <si>
    <t>CGL_RS02190</t>
  </si>
  <si>
    <t>porphobilinogen synthase</t>
  </si>
  <si>
    <t>hemB</t>
  </si>
  <si>
    <t>WP_011013646.1</t>
  </si>
  <si>
    <t>CGL_RS02195</t>
  </si>
  <si>
    <t>WP_003860456.1</t>
  </si>
  <si>
    <t>CGL_RS02200</t>
  </si>
  <si>
    <t>WP_011013647.1</t>
  </si>
  <si>
    <t>CGL_RS02205</t>
  </si>
  <si>
    <t>WP_011013648.1</t>
  </si>
  <si>
    <t>CGL_RS02210</t>
  </si>
  <si>
    <t>uroporphyrinogen decarboxylase</t>
  </si>
  <si>
    <t>hemE</t>
  </si>
  <si>
    <t>WP_011265560.1</t>
  </si>
  <si>
    <t>CGL_RS02215</t>
  </si>
  <si>
    <t>protoporphyrinogen oxidase</t>
  </si>
  <si>
    <t>WP_011013650.1</t>
  </si>
  <si>
    <t>CGL_RS02220</t>
  </si>
  <si>
    <t>glutamate-1-semialdehyde 2,1-aminomutase</t>
  </si>
  <si>
    <t>hemL</t>
  </si>
  <si>
    <t>WP_011265562.1</t>
  </si>
  <si>
    <t>CGL_RS02225</t>
  </si>
  <si>
    <t>histidine phosphatase family protein</t>
  </si>
  <si>
    <t>WP_003855583.1</t>
  </si>
  <si>
    <t>CGL_RS02230</t>
  </si>
  <si>
    <t>TlpA disulfide reductase family protein</t>
  </si>
  <si>
    <t>WP_003855585.1</t>
  </si>
  <si>
    <t>CGL_RS02235</t>
  </si>
  <si>
    <t>WP_011013652.1</t>
  </si>
  <si>
    <t>CGL_RS02240</t>
  </si>
  <si>
    <t>cytochrome c biogenesis protein ResB</t>
  </si>
  <si>
    <t>WP_011013653.1</t>
  </si>
  <si>
    <t>CGL_RS02245</t>
  </si>
  <si>
    <t>c-type cytochrome biogenesis protein CcsB</t>
  </si>
  <si>
    <t>ccsB</t>
  </si>
  <si>
    <t>WP_003855590.1</t>
  </si>
  <si>
    <t>CGL_RS02250</t>
  </si>
  <si>
    <t>M24 family metallopeptidase</t>
  </si>
  <si>
    <t>WP_011013654.1</t>
  </si>
  <si>
    <t>CGL_RS02255</t>
  </si>
  <si>
    <t>WP_011013655.1</t>
  </si>
  <si>
    <t>CGL_RS02260</t>
  </si>
  <si>
    <t>WP_011013656.1</t>
  </si>
  <si>
    <t>CGL_RS02265</t>
  </si>
  <si>
    <t>WP_011013657.1</t>
  </si>
  <si>
    <t>CGL_RS02270</t>
  </si>
  <si>
    <t>DUF4229 domain-containing protein</t>
  </si>
  <si>
    <t>WP_231838284.1</t>
  </si>
  <si>
    <t>CGL_RS02275</t>
  </si>
  <si>
    <t>1,4-dihydroxy-2-naphthoate polyprenyltransferase</t>
  </si>
  <si>
    <t>WP_011013659.1</t>
  </si>
  <si>
    <t>CGL_RS02280</t>
  </si>
  <si>
    <t>WP_003855600.1</t>
  </si>
  <si>
    <t>CGL_RS02285</t>
  </si>
  <si>
    <t>o-succinylbenzoate--CoA ligase</t>
  </si>
  <si>
    <t>menE</t>
  </si>
  <si>
    <t>WP_011013660.1</t>
  </si>
  <si>
    <t>CGL_RS02290</t>
  </si>
  <si>
    <t>DoxX family protein</t>
  </si>
  <si>
    <t>WP_006286612.1</t>
  </si>
  <si>
    <t>CGL_RS02295</t>
  </si>
  <si>
    <t>aldehyde dehydrogenase (NADP(+))</t>
  </si>
  <si>
    <t>WP_011013661.1</t>
  </si>
  <si>
    <t>CGL_RS02300</t>
  </si>
  <si>
    <t>5-dehydro-4-deoxyglucarate dehydratase</t>
  </si>
  <si>
    <t>WP_003860476.1</t>
  </si>
  <si>
    <t>CGL_RS02305</t>
  </si>
  <si>
    <t>LysR substrate-binding domain-containing protein</t>
  </si>
  <si>
    <t>WP_011013662.1</t>
  </si>
  <si>
    <t>CGL_RS02310</t>
  </si>
  <si>
    <t>DUF3349 domain-containing protein</t>
  </si>
  <si>
    <t>WP_003860484.1</t>
  </si>
  <si>
    <t>CGL_RS02315</t>
  </si>
  <si>
    <t>WP_011013663.1</t>
  </si>
  <si>
    <t>CGL_RS02320</t>
  </si>
  <si>
    <t>thioesterase family protein</t>
  </si>
  <si>
    <t>WP_011013664.1</t>
  </si>
  <si>
    <t>CGL_RS02325</t>
  </si>
  <si>
    <t>WP_020948510.1</t>
  </si>
  <si>
    <t>CGL_RS02330</t>
  </si>
  <si>
    <t>WP_003860492.1</t>
  </si>
  <si>
    <t>CGL_RS02335</t>
  </si>
  <si>
    <t>inorganic phosphate transporter</t>
  </si>
  <si>
    <t>WP_011265565.1</t>
  </si>
  <si>
    <t>CGL_RS02340</t>
  </si>
  <si>
    <t>WP_231838285.1</t>
  </si>
  <si>
    <t>CGL_RS15610</t>
  </si>
  <si>
    <t>1,4-dihydroxy-2-naphthoyl-CoA synthase</t>
  </si>
  <si>
    <t>WP_003860502.1</t>
  </si>
  <si>
    <t>CGL_RS02350</t>
  </si>
  <si>
    <t>4a-hydroxytetrahydrobiopterin dehydratase</t>
  </si>
  <si>
    <t>WP_011013667.1</t>
  </si>
  <si>
    <t>CGL_RS02355</t>
  </si>
  <si>
    <t>peptidase E</t>
  </si>
  <si>
    <t>WP_020948511.1</t>
  </si>
  <si>
    <t>CGL_RS02360</t>
  </si>
  <si>
    <t>o-succinylbenzoate synthase</t>
  </si>
  <si>
    <t>WP_011013669.1</t>
  </si>
  <si>
    <t>CGL_RS02365</t>
  </si>
  <si>
    <t>2-succinyl-5-enolpyruvyl-6-hydroxy-3-cyclohexene-1-carboxylic-acid synthase</t>
  </si>
  <si>
    <t>menD</t>
  </si>
  <si>
    <t>WP_011013670.1</t>
  </si>
  <si>
    <t>CGL_RS02370</t>
  </si>
  <si>
    <t>DUF3592 domain-containing protein</t>
  </si>
  <si>
    <t>WP_011013671.1</t>
  </si>
  <si>
    <t>CGL_RS02375</t>
  </si>
  <si>
    <t>WP_011013672.1</t>
  </si>
  <si>
    <t>CGL_RS02380</t>
  </si>
  <si>
    <t>D-serine/D-alanine/glycine transporter</t>
  </si>
  <si>
    <t>cycA</t>
  </si>
  <si>
    <t>WP_011013673.1</t>
  </si>
  <si>
    <t>CGL_RS02385</t>
  </si>
  <si>
    <t>demethylmenaquinone methyltransferase</t>
  </si>
  <si>
    <t>WP_011013674.1</t>
  </si>
  <si>
    <t>CGL_RS02390</t>
  </si>
  <si>
    <t>geranylgeranyl reductase family protein</t>
  </si>
  <si>
    <t>WP_011013675.1</t>
  </si>
  <si>
    <t>CGL_RS02395</t>
  </si>
  <si>
    <t>polyprenyl synthetase family protein</t>
  </si>
  <si>
    <t>WP_011013676.1</t>
  </si>
  <si>
    <t>CGL_RS02400</t>
  </si>
  <si>
    <t>tRNA-Tyr</t>
  </si>
  <si>
    <t>CGL_RS02405</t>
  </si>
  <si>
    <t>CGL_RS02410</t>
  </si>
  <si>
    <t>CGL_RS02415</t>
  </si>
  <si>
    <t>tRNA-Met</t>
  </si>
  <si>
    <t>CGL_RS02420</t>
  </si>
  <si>
    <t>tRNA-Trp</t>
  </si>
  <si>
    <t>CGL_RS02425</t>
  </si>
  <si>
    <t>preprotein translocase subunit SecE</t>
  </si>
  <si>
    <t>secE</t>
  </si>
  <si>
    <t>WP_011013677.1</t>
  </si>
  <si>
    <t>CGL_RS02430</t>
  </si>
  <si>
    <t>transcription termination/antitermination protein NusG</t>
  </si>
  <si>
    <t>nusG</t>
  </si>
  <si>
    <t>WP_011013678.1</t>
  </si>
  <si>
    <t>CGL_RS02435</t>
  </si>
  <si>
    <t>50S ribosomal protein L11</t>
  </si>
  <si>
    <t>rplK</t>
  </si>
  <si>
    <t>WP_011013679.1</t>
  </si>
  <si>
    <t>CGL_RS02440</t>
  </si>
  <si>
    <t>50S ribosomal protein L1</t>
  </si>
  <si>
    <t>rplA</t>
  </si>
  <si>
    <t>WP_011013680.1</t>
  </si>
  <si>
    <t>CGL_RS02445</t>
  </si>
  <si>
    <t>PucR family transcriptional regulator</t>
  </si>
  <si>
    <t>WP_011013681.1</t>
  </si>
  <si>
    <t>CGL_RS02450</t>
  </si>
  <si>
    <t>4-aminobutyrate--2-oxoglutarate transaminase</t>
  </si>
  <si>
    <t>gabT</t>
  </si>
  <si>
    <t>WP_011013682.1</t>
  </si>
  <si>
    <t>CGL_RS02455</t>
  </si>
  <si>
    <t>WP_011013683.1</t>
  </si>
  <si>
    <t>CGL_RS02460</t>
  </si>
  <si>
    <t>aromatic amino acid transport family protein</t>
  </si>
  <si>
    <t>WP_011013684.1</t>
  </si>
  <si>
    <t>CGL_RS02465</t>
  </si>
  <si>
    <t>WP_011013685.1</t>
  </si>
  <si>
    <t>CGL_RS02470</t>
  </si>
  <si>
    <t>phytoene desaturase family protein</t>
  </si>
  <si>
    <t>WP_011013686.1</t>
  </si>
  <si>
    <t>CGL_RS02475</t>
  </si>
  <si>
    <t>SIMPL domain-containing protein</t>
  </si>
  <si>
    <t>WP_011013687.1</t>
  </si>
  <si>
    <t>CGL_RS02480</t>
  </si>
  <si>
    <t>50S ribosomal protein L10</t>
  </si>
  <si>
    <t>rplJ</t>
  </si>
  <si>
    <t>WP_011013688.1</t>
  </si>
  <si>
    <t>CGL_RS02485</t>
  </si>
  <si>
    <t>50S ribosomal protein L7/L12</t>
  </si>
  <si>
    <t>rplL</t>
  </si>
  <si>
    <t>WP_003854210.1</t>
  </si>
  <si>
    <t>CGL_RS02490</t>
  </si>
  <si>
    <t>DUF3068 domain-containing protein</t>
  </si>
  <si>
    <t>WP_011265568.1</t>
  </si>
  <si>
    <t>CGL_RS02495</t>
  </si>
  <si>
    <t>DNA-directed RNA polymerase subunit beta</t>
  </si>
  <si>
    <t>WP_011265569.1</t>
  </si>
  <si>
    <t>CGL_RS02500</t>
  </si>
  <si>
    <t>DNA-directed RNA polymerase subunit beta'</t>
  </si>
  <si>
    <t>WP_011013691.1</t>
  </si>
  <si>
    <t>CGL_RS02505</t>
  </si>
  <si>
    <t>WP_003860534.1</t>
  </si>
  <si>
    <t>CGL_RS02510</t>
  </si>
  <si>
    <t>WP_011013692.1</t>
  </si>
  <si>
    <t>CGL_RS02515</t>
  </si>
  <si>
    <t>DUF1707 SHOCT-like domain-containing protein</t>
  </si>
  <si>
    <t>WP_011013693.1</t>
  </si>
  <si>
    <t>CGL_RS02520</t>
  </si>
  <si>
    <t>30S ribosomal protein S12</t>
  </si>
  <si>
    <t>rpsL</t>
  </si>
  <si>
    <t>WP_003854221.1</t>
  </si>
  <si>
    <t>CGL_RS02525</t>
  </si>
  <si>
    <t>30S ribosomal protein S7</t>
  </si>
  <si>
    <t>rpsG</t>
  </si>
  <si>
    <t>WP_003854222.1</t>
  </si>
  <si>
    <t>CGL_RS02530</t>
  </si>
  <si>
    <t>elongation factor G</t>
  </si>
  <si>
    <t>fusA</t>
  </si>
  <si>
    <t>WP_011013694.1</t>
  </si>
  <si>
    <t>CGL_RS02535</t>
  </si>
  <si>
    <t>elongation factor Tu</t>
  </si>
  <si>
    <t>tuf</t>
  </si>
  <si>
    <t>WP_011013696.1</t>
  </si>
  <si>
    <t>CGL_RS02540</t>
  </si>
  <si>
    <t>WP_011265571.1</t>
  </si>
  <si>
    <t>CGL_RS02545</t>
  </si>
  <si>
    <t>WP_011013698.1</t>
  </si>
  <si>
    <t>CGL_RS02550</t>
  </si>
  <si>
    <t>WP_011013699.1</t>
  </si>
  <si>
    <t>CGL_RS02555</t>
  </si>
  <si>
    <t>iron chelate uptake ABC transporter family permease subunit</t>
  </si>
  <si>
    <t>WP_011013700.1</t>
  </si>
  <si>
    <t>CGL_RS02560</t>
  </si>
  <si>
    <t>CGL_RS02565</t>
  </si>
  <si>
    <t>30S ribosomal protein S10</t>
  </si>
  <si>
    <t>rpsJ</t>
  </si>
  <si>
    <t>WP_003854291.1</t>
  </si>
  <si>
    <t>CGL_RS02570</t>
  </si>
  <si>
    <t>50S ribosomal protein L3</t>
  </si>
  <si>
    <t>rplC</t>
  </si>
  <si>
    <t>WP_003854292.1</t>
  </si>
  <si>
    <t>CGL_RS02575</t>
  </si>
  <si>
    <t>50S ribosomal protein L4</t>
  </si>
  <si>
    <t>rplD</t>
  </si>
  <si>
    <t>WP_003854293.1</t>
  </si>
  <si>
    <t>CGL_RS02580</t>
  </si>
  <si>
    <t>50S ribosomal protein L23</t>
  </si>
  <si>
    <t>rplW</t>
  </si>
  <si>
    <t>WP_003854294.1</t>
  </si>
  <si>
    <t>CGL_RS02585</t>
  </si>
  <si>
    <t>50S ribosomal protein L2</t>
  </si>
  <si>
    <t>rplB</t>
  </si>
  <si>
    <t>WP_003854295.1</t>
  </si>
  <si>
    <t>CGL_RS02590</t>
  </si>
  <si>
    <t>30S ribosomal protein S19</t>
  </si>
  <si>
    <t>rpsS</t>
  </si>
  <si>
    <t>WP_003854296.1</t>
  </si>
  <si>
    <t>CGL_RS02595</t>
  </si>
  <si>
    <t>50S ribosomal protein L22</t>
  </si>
  <si>
    <t>rplV</t>
  </si>
  <si>
    <t>WP_003854297.1</t>
  </si>
  <si>
    <t>CGL_RS02600</t>
  </si>
  <si>
    <t>30S ribosomal protein S3</t>
  </si>
  <si>
    <t>rpsC</t>
  </si>
  <si>
    <t>WP_003854298.1</t>
  </si>
  <si>
    <t>CGL_RS02605</t>
  </si>
  <si>
    <t>50S ribosomal protein L16</t>
  </si>
  <si>
    <t>rplP</t>
  </si>
  <si>
    <t>WP_003854302.1</t>
  </si>
  <si>
    <t>CGL_RS02610</t>
  </si>
  <si>
    <t>50S ribosomal protein L29</t>
  </si>
  <si>
    <t>rpmC</t>
  </si>
  <si>
    <t>WP_003854304.1</t>
  </si>
  <si>
    <t>CGL_RS02615</t>
  </si>
  <si>
    <t>30S ribosomal protein S17</t>
  </si>
  <si>
    <t>rpsQ</t>
  </si>
  <si>
    <t>WP_003854306.1</t>
  </si>
  <si>
    <t>CGL_RS02620</t>
  </si>
  <si>
    <t>WP_011013702.1</t>
  </si>
  <si>
    <t>CGL_RS02625</t>
  </si>
  <si>
    <t>LppP/LprE family lipoprotein</t>
  </si>
  <si>
    <t>WP_011013703.1</t>
  </si>
  <si>
    <t>CGL_RS02630</t>
  </si>
  <si>
    <t>50S ribosomal protein L14</t>
  </si>
  <si>
    <t>rplN</t>
  </si>
  <si>
    <t>WP_003854312.1</t>
  </si>
  <si>
    <t>CGL_RS02635</t>
  </si>
  <si>
    <t>50S ribosomal protein L24</t>
  </si>
  <si>
    <t>rplX</t>
  </si>
  <si>
    <t>WP_003854314.1</t>
  </si>
  <si>
    <t>CGL_RS02640</t>
  </si>
  <si>
    <t>50S ribosomal protein L5</t>
  </si>
  <si>
    <t>rplE</t>
  </si>
  <si>
    <t>WP_003854317.1</t>
  </si>
  <si>
    <t>CGL_RS02645</t>
  </si>
  <si>
    <t>SGNH/GDSL hydrolase family protein</t>
  </si>
  <si>
    <t>WP_011013704.1</t>
  </si>
  <si>
    <t>CGL_RS02650</t>
  </si>
  <si>
    <t>WP_011013705.1</t>
  </si>
  <si>
    <t>CGL_RS02655</t>
  </si>
  <si>
    <t>WP_011013706.1</t>
  </si>
  <si>
    <t>CGL_RS02660</t>
  </si>
  <si>
    <t>formate dehydrogenase accessory sulfurtransferase FdhD</t>
  </si>
  <si>
    <t>fdhD</t>
  </si>
  <si>
    <t>WP_011013707.1</t>
  </si>
  <si>
    <t>CGL_RS02665</t>
  </si>
  <si>
    <t>DUF6457 domain-containing protein</t>
  </si>
  <si>
    <t>WP_011013708.1</t>
  </si>
  <si>
    <t>CGL_RS02670</t>
  </si>
  <si>
    <t>molybdenum-dependent formate dehydrogenase FdhF</t>
  </si>
  <si>
    <t>fdhF</t>
  </si>
  <si>
    <t>WP_011265574.1</t>
  </si>
  <si>
    <t>CGL_RS02675</t>
  </si>
  <si>
    <t>WP_011013710.1</t>
  </si>
  <si>
    <t>CGL_RS02680</t>
  </si>
  <si>
    <t>ECF transporter S component</t>
  </si>
  <si>
    <t>WP_011013711.1</t>
  </si>
  <si>
    <t>CGL_RS02685</t>
  </si>
  <si>
    <t>WP_011013712.1</t>
  </si>
  <si>
    <t>CGL_RS02690</t>
  </si>
  <si>
    <t>energy-coupling factor transporter transmembrane component T</t>
  </si>
  <si>
    <t>WP_011013713.1</t>
  </si>
  <si>
    <t>CGL_RS02695</t>
  </si>
  <si>
    <t>WP_011013714.1</t>
  </si>
  <si>
    <t>CGL_RS02700</t>
  </si>
  <si>
    <t>prenyltransferase/squalene oxidase repeat-containing protein</t>
  </si>
  <si>
    <t>WP_011013715.1</t>
  </si>
  <si>
    <t>CGL_RS02705</t>
  </si>
  <si>
    <t>WP_011265577.1</t>
  </si>
  <si>
    <t>CGL_RS02710</t>
  </si>
  <si>
    <t>30S ribosomal protein S8</t>
  </si>
  <si>
    <t>rpsH</t>
  </si>
  <si>
    <t>WP_003854344.1</t>
  </si>
  <si>
    <t>CGL_RS02715</t>
  </si>
  <si>
    <t>50S ribosomal protein L6</t>
  </si>
  <si>
    <t>rplF</t>
  </si>
  <si>
    <t>WP_003860588.1</t>
  </si>
  <si>
    <t>CGL_RS02720</t>
  </si>
  <si>
    <t>50S ribosomal protein L18</t>
  </si>
  <si>
    <t>rplR</t>
  </si>
  <si>
    <t>WP_003854346.1</t>
  </si>
  <si>
    <t>CGL_RS02725</t>
  </si>
  <si>
    <t>30S ribosomal protein S5</t>
  </si>
  <si>
    <t>rpsE</t>
  </si>
  <si>
    <t>WP_003854347.1</t>
  </si>
  <si>
    <t>CGL_RS02730</t>
  </si>
  <si>
    <t>50S ribosomal protein L30</t>
  </si>
  <si>
    <t>rpmD</t>
  </si>
  <si>
    <t>WP_003860590.1</t>
  </si>
  <si>
    <t>CGL_RS02735</t>
  </si>
  <si>
    <t>50S ribosomal protein L15</t>
  </si>
  <si>
    <t>rplO</t>
  </si>
  <si>
    <t>WP_011013717.1</t>
  </si>
  <si>
    <t>CGL_RS02740</t>
  </si>
  <si>
    <t>aldehyde dehydrogenase family protein</t>
  </si>
  <si>
    <t>WP_374197334.1</t>
  </si>
  <si>
    <t>CGL_RS02745</t>
  </si>
  <si>
    <t>WP_011013719.1</t>
  </si>
  <si>
    <t>CGL_RS02750</t>
  </si>
  <si>
    <t>WP_011013720.1</t>
  </si>
  <si>
    <t>CGL_RS02755</t>
  </si>
  <si>
    <t>HD domain-containing protein</t>
  </si>
  <si>
    <t>WP_003860600.1</t>
  </si>
  <si>
    <t>CGL_RS02760</t>
  </si>
  <si>
    <t>NAD(P)/FAD-dependent oxidoreductase</t>
  </si>
  <si>
    <t>WP_011013721.1</t>
  </si>
  <si>
    <t>CGL_RS02765</t>
  </si>
  <si>
    <t>WP_011013722.1</t>
  </si>
  <si>
    <t>CGL_RS02770</t>
  </si>
  <si>
    <t>WP_011013723.1</t>
  </si>
  <si>
    <t>CGL_RS02775</t>
  </si>
  <si>
    <t>PEP-utilizing enzyme</t>
  </si>
  <si>
    <t>WP_011013724.1</t>
  </si>
  <si>
    <t>CGL_RS02780</t>
  </si>
  <si>
    <t>PEP/pyruvate-binding domain-containing protein</t>
  </si>
  <si>
    <t>WP_011013725.1</t>
  </si>
  <si>
    <t>CGL_RS02785</t>
  </si>
  <si>
    <t>cytochrome P450</t>
  </si>
  <si>
    <t>WP_011013726.1</t>
  </si>
  <si>
    <t>CGL_RS02790</t>
  </si>
  <si>
    <t>IclR family transcriptional regulator</t>
  </si>
  <si>
    <t>WP_011013727.1</t>
  </si>
  <si>
    <t>CGL_RS02795</t>
  </si>
  <si>
    <t>preprotein translocase subunit SecY</t>
  </si>
  <si>
    <t>secY</t>
  </si>
  <si>
    <t>WP_003854402.1</t>
  </si>
  <si>
    <t>CGL_RS02800</t>
  </si>
  <si>
    <t>WP_003854403.1</t>
  </si>
  <si>
    <t>CGL_RS02805</t>
  </si>
  <si>
    <t>type I methionyl aminopeptidase</t>
  </si>
  <si>
    <t>map</t>
  </si>
  <si>
    <t>WP_011013728.1</t>
  </si>
  <si>
    <t>CGL_RS02810</t>
  </si>
  <si>
    <t>L,D-transpeptidase</t>
  </si>
  <si>
    <t>WP_011013729.1</t>
  </si>
  <si>
    <t>CGL_RS02815</t>
  </si>
  <si>
    <t>translation initiation factor IF-1</t>
  </si>
  <si>
    <t>infA</t>
  </si>
  <si>
    <t>WP_003854422.1</t>
  </si>
  <si>
    <t>CGL_RS02820</t>
  </si>
  <si>
    <t>30S ribosomal protein S13</t>
  </si>
  <si>
    <t>rpsM</t>
  </si>
  <si>
    <t>WP_003854425.1</t>
  </si>
  <si>
    <t>CGL_RS02825</t>
  </si>
  <si>
    <t>30S ribosomal protein S11</t>
  </si>
  <si>
    <t>rpsK</t>
  </si>
  <si>
    <t>WP_003854428.1</t>
  </si>
  <si>
    <t>CGL_RS02830</t>
  </si>
  <si>
    <t>30S ribosomal protein S4</t>
  </si>
  <si>
    <t>rpsD</t>
  </si>
  <si>
    <t>WP_011013730.1</t>
  </si>
  <si>
    <t>CGL_RS02835</t>
  </si>
  <si>
    <t>DNA-directed RNA polymerase subunit alpha</t>
  </si>
  <si>
    <t>WP_011013731.1</t>
  </si>
  <si>
    <t>CGL_RS02840</t>
  </si>
  <si>
    <t>50S ribosomal protein L17</t>
  </si>
  <si>
    <t>rplQ</t>
  </si>
  <si>
    <t>WP_011013732.1</t>
  </si>
  <si>
    <t>CGL_RS02845</t>
  </si>
  <si>
    <t>tRNA pseudouridine(38-40) synthase TruA</t>
  </si>
  <si>
    <t>truA</t>
  </si>
  <si>
    <t>WP_003860639.1</t>
  </si>
  <si>
    <t>CGL_RS02850</t>
  </si>
  <si>
    <t>DUF6541 family protein</t>
  </si>
  <si>
    <t>WP_011013733.1</t>
  </si>
  <si>
    <t>CGL_RS02855</t>
  </si>
  <si>
    <t>WP_011013734.1</t>
  </si>
  <si>
    <t>CGL_RS02860</t>
  </si>
  <si>
    <t>WP_011013735.1</t>
  </si>
  <si>
    <t>CGL_RS02865</t>
  </si>
  <si>
    <t>type VII secretion protein EccB</t>
  </si>
  <si>
    <t>eccB</t>
  </si>
  <si>
    <t>WP_011013736.1</t>
  </si>
  <si>
    <t>CGL_RS02870</t>
  </si>
  <si>
    <t>WP_011013737.1</t>
  </si>
  <si>
    <t>CGL_RS02875</t>
  </si>
  <si>
    <t>SAM-dependent methyltransferase</t>
  </si>
  <si>
    <t>WP_011013738.1</t>
  </si>
  <si>
    <t>CGL_RS02880</t>
  </si>
  <si>
    <t>TIGR02611 family protein</t>
  </si>
  <si>
    <t>WP_003860653.1</t>
  </si>
  <si>
    <t>CGL_RS02885</t>
  </si>
  <si>
    <t>type VII secretion-associated serine protease mycosin</t>
  </si>
  <si>
    <t>mycP</t>
  </si>
  <si>
    <t>WP_011013739.1</t>
  </si>
  <si>
    <t>CGL_RS02890</t>
  </si>
  <si>
    <t>type VII secretion integral membrane protein EccD</t>
  </si>
  <si>
    <t>eccD</t>
  </si>
  <si>
    <t>WP_011013740.1</t>
  </si>
  <si>
    <t>CGL_RS02895</t>
  </si>
  <si>
    <t>type VII secretion protein EccC</t>
  </si>
  <si>
    <t>WP_011265582.1</t>
  </si>
  <si>
    <t>CGL_RS02900</t>
  </si>
  <si>
    <t>type VII secretion-associated protein</t>
  </si>
  <si>
    <t>WP_011013742.1</t>
  </si>
  <si>
    <t>CGL_RS02905</t>
  </si>
  <si>
    <t>WXG100 family type VII secretion target</t>
  </si>
  <si>
    <t>WP_011013743.1</t>
  </si>
  <si>
    <t>CGL_RS02910</t>
  </si>
  <si>
    <t>WP_003854533.1</t>
  </si>
  <si>
    <t>CGL_RS02915</t>
  </si>
  <si>
    <t>50S ribosomal protein L13</t>
  </si>
  <si>
    <t>rplM</t>
  </si>
  <si>
    <t>WP_003854535.1</t>
  </si>
  <si>
    <t>CGL_RS02920</t>
  </si>
  <si>
    <t>30S ribosomal protein S9</t>
  </si>
  <si>
    <t>rpsI</t>
  </si>
  <si>
    <t>WP_003854537.1</t>
  </si>
  <si>
    <t>CGL_RS02925</t>
  </si>
  <si>
    <t>phosphoglucosamine mutase</t>
  </si>
  <si>
    <t>glmM</t>
  </si>
  <si>
    <t>WP_011013744.1</t>
  </si>
  <si>
    <t>CGL_RS02930</t>
  </si>
  <si>
    <t>WP_003860674.1</t>
  </si>
  <si>
    <t>CGL_RS02935</t>
  </si>
  <si>
    <t>WP_011013745.1</t>
  </si>
  <si>
    <t>CGL_RS02940</t>
  </si>
  <si>
    <t>WP_020948518.1</t>
  </si>
  <si>
    <t>CGL_RS02945</t>
  </si>
  <si>
    <t>dienelactone hydrolase family protein</t>
  </si>
  <si>
    <t>WP_011013747.1</t>
  </si>
  <si>
    <t>CGL_RS02950</t>
  </si>
  <si>
    <t>alanine racemase</t>
  </si>
  <si>
    <t>alr</t>
  </si>
  <si>
    <t>WP_011013748.1</t>
  </si>
  <si>
    <t>CGL_RS02955</t>
  </si>
  <si>
    <t>tRNA (adenosine(37)-N6)-threonylcarbamoyltransferase complex ATPase subunit type 1 TsaE</t>
  </si>
  <si>
    <t>tsaE</t>
  </si>
  <si>
    <t>WP_003854549.1</t>
  </si>
  <si>
    <t>CGL_RS02960</t>
  </si>
  <si>
    <t>aspartate:alanine exchanger family transporter</t>
  </si>
  <si>
    <t>WP_011013749.1</t>
  </si>
  <si>
    <t>CGL_RS02965</t>
  </si>
  <si>
    <t>WP_011013750.1</t>
  </si>
  <si>
    <t>CGL_RS02970</t>
  </si>
  <si>
    <t>tRNA (adenosine(37)-N6)-threonylcarbamoyltransferase complex dimerization subunit type 1 TsaB</t>
  </si>
  <si>
    <t>tsaB</t>
  </si>
  <si>
    <t>WP_011013751.1</t>
  </si>
  <si>
    <t>CGL_RS02975</t>
  </si>
  <si>
    <t>ribosomal protein S18-alanine N-acetyltransferase</t>
  </si>
  <si>
    <t>rimI</t>
  </si>
  <si>
    <t>WP_003860686.1</t>
  </si>
  <si>
    <t>CGL_RS02980</t>
  </si>
  <si>
    <t>tRNA (adenosine(37)-N6)-threonylcarbamoyltransferase complex transferase subunit TsaD</t>
  </si>
  <si>
    <t>tsaD</t>
  </si>
  <si>
    <t>WP_011013752.1</t>
  </si>
  <si>
    <t>CGL_RS02985</t>
  </si>
  <si>
    <t>NAD(P)H-hydrate dehydratase</t>
  </si>
  <si>
    <t>WP_011013753.1</t>
  </si>
  <si>
    <t>CGL_RS02990</t>
  </si>
  <si>
    <t>WP_003860693.1</t>
  </si>
  <si>
    <t>CGL_RS02995</t>
  </si>
  <si>
    <t>co-chaperone GroES</t>
  </si>
  <si>
    <t>groES</t>
  </si>
  <si>
    <t>WP_003854559.1</t>
  </si>
  <si>
    <t>CGL_RS03000</t>
  </si>
  <si>
    <t>chaperonin GroEL</t>
  </si>
  <si>
    <t>groL</t>
  </si>
  <si>
    <t>WP_011013754.1</t>
  </si>
  <si>
    <t>CGL_RS03005</t>
  </si>
  <si>
    <t>WhiB family transcriptional regulator WhcB</t>
  </si>
  <si>
    <t>whcB</t>
  </si>
  <si>
    <t>WP_003854562.1</t>
  </si>
  <si>
    <t>CGL_RS03010</t>
  </si>
  <si>
    <t>sigma-70 family RNA polymerase sigma factor</t>
  </si>
  <si>
    <t>WP_011013755.1</t>
  </si>
  <si>
    <t>CGL_RS03015</t>
  </si>
  <si>
    <t>WP_011013756.1</t>
  </si>
  <si>
    <t>CGL_RS03020</t>
  </si>
  <si>
    <t>DUF5319 domain-containing protein</t>
  </si>
  <si>
    <t>WP_011265586.1</t>
  </si>
  <si>
    <t>CGL_RS03025</t>
  </si>
  <si>
    <t>IMP dehydrogenase</t>
  </si>
  <si>
    <t>guaB</t>
  </si>
  <si>
    <t>WP_011013757.1</t>
  </si>
  <si>
    <t>CGL_RS03030</t>
  </si>
  <si>
    <t>GuaB3 family IMP dehydrogenase-related protein</t>
  </si>
  <si>
    <t>WP_011013758.1</t>
  </si>
  <si>
    <t>CGL_RS03035</t>
  </si>
  <si>
    <t>WP_011013759.1</t>
  </si>
  <si>
    <t>CGL_RS03040</t>
  </si>
  <si>
    <t>serine-binding transcriptional regulator SerR</t>
  </si>
  <si>
    <t>WP_011013760.1</t>
  </si>
  <si>
    <t>CGL_RS03045</t>
  </si>
  <si>
    <t>glutamine-hydrolyzing GMP synthase</t>
  </si>
  <si>
    <t>guaA</t>
  </si>
  <si>
    <t>WP_011013761.1</t>
  </si>
  <si>
    <t>CGL_RS03050</t>
  </si>
  <si>
    <t>imm68 putative immunity domain-containing protein</t>
  </si>
  <si>
    <t>WP_003860713.1</t>
  </si>
  <si>
    <t>CGL_RS03055</t>
  </si>
  <si>
    <t>two-component system EsrSR regulator EsrI</t>
  </si>
  <si>
    <t>esrI</t>
  </si>
  <si>
    <t>WP_011013762.1</t>
  </si>
  <si>
    <t>CGL_RS03060</t>
  </si>
  <si>
    <t>two-component system sensor histidine kinase EsrS</t>
  </si>
  <si>
    <t>esrS</t>
  </si>
  <si>
    <t>WP_101677580.1</t>
  </si>
  <si>
    <t>CGL_RS03065</t>
  </si>
  <si>
    <t>two-component system response regulator EsrR</t>
  </si>
  <si>
    <t>esrR</t>
  </si>
  <si>
    <t>WP_003854586.1</t>
  </si>
  <si>
    <t>CGL_RS03070</t>
  </si>
  <si>
    <t>WP_003860723.1</t>
  </si>
  <si>
    <t>CGL_RS03075</t>
  </si>
  <si>
    <t>WP_011013764.1</t>
  </si>
  <si>
    <t>CGL_RS03080</t>
  </si>
  <si>
    <t>WP_011265591.1</t>
  </si>
  <si>
    <t>CGL_RS03085</t>
  </si>
  <si>
    <t>WP_011013766.1</t>
  </si>
  <si>
    <t>CGL_RS03090</t>
  </si>
  <si>
    <t>Y-family DNA polymerase</t>
  </si>
  <si>
    <t>WP_011013767.1</t>
  </si>
  <si>
    <t>CGL_RS03095</t>
  </si>
  <si>
    <t>AMIN-like domain-containing (lipo)protein</t>
  </si>
  <si>
    <t>WP_172796472.1</t>
  </si>
  <si>
    <t>CGL_RS03100</t>
  </si>
  <si>
    <t>sucrase ferredoxin</t>
  </si>
  <si>
    <t>WP_011013769.1</t>
  </si>
  <si>
    <t>CGL_RS03105</t>
  </si>
  <si>
    <t>prenyltransferase</t>
  </si>
  <si>
    <t>WP_011013770.1</t>
  </si>
  <si>
    <t>CGL_RS03110</t>
  </si>
  <si>
    <t>lycopene cyclase domain-containing protein</t>
  </si>
  <si>
    <t>WP_011013771.1</t>
  </si>
  <si>
    <t>CGL_RS03115</t>
  </si>
  <si>
    <t>WP_011013772.1</t>
  </si>
  <si>
    <t>CGL_RS03120</t>
  </si>
  <si>
    <t>phytoene desaturase</t>
  </si>
  <si>
    <t>WP_011013773.1</t>
  </si>
  <si>
    <t>CGL_RS03125</t>
  </si>
  <si>
    <t>phytoene/squalene synthase family protein</t>
  </si>
  <si>
    <t>WP_011013774.1</t>
  </si>
  <si>
    <t>CGL_RS03130</t>
  </si>
  <si>
    <t>WP_011013775.1</t>
  </si>
  <si>
    <t>CGL_RS03135</t>
  </si>
  <si>
    <t>WP_306556813.1</t>
  </si>
  <si>
    <t>CGL_RS03140</t>
  </si>
  <si>
    <t>WP_011013777.1</t>
  </si>
  <si>
    <t>CGL_RS03145</t>
  </si>
  <si>
    <t>lipocalin family protein</t>
  </si>
  <si>
    <t>WP_011013778.1</t>
  </si>
  <si>
    <t>CGL_RS03150</t>
  </si>
  <si>
    <t>SDR family oxidoreductase</t>
  </si>
  <si>
    <t>WP_020948522.1</t>
  </si>
  <si>
    <t>CGL_RS03155</t>
  </si>
  <si>
    <t>cryptochrome/photolyase family protein</t>
  </si>
  <si>
    <t>WP_011013780.1</t>
  </si>
  <si>
    <t>CGL_RS03160</t>
  </si>
  <si>
    <t>C50 carotenoid glucosyltransferase CrtX</t>
  </si>
  <si>
    <t>crtX</t>
  </si>
  <si>
    <t>WP_011013781.1</t>
  </si>
  <si>
    <t>CGL_RS03165</t>
  </si>
  <si>
    <t>FtsX-like permease family protein</t>
  </si>
  <si>
    <t>WP_231838286.1</t>
  </si>
  <si>
    <t>CGL_RS03170</t>
  </si>
  <si>
    <t>WP_011013783.1</t>
  </si>
  <si>
    <t>CGL_RS03175</t>
  </si>
  <si>
    <t>methionine ABC transporter permease</t>
  </si>
  <si>
    <t>WP_003854626.1</t>
  </si>
  <si>
    <t>CGL_RS03180</t>
  </si>
  <si>
    <t>methionine ABC transporter ATP-binding protein</t>
  </si>
  <si>
    <t>WP_003854632.1</t>
  </si>
  <si>
    <t>CGL_RS03185</t>
  </si>
  <si>
    <t>MetQ/NlpA family ABC transporter substrate-binding protein</t>
  </si>
  <si>
    <t>WP_011013784.1</t>
  </si>
  <si>
    <t>CGL_RS03190</t>
  </si>
  <si>
    <t>error-prone DNA polymerase</t>
  </si>
  <si>
    <t>WP_011013785.1</t>
  </si>
  <si>
    <t>CGL_RS03195</t>
  </si>
  <si>
    <t>PH domain-containing protein</t>
  </si>
  <si>
    <t>WP_003860754.1</t>
  </si>
  <si>
    <t>CGL_RS03200</t>
  </si>
  <si>
    <t>WP_011013786.1</t>
  </si>
  <si>
    <t>CGL_RS03205</t>
  </si>
  <si>
    <t>metal-dependent transcriptional regulator</t>
  </si>
  <si>
    <t>WP_003854638.1</t>
  </si>
  <si>
    <t>CGL_RS03210</t>
  </si>
  <si>
    <t>metal-dependent hydrolase</t>
  </si>
  <si>
    <t>WP_003854639.1</t>
  </si>
  <si>
    <t>CGL_RS03215</t>
  </si>
  <si>
    <t>SIR2 family NAD-dependent protein deacylase</t>
  </si>
  <si>
    <t>WP_003854640.1</t>
  </si>
  <si>
    <t>CGL_RS03220</t>
  </si>
  <si>
    <t>nucleoside deaminase</t>
  </si>
  <si>
    <t>WP_011013788.1</t>
  </si>
  <si>
    <t>CGL_RS03225</t>
  </si>
  <si>
    <t>iron-siderophore ABC transporter substrate-binding protein</t>
  </si>
  <si>
    <t>WP_011013789.1</t>
  </si>
  <si>
    <t>CGL_RS03230</t>
  </si>
  <si>
    <t>tRNA (cytidine(34)-2'-O)-methyltransferase</t>
  </si>
  <si>
    <t>WP_003854647.1</t>
  </si>
  <si>
    <t>CGL_RS03235</t>
  </si>
  <si>
    <t>bifunctional methylenetetrahydrofolate dehydrogenase/methenyltetrahydrofolate cyclohydrolase</t>
  </si>
  <si>
    <t>WP_003860764.1</t>
  </si>
  <si>
    <t>CGL_RS03240</t>
  </si>
  <si>
    <t>DUF3017 domain-containing protein</t>
  </si>
  <si>
    <t>WP_011013790.1</t>
  </si>
  <si>
    <t>CGL_RS03245</t>
  </si>
  <si>
    <t>SPFH domain-containing protein</t>
  </si>
  <si>
    <t>WP_011013791.1</t>
  </si>
  <si>
    <t>CGL_RS03250</t>
  </si>
  <si>
    <t>DUF3500 domain-containing protein</t>
  </si>
  <si>
    <t>WP_011013792.1</t>
  </si>
  <si>
    <t>CGL_RS03255</t>
  </si>
  <si>
    <t>homoserine O-acetyltransferase MetX</t>
  </si>
  <si>
    <t>WP_011013793.1</t>
  </si>
  <si>
    <t>CGL_RS03260</t>
  </si>
  <si>
    <t>O-acetylhomoserine/O-acetylserine sulfhydrylase</t>
  </si>
  <si>
    <t>WP_003854667.1</t>
  </si>
  <si>
    <t>CGL_RS03265</t>
  </si>
  <si>
    <t>carbon starvation CstA family protein</t>
  </si>
  <si>
    <t>WP_003860780.1</t>
  </si>
  <si>
    <t>CGL_RS03270</t>
  </si>
  <si>
    <t>YbdD/YjiX family protein</t>
  </si>
  <si>
    <t>WP_003854670.1</t>
  </si>
  <si>
    <t>CGL_RS03275</t>
  </si>
  <si>
    <t>prpD</t>
  </si>
  <si>
    <t>CGL_RS03280</t>
  </si>
  <si>
    <t>methylisocitrate lyase</t>
  </si>
  <si>
    <t>prpB</t>
  </si>
  <si>
    <t>WP_011265603.1</t>
  </si>
  <si>
    <t>CGL_RS03285</t>
  </si>
  <si>
    <t>bifunctional 2-methylcitrate synthase/citrate synthase</t>
  </si>
  <si>
    <t>WP_011013797.1</t>
  </si>
  <si>
    <t>CGL_RS03290</t>
  </si>
  <si>
    <t>putative quinol monooxygenase</t>
  </si>
  <si>
    <t>WP_020948527.1</t>
  </si>
  <si>
    <t>CGL_RS03295</t>
  </si>
  <si>
    <t>Ldh family oxidoreductase</t>
  </si>
  <si>
    <t>WP_011013798.1</t>
  </si>
  <si>
    <t>CGL_RS03300</t>
  </si>
  <si>
    <t>GntR family transcriptional regulator</t>
  </si>
  <si>
    <t>WP_003860791.1</t>
  </si>
  <si>
    <t>CGL_RS03305</t>
  </si>
  <si>
    <t>WP_011013799.1</t>
  </si>
  <si>
    <t>CGL_RS03310</t>
  </si>
  <si>
    <t>NADP-dependent isocitrate dehydrogenase</t>
  </si>
  <si>
    <t>WP_011013800.1</t>
  </si>
  <si>
    <t>CGL_RS03315</t>
  </si>
  <si>
    <t>WP_011013801.1</t>
  </si>
  <si>
    <t>CGL_RS03320</t>
  </si>
  <si>
    <t>WP_011013802.1</t>
  </si>
  <si>
    <t>CGL_RS03325</t>
  </si>
  <si>
    <t>WP_011013803.1</t>
  </si>
  <si>
    <t>CGL_RS03330</t>
  </si>
  <si>
    <t>WP_011013804.1</t>
  </si>
  <si>
    <t>CGL_RS03335</t>
  </si>
  <si>
    <t>WP_011013805.1</t>
  </si>
  <si>
    <t>CGL_RS03340</t>
  </si>
  <si>
    <t>WP_003854698.1</t>
  </si>
  <si>
    <t>CGL_RS03345</t>
  </si>
  <si>
    <t>exodeoxyribonuclease III</t>
  </si>
  <si>
    <t>WP_003860808.1</t>
  </si>
  <si>
    <t>CGL_RS03350</t>
  </si>
  <si>
    <t>WP_003854700.1</t>
  </si>
  <si>
    <t>CGL_RS03355</t>
  </si>
  <si>
    <t>WP_003860810.1</t>
  </si>
  <si>
    <t>CGL_RS03360</t>
  </si>
  <si>
    <t>WP_011013806.1</t>
  </si>
  <si>
    <t>CGL_RS03365</t>
  </si>
  <si>
    <t>WP_011013807.1</t>
  </si>
  <si>
    <t>CGL_RS03370</t>
  </si>
  <si>
    <t>WP_003858297.1</t>
  </si>
  <si>
    <t>CGL_RS03375</t>
  </si>
  <si>
    <t>tryptophan--tRNA ligase</t>
  </si>
  <si>
    <t>trpS</t>
  </si>
  <si>
    <t>WP_011013808.1</t>
  </si>
  <si>
    <t>CGL_RS03380</t>
  </si>
  <si>
    <t>YihY/virulence factor BrkB family protein</t>
  </si>
  <si>
    <t>WP_003858295.1</t>
  </si>
  <si>
    <t>CGL_RS03385</t>
  </si>
  <si>
    <t>RDD family protein</t>
  </si>
  <si>
    <t>WP_011013809.1</t>
  </si>
  <si>
    <t>CGL_RS03390</t>
  </si>
  <si>
    <t>D-alanyl-D-alanine carboxypeptidase family protein</t>
  </si>
  <si>
    <t>WP_172820760.1</t>
  </si>
  <si>
    <t>CGL_RS03395</t>
  </si>
  <si>
    <t>WP_011013811.1</t>
  </si>
  <si>
    <t>CGL_RS03400</t>
  </si>
  <si>
    <t>C40 family peptidase</t>
  </si>
  <si>
    <t>WP_011013812.1</t>
  </si>
  <si>
    <t>CGL_RS03405</t>
  </si>
  <si>
    <t>WP_003858290.1</t>
  </si>
  <si>
    <t>CGL_RS03410</t>
  </si>
  <si>
    <t>uracil phosphoribosyltransferase</t>
  </si>
  <si>
    <t>upp</t>
  </si>
  <si>
    <t>WP_003858289.1</t>
  </si>
  <si>
    <t>CGL_RS03415</t>
  </si>
  <si>
    <t>WP_003863635.1</t>
  </si>
  <si>
    <t>CGL_RS03420</t>
  </si>
  <si>
    <t>phospho-sugar mutase</t>
  </si>
  <si>
    <t>WP_003858287.1</t>
  </si>
  <si>
    <t>CGL_RS03425</t>
  </si>
  <si>
    <t>WP_011013814.1</t>
  </si>
  <si>
    <t>CGL_RS03430</t>
  </si>
  <si>
    <t>NAD(P)H-quinone dehydrogenase</t>
  </si>
  <si>
    <t>WP_011013815.1</t>
  </si>
  <si>
    <t>CGL_RS03435</t>
  </si>
  <si>
    <t>pyruvate carboxylase</t>
  </si>
  <si>
    <t>WP_011013816.1</t>
  </si>
  <si>
    <t>CGL_RS03440</t>
  </si>
  <si>
    <t>thioredoxin</t>
  </si>
  <si>
    <t>WP_011013817.1</t>
  </si>
  <si>
    <t>CGL_RS03445</t>
  </si>
  <si>
    <t>CAP domain-containing protein</t>
  </si>
  <si>
    <t>WP_011013818.1</t>
  </si>
  <si>
    <t>CGL_RS03450</t>
  </si>
  <si>
    <t>GTP-binding protein</t>
  </si>
  <si>
    <t>WP_011013819.1</t>
  </si>
  <si>
    <t>CGL_RS03455</t>
  </si>
  <si>
    <t>WP_011013820.1</t>
  </si>
  <si>
    <t>CGL_RS03460</t>
  </si>
  <si>
    <t>2-methylcitrate dehydratase PrpD</t>
  </si>
  <si>
    <t>WP_011013821.1</t>
  </si>
  <si>
    <t>CGL_RS03465</t>
  </si>
  <si>
    <t>WP_011013822.1</t>
  </si>
  <si>
    <t>CGL_RS03470</t>
  </si>
  <si>
    <t>WP_011013823.1</t>
  </si>
  <si>
    <t>CGL_RS03475</t>
  </si>
  <si>
    <t>WP_011013824.1</t>
  </si>
  <si>
    <t>CGL_RS03480</t>
  </si>
  <si>
    <t>WP_011013825.1</t>
  </si>
  <si>
    <t>CGL_RS03485</t>
  </si>
  <si>
    <t>WP_003863623.1</t>
  </si>
  <si>
    <t>CGL_RS03490</t>
  </si>
  <si>
    <t>acetyl/propionyl/methylcrotonyl-CoA carboxylase subunit alpha</t>
  </si>
  <si>
    <t>WP_011013826.1</t>
  </si>
  <si>
    <t>CGL_RS03495</t>
  </si>
  <si>
    <t>sulfurtransferase</t>
  </si>
  <si>
    <t>WP_011013827.1</t>
  </si>
  <si>
    <t>CGL_RS03500</t>
  </si>
  <si>
    <t>Cj0069 family protein</t>
  </si>
  <si>
    <t>WP_011013828.1</t>
  </si>
  <si>
    <t>CGL_RS03505</t>
  </si>
  <si>
    <t>DUF3151 domain-containing protein</t>
  </si>
  <si>
    <t>WP_011013829.1</t>
  </si>
  <si>
    <t>CGL_RS03510</t>
  </si>
  <si>
    <t>WP_011013830.1</t>
  </si>
  <si>
    <t>CGL_RS03515</t>
  </si>
  <si>
    <t>nucleoside triphosphate pyrophosphatase</t>
  </si>
  <si>
    <t>WP_011013831.1</t>
  </si>
  <si>
    <t>CGL_RS03520</t>
  </si>
  <si>
    <t>acyl-CoA carboxylase subunit epsilon</t>
  </si>
  <si>
    <t>WP_011013832.1</t>
  </si>
  <si>
    <t>CGL_RS03525</t>
  </si>
  <si>
    <t>acyl-CoA carboxylase subunit beta</t>
  </si>
  <si>
    <t>WP_003863615.1</t>
  </si>
  <si>
    <t>CGL_RS03530</t>
  </si>
  <si>
    <t>WP_011013833.1</t>
  </si>
  <si>
    <t>CGL_RS03535</t>
  </si>
  <si>
    <t>biotin--[acetyl-CoA-carboxylase] ligase</t>
  </si>
  <si>
    <t>WP_011265607.1</t>
  </si>
  <si>
    <t>CGL_RS03540</t>
  </si>
  <si>
    <t>WP_003863611.1</t>
  </si>
  <si>
    <t>CGL_RS03545</t>
  </si>
  <si>
    <t>5-(carboxyamino)imidazole ribonucleotide synthase</t>
  </si>
  <si>
    <t>WP_011013836.1</t>
  </si>
  <si>
    <t>CGL_RS03550</t>
  </si>
  <si>
    <t>potassium transporter Kup</t>
  </si>
  <si>
    <t>WP_011013837.1</t>
  </si>
  <si>
    <t>CGL_RS03555</t>
  </si>
  <si>
    <t>WP_011013838.1</t>
  </si>
  <si>
    <t>CGL_RS03560</t>
  </si>
  <si>
    <t>5-(carboxyamino)imidazole ribonucleotide mutase</t>
  </si>
  <si>
    <t>purE</t>
  </si>
  <si>
    <t>WP_003858249.1</t>
  </si>
  <si>
    <t>CGL_RS03565</t>
  </si>
  <si>
    <t>YdcF family protein</t>
  </si>
  <si>
    <t>WP_011013839.1</t>
  </si>
  <si>
    <t>CGL_RS03570</t>
  </si>
  <si>
    <t>WP_011013840.1</t>
  </si>
  <si>
    <t>CGL_RS03575</t>
  </si>
  <si>
    <t>LLM class flavin-dependent oxidoreductase</t>
  </si>
  <si>
    <t>WP_011013841.1</t>
  </si>
  <si>
    <t>CGL_RS03580</t>
  </si>
  <si>
    <t>integrase core domain-containing protein</t>
  </si>
  <si>
    <t>WP_011013842.1</t>
  </si>
  <si>
    <t>CGL_RS03585</t>
  </si>
  <si>
    <t>3-oxoacyl-ACP reductase</t>
  </si>
  <si>
    <t>WP_011013843.1</t>
  </si>
  <si>
    <t>CGL_RS03590</t>
  </si>
  <si>
    <t>WP_003863600.1</t>
  </si>
  <si>
    <t>CGL_RS03595</t>
  </si>
  <si>
    <t>dihydrofolate reductase family protein</t>
  </si>
  <si>
    <t>WP_011013844.1</t>
  </si>
  <si>
    <t>CGL_RS03600</t>
  </si>
  <si>
    <t>WP_011013845.1</t>
  </si>
  <si>
    <t>CGL_RS03605</t>
  </si>
  <si>
    <t>WP_011013846.1</t>
  </si>
  <si>
    <t>CGL_RS03610</t>
  </si>
  <si>
    <t>carbohydrate ABC transporter permease</t>
  </si>
  <si>
    <t>WP_011013847.1</t>
  </si>
  <si>
    <t>CGL_RS03615</t>
  </si>
  <si>
    <t>WP_011013848.1</t>
  </si>
  <si>
    <t>CGL_RS03620</t>
  </si>
  <si>
    <t>SRPBCC family protein</t>
  </si>
  <si>
    <t>WP_011013849.1</t>
  </si>
  <si>
    <t>CGL_RS03625</t>
  </si>
  <si>
    <t>WP_011013850.1</t>
  </si>
  <si>
    <t>CGL_RS03630</t>
  </si>
  <si>
    <t>WP_011013851.1</t>
  </si>
  <si>
    <t>CGL_RS03635</t>
  </si>
  <si>
    <t>DUF2127 domain-containing protein</t>
  </si>
  <si>
    <t>WP_011265612.1</t>
  </si>
  <si>
    <t>CGL_RS03640</t>
  </si>
  <si>
    <t>WP_011013853.1</t>
  </si>
  <si>
    <t>CGL_RS03645</t>
  </si>
  <si>
    <t>WP_011013854.1</t>
  </si>
  <si>
    <t>CGL_RS03650</t>
  </si>
  <si>
    <t>TIGR03089 family protein</t>
  </si>
  <si>
    <t>WP_011013855.1</t>
  </si>
  <si>
    <t>CGL_RS03655</t>
  </si>
  <si>
    <t>DUF262 domain-containing protein</t>
  </si>
  <si>
    <t>WP_011013856.1</t>
  </si>
  <si>
    <t>CGL_RS03660</t>
  </si>
  <si>
    <t>3'-5' exonuclease</t>
  </si>
  <si>
    <t>WP_011013857.1</t>
  </si>
  <si>
    <t>CGL_RS03665</t>
  </si>
  <si>
    <t>WP_011013858.1</t>
  </si>
  <si>
    <t>CGL_RS03670</t>
  </si>
  <si>
    <t>Eco57I restriction-modification methylase domain-containing protein</t>
  </si>
  <si>
    <t>WP_011013859.1</t>
  </si>
  <si>
    <t>CGL_RS03675</t>
  </si>
  <si>
    <t>WP_011013860.1</t>
  </si>
  <si>
    <t>CGL_RS03680</t>
  </si>
  <si>
    <t>cell wall biosynthesis protein LcpA</t>
  </si>
  <si>
    <t>lcpA</t>
  </si>
  <si>
    <t>WP_011013861.1</t>
  </si>
  <si>
    <t>CGL_RS03685</t>
  </si>
  <si>
    <t>WP_020948530.1</t>
  </si>
  <si>
    <t>CGL_RS03690</t>
  </si>
  <si>
    <t>sugar phosphate nucleotidyltransferase</t>
  </si>
  <si>
    <t>WP_011013863.1</t>
  </si>
  <si>
    <t>CGL_RS03695</t>
  </si>
  <si>
    <t>WhiB family transcriptional regulator</t>
  </si>
  <si>
    <t>WP_003858209.1</t>
  </si>
  <si>
    <t>CGL_RS03700</t>
  </si>
  <si>
    <t>metallopeptidase family protein</t>
  </si>
  <si>
    <t>WP_003863577.1</t>
  </si>
  <si>
    <t>CGL_RS03705</t>
  </si>
  <si>
    <t>DUF3499 domain-containing protein</t>
  </si>
  <si>
    <t>WP_003863575.1</t>
  </si>
  <si>
    <t>CGL_RS03710</t>
  </si>
  <si>
    <t>phosphomannomutase/phosphoglucomutase</t>
  </si>
  <si>
    <t>WP_003863574.1</t>
  </si>
  <si>
    <t>CGL_RS03715</t>
  </si>
  <si>
    <t>WP_003863573.1</t>
  </si>
  <si>
    <t>CGL_RS03720</t>
  </si>
  <si>
    <t>mannose-6-phosphate isomerase, class I</t>
  </si>
  <si>
    <t>manA</t>
  </si>
  <si>
    <t>WP_011013865.1</t>
  </si>
  <si>
    <t>CGL_RS03725</t>
  </si>
  <si>
    <t>WP_011013866.1</t>
  </si>
  <si>
    <t>CGL_RS03735</t>
  </si>
  <si>
    <t>WP_003858196.1</t>
  </si>
  <si>
    <t>CGL_RS03740</t>
  </si>
  <si>
    <t>adenosylhomocysteinase</t>
  </si>
  <si>
    <t>ahcY</t>
  </si>
  <si>
    <t>WP_003858195.1</t>
  </si>
  <si>
    <t>CGL_RS03745</t>
  </si>
  <si>
    <t>dTMP kinase</t>
  </si>
  <si>
    <t>WP_003858194.1</t>
  </si>
  <si>
    <t>CGL_RS03750</t>
  </si>
  <si>
    <t>two-component system response regulator MtrA</t>
  </si>
  <si>
    <t>mtrA</t>
  </si>
  <si>
    <t>WP_011013867.1</t>
  </si>
  <si>
    <t>CGL_RS03755</t>
  </si>
  <si>
    <t>two-component system sensor histidine kinase MtrB</t>
  </si>
  <si>
    <t>mtrB</t>
  </si>
  <si>
    <t>WP_179300924.1</t>
  </si>
  <si>
    <t>CGL_RS03760</t>
  </si>
  <si>
    <t>MtrAB system accessory lipoprotein LpqB</t>
  </si>
  <si>
    <t>lpqB</t>
  </si>
  <si>
    <t>WP_011013869.1</t>
  </si>
  <si>
    <t>CGL_RS03765</t>
  </si>
  <si>
    <t>ComF family protein</t>
  </si>
  <si>
    <t>WP_227747753.1</t>
  </si>
  <si>
    <t>CGL_RS03770</t>
  </si>
  <si>
    <t>ribosome hibernation-promoting factor, HPF/YfiA family</t>
  </si>
  <si>
    <t>hpf</t>
  </si>
  <si>
    <t>WP_003858182.1</t>
  </si>
  <si>
    <t>CGL_RS03775</t>
  </si>
  <si>
    <t>preprotein translocase subunit SecA</t>
  </si>
  <si>
    <t>secA</t>
  </si>
  <si>
    <t>WP_011013871.1</t>
  </si>
  <si>
    <t>CGL_RS03780</t>
  </si>
  <si>
    <t>Rv3235 family protein</t>
  </si>
  <si>
    <t>WP_003858177.1</t>
  </si>
  <si>
    <t>CGL_RS03785</t>
  </si>
  <si>
    <t>HAD-IA family hydrolase</t>
  </si>
  <si>
    <t>WP_003863558.1</t>
  </si>
  <si>
    <t>CGL_RS03790</t>
  </si>
  <si>
    <t>DUF6912 family protein</t>
  </si>
  <si>
    <t>WP_003858173.1</t>
  </si>
  <si>
    <t>CGL_RS03795</t>
  </si>
  <si>
    <t>ribosome small subunit-dependent GTPase A</t>
  </si>
  <si>
    <t>rsgA</t>
  </si>
  <si>
    <t>WP_370684771.1</t>
  </si>
  <si>
    <t>CGL_RS03800</t>
  </si>
  <si>
    <t>3-phosphoshikimate 1-carboxyvinyltransferase</t>
  </si>
  <si>
    <t>aroA</t>
  </si>
  <si>
    <t>WP_011013873.1</t>
  </si>
  <si>
    <t>CGL_RS03805</t>
  </si>
  <si>
    <t>SOS response-associated peptidase</t>
  </si>
  <si>
    <t>WP_011265617.1</t>
  </si>
  <si>
    <t>CGL_RS03810</t>
  </si>
  <si>
    <t>HNH endonuclease signature motif containing protein</t>
  </si>
  <si>
    <t>WP_006283678.1</t>
  </si>
  <si>
    <t>CGL_RS03815</t>
  </si>
  <si>
    <t>WP_003858163.1</t>
  </si>
  <si>
    <t>CGL_RS03820</t>
  </si>
  <si>
    <t>mycothiol system anti-sigma-R factor</t>
  </si>
  <si>
    <t>rsrA</t>
  </si>
  <si>
    <t>WP_003858161.1</t>
  </si>
  <si>
    <t>CGL_RS03825</t>
  </si>
  <si>
    <t>50S ribosomal protein bL37</t>
  </si>
  <si>
    <t>WP_020948532.1</t>
  </si>
  <si>
    <t>CGL_RS15865</t>
  </si>
  <si>
    <t>WhiB family transcriptional regulator WhcE</t>
  </si>
  <si>
    <t>whcE</t>
  </si>
  <si>
    <t>WP_003858159.1</t>
  </si>
  <si>
    <t>CGL_RS03830</t>
  </si>
  <si>
    <t>WP_003858157.1</t>
  </si>
  <si>
    <t>CGL_RS03835</t>
  </si>
  <si>
    <t>Rv3212 family protein</t>
  </si>
  <si>
    <t>WP_011013875.1</t>
  </si>
  <si>
    <t>CGL_RS03840</t>
  </si>
  <si>
    <t>WP_011013876.1</t>
  </si>
  <si>
    <t>CGL_RS03845</t>
  </si>
  <si>
    <t>DUF3107 domain-containing protein</t>
  </si>
  <si>
    <t>WP_011013877.1</t>
  </si>
  <si>
    <t>CGL_RS03850</t>
  </si>
  <si>
    <t>DUF3152 domain-containing protein</t>
  </si>
  <si>
    <t>WP_011013878.1</t>
  </si>
  <si>
    <t>CGL_RS03855</t>
  </si>
  <si>
    <t>TIGR02569 family protein</t>
  </si>
  <si>
    <t>WP_003858145.1</t>
  </si>
  <si>
    <t>CGL_RS03860</t>
  </si>
  <si>
    <t>ATP-dependent helicase</t>
  </si>
  <si>
    <t>WP_011013879.1</t>
  </si>
  <si>
    <t>CGL_RS03865</t>
  </si>
  <si>
    <t>WP_011013880.1</t>
  </si>
  <si>
    <t>CGL_RS03870</t>
  </si>
  <si>
    <t>potassium channel family protein</t>
  </si>
  <si>
    <t>WP_003863539.1</t>
  </si>
  <si>
    <t>CGL_RS03875</t>
  </si>
  <si>
    <t>NUDIX domain-containing protein</t>
  </si>
  <si>
    <t>WP_011013881.1</t>
  </si>
  <si>
    <t>CGL_RS03880</t>
  </si>
  <si>
    <t>ATP-dependent DNA helicase UvrD2</t>
  </si>
  <si>
    <t>WP_011013882.1</t>
  </si>
  <si>
    <t>CGL_RS03885</t>
  </si>
  <si>
    <t>WP_011013883.1</t>
  </si>
  <si>
    <t>CGL_RS03890</t>
  </si>
  <si>
    <t>M48 family metallopeptidase</t>
  </si>
  <si>
    <t>WP_011013884.1</t>
  </si>
  <si>
    <t>CGL_RS03895</t>
  </si>
  <si>
    <t>zinc-dependent metalloprotease</t>
  </si>
  <si>
    <t>WP_003858132.1</t>
  </si>
  <si>
    <t>CGL_RS03900</t>
  </si>
  <si>
    <t>YlbL family protein</t>
  </si>
  <si>
    <t>WP_011013885.1</t>
  </si>
  <si>
    <t>CGL_RS03905</t>
  </si>
  <si>
    <t>WP_011265619.1</t>
  </si>
  <si>
    <t>CGL_RS15615</t>
  </si>
  <si>
    <t>PPA1309 family protein</t>
  </si>
  <si>
    <t>WP_003858126.1</t>
  </si>
  <si>
    <t>CGL_RS03915</t>
  </si>
  <si>
    <t>UPF0182 family protein</t>
  </si>
  <si>
    <t>WP_011013886.1</t>
  </si>
  <si>
    <t>CGL_RS03920</t>
  </si>
  <si>
    <t>pyridoxine biosynthesis transcriptional regulator PdxR</t>
  </si>
  <si>
    <t>pdxR</t>
  </si>
  <si>
    <t>WP_011013887.1</t>
  </si>
  <si>
    <t>CGL_RS03925</t>
  </si>
  <si>
    <t>pyridoxal 5'-phosphate synthase lyase subunit PdxS</t>
  </si>
  <si>
    <t>pdxS</t>
  </si>
  <si>
    <t>WP_003858119.1</t>
  </si>
  <si>
    <t>CGL_RS03930</t>
  </si>
  <si>
    <t>pyridoxal 5'-phosphate synthase glutaminase subunit PdxT</t>
  </si>
  <si>
    <t>pdxT</t>
  </si>
  <si>
    <t>WP_011013889.1</t>
  </si>
  <si>
    <t>CGL_RS03935</t>
  </si>
  <si>
    <t>CGL_RS03940</t>
  </si>
  <si>
    <t>SdpI family protein</t>
  </si>
  <si>
    <t>WP_011013890.1</t>
  </si>
  <si>
    <t>CGL_RS03945</t>
  </si>
  <si>
    <t>S1 family peptidase</t>
  </si>
  <si>
    <t>WP_011013891.1</t>
  </si>
  <si>
    <t>CGL_RS03950</t>
  </si>
  <si>
    <t>WP_011013892.1</t>
  </si>
  <si>
    <t>CGL_RS03955</t>
  </si>
  <si>
    <t>WP_011265621.1</t>
  </si>
  <si>
    <t>CGL_RS03960</t>
  </si>
  <si>
    <t>WP_011265622.1</t>
  </si>
  <si>
    <t>CGL_RS03965</t>
  </si>
  <si>
    <t>LGFP repeat-containing protein</t>
  </si>
  <si>
    <t>WP_011013894.1</t>
  </si>
  <si>
    <t>CGL_RS03970</t>
  </si>
  <si>
    <t>WP_003858105.1</t>
  </si>
  <si>
    <t>CGL_RS03975</t>
  </si>
  <si>
    <t>WP_011013896.1</t>
  </si>
  <si>
    <t>CGL_RS03980</t>
  </si>
  <si>
    <t>WP_172769599.1</t>
  </si>
  <si>
    <t>CGL_RS15520</t>
  </si>
  <si>
    <t>histidinol-phosphatase</t>
  </si>
  <si>
    <t>hisN</t>
  </si>
  <si>
    <t>WP_011013898.1</t>
  </si>
  <si>
    <t>CGL_RS03995</t>
  </si>
  <si>
    <t>inositol monophosphatase family protein</t>
  </si>
  <si>
    <t>WP_011013899.1</t>
  </si>
  <si>
    <t>CGL_RS04000</t>
  </si>
  <si>
    <t>peptide chain release factor 2</t>
  </si>
  <si>
    <t>prfB</t>
  </si>
  <si>
    <t>WP_003863507.1</t>
  </si>
  <si>
    <t>CGL_RS04005</t>
  </si>
  <si>
    <t>cell division ATP-binding protein FtsE</t>
  </si>
  <si>
    <t>ftsE</t>
  </si>
  <si>
    <t>WP_003858089.1</t>
  </si>
  <si>
    <t>CGL_RS04010</t>
  </si>
  <si>
    <t>permease-like cell division protein FtsX</t>
  </si>
  <si>
    <t>ftsX</t>
  </si>
  <si>
    <t>WP_003858086.1</t>
  </si>
  <si>
    <t>CGL_RS04015</t>
  </si>
  <si>
    <t>SsrA-binding protein SmpB</t>
  </si>
  <si>
    <t>smpB</t>
  </si>
  <si>
    <t>WP_003858084.1</t>
  </si>
  <si>
    <t>CGL_RS04020</t>
  </si>
  <si>
    <t>DUF488 domain-containing protein</t>
  </si>
  <si>
    <t>WP_011013900.1</t>
  </si>
  <si>
    <t>CGL_RS04025</t>
  </si>
  <si>
    <t>transfer-messenger RNA</t>
  </si>
  <si>
    <t>ssrA</t>
  </si>
  <si>
    <t>CGL_RS04030</t>
  </si>
  <si>
    <t>CGL_RS04035</t>
  </si>
  <si>
    <t>CGL_RS04040</t>
  </si>
  <si>
    <t>WP_011013902.1</t>
  </si>
  <si>
    <t>CGL_RS04045</t>
  </si>
  <si>
    <t>WP_011013903.1</t>
  </si>
  <si>
    <t>CGL_RS04050</t>
  </si>
  <si>
    <t>vitamin K epoxide reductase family protein</t>
  </si>
  <si>
    <t>WP_011013904.1</t>
  </si>
  <si>
    <t>CGL_RS04055</t>
  </si>
  <si>
    <t>siderophore ABC transporter substrate-binding protein</t>
  </si>
  <si>
    <t>WP_011013905.1</t>
  </si>
  <si>
    <t>CGL_RS04060</t>
  </si>
  <si>
    <t>WP_003863480.1</t>
  </si>
  <si>
    <t>CGL_RS04065</t>
  </si>
  <si>
    <t>WP_003863478.1</t>
  </si>
  <si>
    <t>CGL_RS04070</t>
  </si>
  <si>
    <t>iron ABC transporter ATP-binding protein</t>
  </si>
  <si>
    <t>WP_011013906.1</t>
  </si>
  <si>
    <t>CGL_RS04075</t>
  </si>
  <si>
    <t>CGL_RS04080</t>
  </si>
  <si>
    <t>CGL_RS04085</t>
  </si>
  <si>
    <t>CGL_RS04090</t>
  </si>
  <si>
    <t>pyridoxal phosphate-dependent aminotransferase</t>
  </si>
  <si>
    <t>WP_011013907.1</t>
  </si>
  <si>
    <t>CGL_RS04095</t>
  </si>
  <si>
    <t>DUF3239 domain-containing protein</t>
  </si>
  <si>
    <t>WP_011013908.1</t>
  </si>
  <si>
    <t>CGL_RS04100</t>
  </si>
  <si>
    <t>DNA repair helicase XPB</t>
  </si>
  <si>
    <t>WP_003858302.1</t>
  </si>
  <si>
    <t>CGL_RS04105</t>
  </si>
  <si>
    <t>helicase-associated domain-containing protein</t>
  </si>
  <si>
    <t>WP_011013909.1</t>
  </si>
  <si>
    <t>CGL_RS04110</t>
  </si>
  <si>
    <t>WP_003858306.1</t>
  </si>
  <si>
    <t>CGL_RS04115</t>
  </si>
  <si>
    <t>resuscitation-promoting factor Rpf1</t>
  </si>
  <si>
    <t>rpf1</t>
  </si>
  <si>
    <t>WP_003862355.1</t>
  </si>
  <si>
    <t>CGL_RS04120</t>
  </si>
  <si>
    <t>WP_003858310.1</t>
  </si>
  <si>
    <t>CGL_RS04125</t>
  </si>
  <si>
    <t>DUF2771 domain-containing protein</t>
  </si>
  <si>
    <t>WP_003858312.1</t>
  </si>
  <si>
    <t>CGL_RS04130</t>
  </si>
  <si>
    <t>glutaminyl-peptide cyclotransferase</t>
  </si>
  <si>
    <t>WP_042383007.1</t>
  </si>
  <si>
    <t>CGL_RS04135</t>
  </si>
  <si>
    <t>aminotransferase class IV</t>
  </si>
  <si>
    <t>WP_011265629.1</t>
  </si>
  <si>
    <t>CGL_RS04140</t>
  </si>
  <si>
    <t>NCS2 family permease</t>
  </si>
  <si>
    <t>WP_003862359.1</t>
  </si>
  <si>
    <t>CGL_RS04145</t>
  </si>
  <si>
    <t>TrmH family RNA methyltransferase</t>
  </si>
  <si>
    <t>WP_003862361.1</t>
  </si>
  <si>
    <t>CGL_RS04150</t>
  </si>
  <si>
    <t>DUF6928 family protein</t>
  </si>
  <si>
    <t>WP_003858320.1</t>
  </si>
  <si>
    <t>CGL_RS04155</t>
  </si>
  <si>
    <t>septation protein SepH</t>
  </si>
  <si>
    <t>sepH</t>
  </si>
  <si>
    <t>WP_011013912.1</t>
  </si>
  <si>
    <t>CGL_RS04160</t>
  </si>
  <si>
    <t>phosphoserine transaminase</t>
  </si>
  <si>
    <t>serC</t>
  </si>
  <si>
    <t>WP_011013913.1</t>
  </si>
  <si>
    <t>CGL_RS04165</t>
  </si>
  <si>
    <t>citrate synthase</t>
  </si>
  <si>
    <t>WP_011013914.1</t>
  </si>
  <si>
    <t>CGL_RS04170</t>
  </si>
  <si>
    <t>FKBP-type peptidyl-prolyl cis-trans isomerase FkpA</t>
  </si>
  <si>
    <t>fkpA</t>
  </si>
  <si>
    <t>WP_003858324.1</t>
  </si>
  <si>
    <t>CGL_RS04175</t>
  </si>
  <si>
    <t>acetyl-coenzyme A carboxylase carboxyl transferase subunits beta/alpha</t>
  </si>
  <si>
    <t>WP_011013915.1</t>
  </si>
  <si>
    <t>CGL_RS04180</t>
  </si>
  <si>
    <t>DUF485 domain-containing protein</t>
  </si>
  <si>
    <t>WP_011265632.1</t>
  </si>
  <si>
    <t>CGL_RS04185</t>
  </si>
  <si>
    <t>solute symporter family protein</t>
  </si>
  <si>
    <t>WP_011013917.1</t>
  </si>
  <si>
    <t>CGL_RS04190</t>
  </si>
  <si>
    <t>WP_011013918.1</t>
  </si>
  <si>
    <t>CGL_RS04195</t>
  </si>
  <si>
    <t>DUF1906 domain-containing protein</t>
  </si>
  <si>
    <t>WP_011013919.1</t>
  </si>
  <si>
    <t>CGL_RS04200</t>
  </si>
  <si>
    <t>type I polyketide synthase</t>
  </si>
  <si>
    <t>WP_011013920.1</t>
  </si>
  <si>
    <t>CGL_RS04205</t>
  </si>
  <si>
    <t>septum formation family protein</t>
  </si>
  <si>
    <t>WP_011013921.1</t>
  </si>
  <si>
    <t>CGL_RS04210</t>
  </si>
  <si>
    <t>WP_003862382.1</t>
  </si>
  <si>
    <t>CGL_RS04215</t>
  </si>
  <si>
    <t>WP_003862384.1</t>
  </si>
  <si>
    <t>CGL_RS04220</t>
  </si>
  <si>
    <t>CGL_RS04225</t>
  </si>
  <si>
    <t>WP_003862386.1</t>
  </si>
  <si>
    <t>CGL_RS04230</t>
  </si>
  <si>
    <t>mycoredoxin</t>
  </si>
  <si>
    <t>WP_011013923.1</t>
  </si>
  <si>
    <t>CGL_RS04235</t>
  </si>
  <si>
    <t>dihydrofolate reductase</t>
  </si>
  <si>
    <t>WP_011013924.1</t>
  </si>
  <si>
    <t>CGL_RS04240</t>
  </si>
  <si>
    <t>thymidylate synthase</t>
  </si>
  <si>
    <t>WP_003862391.1</t>
  </si>
  <si>
    <t>CGL_RS04245</t>
  </si>
  <si>
    <t>3'(2'),5'-bisphosphate nucleotidase CysQ</t>
  </si>
  <si>
    <t>WP_003862394.1</t>
  </si>
  <si>
    <t>CGL_RS04250</t>
  </si>
  <si>
    <t>WP_011013925.1</t>
  </si>
  <si>
    <t>CGL_RS04255</t>
  </si>
  <si>
    <t>Fpg/Nei family DNA glycosylase</t>
  </si>
  <si>
    <t>WP_003862398.1</t>
  </si>
  <si>
    <t>CGL_RS04260</t>
  </si>
  <si>
    <t>YccF domain-containing protein</t>
  </si>
  <si>
    <t>WP_003858364.1</t>
  </si>
  <si>
    <t>CGL_RS04265</t>
  </si>
  <si>
    <t>WP_011013926.1</t>
  </si>
  <si>
    <t>CGL_RS04270</t>
  </si>
  <si>
    <t>WP_165442296.1</t>
  </si>
  <si>
    <t>CGL_RS15430</t>
  </si>
  <si>
    <t>CynX/NimT family MFS transporter</t>
  </si>
  <si>
    <t>WP_011013927.1</t>
  </si>
  <si>
    <t>CGL_RS04275</t>
  </si>
  <si>
    <t>glucose-6-phosphate isomerase</t>
  </si>
  <si>
    <t>pgi</t>
  </si>
  <si>
    <t>WP_011013928.1</t>
  </si>
  <si>
    <t>CGL_RS04280</t>
  </si>
  <si>
    <t>WP_230622908.1</t>
  </si>
  <si>
    <t>CGL_RS04285</t>
  </si>
  <si>
    <t>chorismate mutase</t>
  </si>
  <si>
    <t>WP_003858377.1</t>
  </si>
  <si>
    <t>CGL_RS04290</t>
  </si>
  <si>
    <t>DNA helicase PcrA</t>
  </si>
  <si>
    <t>pcrA</t>
  </si>
  <si>
    <t>WP_011013929.1</t>
  </si>
  <si>
    <t>CGL_RS04295</t>
  </si>
  <si>
    <t>WP_011013930.1</t>
  </si>
  <si>
    <t>CGL_RS04300</t>
  </si>
  <si>
    <t>WP_011013931.1</t>
  </si>
  <si>
    <t>CGL_RS04305</t>
  </si>
  <si>
    <t>PadR family transcriptional regulator</t>
  </si>
  <si>
    <t>WP_003862411.1</t>
  </si>
  <si>
    <t>CGL_RS04310</t>
  </si>
  <si>
    <t>M23 family metallopeptidase</t>
  </si>
  <si>
    <t>WP_011013932.1</t>
  </si>
  <si>
    <t>CGL_RS04315</t>
  </si>
  <si>
    <t>cell division protein PerM</t>
  </si>
  <si>
    <t>WP_011013933.1</t>
  </si>
  <si>
    <t>CGL_RS04320</t>
  </si>
  <si>
    <t>phosphoribosylglycinamide formyltransferase</t>
  </si>
  <si>
    <t>purN</t>
  </si>
  <si>
    <t>WP_003858391.1</t>
  </si>
  <si>
    <t>CGL_RS04325</t>
  </si>
  <si>
    <t>bifunctional phosphoribosylaminoimidazolecarboxamide formyltransferase/IMP cyclohydrolase</t>
  </si>
  <si>
    <t>purH</t>
  </si>
  <si>
    <t>WP_011013935.1</t>
  </si>
  <si>
    <t>CGL_RS04330</t>
  </si>
  <si>
    <t>HpcH/HpaI aldolase/citrate lyase family protein</t>
  </si>
  <si>
    <t>WP_011013936.1</t>
  </si>
  <si>
    <t>CGL_RS04335</t>
  </si>
  <si>
    <t>TetR/AcrR family transcriptional regulator AmtR</t>
  </si>
  <si>
    <t>amtR</t>
  </si>
  <si>
    <t>WP_011013937.1</t>
  </si>
  <si>
    <t>CGL_RS04340</t>
  </si>
  <si>
    <t>putative nucleotidyltransferase substrate binding domain-containing protein</t>
  </si>
  <si>
    <t>WP_003862417.1</t>
  </si>
  <si>
    <t>CGL_RS04345</t>
  </si>
  <si>
    <t>30S ribosomal protein S18</t>
  </si>
  <si>
    <t>rpsR</t>
  </si>
  <si>
    <t>WP_003858407.1</t>
  </si>
  <si>
    <t>CGL_RS04350</t>
  </si>
  <si>
    <t>30S ribosomal protein S14</t>
  </si>
  <si>
    <t>rpsN</t>
  </si>
  <si>
    <t>WP_011013938.1</t>
  </si>
  <si>
    <t>CGL_RS04355</t>
  </si>
  <si>
    <t>50S ribosomal protein L33</t>
  </si>
  <si>
    <t>rpmG</t>
  </si>
  <si>
    <t>WP_003858439.1</t>
  </si>
  <si>
    <t>CGL_RS04360</t>
  </si>
  <si>
    <t>50S ribosomal protein L28</t>
  </si>
  <si>
    <t>rpmB</t>
  </si>
  <si>
    <t>WP_003858441.1</t>
  </si>
  <si>
    <t>CGL_RS04365</t>
  </si>
  <si>
    <t>SulP family inorganic anion transporter</t>
  </si>
  <si>
    <t>WP_011265637.1</t>
  </si>
  <si>
    <t>CGL_RS04370</t>
  </si>
  <si>
    <t>WP_003858445.1</t>
  </si>
  <si>
    <t>CGL_RS04375</t>
  </si>
  <si>
    <t>type B 50S ribosomal protein L31</t>
  </si>
  <si>
    <t>WP_003858446.1</t>
  </si>
  <si>
    <t>CGL_RS04380</t>
  </si>
  <si>
    <t>50S ribosomal protein L32</t>
  </si>
  <si>
    <t>rpmF</t>
  </si>
  <si>
    <t>WP_003858448.1</t>
  </si>
  <si>
    <t>CGL_RS04385</t>
  </si>
  <si>
    <t>WP_011013940.1</t>
  </si>
  <si>
    <t>CGL_RS04390</t>
  </si>
  <si>
    <t>WP_011013941.1</t>
  </si>
  <si>
    <t>CGL_RS04395</t>
  </si>
  <si>
    <t>S1C family serine protease</t>
  </si>
  <si>
    <t>WP_011013942.1</t>
  </si>
  <si>
    <t>CGL_RS04400</t>
  </si>
  <si>
    <t>WP_003858456.1</t>
  </si>
  <si>
    <t>CGL_RS04405</t>
  </si>
  <si>
    <t>WP_374057886.1</t>
  </si>
  <si>
    <t>CGL_RS04410</t>
  </si>
  <si>
    <t>large conductance mechanosensitive channel protein MscL</t>
  </si>
  <si>
    <t>mscL</t>
  </si>
  <si>
    <t>WP_011013943.1</t>
  </si>
  <si>
    <t>CGL_RS04415</t>
  </si>
  <si>
    <t>SAF domain-containing protein</t>
  </si>
  <si>
    <t>WP_011013944.1</t>
  </si>
  <si>
    <t>CGL_RS04420</t>
  </si>
  <si>
    <t>5-formyltetrahydrofolate cyclo-ligase</t>
  </si>
  <si>
    <t>WP_011013945.1</t>
  </si>
  <si>
    <t>CGL_RS04425</t>
  </si>
  <si>
    <t>WP_003858460.1</t>
  </si>
  <si>
    <t>CGL_RS04430</t>
  </si>
  <si>
    <t>molybdotransferase-like divisome protein Glp</t>
  </si>
  <si>
    <t>glp</t>
  </si>
  <si>
    <t>WP_003858461.1</t>
  </si>
  <si>
    <t>CGL_RS04435</t>
  </si>
  <si>
    <t>WP_011265642.1</t>
  </si>
  <si>
    <t>CGL_RS04440</t>
  </si>
  <si>
    <t>divisome protein SepX/GlpR</t>
  </si>
  <si>
    <t>glpR</t>
  </si>
  <si>
    <t>WP_003858464.1</t>
  </si>
  <si>
    <t>CGL_RS04445</t>
  </si>
  <si>
    <t>WP_011013946.1</t>
  </si>
  <si>
    <t>CGL_RS04450</t>
  </si>
  <si>
    <t>WP_011013947.1</t>
  </si>
  <si>
    <t>CGL_RS04455</t>
  </si>
  <si>
    <t>zf-HC2 domain-containing protein</t>
  </si>
  <si>
    <t>WP_003858471.1</t>
  </si>
  <si>
    <t>CGL_RS04460</t>
  </si>
  <si>
    <t>alpha-amylase family protein</t>
  </si>
  <si>
    <t>WP_011013948.1</t>
  </si>
  <si>
    <t>CGL_RS04465</t>
  </si>
  <si>
    <t>dolichyl-phosphate-mannose--protein mannosyltransferase</t>
  </si>
  <si>
    <t>WP_011013949.1</t>
  </si>
  <si>
    <t>CGL_RS04470</t>
  </si>
  <si>
    <t>16S rRNA (cytidine(1402)-2'-O)-methyltransferase</t>
  </si>
  <si>
    <t>rsmI</t>
  </si>
  <si>
    <t>WP_011013950.1</t>
  </si>
  <si>
    <t>CGL_RS04475</t>
  </si>
  <si>
    <t>glycine betaine transporter BetP</t>
  </si>
  <si>
    <t>betP</t>
  </si>
  <si>
    <t>WP_011265645.1</t>
  </si>
  <si>
    <t>CGL_RS04480</t>
  </si>
  <si>
    <t>methionine--tRNA ligase</t>
  </si>
  <si>
    <t>metG</t>
  </si>
  <si>
    <t>WP_011013952.1</t>
  </si>
  <si>
    <t>CGL_RS04485</t>
  </si>
  <si>
    <t>RecQ family ATP-dependent DNA helicase</t>
  </si>
  <si>
    <t>WP_011013953.1</t>
  </si>
  <si>
    <t>CGL_RS04490</t>
  </si>
  <si>
    <t>cyclase family protein</t>
  </si>
  <si>
    <t>WP_011013954.1</t>
  </si>
  <si>
    <t>CGL_RS04495</t>
  </si>
  <si>
    <t>WP_326998608.1</t>
  </si>
  <si>
    <t>CGL_RS15620</t>
  </si>
  <si>
    <t>cupin domain-containing protein</t>
  </si>
  <si>
    <t>WP_011013955.1</t>
  </si>
  <si>
    <t>CGL_RS04505</t>
  </si>
  <si>
    <t>WP_011265646.1</t>
  </si>
  <si>
    <t>CGL_RS04510</t>
  </si>
  <si>
    <t>CGL_RS04515</t>
  </si>
  <si>
    <t>CGL_RS04520</t>
  </si>
  <si>
    <t>D-lactate dehydrogenase</t>
  </si>
  <si>
    <t>dld</t>
  </si>
  <si>
    <t>WP_011013960.1</t>
  </si>
  <si>
    <t>CGL_RS04525</t>
  </si>
  <si>
    <t>DNA methyltransferase</t>
  </si>
  <si>
    <t>WP_011013961.1</t>
  </si>
  <si>
    <t>CGL_RS04530</t>
  </si>
  <si>
    <t>CGL_RS04535</t>
  </si>
  <si>
    <t>Cd(II)/Pb(II)-sensing metalloregulatory transcriptional regulator CmtR</t>
  </si>
  <si>
    <t>WP_011013963.1</t>
  </si>
  <si>
    <t>CGL_RS04540</t>
  </si>
  <si>
    <t>cadmium resistance transporter</t>
  </si>
  <si>
    <t>WP_197526092.1</t>
  </si>
  <si>
    <t>CGL_RS04545</t>
  </si>
  <si>
    <t>TatD family hydrolase</t>
  </si>
  <si>
    <t>WP_011013965.1</t>
  </si>
  <si>
    <t>CGL_RS04550</t>
  </si>
  <si>
    <t>resuscitation-promoting factor Rpf2</t>
  </si>
  <si>
    <t>rpf2</t>
  </si>
  <si>
    <t>WP_003858490.1</t>
  </si>
  <si>
    <t>CGL_RS04555</t>
  </si>
  <si>
    <t>16S rRNA (adenine(1518)-N(6)/adenine(1519)-N(6))-dimethyltransferase RsmA</t>
  </si>
  <si>
    <t>rsmA</t>
  </si>
  <si>
    <t>WP_011013966.1</t>
  </si>
  <si>
    <t>CGL_RS04560</t>
  </si>
  <si>
    <t>4-(cytidine 5'-diphospho)-2-C-methyl-D-erythritol kinase</t>
  </si>
  <si>
    <t>WP_011013967.1</t>
  </si>
  <si>
    <t>CGL_RS04565</t>
  </si>
  <si>
    <t>ABC-F family ATP-binding cassette domain-containing protein</t>
  </si>
  <si>
    <t>WP_011013968.1</t>
  </si>
  <si>
    <t>CGL_RS04570</t>
  </si>
  <si>
    <t>pyridoxal kinase</t>
  </si>
  <si>
    <t>WP_011013969.1</t>
  </si>
  <si>
    <t>CGL_RS04575</t>
  </si>
  <si>
    <t>peroxiredoxin family protein</t>
  </si>
  <si>
    <t>WP_011013970.1</t>
  </si>
  <si>
    <t>CGL_RS04580</t>
  </si>
  <si>
    <t>WP_020948541.1</t>
  </si>
  <si>
    <t>CGL_RS04585</t>
  </si>
  <si>
    <t>antibiotic biosynthesis monooxygenase family protein</t>
  </si>
  <si>
    <t>WP_011013971.1</t>
  </si>
  <si>
    <t>CGL_RS04590</t>
  </si>
  <si>
    <t>polyphosphate kinase 2</t>
  </si>
  <si>
    <t>ppk2</t>
  </si>
  <si>
    <t>WP_011013972.1</t>
  </si>
  <si>
    <t>CGL_RS04595</t>
  </si>
  <si>
    <t>Cof-type HAD-IIB family hydrolase</t>
  </si>
  <si>
    <t>WP_003858506.1</t>
  </si>
  <si>
    <t>CGL_RS04600</t>
  </si>
  <si>
    <t>enoyl-CoA hydratase/isomerase family protein</t>
  </si>
  <si>
    <t>WP_011013973.1</t>
  </si>
  <si>
    <t>CGL_RS04605</t>
  </si>
  <si>
    <t>WP_003858512.1</t>
  </si>
  <si>
    <t>CGL_RS04610</t>
  </si>
  <si>
    <t>DUF6882 domain-containing protein</t>
  </si>
  <si>
    <t>WP_011013974.1</t>
  </si>
  <si>
    <t>CGL_RS04615</t>
  </si>
  <si>
    <t>WP_011013975.1</t>
  </si>
  <si>
    <t>CGL_RS04620</t>
  </si>
  <si>
    <t>WP_011013976.1</t>
  </si>
  <si>
    <t>CGL_RS04625</t>
  </si>
  <si>
    <t>WP_011013977.1</t>
  </si>
  <si>
    <t>CGL_RS04630</t>
  </si>
  <si>
    <t>ribonuclease E activity regulator RraA</t>
  </si>
  <si>
    <t>rraA</t>
  </si>
  <si>
    <t>WP_011013978.1</t>
  </si>
  <si>
    <t>CGL_RS04635</t>
  </si>
  <si>
    <t>WP_011013979.1</t>
  </si>
  <si>
    <t>CGL_RS04640</t>
  </si>
  <si>
    <t>CGL_RS04645</t>
  </si>
  <si>
    <t>WP_011013981.1</t>
  </si>
  <si>
    <t>CGL_RS04650</t>
  </si>
  <si>
    <t>peptide chain release factor 3</t>
  </si>
  <si>
    <t>WP_011013982.1</t>
  </si>
  <si>
    <t>CGL_RS04655</t>
  </si>
  <si>
    <t>urea ABC transporter substrate-binding protein</t>
  </si>
  <si>
    <t>urtA</t>
  </si>
  <si>
    <t>WP_003860043.1</t>
  </si>
  <si>
    <t>CGL_RS04660</t>
  </si>
  <si>
    <t>urea ABC transporter permease subunit UrtB</t>
  </si>
  <si>
    <t>urtB</t>
  </si>
  <si>
    <t>WP_003856680.1</t>
  </si>
  <si>
    <t>CGL_RS04665</t>
  </si>
  <si>
    <t>urea ABC transporter permease subunit UrtC</t>
  </si>
  <si>
    <t>urtC</t>
  </si>
  <si>
    <t>WP_011013983.1</t>
  </si>
  <si>
    <t>CGL_RS04670</t>
  </si>
  <si>
    <t>urea ABC transporter ATP-binding protein UrtD</t>
  </si>
  <si>
    <t>urtD</t>
  </si>
  <si>
    <t>WP_011013984.1</t>
  </si>
  <si>
    <t>CGL_RS04675</t>
  </si>
  <si>
    <t>urea ABC transporter ATP-binding subunit UrtE</t>
  </si>
  <si>
    <t>urtE</t>
  </si>
  <si>
    <t>WP_011013985.1</t>
  </si>
  <si>
    <t>CGL_RS04680</t>
  </si>
  <si>
    <t>aminoacyl-tRNA hydrolase</t>
  </si>
  <si>
    <t>pth</t>
  </si>
  <si>
    <t>WP_011013986.1</t>
  </si>
  <si>
    <t>CGL_RS04685</t>
  </si>
  <si>
    <t>nitronate monooxygenase</t>
  </si>
  <si>
    <t>WP_011013987.1</t>
  </si>
  <si>
    <t>CGL_RS04690</t>
  </si>
  <si>
    <t>glyceraldehyde-3-phosphate dehydrogenase</t>
  </si>
  <si>
    <t>WP_011013988.1</t>
  </si>
  <si>
    <t>CGL_RS04695</t>
  </si>
  <si>
    <t>WP_011265654.1</t>
  </si>
  <si>
    <t>CGL_RS04700</t>
  </si>
  <si>
    <t>WP_011265655.1</t>
  </si>
  <si>
    <t>CGL_RS04705</t>
  </si>
  <si>
    <t>50S ribosomal protein L25/general stress protein Ctc</t>
  </si>
  <si>
    <t>WP_011013990.1</t>
  </si>
  <si>
    <t>CGL_RS04710</t>
  </si>
  <si>
    <t>WP_011013991.1</t>
  </si>
  <si>
    <t>CGL_RS04715</t>
  </si>
  <si>
    <t>DNA alkylation repair protein</t>
  </si>
  <si>
    <t>WP_011013992.1</t>
  </si>
  <si>
    <t>CGL_RS04720</t>
  </si>
  <si>
    <t>ribose-phosphate diphosphokinase</t>
  </si>
  <si>
    <t>WP_003860060.1</t>
  </si>
  <si>
    <t>CGL_RS04725</t>
  </si>
  <si>
    <t>bifunctional UDP-N-acetylglucosamine diphosphorylase/glucosamine-1-phosphate N-acetyltransferase GlmU</t>
  </si>
  <si>
    <t>glmU</t>
  </si>
  <si>
    <t>WP_011013993.1</t>
  </si>
  <si>
    <t>CGL_RS04730</t>
  </si>
  <si>
    <t>WP_011013994.1</t>
  </si>
  <si>
    <t>CGL_RS04735</t>
  </si>
  <si>
    <t>multicopper oxidase family protein</t>
  </si>
  <si>
    <t>WP_011013995.1</t>
  </si>
  <si>
    <t>CGL_RS04740</t>
  </si>
  <si>
    <t>WP_011013996.1</t>
  </si>
  <si>
    <t>CGL_RS04745</t>
  </si>
  <si>
    <t>WP_011013997.1</t>
  </si>
  <si>
    <t>CGL_RS04750</t>
  </si>
  <si>
    <t>WP_011013998.1</t>
  </si>
  <si>
    <t>CGL_RS04755</t>
  </si>
  <si>
    <t>WP_003860075.1</t>
  </si>
  <si>
    <t>CGL_RS04760</t>
  </si>
  <si>
    <t>WP_003856716.1</t>
  </si>
  <si>
    <t>CGL_RS15810</t>
  </si>
  <si>
    <t>WP_011013999.1</t>
  </si>
  <si>
    <t>CGL_RS04765</t>
  </si>
  <si>
    <t>WP_011265657.1</t>
  </si>
  <si>
    <t>CGL_RS04770</t>
  </si>
  <si>
    <t>WP_011014000.1</t>
  </si>
  <si>
    <t>CGL_RS04775</t>
  </si>
  <si>
    <t>WP_011265658.1</t>
  </si>
  <si>
    <t>CGL_RS04780</t>
  </si>
  <si>
    <t>gamma-glutamyltransferase</t>
  </si>
  <si>
    <t>ggt</t>
  </si>
  <si>
    <t>WP_011014002.1</t>
  </si>
  <si>
    <t>CGL_RS04785</t>
  </si>
  <si>
    <t>WP_011014003.1</t>
  </si>
  <si>
    <t>CGL_RS04790</t>
  </si>
  <si>
    <t>WP_011014004.1</t>
  </si>
  <si>
    <t>CGL_RS04795</t>
  </si>
  <si>
    <t>IS6-like element IS1628 family transposase</t>
  </si>
  <si>
    <t>WP_011014005.1</t>
  </si>
  <si>
    <t>CGL_RS04800</t>
  </si>
  <si>
    <t>WP_174694927.1</t>
  </si>
  <si>
    <t>CGL_RS04805</t>
  </si>
  <si>
    <t>WP_003858644.1</t>
  </si>
  <si>
    <t>CGL_RS04810</t>
  </si>
  <si>
    <t>WP_011014008.1</t>
  </si>
  <si>
    <t>CGL_RS04815</t>
  </si>
  <si>
    <t>WP_011014009.1</t>
  </si>
  <si>
    <t>CGL_RS04820</t>
  </si>
  <si>
    <t>transcription-repair coupling factor</t>
  </si>
  <si>
    <t>mfd</t>
  </si>
  <si>
    <t>WP_011014010.1</t>
  </si>
  <si>
    <t>CGL_RS04825</t>
  </si>
  <si>
    <t>WP_011014011.1</t>
  </si>
  <si>
    <t>CGL_RS04830</t>
  </si>
  <si>
    <t>WP_011014012.1</t>
  </si>
  <si>
    <t>CGL_RS04835</t>
  </si>
  <si>
    <t>bifunctional lysylphosphatidylglycerol flippase/synthetase MprF</t>
  </si>
  <si>
    <t>WP_011265662.1</t>
  </si>
  <si>
    <t>CGL_RS04840</t>
  </si>
  <si>
    <t>WP_011014014.1</t>
  </si>
  <si>
    <t>CGL_RS04845</t>
  </si>
  <si>
    <t>amino acid permease</t>
  </si>
  <si>
    <t>WP_011014015.1</t>
  </si>
  <si>
    <t>CGL_RS04850</t>
  </si>
  <si>
    <t>antitoxin</t>
  </si>
  <si>
    <t>WP_003856746.1</t>
  </si>
  <si>
    <t>CGL_RS04855</t>
  </si>
  <si>
    <t>MazG nucleotide pyrophosphohydrolase domain-containing protein</t>
  </si>
  <si>
    <t>WP_011014016.1</t>
  </si>
  <si>
    <t>CGL_RS04860</t>
  </si>
  <si>
    <t>WP_011014017.1</t>
  </si>
  <si>
    <t>CGL_RS04865</t>
  </si>
  <si>
    <t>porin</t>
  </si>
  <si>
    <t>WP_011014018.1</t>
  </si>
  <si>
    <t>CGL_RS04870</t>
  </si>
  <si>
    <t>lytic transglycosylase domain-containing protein</t>
  </si>
  <si>
    <t>WP_011014019.1</t>
  </si>
  <si>
    <t>CGL_RS04875</t>
  </si>
  <si>
    <t>phosphopyruvate hydratase</t>
  </si>
  <si>
    <t>eno</t>
  </si>
  <si>
    <t>WP_003856756.1</t>
  </si>
  <si>
    <t>CGL_RS04880</t>
  </si>
  <si>
    <t>FtsB family cell division protein</t>
  </si>
  <si>
    <t>WP_011014020.1</t>
  </si>
  <si>
    <t>CGL_RS04885</t>
  </si>
  <si>
    <t>DUF501 domain-containing protein</t>
  </si>
  <si>
    <t>WP_011014021.1</t>
  </si>
  <si>
    <t>CGL_RS04890</t>
  </si>
  <si>
    <t>exopolyphosphatase Ppx2</t>
  </si>
  <si>
    <t>ppx2</t>
  </si>
  <si>
    <t>WP_004568167.1</t>
  </si>
  <si>
    <t>CGL_RS04895</t>
  </si>
  <si>
    <t>CGL_RS04900</t>
  </si>
  <si>
    <t>threonine/serine dehydratase</t>
  </si>
  <si>
    <t>WP_011014022.1</t>
  </si>
  <si>
    <t>CGL_RS04905</t>
  </si>
  <si>
    <t>WP_011014023.1</t>
  </si>
  <si>
    <t>CGL_RS04910</t>
  </si>
  <si>
    <t>WP_231838287.1</t>
  </si>
  <si>
    <t>CGL_RS04915</t>
  </si>
  <si>
    <t>PspC domain-containing protein</t>
  </si>
  <si>
    <t>WP_011014025.1</t>
  </si>
  <si>
    <t>CGL_RS04920</t>
  </si>
  <si>
    <t>AraC family transcriptional regulator</t>
  </si>
  <si>
    <t>WP_011014026.1</t>
  </si>
  <si>
    <t>CGL_RS04925</t>
  </si>
  <si>
    <t>Bax inhibitor-1/YccA family protein</t>
  </si>
  <si>
    <t>WP_011896994.1</t>
  </si>
  <si>
    <t>CGL_RS04930</t>
  </si>
  <si>
    <t>WP_011014028.1</t>
  </si>
  <si>
    <t>CGL_RS04935</t>
  </si>
  <si>
    <t>transcription elongation factor GreA</t>
  </si>
  <si>
    <t>greA</t>
  </si>
  <si>
    <t>WP_011014029.1</t>
  </si>
  <si>
    <t>CGL_RS04940</t>
  </si>
  <si>
    <t>DUF4307 domain-containing protein</t>
  </si>
  <si>
    <t>WP_003856773.1</t>
  </si>
  <si>
    <t>CGL_RS04945</t>
  </si>
  <si>
    <t>mycothiol conjugate amidase Mca</t>
  </si>
  <si>
    <t>mca</t>
  </si>
  <si>
    <t>WP_011014030.1</t>
  </si>
  <si>
    <t>CGL_RS04950</t>
  </si>
  <si>
    <t>WP_003856779.1</t>
  </si>
  <si>
    <t>CGL_RS04955</t>
  </si>
  <si>
    <t>3-deoxy-7-phosphoheptulonate synthase</t>
  </si>
  <si>
    <t>WP_011014031.1</t>
  </si>
  <si>
    <t>CGL_RS04960</t>
  </si>
  <si>
    <t>isoprenyl transferase</t>
  </si>
  <si>
    <t>WP_003856785.1</t>
  </si>
  <si>
    <t>CGL_RS04965</t>
  </si>
  <si>
    <t>flavodoxin domain-containing protein</t>
  </si>
  <si>
    <t>WP_011014033.1</t>
  </si>
  <si>
    <t>CGL_RS04970</t>
  </si>
  <si>
    <t>type I pantothenate kinase</t>
  </si>
  <si>
    <t>coaA</t>
  </si>
  <si>
    <t>WP_011014034.1</t>
  </si>
  <si>
    <t>CGL_RS04975</t>
  </si>
  <si>
    <t>serine hydroxymethyltransferase</t>
  </si>
  <si>
    <t>glyA</t>
  </si>
  <si>
    <t>WP_003856790.1</t>
  </si>
  <si>
    <t>CGL_RS04980</t>
  </si>
  <si>
    <t>aminodeoxychorismate synthase component I</t>
  </si>
  <si>
    <t>pabB</t>
  </si>
  <si>
    <t>WP_011265665.1</t>
  </si>
  <si>
    <t>CGL_RS04985</t>
  </si>
  <si>
    <t>WP_011014036.1</t>
  </si>
  <si>
    <t>CGL_RS04990</t>
  </si>
  <si>
    <t>DUF5997 family protein</t>
  </si>
  <si>
    <t>WP_003856795.1</t>
  </si>
  <si>
    <t>CGL_RS04995</t>
  </si>
  <si>
    <t>LysR family transcriptional regulator substrate-binding protein</t>
  </si>
  <si>
    <t>WP_011014037.1</t>
  </si>
  <si>
    <t>CGL_RS05000</t>
  </si>
  <si>
    <t>WP_011014038.1</t>
  </si>
  <si>
    <t>CGL_RS05005</t>
  </si>
  <si>
    <t>biotin-dependent carboxyltransferase family protein</t>
  </si>
  <si>
    <t>WP_011014039.1</t>
  </si>
  <si>
    <t>CGL_RS05010</t>
  </si>
  <si>
    <t>5-oxoprolinase subunit B family protein</t>
  </si>
  <si>
    <t>WP_011014040.1</t>
  </si>
  <si>
    <t>CGL_RS05015</t>
  </si>
  <si>
    <t>5-oxoprolinase subunit PxpA</t>
  </si>
  <si>
    <t>WP_011014041.1</t>
  </si>
  <si>
    <t>CGL_RS05020</t>
  </si>
  <si>
    <t>NRAMP family divalent metal transporter</t>
  </si>
  <si>
    <t>WP_011014042.1</t>
  </si>
  <si>
    <t>CGL_RS05025</t>
  </si>
  <si>
    <t>WP_011014044.1</t>
  </si>
  <si>
    <t>CGL_RS05030</t>
  </si>
  <si>
    <t>WP_004568112.1</t>
  </si>
  <si>
    <t>CGL_RS05035</t>
  </si>
  <si>
    <t>class II fumarate hydratase</t>
  </si>
  <si>
    <t>WP_003856814.1</t>
  </si>
  <si>
    <t>CGL_RS05040</t>
  </si>
  <si>
    <t>flavin reductase family protein</t>
  </si>
  <si>
    <t>WP_011014045.1</t>
  </si>
  <si>
    <t>CGL_RS05045</t>
  </si>
  <si>
    <t>WP_011014046.1</t>
  </si>
  <si>
    <t>CGL_RS05050</t>
  </si>
  <si>
    <t>WP_011014047.1</t>
  </si>
  <si>
    <t>CGL_RS05055</t>
  </si>
  <si>
    <t>NADPH-dependent FMN reductase</t>
  </si>
  <si>
    <t>WP_003856821.1</t>
  </si>
  <si>
    <t>CGL_RS05060</t>
  </si>
  <si>
    <t>WP_011014048.1</t>
  </si>
  <si>
    <t>CGL_RS05065</t>
  </si>
  <si>
    <t>WP_011014049.1</t>
  </si>
  <si>
    <t>CGL_RS05070</t>
  </si>
  <si>
    <t>WP_011014050.1</t>
  </si>
  <si>
    <t>CGL_RS05075</t>
  </si>
  <si>
    <t>WP_011014051.1</t>
  </si>
  <si>
    <t>CGL_RS05080</t>
  </si>
  <si>
    <t>class II fructose-bisphosphatase</t>
  </si>
  <si>
    <t>glpX</t>
  </si>
  <si>
    <t>WP_003856830.1</t>
  </si>
  <si>
    <t>CGL_RS05085</t>
  </si>
  <si>
    <t>DUF4245 domain-containing protein</t>
  </si>
  <si>
    <t>WP_011265667.1</t>
  </si>
  <si>
    <t>CGL_RS05090</t>
  </si>
  <si>
    <t>vWA domain-containing protein</t>
  </si>
  <si>
    <t>WP_020948547.1</t>
  </si>
  <si>
    <t>CGL_RS05095</t>
  </si>
  <si>
    <t>WP_011014054.1</t>
  </si>
  <si>
    <t>CGL_RS05100</t>
  </si>
  <si>
    <t>exodeoxyribonuclease VII small subunit</t>
  </si>
  <si>
    <t>WP_003856839.1</t>
  </si>
  <si>
    <t>CGL_RS05110</t>
  </si>
  <si>
    <t>exodeoxyribonuclease VII large subunit</t>
  </si>
  <si>
    <t>xseA</t>
  </si>
  <si>
    <t>WP_011014055.1</t>
  </si>
  <si>
    <t>CGL_RS05115</t>
  </si>
  <si>
    <t>4-hydroxy-3-methylbut-2-enyl diphosphate reductase</t>
  </si>
  <si>
    <t>WP_004568094.1</t>
  </si>
  <si>
    <t>CGL_RS05120</t>
  </si>
  <si>
    <t>DUF6542 domain-containing protein</t>
  </si>
  <si>
    <t>WP_011265670.1</t>
  </si>
  <si>
    <t>CGL_RS05125</t>
  </si>
  <si>
    <t>AI-2E family transporter</t>
  </si>
  <si>
    <t>WP_011014057.1</t>
  </si>
  <si>
    <t>CGL_RS05130</t>
  </si>
  <si>
    <t>methionine/alanine import NSS transporter subunit MetS</t>
  </si>
  <si>
    <t>metS</t>
  </si>
  <si>
    <t>WP_011014058.1</t>
  </si>
  <si>
    <t>CGL_RS05135</t>
  </si>
  <si>
    <t>sodium-dependent transporter</t>
  </si>
  <si>
    <t>WP_011014059.1</t>
  </si>
  <si>
    <t>CGL_RS05140</t>
  </si>
  <si>
    <t>WP_011014060.1</t>
  </si>
  <si>
    <t>CGL_RS05145</t>
  </si>
  <si>
    <t>redox-regulated ATPase YchF</t>
  </si>
  <si>
    <t>ychF</t>
  </si>
  <si>
    <t>WP_011014061.1</t>
  </si>
  <si>
    <t>CGL_RS05150</t>
  </si>
  <si>
    <t>type II toxin-antitoxin system RelE/ParE family toxin</t>
  </si>
  <si>
    <t>WP_011265672.1</t>
  </si>
  <si>
    <t>CGL_RS05155</t>
  </si>
  <si>
    <t>HigA family addiction module antitoxin</t>
  </si>
  <si>
    <t>WP_011014062.1</t>
  </si>
  <si>
    <t>CGL_RS05160</t>
  </si>
  <si>
    <t>ornithine carbamoyltransferase</t>
  </si>
  <si>
    <t>WP_011265673.1</t>
  </si>
  <si>
    <t>CGL_RS05165</t>
  </si>
  <si>
    <t>WP_011014064.1</t>
  </si>
  <si>
    <t>CGL_RS05170</t>
  </si>
  <si>
    <t>WP_011014065.1</t>
  </si>
  <si>
    <t>CGL_RS05175</t>
  </si>
  <si>
    <t>IS110 family transposase</t>
  </si>
  <si>
    <t>WP_011014066.1</t>
  </si>
  <si>
    <t>CGL_RS05180</t>
  </si>
  <si>
    <t>EAL domain-containing protein</t>
  </si>
  <si>
    <t>WP_172820732.1</t>
  </si>
  <si>
    <t>CGL_RS05185</t>
  </si>
  <si>
    <t>WP_011014068.1</t>
  </si>
  <si>
    <t>CGL_RS05190</t>
  </si>
  <si>
    <t>WP_011014069.1</t>
  </si>
  <si>
    <t>CGL_RS05195</t>
  </si>
  <si>
    <t>WP_011014070.1</t>
  </si>
  <si>
    <t>CGL_RS05200</t>
  </si>
  <si>
    <t>CGL_RS05205</t>
  </si>
  <si>
    <t>WP_041625411.1</t>
  </si>
  <si>
    <t>CGL_RS05210</t>
  </si>
  <si>
    <t>WP_011014074.1</t>
  </si>
  <si>
    <t>CGL_RS05215</t>
  </si>
  <si>
    <t>2'-5' RNA ligase family protein</t>
  </si>
  <si>
    <t>WP_011014075.1</t>
  </si>
  <si>
    <t>CGL_RS05220</t>
  </si>
  <si>
    <t>WP_011014076.1</t>
  </si>
  <si>
    <t>CGL_RS05225</t>
  </si>
  <si>
    <t>carboxymuconolactone decarboxylase family protein</t>
  </si>
  <si>
    <t>WP_011014077.1</t>
  </si>
  <si>
    <t>CGL_RS05230</t>
  </si>
  <si>
    <t>WP_011014078.1</t>
  </si>
  <si>
    <t>CGL_RS05235</t>
  </si>
  <si>
    <t>WP_011265677.1</t>
  </si>
  <si>
    <t>CGL_RS05240</t>
  </si>
  <si>
    <t>WP_227747745.1</t>
  </si>
  <si>
    <t>CGL_RS05245</t>
  </si>
  <si>
    <t>WP_227747746.1</t>
  </si>
  <si>
    <t>CGL_RS05250</t>
  </si>
  <si>
    <t>WP_011014082.1</t>
  </si>
  <si>
    <t>CGL_RS05255</t>
  </si>
  <si>
    <t>WP_041625415.1</t>
  </si>
  <si>
    <t>CGL_RS05260</t>
  </si>
  <si>
    <t>WP_011014083.1</t>
  </si>
  <si>
    <t>CGL_RS15435</t>
  </si>
  <si>
    <t>VWA domain-containing protein</t>
  </si>
  <si>
    <t>WP_011014084.1</t>
  </si>
  <si>
    <t>CGL_RS05265</t>
  </si>
  <si>
    <t>AAA family ATPase</t>
  </si>
  <si>
    <t>WP_020948549.1</t>
  </si>
  <si>
    <t>CGL_RS05270</t>
  </si>
  <si>
    <t>WP_011014086.1</t>
  </si>
  <si>
    <t>CGL_RS05275</t>
  </si>
  <si>
    <t>SCO1664 family protein</t>
  </si>
  <si>
    <t>WP_011014087.1</t>
  </si>
  <si>
    <t>CGL_RS05280</t>
  </si>
  <si>
    <t>isocitrate lyase/PEP mutase family protein</t>
  </si>
  <si>
    <t>WP_011014088.1</t>
  </si>
  <si>
    <t>CGL_RS05285</t>
  </si>
  <si>
    <t>ribosomal protection-like ABC-F family protein</t>
  </si>
  <si>
    <t>abc-f</t>
  </si>
  <si>
    <t>WP_011014089.1</t>
  </si>
  <si>
    <t>CGL_RS05290</t>
  </si>
  <si>
    <t>OsmC family protein</t>
  </si>
  <si>
    <t>WP_011014090.1</t>
  </si>
  <si>
    <t>CGL_RS05295</t>
  </si>
  <si>
    <t>zinc ribbon domain-containing protein YjdM</t>
  </si>
  <si>
    <t>WP_003856918.1</t>
  </si>
  <si>
    <t>CGL_RS05300</t>
  </si>
  <si>
    <t>WP_011014091.1</t>
  </si>
  <si>
    <t>CGL_RS05305</t>
  </si>
  <si>
    <t>WP_011014092.1</t>
  </si>
  <si>
    <t>CGL_RS05310</t>
  </si>
  <si>
    <t>ISL3-like element IS31831 family transposase</t>
  </si>
  <si>
    <t>WP_011014093.1</t>
  </si>
  <si>
    <t>CGL_RS05315</t>
  </si>
  <si>
    <t>cysteine desulfurase family protein</t>
  </si>
  <si>
    <t>WP_011014094.1</t>
  </si>
  <si>
    <t>CGL_RS05320</t>
  </si>
  <si>
    <t>carboxylating nicotinate-nucleotide diphosphorylase</t>
  </si>
  <si>
    <t>nadC</t>
  </si>
  <si>
    <t>WP_011014095.1</t>
  </si>
  <si>
    <t>CGL_RS05325</t>
  </si>
  <si>
    <t>quinolinate synthase NadA</t>
  </si>
  <si>
    <t>nadA</t>
  </si>
  <si>
    <t>WP_011014096.1</t>
  </si>
  <si>
    <t>CGL_RS05330</t>
  </si>
  <si>
    <t>WP_011014097.1</t>
  </si>
  <si>
    <t>CGL_RS05335</t>
  </si>
  <si>
    <t>WP_011014098.1</t>
  </si>
  <si>
    <t>CGL_RS05340</t>
  </si>
  <si>
    <t>WP_020948551.1</t>
  </si>
  <si>
    <t>CGL_RS05345</t>
  </si>
  <si>
    <t>MmcQ/YjbR family DNA-binding protein</t>
  </si>
  <si>
    <t>WP_011014100.1</t>
  </si>
  <si>
    <t>CGL_RS05350</t>
  </si>
  <si>
    <t>lipoate--protein ligase family protein</t>
  </si>
  <si>
    <t>WP_011014101.1</t>
  </si>
  <si>
    <t>CGL_RS05355</t>
  </si>
  <si>
    <t>WP_157665531.1</t>
  </si>
  <si>
    <t>CGL_RS05360</t>
  </si>
  <si>
    <t>WP_011014102.1</t>
  </si>
  <si>
    <t>CGL_RS05365</t>
  </si>
  <si>
    <t>WP_011014103.1</t>
  </si>
  <si>
    <t>CGL_RS05370</t>
  </si>
  <si>
    <t>4-hydroxybenzoate 3-monooxygenase</t>
  </si>
  <si>
    <t>WP_011014104.1</t>
  </si>
  <si>
    <t>CGL_RS05375</t>
  </si>
  <si>
    <t>WP_003858584.1</t>
  </si>
  <si>
    <t>CGL_RS05380</t>
  </si>
  <si>
    <t>WP_003862124.1</t>
  </si>
  <si>
    <t>CGL_RS05385</t>
  </si>
  <si>
    <t>energy-coupling factor transporter transmembrane component T family protein</t>
  </si>
  <si>
    <t>WP_011014105.1</t>
  </si>
  <si>
    <t>CGL_RS05390</t>
  </si>
  <si>
    <t>WP_011014106.1</t>
  </si>
  <si>
    <t>CGL_RS05395</t>
  </si>
  <si>
    <t>calcium:proton antiporter</t>
  </si>
  <si>
    <t>WP_011014107.1</t>
  </si>
  <si>
    <t>CGL_RS05400</t>
  </si>
  <si>
    <t>PIG-L deacetylase family protein</t>
  </si>
  <si>
    <t>WP_011265681.1</t>
  </si>
  <si>
    <t>CGL_RS05405</t>
  </si>
  <si>
    <t>YwaF family protein</t>
  </si>
  <si>
    <t>WP_011014109.1</t>
  </si>
  <si>
    <t>CGL_RS05410</t>
  </si>
  <si>
    <t>WP_011014110.1</t>
  </si>
  <si>
    <t>CGL_RS05415</t>
  </si>
  <si>
    <t>thiol peroxidase</t>
  </si>
  <si>
    <t>tpx</t>
  </si>
  <si>
    <t>WP_003858595.1</t>
  </si>
  <si>
    <t>CGL_RS05420</t>
  </si>
  <si>
    <t>WP_011014112.1</t>
  </si>
  <si>
    <t>CGL_RS05425</t>
  </si>
  <si>
    <t>DUF808 domain-containing protein</t>
  </si>
  <si>
    <t>WP_011014113.1</t>
  </si>
  <si>
    <t>CGL_RS05430</t>
  </si>
  <si>
    <t>2-dehydropantoate 2-reductase</t>
  </si>
  <si>
    <t>WP_011014114.1</t>
  </si>
  <si>
    <t>CGL_RS05435</t>
  </si>
  <si>
    <t>DUF2218 domain-containing protein</t>
  </si>
  <si>
    <t>WP_003858604.1</t>
  </si>
  <si>
    <t>CGL_RS05440</t>
  </si>
  <si>
    <t>WP_011265683.1</t>
  </si>
  <si>
    <t>CGL_RS05445</t>
  </si>
  <si>
    <t>WP_011014117.1</t>
  </si>
  <si>
    <t>CGL_RS05450</t>
  </si>
  <si>
    <t>WP_011014118.1</t>
  </si>
  <si>
    <t>CGL_RS05455</t>
  </si>
  <si>
    <t>arsenate reductase (glutaredoxin)</t>
  </si>
  <si>
    <t>arsC</t>
  </si>
  <si>
    <t>WP_003862103.1</t>
  </si>
  <si>
    <t>CGL_RS05460</t>
  </si>
  <si>
    <t>YkvI family membrane protein</t>
  </si>
  <si>
    <t>WP_011014119.1</t>
  </si>
  <si>
    <t>CGL_RS05465</t>
  </si>
  <si>
    <t>DUF402 domain-containing protein</t>
  </si>
  <si>
    <t>WP_003858618.1</t>
  </si>
  <si>
    <t>CGL_RS05470</t>
  </si>
  <si>
    <t>Rv1157c family protein</t>
  </si>
  <si>
    <t>WP_011014120.1</t>
  </si>
  <si>
    <t>CGL_RS05475</t>
  </si>
  <si>
    <t>translational GTPase TypA</t>
  </si>
  <si>
    <t>typA</t>
  </si>
  <si>
    <t>WP_011014121.1</t>
  </si>
  <si>
    <t>CGL_RS05480</t>
  </si>
  <si>
    <t>ABC transporter family substrate-binding protein</t>
  </si>
  <si>
    <t>WP_162467871.1</t>
  </si>
  <si>
    <t>CGL_RS05485</t>
  </si>
  <si>
    <t>N-acetyl-1-D-myo-inositol-2-amino-2-deoxy-alpha-D-glucopyranoside deacetylase</t>
  </si>
  <si>
    <t>mshB</t>
  </si>
  <si>
    <t>WP_003858626.1</t>
  </si>
  <si>
    <t>CGL_RS05490</t>
  </si>
  <si>
    <t>WP_003858629.1</t>
  </si>
  <si>
    <t>CGL_RS05495</t>
  </si>
  <si>
    <t>ferredoxin</t>
  </si>
  <si>
    <t>fdxA</t>
  </si>
  <si>
    <t>WP_003858631.1</t>
  </si>
  <si>
    <t>CGL_RS05500</t>
  </si>
  <si>
    <t>succinyldiaminopimelate transaminase</t>
  </si>
  <si>
    <t>dapC</t>
  </si>
  <si>
    <t>WP_011014123.1</t>
  </si>
  <si>
    <t>CGL_RS05505</t>
  </si>
  <si>
    <t>WP_003858634.1</t>
  </si>
  <si>
    <t>CGL_RS05510</t>
  </si>
  <si>
    <t>WP_011014124.1</t>
  </si>
  <si>
    <t>CGL_RS05515</t>
  </si>
  <si>
    <t>2,3,4,5-tetrahydropyridine-2,6-dicarboxylate N-succinyltransferase</t>
  </si>
  <si>
    <t>dapD</t>
  </si>
  <si>
    <t>WP_003863790.1</t>
  </si>
  <si>
    <t>CGL_RS05520</t>
  </si>
  <si>
    <t>aromatic amino acid transport protein AroP</t>
  </si>
  <si>
    <t>aroP</t>
  </si>
  <si>
    <t>WP_011014125.1</t>
  </si>
  <si>
    <t>CGL_RS05525</t>
  </si>
  <si>
    <t>DapH/DapD/GlmU-related protein</t>
  </si>
  <si>
    <t>WP_011014126.1</t>
  </si>
  <si>
    <t>CGL_RS05530</t>
  </si>
  <si>
    <t>succinyl-diaminopimelate desuccinylase</t>
  </si>
  <si>
    <t>dapE</t>
  </si>
  <si>
    <t>WP_011014127.1</t>
  </si>
  <si>
    <t>CGL_RS05535</t>
  </si>
  <si>
    <t>TIGR00730 family Rossman fold protein</t>
  </si>
  <si>
    <t>WP_003863794.1</t>
  </si>
  <si>
    <t>CGL_RS05540</t>
  </si>
  <si>
    <t>dihydropteroate synthase</t>
  </si>
  <si>
    <t>folP</t>
  </si>
  <si>
    <t>WP_003855021.1</t>
  </si>
  <si>
    <t>CGL_RS05545</t>
  </si>
  <si>
    <t>glucosyl-3-phosphoglycerate synthase</t>
  </si>
  <si>
    <t>WP_003863795.1</t>
  </si>
  <si>
    <t>CGL_RS05550</t>
  </si>
  <si>
    <t>WP_011014129.1</t>
  </si>
  <si>
    <t>CGL_RS05555</t>
  </si>
  <si>
    <t>DUF3117 domain-containing protein</t>
  </si>
  <si>
    <t>WP_003855015.1</t>
  </si>
  <si>
    <t>CGL_RS05560</t>
  </si>
  <si>
    <t>methyltransferase domain-containing protein</t>
  </si>
  <si>
    <t>WP_011014130.1</t>
  </si>
  <si>
    <t>CGL_RS05565</t>
  </si>
  <si>
    <t>glycoside hydrolase family 32 protein</t>
  </si>
  <si>
    <t>WP_011014131.1</t>
  </si>
  <si>
    <t>CGL_RS05570</t>
  </si>
  <si>
    <t>glycogen synthase</t>
  </si>
  <si>
    <t>glgA</t>
  </si>
  <si>
    <t>WP_011265689.1</t>
  </si>
  <si>
    <t>CGL_RS05575</t>
  </si>
  <si>
    <t>glucose-1-phosphate adenylyltransferase</t>
  </si>
  <si>
    <t>glgC</t>
  </si>
  <si>
    <t>WP_011014133.1</t>
  </si>
  <si>
    <t>CGL_RS05580</t>
  </si>
  <si>
    <t>WP_003863800.1</t>
  </si>
  <si>
    <t>CGL_RS05585</t>
  </si>
  <si>
    <t>RNA polymerase sigma factor SigE</t>
  </si>
  <si>
    <t>sigE</t>
  </si>
  <si>
    <t>WP_003855001.1</t>
  </si>
  <si>
    <t>CGL_RS05590</t>
  </si>
  <si>
    <t>WP_003855000.1</t>
  </si>
  <si>
    <t>CGL_RS05595</t>
  </si>
  <si>
    <t>Sec-independent protein translocase subunit TatB</t>
  </si>
  <si>
    <t>tatB</t>
  </si>
  <si>
    <t>WP_003854998.1</t>
  </si>
  <si>
    <t>CGL_RS05600</t>
  </si>
  <si>
    <t>Mrp/NBP35 family ATP-binding protein</t>
  </si>
  <si>
    <t>WP_011014134.1</t>
  </si>
  <si>
    <t>CGL_RS05605</t>
  </si>
  <si>
    <t>DUF1003 domain-containing protein</t>
  </si>
  <si>
    <t>WP_003854995.1</t>
  </si>
  <si>
    <t>CGL_RS05610</t>
  </si>
  <si>
    <t>magnesium transporter MgtE N-terminal domain-containing protein</t>
  </si>
  <si>
    <t>WP_003854992.1</t>
  </si>
  <si>
    <t>CGL_RS05615</t>
  </si>
  <si>
    <t>general stress protein</t>
  </si>
  <si>
    <t>WP_011014135.1</t>
  </si>
  <si>
    <t>CGL_RS05620</t>
  </si>
  <si>
    <t>WP_011014136.1</t>
  </si>
  <si>
    <t>CGL_RS05625</t>
  </si>
  <si>
    <t>CueP family metal-binding protein</t>
  </si>
  <si>
    <t>WP_011014137.1</t>
  </si>
  <si>
    <t>CGL_RS05630</t>
  </si>
  <si>
    <t>multifunctional oxoglutarate decarboxylase/oxoglutarate dehydrogenase thiamine pyrophosphate-binding subunit/dihydrolipoyllysine-residue succinyltransferase subunit</t>
  </si>
  <si>
    <t>WP_011014138.1</t>
  </si>
  <si>
    <t>CGL_RS05635</t>
  </si>
  <si>
    <t>WP_011014139.1</t>
  </si>
  <si>
    <t>CGL_RS05640</t>
  </si>
  <si>
    <t>WP_011014140.1</t>
  </si>
  <si>
    <t>CGL_RS05645</t>
  </si>
  <si>
    <t>shikimate 5-dehydrogenase</t>
  </si>
  <si>
    <t>WP_011014141.1</t>
  </si>
  <si>
    <t>CGL_RS05650</t>
  </si>
  <si>
    <t>carboxylesterase/lipase family protein</t>
  </si>
  <si>
    <t>WP_041627491.1</t>
  </si>
  <si>
    <t>CGL_RS05655</t>
  </si>
  <si>
    <t>(2Fe-2S)-binding protein</t>
  </si>
  <si>
    <t>WP_011014143.1</t>
  </si>
  <si>
    <t>CGL_RS05660</t>
  </si>
  <si>
    <t>WP_011014144.1</t>
  </si>
  <si>
    <t>CGL_RS05665</t>
  </si>
  <si>
    <t>WP_011014145.1</t>
  </si>
  <si>
    <t>CGL_RS05670</t>
  </si>
  <si>
    <t>WP_011014146.1</t>
  </si>
  <si>
    <t>CGL_RS05675</t>
  </si>
  <si>
    <t>DHA2 family efflux MFS transporter permease subunit</t>
  </si>
  <si>
    <t>WP_011014147.1</t>
  </si>
  <si>
    <t>CGL_RS05680</t>
  </si>
  <si>
    <t>5-methyltetrahydropteroyltriglutamate--homocysteine S-methyltransferase</t>
  </si>
  <si>
    <t>metE</t>
  </si>
  <si>
    <t>WP_011014148.1</t>
  </si>
  <si>
    <t>CGL_RS05685</t>
  </si>
  <si>
    <t>WP_003863814.1</t>
  </si>
  <si>
    <t>CGL_RS05690</t>
  </si>
  <si>
    <t>NAD(P)-binding domain-containing protein</t>
  </si>
  <si>
    <t>WP_011014150.1</t>
  </si>
  <si>
    <t>CGL_RS05695</t>
  </si>
  <si>
    <t>WP_011014151.1</t>
  </si>
  <si>
    <t>CGL_RS05700</t>
  </si>
  <si>
    <t>patatin-like phospholipase family protein</t>
  </si>
  <si>
    <t>WP_003854943.1</t>
  </si>
  <si>
    <t>CGL_RS05705</t>
  </si>
  <si>
    <t>WP_011014152.1</t>
  </si>
  <si>
    <t>CGL_RS05710</t>
  </si>
  <si>
    <t>peptide synthetase</t>
  </si>
  <si>
    <t>WP_165442300.1</t>
  </si>
  <si>
    <t>CGL_RS05715</t>
  </si>
  <si>
    <t>thiol reductant ABC exporter subunit CydC</t>
  </si>
  <si>
    <t>cydC</t>
  </si>
  <si>
    <t>WP_011014154.1</t>
  </si>
  <si>
    <t>CGL_RS05720</t>
  </si>
  <si>
    <t>ABC transporter ATP-binding protein/permease</t>
  </si>
  <si>
    <t>WP_011265694.1</t>
  </si>
  <si>
    <t>CGL_RS05725</t>
  </si>
  <si>
    <t>cytochrome d ubiquinol oxidase subunit II</t>
  </si>
  <si>
    <t>cydB</t>
  </si>
  <si>
    <t>WP_011014156.1</t>
  </si>
  <si>
    <t>CGL_RS05730</t>
  </si>
  <si>
    <t>cytochrome ubiquinol oxidase subunit I</t>
  </si>
  <si>
    <t>WP_011014157.1</t>
  </si>
  <si>
    <t>CGL_RS05735</t>
  </si>
  <si>
    <t>DUF3427 domain-containing protein</t>
  </si>
  <si>
    <t>WP_011014158.1</t>
  </si>
  <si>
    <t>CGL_RS05740</t>
  </si>
  <si>
    <t>(deoxy)nucleoside triphosphate pyrophosphohydrolase</t>
  </si>
  <si>
    <t>WP_003854931.1</t>
  </si>
  <si>
    <t>CGL_RS05745</t>
  </si>
  <si>
    <t>WP_231838288.1</t>
  </si>
  <si>
    <t>CGL_RS05750</t>
  </si>
  <si>
    <t>WP_011014160.1</t>
  </si>
  <si>
    <t>CGL_RS05755</t>
  </si>
  <si>
    <t>WP_011014161.1</t>
  </si>
  <si>
    <t>CGL_RS05760</t>
  </si>
  <si>
    <t>WP_011014162.1</t>
  </si>
  <si>
    <t>CGL_RS05765</t>
  </si>
  <si>
    <t>bifunctional 3-(3-hydroxy-phenyl)propionate/3-hydroxycinnamic acid hydroxylase</t>
  </si>
  <si>
    <t>WP_011014163.1</t>
  </si>
  <si>
    <t>CGL_RS05770</t>
  </si>
  <si>
    <t>maleylacetate reductase</t>
  </si>
  <si>
    <t>WP_011014164.1</t>
  </si>
  <si>
    <t>CGL_RS05775</t>
  </si>
  <si>
    <t>protocatechuate 3,4-dioxygenase subunit beta</t>
  </si>
  <si>
    <t>WP_003854925.1</t>
  </si>
  <si>
    <t>CGL_RS05780</t>
  </si>
  <si>
    <t>WP_011014165.1</t>
  </si>
  <si>
    <t>CGL_RS05785</t>
  </si>
  <si>
    <t>HNH endonuclease family protein</t>
  </si>
  <si>
    <t>WP_011014166.1</t>
  </si>
  <si>
    <t>CGL_RS05790</t>
  </si>
  <si>
    <t>sodium/proline symporter PutP</t>
  </si>
  <si>
    <t>putP</t>
  </si>
  <si>
    <t>WP_011014167.1</t>
  </si>
  <si>
    <t>CGL_RS05795</t>
  </si>
  <si>
    <t>WP_011014168.1</t>
  </si>
  <si>
    <t>CGL_RS05800</t>
  </si>
  <si>
    <t>2-oxo acid dehydrogenase</t>
  </si>
  <si>
    <t>WP_003854920.1</t>
  </si>
  <si>
    <t>CGL_RS05805</t>
  </si>
  <si>
    <t>metallophosphoesterase family protein</t>
  </si>
  <si>
    <t>WP_011014169.1</t>
  </si>
  <si>
    <t>CGL_RS05810</t>
  </si>
  <si>
    <t>WP_011014170.1</t>
  </si>
  <si>
    <t>CGL_RS05815</t>
  </si>
  <si>
    <t>CGL_RS15630</t>
  </si>
  <si>
    <t>YceI family protein</t>
  </si>
  <si>
    <t>WP_003854913.1</t>
  </si>
  <si>
    <t>CGL_RS05830</t>
  </si>
  <si>
    <t>MarR family transcriptional regulator RosR</t>
  </si>
  <si>
    <t>rosR</t>
  </si>
  <si>
    <t>WP_003861276.1</t>
  </si>
  <si>
    <t>CGL_RS05835</t>
  </si>
  <si>
    <t>WP_011014173.1</t>
  </si>
  <si>
    <t>CGL_RS05840</t>
  </si>
  <si>
    <t>WP_011014174.1</t>
  </si>
  <si>
    <t>CGL_RS05845</t>
  </si>
  <si>
    <t>Crp/Fnr family transcriptional regulator</t>
  </si>
  <si>
    <t>WP_011014175.1</t>
  </si>
  <si>
    <t>CGL_RS05850</t>
  </si>
  <si>
    <t>heavy-metal-associated domain-containing protein</t>
  </si>
  <si>
    <t>WP_003861284.1</t>
  </si>
  <si>
    <t>CGL_RS05855</t>
  </si>
  <si>
    <t>WP_011014176.1</t>
  </si>
  <si>
    <t>CGL_RS05860</t>
  </si>
  <si>
    <t>GTP pyrophosphokinase</t>
  </si>
  <si>
    <t>WP_011014177.1</t>
  </si>
  <si>
    <t>CGL_RS05865</t>
  </si>
  <si>
    <t>CGL_RS05870</t>
  </si>
  <si>
    <t>WP_011014178.1</t>
  </si>
  <si>
    <t>CGL_RS05875</t>
  </si>
  <si>
    <t>arginine--tRNA ligase</t>
  </si>
  <si>
    <t>argS</t>
  </si>
  <si>
    <t>WP_011014179.1</t>
  </si>
  <si>
    <t>CGL_RS05880</t>
  </si>
  <si>
    <t>diaminopimelate decarboxylase</t>
  </si>
  <si>
    <t>lysA</t>
  </si>
  <si>
    <t>WP_011014180.1</t>
  </si>
  <si>
    <t>CGL_RS05885</t>
  </si>
  <si>
    <t>WP_011014181.1</t>
  </si>
  <si>
    <t>CGL_RS05890</t>
  </si>
  <si>
    <t>homoserine dehydrogenase</t>
  </si>
  <si>
    <t>WP_003854900.1</t>
  </si>
  <si>
    <t>CGL_RS05895</t>
  </si>
  <si>
    <t>homoserine kinase</t>
  </si>
  <si>
    <t>thrB</t>
  </si>
  <si>
    <t>WP_011014183.1</t>
  </si>
  <si>
    <t>CGL_RS05900</t>
  </si>
  <si>
    <t>helix-turn-helix transcriptional regulator</t>
  </si>
  <si>
    <t>WP_011014184.1</t>
  </si>
  <si>
    <t>CGL_RS05905</t>
  </si>
  <si>
    <t>respiratory nitrate reductase subunit gamma</t>
  </si>
  <si>
    <t>narI</t>
  </si>
  <si>
    <t>WP_003854891.1</t>
  </si>
  <si>
    <t>CGL_RS05910</t>
  </si>
  <si>
    <t>nitrate reductase molybdenum cofactor assembly chaperone</t>
  </si>
  <si>
    <t>narJ</t>
  </si>
  <si>
    <t>WP_011014185.1</t>
  </si>
  <si>
    <t>CGL_RS05915</t>
  </si>
  <si>
    <t>nitrate reductase subunit beta</t>
  </si>
  <si>
    <t>narH</t>
  </si>
  <si>
    <t>WP_011014186.1</t>
  </si>
  <si>
    <t>CGL_RS05920</t>
  </si>
  <si>
    <t>nitrate reductase subunit alpha</t>
  </si>
  <si>
    <t>WP_011014187.1</t>
  </si>
  <si>
    <t>CGL_RS05925</t>
  </si>
  <si>
    <t>nitrate/nitrite transporter</t>
  </si>
  <si>
    <t>WP_011014188.1</t>
  </si>
  <si>
    <t>CGL_RS05930</t>
  </si>
  <si>
    <t>WP_011014189.1</t>
  </si>
  <si>
    <t>CGL_RS05935</t>
  </si>
  <si>
    <t>acid phosphatase</t>
  </si>
  <si>
    <t>WP_011265699.1</t>
  </si>
  <si>
    <t>CGL_RS05940</t>
  </si>
  <si>
    <t>CNNM domain-containing protein</t>
  </si>
  <si>
    <t>WP_011014191.1</t>
  </si>
  <si>
    <t>CGL_RS05945</t>
  </si>
  <si>
    <t>hemolysin family protein</t>
  </si>
  <si>
    <t>WP_011014192.1</t>
  </si>
  <si>
    <t>CGL_RS05950</t>
  </si>
  <si>
    <t>molybdenum cofactor guanylyltransferase</t>
  </si>
  <si>
    <t>WP_011014193.1</t>
  </si>
  <si>
    <t>CGL_RS05955</t>
  </si>
  <si>
    <t>WP_011014194.1</t>
  </si>
  <si>
    <t>CGL_RS05960</t>
  </si>
  <si>
    <t>GTP 3',8-cyclase MoaA</t>
  </si>
  <si>
    <t>moaA</t>
  </si>
  <si>
    <t>WP_011014195.1</t>
  </si>
  <si>
    <t>CGL_RS05965</t>
  </si>
  <si>
    <t>long-chain fatty-acid--CoA ligase</t>
  </si>
  <si>
    <t>WP_011265702.1</t>
  </si>
  <si>
    <t>CGL_RS05970</t>
  </si>
  <si>
    <t>transcription termination factor Rho</t>
  </si>
  <si>
    <t>rho</t>
  </si>
  <si>
    <t>WP_011014197.1</t>
  </si>
  <si>
    <t>CGL_RS05975</t>
  </si>
  <si>
    <t>peptide chain release factor 1</t>
  </si>
  <si>
    <t>prfA</t>
  </si>
  <si>
    <t>WP_003854866.1</t>
  </si>
  <si>
    <t>CGL_RS05980</t>
  </si>
  <si>
    <t>peptide chain release factor N(5)-glutamine methyltransferase</t>
  </si>
  <si>
    <t>prmC</t>
  </si>
  <si>
    <t>WP_011014198.1</t>
  </si>
  <si>
    <t>CGL_RS05985</t>
  </si>
  <si>
    <t>L-threonylcarbamoyladenylate synthase</t>
  </si>
  <si>
    <t>WP_003861324.1</t>
  </si>
  <si>
    <t>CGL_RS05990</t>
  </si>
  <si>
    <t>MraY family glycosyltransferase</t>
  </si>
  <si>
    <t>WP_011014199.1</t>
  </si>
  <si>
    <t>CGL_RS05995</t>
  </si>
  <si>
    <t>WP_003854858.1</t>
  </si>
  <si>
    <t>CGL_RS06000</t>
  </si>
  <si>
    <t>F0F1 ATP synthase subunit A</t>
  </si>
  <si>
    <t>atpB</t>
  </si>
  <si>
    <t>WP_003854856.1</t>
  </si>
  <si>
    <t>CGL_RS06010</t>
  </si>
  <si>
    <t>ATP synthase F0 subunit C</t>
  </si>
  <si>
    <t>WP_003854855.1</t>
  </si>
  <si>
    <t>CGL_RS06015</t>
  </si>
  <si>
    <t>F0F1 ATP synthase subunit B</t>
  </si>
  <si>
    <t>WP_011014201.1</t>
  </si>
  <si>
    <t>CGL_RS06020</t>
  </si>
  <si>
    <t>F0F1 ATP synthase subunit delta</t>
  </si>
  <si>
    <t>WP_003854845.1</t>
  </si>
  <si>
    <t>CGL_RS06025</t>
  </si>
  <si>
    <t>F0F1 ATP synthase subunit alpha</t>
  </si>
  <si>
    <t>atpA</t>
  </si>
  <si>
    <t>WP_011014202.1</t>
  </si>
  <si>
    <t>CGL_RS06030</t>
  </si>
  <si>
    <t>F0F1 ATP synthase subunit gamma</t>
  </si>
  <si>
    <t>WP_011014203.1</t>
  </si>
  <si>
    <t>CGL_RS06035</t>
  </si>
  <si>
    <t>F0F1 ATP synthase subunit beta</t>
  </si>
  <si>
    <t>atpD</t>
  </si>
  <si>
    <t>WP_011014204.1</t>
  </si>
  <si>
    <t>CGL_RS06040</t>
  </si>
  <si>
    <t>F0F1 ATP synthase subunit epsilon</t>
  </si>
  <si>
    <t>WP_003861337.1</t>
  </si>
  <si>
    <t>CGL_RS06045</t>
  </si>
  <si>
    <t>DUF2550 domain-containing protein</t>
  </si>
  <si>
    <t>WP_003854831.1</t>
  </si>
  <si>
    <t>CGL_RS06050</t>
  </si>
  <si>
    <t>endonuclease NucS</t>
  </si>
  <si>
    <t>nucS</t>
  </si>
  <si>
    <t>WP_011014205.1</t>
  </si>
  <si>
    <t>CGL_RS06055</t>
  </si>
  <si>
    <t>WP_011014206.1</t>
  </si>
  <si>
    <t>CGL_RS15635</t>
  </si>
  <si>
    <t>methylmalonyl-CoA epimerase</t>
  </si>
  <si>
    <t>mce</t>
  </si>
  <si>
    <t>WP_011014207.1</t>
  </si>
  <si>
    <t>CGL_RS06065</t>
  </si>
  <si>
    <t>thiamine-binding protein</t>
  </si>
  <si>
    <t>WP_003854825.1</t>
  </si>
  <si>
    <t>CGL_RS06070</t>
  </si>
  <si>
    <t>thioredoxin family protein</t>
  </si>
  <si>
    <t>WP_011014209.1</t>
  </si>
  <si>
    <t>CGL_RS06075</t>
  </si>
  <si>
    <t>WP_011014210.1</t>
  </si>
  <si>
    <t>CGL_RS06080</t>
  </si>
  <si>
    <t>WP_011014211.1</t>
  </si>
  <si>
    <t>CGL_RS06085</t>
  </si>
  <si>
    <t>WP_011014212.1</t>
  </si>
  <si>
    <t>CGL_RS06090</t>
  </si>
  <si>
    <t>WP_011014213.1</t>
  </si>
  <si>
    <t>CGL_RS06095</t>
  </si>
  <si>
    <t>1,4-alpha-glucan branching protein GlgB</t>
  </si>
  <si>
    <t>glgB</t>
  </si>
  <si>
    <t>WP_011014214.1</t>
  </si>
  <si>
    <t>CGL_RS06100</t>
  </si>
  <si>
    <t>alpha-1,4-glucan--maltose-1-phosphate maltosyltransferase</t>
  </si>
  <si>
    <t>WP_011014215.1</t>
  </si>
  <si>
    <t>CGL_RS06105</t>
  </si>
  <si>
    <t>WP_011014216.1</t>
  </si>
  <si>
    <t>CGL_RS06110</t>
  </si>
  <si>
    <t>WP_003854804.1</t>
  </si>
  <si>
    <t>CGL_RS06120</t>
  </si>
  <si>
    <t>THUMP-like domain-containing protein</t>
  </si>
  <si>
    <t>WP_011014217.1</t>
  </si>
  <si>
    <t>CGL_RS06125</t>
  </si>
  <si>
    <t>electron transfer flavoprotein subunit beta/FixA family protein</t>
  </si>
  <si>
    <t>WP_011014218.1</t>
  </si>
  <si>
    <t>CGL_RS06130</t>
  </si>
  <si>
    <t>electron transfer flavoprotein subunit alpha/FixB family protein</t>
  </si>
  <si>
    <t>WP_011014219.1</t>
  </si>
  <si>
    <t>CGL_RS06135</t>
  </si>
  <si>
    <t>WP_011014220.1</t>
  </si>
  <si>
    <t>CGL_RS06140</t>
  </si>
  <si>
    <t>WP_231107905.1</t>
  </si>
  <si>
    <t>CGL_RS06145</t>
  </si>
  <si>
    <t>type II toxin-antitoxin system HipA family toxin</t>
  </si>
  <si>
    <t>WP_011014221.1</t>
  </si>
  <si>
    <t>CGL_RS06150</t>
  </si>
  <si>
    <t>WP_020447892.1</t>
  </si>
  <si>
    <t>CGL_RS06155</t>
  </si>
  <si>
    <t>WP_011014222.1</t>
  </si>
  <si>
    <t>CGL_RS06160</t>
  </si>
  <si>
    <t>spermidine synthase</t>
  </si>
  <si>
    <t>WP_011014223.1</t>
  </si>
  <si>
    <t>CGL_RS06165</t>
  </si>
  <si>
    <t>WP_011014224.1</t>
  </si>
  <si>
    <t>CGL_RS06170</t>
  </si>
  <si>
    <t>WP_011014225.1</t>
  </si>
  <si>
    <t>CGL_RS06175</t>
  </si>
  <si>
    <t>tRNA 2-thiouridine(34) synthase MnmA</t>
  </si>
  <si>
    <t>mnmA</t>
  </si>
  <si>
    <t>WP_003861382.1</t>
  </si>
  <si>
    <t>CGL_RS06180</t>
  </si>
  <si>
    <t>WP_011014226.1</t>
  </si>
  <si>
    <t>CGL_RS06185</t>
  </si>
  <si>
    <t>WP_003854772.1</t>
  </si>
  <si>
    <t>CGL_RS06190</t>
  </si>
  <si>
    <t>WP_003861387.1</t>
  </si>
  <si>
    <t>CGL_RS06195</t>
  </si>
  <si>
    <t>NAD-dependent DNA ligase LigA</t>
  </si>
  <si>
    <t>ligA</t>
  </si>
  <si>
    <t>WP_011014227.1</t>
  </si>
  <si>
    <t>CGL_RS06200</t>
  </si>
  <si>
    <t>WP_003861389.1</t>
  </si>
  <si>
    <t>CGL_RS06205</t>
  </si>
  <si>
    <t>Asp-tRNA(Asn)/Glu-tRNA(Gln) amidotransferase subunit GatC</t>
  </si>
  <si>
    <t>gatC</t>
  </si>
  <si>
    <t>WP_003854761.1</t>
  </si>
  <si>
    <t>CGL_RS06210</t>
  </si>
  <si>
    <t>Asp-tRNA(Asn)/Glu-tRNA(Gln) amidotransferase subunit GatA</t>
  </si>
  <si>
    <t>gatA</t>
  </si>
  <si>
    <t>WP_011014228.1</t>
  </si>
  <si>
    <t>CGL_RS06215</t>
  </si>
  <si>
    <t>WP_011014229.1</t>
  </si>
  <si>
    <t>CGL_RS06220</t>
  </si>
  <si>
    <t>WP_011014230.1</t>
  </si>
  <si>
    <t>CGL_RS06225</t>
  </si>
  <si>
    <t>6-phosphofructokinase</t>
  </si>
  <si>
    <t>WP_011265707.1</t>
  </si>
  <si>
    <t>CGL_RS06230</t>
  </si>
  <si>
    <t>WP_011014232.1</t>
  </si>
  <si>
    <t>CGL_RS06235</t>
  </si>
  <si>
    <t>sugar ABC transporter ATP-binding protein</t>
  </si>
  <si>
    <t>WP_011014233.1</t>
  </si>
  <si>
    <t>CGL_RS06240</t>
  </si>
  <si>
    <t>WP_011014234.1</t>
  </si>
  <si>
    <t>CGL_RS06245</t>
  </si>
  <si>
    <t>D-ribose ABC transporter substrate-binding protein</t>
  </si>
  <si>
    <t>WP_011014235.1</t>
  </si>
  <si>
    <t>CGL_RS06250</t>
  </si>
  <si>
    <t>D-ribose pyranase</t>
  </si>
  <si>
    <t>rbsD</t>
  </si>
  <si>
    <t>WP_011014236.1</t>
  </si>
  <si>
    <t>CGL_RS06255</t>
  </si>
  <si>
    <t>WP_003854745.1</t>
  </si>
  <si>
    <t>CGL_RS06260</t>
  </si>
  <si>
    <t>WP_011014237.1</t>
  </si>
  <si>
    <t>CGL_RS06265</t>
  </si>
  <si>
    <t>bile acid:sodium symporter family protein</t>
  </si>
  <si>
    <t>WP_003854741.1</t>
  </si>
  <si>
    <t>CGL_RS06270</t>
  </si>
  <si>
    <t>Asp-tRNA(Asn)/Glu-tRNA(Gln) amidotransferase subunit GatB</t>
  </si>
  <si>
    <t>gatB</t>
  </si>
  <si>
    <t>WP_011014238.1</t>
  </si>
  <si>
    <t>CGL_RS06275</t>
  </si>
  <si>
    <t>NADPH-dependent F420 reductase</t>
  </si>
  <si>
    <t>WP_006285040.1</t>
  </si>
  <si>
    <t>CGL_RS06280</t>
  </si>
  <si>
    <t>L-glyceraldehyde 3-phosphate reductase</t>
  </si>
  <si>
    <t>mgrA</t>
  </si>
  <si>
    <t>WP_011014239.1</t>
  </si>
  <si>
    <t>CGL_RS06285</t>
  </si>
  <si>
    <t>L-lysine exporter</t>
  </si>
  <si>
    <t>lysE</t>
  </si>
  <si>
    <t>WP_003854734.1</t>
  </si>
  <si>
    <t>CGL_RS06290</t>
  </si>
  <si>
    <t>ArgP/LysG family DNA-binding transcriptional regulator</t>
  </si>
  <si>
    <t>WP_011014240.1</t>
  </si>
  <si>
    <t>CGL_RS06295</t>
  </si>
  <si>
    <t>glutathione S-transferase family protein</t>
  </si>
  <si>
    <t>WP_011014241.1</t>
  </si>
  <si>
    <t>CGL_RS06300</t>
  </si>
  <si>
    <t>WP_011265710.1</t>
  </si>
  <si>
    <t>CGL_RS06305</t>
  </si>
  <si>
    <t>WP_011014243.1</t>
  </si>
  <si>
    <t>CGL_RS06310</t>
  </si>
  <si>
    <t>dihydroxy-acid dehydratase</t>
  </si>
  <si>
    <t>ilvD</t>
  </si>
  <si>
    <t>WP_003854128.1</t>
  </si>
  <si>
    <t>CGL_RS06315</t>
  </si>
  <si>
    <t>WP_011014244.1</t>
  </si>
  <si>
    <t>CGL_RS06320</t>
  </si>
  <si>
    <t>mechanosensitive ion channel family protein</t>
  </si>
  <si>
    <t>WP_011014245.1</t>
  </si>
  <si>
    <t>CGL_RS06325</t>
  </si>
  <si>
    <t>acetolactate synthase large subunit</t>
  </si>
  <si>
    <t>WP_011014246.1</t>
  </si>
  <si>
    <t>CGL_RS06330</t>
  </si>
  <si>
    <t>acetolactate synthase small subunit</t>
  </si>
  <si>
    <t>ilvN</t>
  </si>
  <si>
    <t>WP_006286979.1</t>
  </si>
  <si>
    <t>CGL_RS06335</t>
  </si>
  <si>
    <t>ketol-acid reductoisomerase</t>
  </si>
  <si>
    <t>ilvC</t>
  </si>
  <si>
    <t>WP_003854117.1</t>
  </si>
  <si>
    <t>CGL_RS06340</t>
  </si>
  <si>
    <t>CGL_RS06345</t>
  </si>
  <si>
    <t>CGL_RS06350</t>
  </si>
  <si>
    <t>WP_041625433.1</t>
  </si>
  <si>
    <t>CGL_RS06355</t>
  </si>
  <si>
    <t>acyl-CoA/acyl-ACP dehydrogenase</t>
  </si>
  <si>
    <t>WP_011014251.1</t>
  </si>
  <si>
    <t>CGL_RS06360</t>
  </si>
  <si>
    <t>WP_041625658.1</t>
  </si>
  <si>
    <t>CGL_RS06365</t>
  </si>
  <si>
    <t>WP_011014253.1</t>
  </si>
  <si>
    <t>CGL_RS06370</t>
  </si>
  <si>
    <t>cation diffusion facilitator family transporter</t>
  </si>
  <si>
    <t>WP_011014254.1</t>
  </si>
  <si>
    <t>CGL_RS06375</t>
  </si>
  <si>
    <t>GmrSD restriction endonuclease domain-containing protein</t>
  </si>
  <si>
    <t>WP_011014255.1</t>
  </si>
  <si>
    <t>CGL_RS06380</t>
  </si>
  <si>
    <t>WP_011014256.1</t>
  </si>
  <si>
    <t>CGL_RS06385</t>
  </si>
  <si>
    <t>phosphoglycerate dehydrogenase</t>
  </si>
  <si>
    <t>serA</t>
  </si>
  <si>
    <t>WP_003854094.1</t>
  </si>
  <si>
    <t>CGL_RS06390</t>
  </si>
  <si>
    <t>YbjN domain-containing protein</t>
  </si>
  <si>
    <t>WP_011014257.1</t>
  </si>
  <si>
    <t>CGL_RS06395</t>
  </si>
  <si>
    <t>3-isopropylmalate dehydrogenase</t>
  </si>
  <si>
    <t>WP_011014258.1</t>
  </si>
  <si>
    <t>CGL_RS06400</t>
  </si>
  <si>
    <t>WP_003861456.1</t>
  </si>
  <si>
    <t>CGL_RS06405</t>
  </si>
  <si>
    <t>CBS domain-containing protein</t>
  </si>
  <si>
    <t>WP_011014260.1</t>
  </si>
  <si>
    <t>CGL_RS06410</t>
  </si>
  <si>
    <t>exonuclease domain-containing protein</t>
  </si>
  <si>
    <t>WP_011014261.1</t>
  </si>
  <si>
    <t>CGL_RS06415</t>
  </si>
  <si>
    <t>fumarylacetoacetate hydrolase family protein</t>
  </si>
  <si>
    <t>WP_003861462.1</t>
  </si>
  <si>
    <t>CGL_RS06420</t>
  </si>
  <si>
    <t>WP_011014262.1</t>
  </si>
  <si>
    <t>CGL_RS06425</t>
  </si>
  <si>
    <t>isochorismate synthase</t>
  </si>
  <si>
    <t>WP_011014263.1</t>
  </si>
  <si>
    <t>CGL_RS06430</t>
  </si>
  <si>
    <t>glutamate--tRNA ligase</t>
  </si>
  <si>
    <t>gltX</t>
  </si>
  <si>
    <t>WP_011265718.1</t>
  </si>
  <si>
    <t>CGL_RS06435</t>
  </si>
  <si>
    <t>WP_011014265.1</t>
  </si>
  <si>
    <t>CGL_RS06440</t>
  </si>
  <si>
    <t>DUF2975 domain-containing protein</t>
  </si>
  <si>
    <t>WP_011014266.1</t>
  </si>
  <si>
    <t>CGL_RS06445</t>
  </si>
  <si>
    <t>WP_011014267.1</t>
  </si>
  <si>
    <t>CGL_RS06450</t>
  </si>
  <si>
    <t>WP_011014268.1</t>
  </si>
  <si>
    <t>CGL_RS06455</t>
  </si>
  <si>
    <t>WP_227747761.1</t>
  </si>
  <si>
    <t>CGL_RS06460</t>
  </si>
  <si>
    <t>WP_011014270.1</t>
  </si>
  <si>
    <t>CGL_RS06465</t>
  </si>
  <si>
    <t>tRNA-Gln</t>
  </si>
  <si>
    <t>CGL_RS06470</t>
  </si>
  <si>
    <t>tRNA-Glu</t>
  </si>
  <si>
    <t>CGL_RS06475</t>
  </si>
  <si>
    <t>CGL_RS06480</t>
  </si>
  <si>
    <t>CGL_RS06485</t>
  </si>
  <si>
    <t>WP_011265720.1</t>
  </si>
  <si>
    <t>CGL_RS15815</t>
  </si>
  <si>
    <t>CGL_RS06490</t>
  </si>
  <si>
    <t>WP_020948564.1</t>
  </si>
  <si>
    <t>CGL_RS15855</t>
  </si>
  <si>
    <t>TRAFAC clade GTPase domain-containing protein</t>
  </si>
  <si>
    <t>WP_011014271.1</t>
  </si>
  <si>
    <t>CGL_RS06500</t>
  </si>
  <si>
    <t>WP_011014272.1</t>
  </si>
  <si>
    <t>CGL_RS06505</t>
  </si>
  <si>
    <t>phosphomethylpyrimidine synthase ThiC</t>
  </si>
  <si>
    <t>thiC</t>
  </si>
  <si>
    <t>WP_011014273.1</t>
  </si>
  <si>
    <t>CGL_RS06510</t>
  </si>
  <si>
    <t>Abi family protein</t>
  </si>
  <si>
    <t>WP_197526093.1</t>
  </si>
  <si>
    <t>CGL_RS06515</t>
  </si>
  <si>
    <t>WP_011265721.1</t>
  </si>
  <si>
    <t>CGL_RS06520</t>
  </si>
  <si>
    <t>maltodextrin phosphorylase MalP</t>
  </si>
  <si>
    <t>malP</t>
  </si>
  <si>
    <t>WP_011014275.1</t>
  </si>
  <si>
    <t>CGL_RS06525</t>
  </si>
  <si>
    <t>WP_011014277.1</t>
  </si>
  <si>
    <t>CGL_RS06530</t>
  </si>
  <si>
    <t>WP_208400692.1</t>
  </si>
  <si>
    <t>CGL_RS06535</t>
  </si>
  <si>
    <t>WP_003858864.1</t>
  </si>
  <si>
    <t>CGL_RS06540</t>
  </si>
  <si>
    <t>WP_011014279.1</t>
  </si>
  <si>
    <t>CGL_RS06545</t>
  </si>
  <si>
    <t>WP_011014280.1</t>
  </si>
  <si>
    <t>CGL_RS06550</t>
  </si>
  <si>
    <t>3-isopropylmalate dehydratase large subunit</t>
  </si>
  <si>
    <t>leuC</t>
  </si>
  <si>
    <t>WP_011014281.1</t>
  </si>
  <si>
    <t>CGL_RS06555</t>
  </si>
  <si>
    <t>3-isopropylmalate dehydratase small subunit</t>
  </si>
  <si>
    <t>leuD</t>
  </si>
  <si>
    <t>WP_011014282.1</t>
  </si>
  <si>
    <t>CGL_RS06560</t>
  </si>
  <si>
    <t>WP_011265722.1</t>
  </si>
  <si>
    <t>CGL_RS06565</t>
  </si>
  <si>
    <t>NAD(P)H-dependent glycerol-3-phosphate dehydrogenase</t>
  </si>
  <si>
    <t>WP_003858849.1</t>
  </si>
  <si>
    <t>CGL_RS06570</t>
  </si>
  <si>
    <t>D-alanine--D-alanine ligase family protein</t>
  </si>
  <si>
    <t>WP_011014285.1</t>
  </si>
  <si>
    <t>CGL_RS06575</t>
  </si>
  <si>
    <t>DUF3515 domain-containing protein</t>
  </si>
  <si>
    <t>WP_011014286.1</t>
  </si>
  <si>
    <t>CGL_RS06580</t>
  </si>
  <si>
    <t>thiamine-phosphate kinase</t>
  </si>
  <si>
    <t>WP_011014287.1</t>
  </si>
  <si>
    <t>CGL_RS06585</t>
  </si>
  <si>
    <t>uracil-DNA glycosylase</t>
  </si>
  <si>
    <t>WP_011014288.1</t>
  </si>
  <si>
    <t>CGL_RS06590</t>
  </si>
  <si>
    <t>DAK2 domain-containing protein</t>
  </si>
  <si>
    <t>WP_011265725.1</t>
  </si>
  <si>
    <t>CGL_RS06595</t>
  </si>
  <si>
    <t>ATP-dependent DNA helicase RecG</t>
  </si>
  <si>
    <t>WP_011014290.1</t>
  </si>
  <si>
    <t>CGL_RS06600</t>
  </si>
  <si>
    <t>acetyl-CoA carboxylase biotin carboxyl carrier protein subunit</t>
  </si>
  <si>
    <t>WP_003858832.1</t>
  </si>
  <si>
    <t>CGL_RS06605</t>
  </si>
  <si>
    <t>16S rRNA (guanine(966)-N(2))-methyltransferase RsmD</t>
  </si>
  <si>
    <t>rsmD</t>
  </si>
  <si>
    <t>WP_003858829.1</t>
  </si>
  <si>
    <t>CGL_RS06610</t>
  </si>
  <si>
    <t>pantetheine-phosphate adenylyltransferase</t>
  </si>
  <si>
    <t>coaD</t>
  </si>
  <si>
    <t>WP_003858828.1</t>
  </si>
  <si>
    <t>CGL_RS06615</t>
  </si>
  <si>
    <t>WP_074495633.1</t>
  </si>
  <si>
    <t>CGL_RS15640</t>
  </si>
  <si>
    <t>amino acid ABC transporter ATP-binding protein</t>
  </si>
  <si>
    <t>WP_003858826.1</t>
  </si>
  <si>
    <t>CGL_RS06625</t>
  </si>
  <si>
    <t>amino acid ABC transporter permease</t>
  </si>
  <si>
    <t>WP_003858824.1</t>
  </si>
  <si>
    <t>CGL_RS06630</t>
  </si>
  <si>
    <t>WP_011014291.1</t>
  </si>
  <si>
    <t>CGL_RS06635</t>
  </si>
  <si>
    <t>DUF1266 domain-containing protein</t>
  </si>
  <si>
    <t>WP_003858818.1</t>
  </si>
  <si>
    <t>CGL_RS06640</t>
  </si>
  <si>
    <t>DUF368 domain-containing protein</t>
  </si>
  <si>
    <t>WP_011014292.1</t>
  </si>
  <si>
    <t>CGL_RS06645</t>
  </si>
  <si>
    <t>site-specific integrase</t>
  </si>
  <si>
    <t>WP_003858814.1</t>
  </si>
  <si>
    <t>CGL_RS06650</t>
  </si>
  <si>
    <t>WP_003861519.1</t>
  </si>
  <si>
    <t>CGL_RS06660</t>
  </si>
  <si>
    <t>MepB family protein</t>
  </si>
  <si>
    <t>WP_003858809.1</t>
  </si>
  <si>
    <t>CGL_RS06665</t>
  </si>
  <si>
    <t>DUF4258 domain-containing protein</t>
  </si>
  <si>
    <t>WP_011014295.1</t>
  </si>
  <si>
    <t>CGL_RS06675</t>
  </si>
  <si>
    <t>DUF2283 domain-containing protein</t>
  </si>
  <si>
    <t>WP_003858801.1</t>
  </si>
  <si>
    <t>CGL_RS06680</t>
  </si>
  <si>
    <t>DUF6973 domain-containing protein</t>
  </si>
  <si>
    <t>WP_231838289.1</t>
  </si>
  <si>
    <t>CGL_RS15645</t>
  </si>
  <si>
    <t>CGL_RS06695</t>
  </si>
  <si>
    <t>WP_003858795.1</t>
  </si>
  <si>
    <t>CGL_RS06700</t>
  </si>
  <si>
    <t>WP_011265729.1</t>
  </si>
  <si>
    <t>CGL_RS15525</t>
  </si>
  <si>
    <t>WP_003861526.1</t>
  </si>
  <si>
    <t>CGL_RS06715</t>
  </si>
  <si>
    <t>trypsin-like serine protease</t>
  </si>
  <si>
    <t>WP_227747764.1</t>
  </si>
  <si>
    <t>CGL_RS06720</t>
  </si>
  <si>
    <t>WP_003858787.1</t>
  </si>
  <si>
    <t>CGL_RS06725</t>
  </si>
  <si>
    <t>WP_003858785.1</t>
  </si>
  <si>
    <t>CGL_RS06730</t>
  </si>
  <si>
    <t>WP_208396117.1</t>
  </si>
  <si>
    <t>CGL_RS06735</t>
  </si>
  <si>
    <t>WP_003858781.1</t>
  </si>
  <si>
    <t>CGL_RS06740</t>
  </si>
  <si>
    <t>CGL_RS06745</t>
  </si>
  <si>
    <t>DNA polymerase I</t>
  </si>
  <si>
    <t>polA</t>
  </si>
  <si>
    <t>WP_011014298.1</t>
  </si>
  <si>
    <t>CGL_RS06750</t>
  </si>
  <si>
    <t>WP_011014299.1</t>
  </si>
  <si>
    <t>CGL_RS06755</t>
  </si>
  <si>
    <t>WP_011014300.1</t>
  </si>
  <si>
    <t>CGL_RS06760</t>
  </si>
  <si>
    <t>WP_011014301.1</t>
  </si>
  <si>
    <t>CGL_RS06765</t>
  </si>
  <si>
    <t>WP_011014302.1</t>
  </si>
  <si>
    <t>CGL_RS06770</t>
  </si>
  <si>
    <t>30S ribosomal protein S1</t>
  </si>
  <si>
    <t>rpsA</t>
  </si>
  <si>
    <t>WP_011014303.1</t>
  </si>
  <si>
    <t>CGL_RS06780</t>
  </si>
  <si>
    <t>glucose PTS transporter subunit IIA</t>
  </si>
  <si>
    <t>WP_011014304.1</t>
  </si>
  <si>
    <t>CGL_RS06785</t>
  </si>
  <si>
    <t>dephospho-CoA kinase</t>
  </si>
  <si>
    <t>coaE</t>
  </si>
  <si>
    <t>WP_011014305.1</t>
  </si>
  <si>
    <t>CGL_RS06790</t>
  </si>
  <si>
    <t>WP_011014306.1</t>
  </si>
  <si>
    <t>CGL_RS06795</t>
  </si>
  <si>
    <t>WP_011014307.1</t>
  </si>
  <si>
    <t>CGL_RS06800</t>
  </si>
  <si>
    <t>WP_003861547.1</t>
  </si>
  <si>
    <t>CGL_RS06805</t>
  </si>
  <si>
    <t>nucleoside hydrolase</t>
  </si>
  <si>
    <t>WP_011014308.1</t>
  </si>
  <si>
    <t>CGL_RS06810</t>
  </si>
  <si>
    <t>WP_011014309.1</t>
  </si>
  <si>
    <t>CGL_RS06815</t>
  </si>
  <si>
    <t>ribokinase</t>
  </si>
  <si>
    <t>WP_011014310.1</t>
  </si>
  <si>
    <t>CGL_RS06820</t>
  </si>
  <si>
    <t>WP_011014311.1</t>
  </si>
  <si>
    <t>CGL_RS06825</t>
  </si>
  <si>
    <t>WP_020948571.1</t>
  </si>
  <si>
    <t>CGL_RS06830</t>
  </si>
  <si>
    <t>WP_011014313.1</t>
  </si>
  <si>
    <t>CGL_RS06835</t>
  </si>
  <si>
    <t>excinuclease ABC subunit UvrB</t>
  </si>
  <si>
    <t>uvrB</t>
  </si>
  <si>
    <t>WP_020948572.1</t>
  </si>
  <si>
    <t>CGL_RS06840</t>
  </si>
  <si>
    <t>universal stress protein</t>
  </si>
  <si>
    <t>WP_011014315.1</t>
  </si>
  <si>
    <t>CGL_RS06845</t>
  </si>
  <si>
    <t>winged helix-turn-helix transcriptional regulator</t>
  </si>
  <si>
    <t>WP_003861566.1</t>
  </si>
  <si>
    <t>CGL_RS06850</t>
  </si>
  <si>
    <t>WP_011265735.1</t>
  </si>
  <si>
    <t>CGL_RS06855</t>
  </si>
  <si>
    <t>HelD family protein</t>
  </si>
  <si>
    <t>WP_011014317.1</t>
  </si>
  <si>
    <t>CGL_RS06860</t>
  </si>
  <si>
    <t>WP_011014318.1</t>
  </si>
  <si>
    <t>CGL_RS06865</t>
  </si>
  <si>
    <t>WP_003858732.1</t>
  </si>
  <si>
    <t>CGL_RS06870</t>
  </si>
  <si>
    <t>excinuclease ABC subunit UvrA</t>
  </si>
  <si>
    <t>uvrA</t>
  </si>
  <si>
    <t>WP_011014319.1</t>
  </si>
  <si>
    <t>CGL_RS06875</t>
  </si>
  <si>
    <t>WP_011014320.1</t>
  </si>
  <si>
    <t>CGL_RS06880</t>
  </si>
  <si>
    <t>translation initiation factor IF-3</t>
  </si>
  <si>
    <t>infC</t>
  </si>
  <si>
    <t>WP_011014321.1</t>
  </si>
  <si>
    <t>CGL_RS06885</t>
  </si>
  <si>
    <t>50S ribosomal protein L35</t>
  </si>
  <si>
    <t>rpmI</t>
  </si>
  <si>
    <t>WP_003858721.1</t>
  </si>
  <si>
    <t>CGL_RS06890</t>
  </si>
  <si>
    <t>50S ribosomal protein L20</t>
  </si>
  <si>
    <t>rplT</t>
  </si>
  <si>
    <t>WP_003858719.1</t>
  </si>
  <si>
    <t>CGL_RS06895</t>
  </si>
  <si>
    <t>GIY-YIG nuclease family protein</t>
  </si>
  <si>
    <t>WP_011014322.1</t>
  </si>
  <si>
    <t>CGL_RS06900</t>
  </si>
  <si>
    <t>DUF6508 domain-containing protein</t>
  </si>
  <si>
    <t>WP_011265736.1</t>
  </si>
  <si>
    <t>CGL_RS06905</t>
  </si>
  <si>
    <t>WP_011265737.1</t>
  </si>
  <si>
    <t>CGL_RS06910</t>
  </si>
  <si>
    <t>WP_011014325.1</t>
  </si>
  <si>
    <t>CGL_RS06915</t>
  </si>
  <si>
    <t>WP_011014326.1</t>
  </si>
  <si>
    <t>CGL_RS06920</t>
  </si>
  <si>
    <t>WP_011014327.1</t>
  </si>
  <si>
    <t>CGL_RS06925</t>
  </si>
  <si>
    <t>glycerophosphodiester phosphodiesterase</t>
  </si>
  <si>
    <t>WP_011014328.1</t>
  </si>
  <si>
    <t>CGL_RS06930</t>
  </si>
  <si>
    <t>WP_003858706.1</t>
  </si>
  <si>
    <t>CGL_RS06935</t>
  </si>
  <si>
    <t>phenylalanine--tRNA ligase subunit alpha</t>
  </si>
  <si>
    <t>pheS</t>
  </si>
  <si>
    <t>WP_011897202.1</t>
  </si>
  <si>
    <t>CGL_RS06940</t>
  </si>
  <si>
    <t>phenylalanine--tRNA ligase subunit beta</t>
  </si>
  <si>
    <t>pheT</t>
  </si>
  <si>
    <t>WP_011014330.1</t>
  </si>
  <si>
    <t>CGL_RS06945</t>
  </si>
  <si>
    <t>WP_003858702.1</t>
  </si>
  <si>
    <t>CGL_RS06950</t>
  </si>
  <si>
    <t>WP_011014331.1</t>
  </si>
  <si>
    <t>CGL_RS06955</t>
  </si>
  <si>
    <t>WP_003861594.1</t>
  </si>
  <si>
    <t>CGL_RS06960</t>
  </si>
  <si>
    <t>N-acetyl-gamma-glutamyl-phosphate reductase</t>
  </si>
  <si>
    <t>argC</t>
  </si>
  <si>
    <t>WP_003858698.1</t>
  </si>
  <si>
    <t>CGL_RS06965</t>
  </si>
  <si>
    <t>bifunctional glutamate N-acetyltransferase/amino-acid acetyltransferase ArgJ</t>
  </si>
  <si>
    <t>argJ</t>
  </si>
  <si>
    <t>WP_011014333.1</t>
  </si>
  <si>
    <t>CGL_RS06970</t>
  </si>
  <si>
    <t>acetylglutamate kinase</t>
  </si>
  <si>
    <t>argB</t>
  </si>
  <si>
    <t>WP_003858695.1</t>
  </si>
  <si>
    <t>CGL_RS06975</t>
  </si>
  <si>
    <t>acetylornithine transaminase</t>
  </si>
  <si>
    <t>WP_011014334.1</t>
  </si>
  <si>
    <t>CGL_RS06980</t>
  </si>
  <si>
    <t>argF</t>
  </si>
  <si>
    <t>WP_011014335.1</t>
  </si>
  <si>
    <t>CGL_RS06985</t>
  </si>
  <si>
    <t>arginine repressor</t>
  </si>
  <si>
    <t>WP_003858683.1</t>
  </si>
  <si>
    <t>CGL_RS06990</t>
  </si>
  <si>
    <t>argininosuccinate synthase</t>
  </si>
  <si>
    <t>WP_003858678.1</t>
  </si>
  <si>
    <t>CGL_RS06995</t>
  </si>
  <si>
    <t>argininosuccinate lyase</t>
  </si>
  <si>
    <t>argH</t>
  </si>
  <si>
    <t>WP_011014337.1</t>
  </si>
  <si>
    <t>CGL_RS07000</t>
  </si>
  <si>
    <t>WP_011014338.1</t>
  </si>
  <si>
    <t>CGL_RS07005</t>
  </si>
  <si>
    <t>WP_011014339.1</t>
  </si>
  <si>
    <t>CGL_RS07010</t>
  </si>
  <si>
    <t>WP_011014340.1</t>
  </si>
  <si>
    <t>CGL_RS07015</t>
  </si>
  <si>
    <t>Trm112 family protein</t>
  </si>
  <si>
    <t>WP_003861608.1</t>
  </si>
  <si>
    <t>CGL_RS07020</t>
  </si>
  <si>
    <t>tyrosine--tRNA ligase</t>
  </si>
  <si>
    <t>tyrS</t>
  </si>
  <si>
    <t>WP_011014341.1</t>
  </si>
  <si>
    <t>CGL_RS07025</t>
  </si>
  <si>
    <t>WP_011014342.1</t>
  </si>
  <si>
    <t>CGL_RS07030</t>
  </si>
  <si>
    <t>CGL_RS07040</t>
  </si>
  <si>
    <t>CGL_RS07045</t>
  </si>
  <si>
    <t>CGL_RS07050</t>
  </si>
  <si>
    <t>tetratricopeptide repeat protein</t>
  </si>
  <si>
    <t>WP_011014343.1</t>
  </si>
  <si>
    <t>CGL_RS07055</t>
  </si>
  <si>
    <t>HAD-IIA family hydrolase</t>
  </si>
  <si>
    <t>WP_011014344.1</t>
  </si>
  <si>
    <t>CGL_RS07060</t>
  </si>
  <si>
    <t>WP_003856298.1</t>
  </si>
  <si>
    <t>CGL_RS15440</t>
  </si>
  <si>
    <t>TlyA family rRNA (cytidine-2'-O)-methyltransferase</t>
  </si>
  <si>
    <t>WP_003856296.1</t>
  </si>
  <si>
    <t>CGL_RS07065</t>
  </si>
  <si>
    <t>NAD kinase</t>
  </si>
  <si>
    <t>WP_011014345.1</t>
  </si>
  <si>
    <t>CGL_RS07070</t>
  </si>
  <si>
    <t>DNA repair protein RecN</t>
  </si>
  <si>
    <t>recN</t>
  </si>
  <si>
    <t>WP_011014346.1</t>
  </si>
  <si>
    <t>CGL_RS07075</t>
  </si>
  <si>
    <t>putative cytokinetic ring protein SteA</t>
  </si>
  <si>
    <t>steA</t>
  </si>
  <si>
    <t>WP_011014347.1</t>
  </si>
  <si>
    <t>CGL_RS07080</t>
  </si>
  <si>
    <t>copper transporter</t>
  </si>
  <si>
    <t>WP_011014348.1</t>
  </si>
  <si>
    <t>CGL_RS07085</t>
  </si>
  <si>
    <t>CTP synthase</t>
  </si>
  <si>
    <t>WP_003856281.1</t>
  </si>
  <si>
    <t>CGL_RS07090</t>
  </si>
  <si>
    <t>WP_011014349.1</t>
  </si>
  <si>
    <t>CGL_RS07095</t>
  </si>
  <si>
    <t>site-specific tyrosine recombinase XerD</t>
  </si>
  <si>
    <t>xerD</t>
  </si>
  <si>
    <t>WP_011014350.1</t>
  </si>
  <si>
    <t>CGL_RS07100</t>
  </si>
  <si>
    <t>WP_011014351.1</t>
  </si>
  <si>
    <t>CGL_RS07105</t>
  </si>
  <si>
    <t>ParA family protein</t>
  </si>
  <si>
    <t>WP_011014352.1</t>
  </si>
  <si>
    <t>CGL_RS07110</t>
  </si>
  <si>
    <t>segregation and condensation protein A</t>
  </si>
  <si>
    <t>WP_003863780.1</t>
  </si>
  <si>
    <t>CGL_RS07115</t>
  </si>
  <si>
    <t>WP_011014354.1</t>
  </si>
  <si>
    <t>CGL_RS07120</t>
  </si>
  <si>
    <t>WP_011014355.1</t>
  </si>
  <si>
    <t>CGL_RS07125</t>
  </si>
  <si>
    <t>SMC-Scp complex subunit ScpB</t>
  </si>
  <si>
    <t>scpB</t>
  </si>
  <si>
    <t>WP_011014356.1</t>
  </si>
  <si>
    <t>CGL_RS07130</t>
  </si>
  <si>
    <t>pseudouridine synthase</t>
  </si>
  <si>
    <t>WP_003863777.1</t>
  </si>
  <si>
    <t>CGL_RS07135</t>
  </si>
  <si>
    <t>(d)CMP kinase</t>
  </si>
  <si>
    <t>cmk</t>
  </si>
  <si>
    <t>WP_003863776.1</t>
  </si>
  <si>
    <t>CGL_RS07140</t>
  </si>
  <si>
    <t>ribosome biogenesis GTPase Der</t>
  </si>
  <si>
    <t>der</t>
  </si>
  <si>
    <t>WP_172769660.1</t>
  </si>
  <si>
    <t>CGL_RS07145</t>
  </si>
  <si>
    <t>pentapeptide repeat-containing protein</t>
  </si>
  <si>
    <t>WP_011014358.1</t>
  </si>
  <si>
    <t>CGL_RS07150</t>
  </si>
  <si>
    <t>GyrI-like domain-containing protein</t>
  </si>
  <si>
    <t>WP_011014359.1</t>
  </si>
  <si>
    <t>CGL_RS07155</t>
  </si>
  <si>
    <t>WP_011014360.1</t>
  </si>
  <si>
    <t>CGL_RS07160</t>
  </si>
  <si>
    <t>WP_011265741.1</t>
  </si>
  <si>
    <t>CGL_RS07165</t>
  </si>
  <si>
    <t>WP_011014362.1</t>
  </si>
  <si>
    <t>CGL_RS07170</t>
  </si>
  <si>
    <t>zinc transporter ZupT</t>
  </si>
  <si>
    <t>zupT</t>
  </si>
  <si>
    <t>WP_011014363.1</t>
  </si>
  <si>
    <t>CGL_RS07175</t>
  </si>
  <si>
    <t>WP_011014364.1</t>
  </si>
  <si>
    <t>CGL_RS07180</t>
  </si>
  <si>
    <t>WP_003863766.1</t>
  </si>
  <si>
    <t>CGL_RS07185</t>
  </si>
  <si>
    <t>CGL_RS07190</t>
  </si>
  <si>
    <t>YchJ family protein</t>
  </si>
  <si>
    <t>WP_011014365.1</t>
  </si>
  <si>
    <t>CGL_RS07195</t>
  </si>
  <si>
    <t>bifunctional alpha/beta hydrolase/OsmC family protein</t>
  </si>
  <si>
    <t>WP_003863764.1</t>
  </si>
  <si>
    <t>CGL_RS07200</t>
  </si>
  <si>
    <t>accessory Sec system translocase SecA2</t>
  </si>
  <si>
    <t>secA2</t>
  </si>
  <si>
    <t>WP_011014367.1</t>
  </si>
  <si>
    <t>CGL_RS07205</t>
  </si>
  <si>
    <t>oxoglutarate dehydrogenase inhibitor Odhl</t>
  </si>
  <si>
    <t>odhI</t>
  </si>
  <si>
    <t>WP_003856253.1</t>
  </si>
  <si>
    <t>CGL_RS07210</t>
  </si>
  <si>
    <t>transcriptional regulator FtsR</t>
  </si>
  <si>
    <t>WP_003856252.1</t>
  </si>
  <si>
    <t>CGL_RS07215</t>
  </si>
  <si>
    <t>bifunctional nuclease family protein</t>
  </si>
  <si>
    <t>WP_003863762.1</t>
  </si>
  <si>
    <t>CGL_RS07220</t>
  </si>
  <si>
    <t>MerR family transcriptional regulator</t>
  </si>
  <si>
    <t>WP_003856248.1</t>
  </si>
  <si>
    <t>CGL_RS07225</t>
  </si>
  <si>
    <t>WP_003856246.1</t>
  </si>
  <si>
    <t>CGL_RS07230</t>
  </si>
  <si>
    <t>WP_011014368.1</t>
  </si>
  <si>
    <t>CGL_RS07235</t>
  </si>
  <si>
    <t>WP_020309556.1</t>
  </si>
  <si>
    <t>CGL_RS07240</t>
  </si>
  <si>
    <t>WP_011014370.1</t>
  </si>
  <si>
    <t>CGL_RS07245</t>
  </si>
  <si>
    <t>WP_011014371.1</t>
  </si>
  <si>
    <t>CGL_RS07250</t>
  </si>
  <si>
    <t>WP_003856236.1</t>
  </si>
  <si>
    <t>CGL_RS07255</t>
  </si>
  <si>
    <t>WP_011014372.1</t>
  </si>
  <si>
    <t>CGL_RS07260</t>
  </si>
  <si>
    <t>NADP-dependent phosphogluconate dehydrogenase</t>
  </si>
  <si>
    <t>gndA</t>
  </si>
  <si>
    <t>WP_003863756.1</t>
  </si>
  <si>
    <t>CGL_RS07265</t>
  </si>
  <si>
    <t>PaaI family thioesterase</t>
  </si>
  <si>
    <t>WP_011014373.1</t>
  </si>
  <si>
    <t>CGL_RS07270</t>
  </si>
  <si>
    <t>WP_003856229.1</t>
  </si>
  <si>
    <t>CGL_RS07275</t>
  </si>
  <si>
    <t>WP_011014374.1</t>
  </si>
  <si>
    <t>CGL_RS07280</t>
  </si>
  <si>
    <t>WP_011014375.1</t>
  </si>
  <si>
    <t>CGL_RS07285</t>
  </si>
  <si>
    <t>MurR/RpiR family transcriptional regulator</t>
  </si>
  <si>
    <t>WP_011014376.1</t>
  </si>
  <si>
    <t>CGL_RS07290</t>
  </si>
  <si>
    <t>phosphonate ABC transporter, permease protein PhnE</t>
  </si>
  <si>
    <t>phnE</t>
  </si>
  <si>
    <t>WP_011014377.1</t>
  </si>
  <si>
    <t>CGL_RS07295</t>
  </si>
  <si>
    <t>WP_011014378.1</t>
  </si>
  <si>
    <t>CGL_RS07300</t>
  </si>
  <si>
    <t>phosphonate ABC transporter ATP-binding protein</t>
  </si>
  <si>
    <t>phnC</t>
  </si>
  <si>
    <t>WP_011014379.1</t>
  </si>
  <si>
    <t>CGL_RS07305</t>
  </si>
  <si>
    <t>phosphate/phosphite/phosphonate ABC transporter substrate-binding protein</t>
  </si>
  <si>
    <t>phnD</t>
  </si>
  <si>
    <t>WP_011014380.1</t>
  </si>
  <si>
    <t>CGL_RS07310</t>
  </si>
  <si>
    <t>WP_230471393.1</t>
  </si>
  <si>
    <t>CGL_RS07315</t>
  </si>
  <si>
    <t>bifunctional hydroxymethylpyrimidine kinase/phosphomethylpyrimidine kinase</t>
  </si>
  <si>
    <t>WP_011014382.1</t>
  </si>
  <si>
    <t>CGL_RS07320</t>
  </si>
  <si>
    <t>hydroxyethylthiazole kinase</t>
  </si>
  <si>
    <t>thiM</t>
  </si>
  <si>
    <t>WP_011014383.1</t>
  </si>
  <si>
    <t>CGL_RS07325</t>
  </si>
  <si>
    <t>WP_003863745.1</t>
  </si>
  <si>
    <t>CGL_RS07330</t>
  </si>
  <si>
    <t>WP_011014384.1</t>
  </si>
  <si>
    <t>CGL_RS07335</t>
  </si>
  <si>
    <t>WP_011014385.1</t>
  </si>
  <si>
    <t>CGL_RS07340</t>
  </si>
  <si>
    <t>phosphoribosyltransferase</t>
  </si>
  <si>
    <t>WP_003856205.1</t>
  </si>
  <si>
    <t>CGL_RS07345</t>
  </si>
  <si>
    <t>manganese efflux pump MntP</t>
  </si>
  <si>
    <t>WP_011014386.1</t>
  </si>
  <si>
    <t>CGL_RS07350</t>
  </si>
  <si>
    <t>arsenic resistance protein</t>
  </si>
  <si>
    <t>WP_011014387.1</t>
  </si>
  <si>
    <t>CGL_RS07355</t>
  </si>
  <si>
    <t>WP_003863742.1</t>
  </si>
  <si>
    <t>CGL_RS07360</t>
  </si>
  <si>
    <t>WP_020948576.1</t>
  </si>
  <si>
    <t>CGL_RS07365</t>
  </si>
  <si>
    <t>WP_011014389.1</t>
  </si>
  <si>
    <t>CGL_RS07370</t>
  </si>
  <si>
    <t>WP_003856199.1</t>
  </si>
  <si>
    <t>CGL_RS07375</t>
  </si>
  <si>
    <t>WP_003856198.1</t>
  </si>
  <si>
    <t>CGL_RS07380</t>
  </si>
  <si>
    <t>WP_003863737.1</t>
  </si>
  <si>
    <t>CGL_RS07385</t>
  </si>
  <si>
    <t>WP_011265749.1</t>
  </si>
  <si>
    <t>CGL_RS07390</t>
  </si>
  <si>
    <t>RNA polymerase-binding protein RbpA</t>
  </si>
  <si>
    <t>WP_003863735.1</t>
  </si>
  <si>
    <t>CGL_RS07395</t>
  </si>
  <si>
    <t>polyprenol monophosphomannose synthase</t>
  </si>
  <si>
    <t>WP_003856192.1</t>
  </si>
  <si>
    <t>CGL_RS07400</t>
  </si>
  <si>
    <t>apolipoprotein N-acyltransferase</t>
  </si>
  <si>
    <t>lnt</t>
  </si>
  <si>
    <t>WP_011014392.1</t>
  </si>
  <si>
    <t>CGL_RS07405</t>
  </si>
  <si>
    <t>FxsA family protein</t>
  </si>
  <si>
    <t>WP_003856190.1</t>
  </si>
  <si>
    <t>CGL_RS07410</t>
  </si>
  <si>
    <t>lipase family protein</t>
  </si>
  <si>
    <t>WP_020948578.1</t>
  </si>
  <si>
    <t>CGL_RS07415</t>
  </si>
  <si>
    <t>nitrite/sulfite reductase</t>
  </si>
  <si>
    <t>WP_011014395.1</t>
  </si>
  <si>
    <t>CGL_RS07420</t>
  </si>
  <si>
    <t>precorrin-6y C5,15-methyltransferase (decarboxylating) subunit CbiE</t>
  </si>
  <si>
    <t>cbiE</t>
  </si>
  <si>
    <t>WP_011014396.1</t>
  </si>
  <si>
    <t>CGL_RS07425</t>
  </si>
  <si>
    <t>WP_148235595.1</t>
  </si>
  <si>
    <t>CGL_RS07430</t>
  </si>
  <si>
    <t>WP_080558828.1</t>
  </si>
  <si>
    <t>CGL_RS07435</t>
  </si>
  <si>
    <t>WP_011014397.1</t>
  </si>
  <si>
    <t>CGL_RS07440</t>
  </si>
  <si>
    <t>WP_011014398.1</t>
  </si>
  <si>
    <t>CGL_RS07445</t>
  </si>
  <si>
    <t>WP_003859992.1</t>
  </si>
  <si>
    <t>CGL_RS07450</t>
  </si>
  <si>
    <t>WP_011014399.1</t>
  </si>
  <si>
    <t>CGL_RS07455</t>
  </si>
  <si>
    <t>twin-arginine translocase subunit TatC</t>
  </si>
  <si>
    <t>tatC</t>
  </si>
  <si>
    <t>WP_011014400.1</t>
  </si>
  <si>
    <t>CGL_RS07460</t>
  </si>
  <si>
    <t>Sec-independent protein translocase subunit TatA</t>
  </si>
  <si>
    <t>tatA</t>
  </si>
  <si>
    <t>WP_011014401.1</t>
  </si>
  <si>
    <t>CGL_RS07465</t>
  </si>
  <si>
    <t>WP_011014402.1</t>
  </si>
  <si>
    <t>CGL_RS07470</t>
  </si>
  <si>
    <t>WP_011014403.1</t>
  </si>
  <si>
    <t>CGL_RS07475</t>
  </si>
  <si>
    <t>Pup--protein ligase</t>
  </si>
  <si>
    <t>pafA</t>
  </si>
  <si>
    <t>WP_227747724.1</t>
  </si>
  <si>
    <t>CGL_RS07480</t>
  </si>
  <si>
    <t>ubiquitin-like protein Pup</t>
  </si>
  <si>
    <t>WP_003856167.1</t>
  </si>
  <si>
    <t>CGL_RS07485</t>
  </si>
  <si>
    <t>depupylase/deamidase Dop</t>
  </si>
  <si>
    <t>dop</t>
  </si>
  <si>
    <t>WP_011014405.1</t>
  </si>
  <si>
    <t>CGL_RS07490</t>
  </si>
  <si>
    <t>proteasome ATPase</t>
  </si>
  <si>
    <t>arc</t>
  </si>
  <si>
    <t>WP_011265753.1</t>
  </si>
  <si>
    <t>CGL_RS07495</t>
  </si>
  <si>
    <t>tRNA (adenine-N1)-methyltransferase</t>
  </si>
  <si>
    <t>WP_003860005.1</t>
  </si>
  <si>
    <t>CGL_RS07500</t>
  </si>
  <si>
    <t>M18 family aminopeptidase</t>
  </si>
  <si>
    <t>WP_003860006.1</t>
  </si>
  <si>
    <t>CGL_RS07505</t>
  </si>
  <si>
    <t>RecB family exonuclease</t>
  </si>
  <si>
    <t>WP_003856159.1</t>
  </si>
  <si>
    <t>CGL_RS07510</t>
  </si>
  <si>
    <t>WP_011265754.1</t>
  </si>
  <si>
    <t>CGL_RS07515</t>
  </si>
  <si>
    <t>WP_011014408.1</t>
  </si>
  <si>
    <t>CGL_RS07520</t>
  </si>
  <si>
    <t>aspartate ammonia-lyase</t>
  </si>
  <si>
    <t>aspA</t>
  </si>
  <si>
    <t>WP_011014409.1</t>
  </si>
  <si>
    <t>CGL_RS07525</t>
  </si>
  <si>
    <t>ATP phosphoribosyltransferase</t>
  </si>
  <si>
    <t>hisG</t>
  </si>
  <si>
    <t>WP_003856149.1</t>
  </si>
  <si>
    <t>CGL_RS07530</t>
  </si>
  <si>
    <t>phosphoribosyl-ATP diphosphatase</t>
  </si>
  <si>
    <t>WP_011897259.1</t>
  </si>
  <si>
    <t>CGL_RS07535</t>
  </si>
  <si>
    <t>WP_011014410.1</t>
  </si>
  <si>
    <t>CGL_RS07540</t>
  </si>
  <si>
    <t>methionine synthase</t>
  </si>
  <si>
    <t>metH</t>
  </si>
  <si>
    <t>WP_011014411.1</t>
  </si>
  <si>
    <t>CGL_RS07545</t>
  </si>
  <si>
    <t>WP_011014412.1</t>
  </si>
  <si>
    <t>CGL_RS07550</t>
  </si>
  <si>
    <t>ArsO family NAD(P)H-dependent flavin-containing monooxygenase</t>
  </si>
  <si>
    <t>WP_011014413.1</t>
  </si>
  <si>
    <t>CGL_RS07555</t>
  </si>
  <si>
    <t>WP_011265756.1</t>
  </si>
  <si>
    <t>CGL_RS07560</t>
  </si>
  <si>
    <t>WP_011265757.1</t>
  </si>
  <si>
    <t>CGL_RS07565</t>
  </si>
  <si>
    <t>WP_011014415.1</t>
  </si>
  <si>
    <t>CGL_RS07570</t>
  </si>
  <si>
    <t>arsenate reductase ArsC</t>
  </si>
  <si>
    <t>WP_011014416.1</t>
  </si>
  <si>
    <t>CGL_RS07575</t>
  </si>
  <si>
    <t>WP_003856129.1</t>
  </si>
  <si>
    <t>CGL_RS07580</t>
  </si>
  <si>
    <t>cysteine--1-D-myo-inosityl 2-amino-2-deoxy-alpha-D-glucopyranoside ligase</t>
  </si>
  <si>
    <t>mshC</t>
  </si>
  <si>
    <t>WP_011014417.1</t>
  </si>
  <si>
    <t>CGL_RS07585</t>
  </si>
  <si>
    <t>undecaprenyl-diphosphate phosphatase</t>
  </si>
  <si>
    <t>WP_003856127.1</t>
  </si>
  <si>
    <t>CGL_RS07590</t>
  </si>
  <si>
    <t>WP_011265758.1</t>
  </si>
  <si>
    <t>CGL_RS07595</t>
  </si>
  <si>
    <t>WP_011265759.1</t>
  </si>
  <si>
    <t>CGL_RS07600</t>
  </si>
  <si>
    <t>quinone-dependent dihydroorotate dehydrogenase</t>
  </si>
  <si>
    <t>WP_011014420.1</t>
  </si>
  <si>
    <t>CGL_RS07605</t>
  </si>
  <si>
    <t>WP_011265760.1</t>
  </si>
  <si>
    <t>CGL_RS07610</t>
  </si>
  <si>
    <t>WP_011014422.1</t>
  </si>
  <si>
    <t>CGL_RS07615</t>
  </si>
  <si>
    <t>WP_011014423.1</t>
  </si>
  <si>
    <t>CGL_RS07620</t>
  </si>
  <si>
    <t>WP_003856120.1</t>
  </si>
  <si>
    <t>CGL_RS07625</t>
  </si>
  <si>
    <t>YbhB/YbcL family Raf kinase inhibitor-like protein</t>
  </si>
  <si>
    <t>WP_003856119.1</t>
  </si>
  <si>
    <t>CGL_RS07630</t>
  </si>
  <si>
    <t>WP_011014424.1</t>
  </si>
  <si>
    <t>CGL_RS07635</t>
  </si>
  <si>
    <t>WP_020948580.1</t>
  </si>
  <si>
    <t>CGL_RS07640</t>
  </si>
  <si>
    <t>CGL_RS07645</t>
  </si>
  <si>
    <t>CGL_RS07650</t>
  </si>
  <si>
    <t>WP_003862331.1</t>
  </si>
  <si>
    <t>CGL_RS07655</t>
  </si>
  <si>
    <t>methylmalonyl Co-A mutase-associated GTPase MeaB</t>
  </si>
  <si>
    <t>meaB</t>
  </si>
  <si>
    <t>WP_011014426.1</t>
  </si>
  <si>
    <t>CGL_RS07660</t>
  </si>
  <si>
    <t>methylmalonyl-CoA mutase</t>
  </si>
  <si>
    <t>scpA</t>
  </si>
  <si>
    <t>WP_011014427.1</t>
  </si>
  <si>
    <t>CGL_RS07665</t>
  </si>
  <si>
    <t>methylmalonyl-CoA mutase family protein</t>
  </si>
  <si>
    <t>WP_011014428.1</t>
  </si>
  <si>
    <t>CGL_RS07670</t>
  </si>
  <si>
    <t>TVP38/TMEM64 family protein</t>
  </si>
  <si>
    <t>WP_172820730.1</t>
  </si>
  <si>
    <t>CGL_RS07675</t>
  </si>
  <si>
    <t>WP_011014430.1</t>
  </si>
  <si>
    <t>CGL_RS07680</t>
  </si>
  <si>
    <t>WP_011014431.1</t>
  </si>
  <si>
    <t>CGL_RS07685</t>
  </si>
  <si>
    <t>NfeD family protein</t>
  </si>
  <si>
    <t>WP_003862316.1</t>
  </si>
  <si>
    <t>CGL_RS07690</t>
  </si>
  <si>
    <t>DUF3097 domain-containing protein</t>
  </si>
  <si>
    <t>WP_011014432.1</t>
  </si>
  <si>
    <t>CGL_RS07695</t>
  </si>
  <si>
    <t>WP_011014433.1</t>
  </si>
  <si>
    <t>CGL_RS07700</t>
  </si>
  <si>
    <t>ferrochelatase</t>
  </si>
  <si>
    <t>WP_011014434.1</t>
  </si>
  <si>
    <t>CGL_RS07705</t>
  </si>
  <si>
    <t>DIP1281 family NlpC/P60 protein</t>
  </si>
  <si>
    <t>WP_020948581.1</t>
  </si>
  <si>
    <t>CGL_RS07710</t>
  </si>
  <si>
    <t>DUF6676 family protein</t>
  </si>
  <si>
    <t>WP_011014436.1</t>
  </si>
  <si>
    <t>CGL_RS07715</t>
  </si>
  <si>
    <t>aconitate hydratase</t>
  </si>
  <si>
    <t>can</t>
  </si>
  <si>
    <t>WP_170844367.1</t>
  </si>
  <si>
    <t>CGL_RS07720</t>
  </si>
  <si>
    <t>TetR/AcrR family transcriptional regulator AcnR</t>
  </si>
  <si>
    <t>acnR</t>
  </si>
  <si>
    <t>WP_003856101.1</t>
  </si>
  <si>
    <t>CGL_RS07725</t>
  </si>
  <si>
    <t>glutamine amidotransferase</t>
  </si>
  <si>
    <t>WP_011014437.1</t>
  </si>
  <si>
    <t>CGL_RS07730</t>
  </si>
  <si>
    <t>NAD(P)-binding oxidoreductase</t>
  </si>
  <si>
    <t>WP_020948582.1</t>
  </si>
  <si>
    <t>CGL_RS07735</t>
  </si>
  <si>
    <t>PLDc N-terminal domain-containing protein</t>
  </si>
  <si>
    <t>WP_011265761.1</t>
  </si>
  <si>
    <t>CGL_RS07740</t>
  </si>
  <si>
    <t>ACT domain-containing protein</t>
  </si>
  <si>
    <t>WP_003856097.1</t>
  </si>
  <si>
    <t>CGL_RS07745</t>
  </si>
  <si>
    <t>PFL family protein</t>
  </si>
  <si>
    <t>WP_003856096.1</t>
  </si>
  <si>
    <t>CGL_RS07750</t>
  </si>
  <si>
    <t>cation-transporting P-type ATPase</t>
  </si>
  <si>
    <t>WP_011014439.1</t>
  </si>
  <si>
    <t>CGL_RS07755</t>
  </si>
  <si>
    <t>DUF1990 domain-containing protein</t>
  </si>
  <si>
    <t>WP_020948584.1</t>
  </si>
  <si>
    <t>CGL_RS07760</t>
  </si>
  <si>
    <t>HIRAN domain-containing protein</t>
  </si>
  <si>
    <t>WP_003862296.1</t>
  </si>
  <si>
    <t>CGL_RS07765</t>
  </si>
  <si>
    <t>Ltp family lipoprotein</t>
  </si>
  <si>
    <t>WP_011014441.1</t>
  </si>
  <si>
    <t>CGL_RS15530</t>
  </si>
  <si>
    <t>tyrosine-type recombinase/integrase</t>
  </si>
  <si>
    <t>WP_231838290.1</t>
  </si>
  <si>
    <t>CGL_RS07775</t>
  </si>
  <si>
    <t>WP_011014443.1</t>
  </si>
  <si>
    <t>CGL_RS07780</t>
  </si>
  <si>
    <t>NEW3 domain-containing protein</t>
  </si>
  <si>
    <t>WP_011014444.1</t>
  </si>
  <si>
    <t>CGL_RS15650</t>
  </si>
  <si>
    <t>sialidase family protein</t>
  </si>
  <si>
    <t>WP_011014445.1</t>
  </si>
  <si>
    <t>CGL_RS15655</t>
  </si>
  <si>
    <t>CGL_RS07790</t>
  </si>
  <si>
    <t>WP_011014446.1</t>
  </si>
  <si>
    <t>CGL_RS07795</t>
  </si>
  <si>
    <t>metal-sulfur cluster assembly factor</t>
  </si>
  <si>
    <t>WP_003856083.1</t>
  </si>
  <si>
    <t>CGL_RS07800</t>
  </si>
  <si>
    <t>Fe-S cluster assembly sulfur transfer protein SufU</t>
  </si>
  <si>
    <t>sufU</t>
  </si>
  <si>
    <t>WP_003856080.1</t>
  </si>
  <si>
    <t>CGL_RS07805</t>
  </si>
  <si>
    <t>cysteine desulfurase</t>
  </si>
  <si>
    <t>WP_011014447.1</t>
  </si>
  <si>
    <t>CGL_RS07810</t>
  </si>
  <si>
    <t>Fe-S cluster assembly ATPase SufC</t>
  </si>
  <si>
    <t>sufC</t>
  </si>
  <si>
    <t>WP_003856078.1</t>
  </si>
  <si>
    <t>CGL_RS07815</t>
  </si>
  <si>
    <t>Fe-S cluster assembly protein SufD</t>
  </si>
  <si>
    <t>sufD</t>
  </si>
  <si>
    <t>WP_011014448.1</t>
  </si>
  <si>
    <t>CGL_RS07820</t>
  </si>
  <si>
    <t>Fe-S cluster assembly protein SufB</t>
  </si>
  <si>
    <t>sufB</t>
  </si>
  <si>
    <t>WP_003862284.1</t>
  </si>
  <si>
    <t>CGL_RS07825</t>
  </si>
  <si>
    <t>CGL_RS07830</t>
  </si>
  <si>
    <t>polyprenol phosphomannose-dependent alpha 1,6 mannosyltransferase MptB</t>
  </si>
  <si>
    <t>mptB</t>
  </si>
  <si>
    <t>WP_020948585.1</t>
  </si>
  <si>
    <t>CGL_RS07835</t>
  </si>
  <si>
    <t>WP_011014450.1</t>
  </si>
  <si>
    <t>CGL_RS07840</t>
  </si>
  <si>
    <t>WP_011014451.1</t>
  </si>
  <si>
    <t>CGL_RS07845</t>
  </si>
  <si>
    <t>COX15/CtaA family protein</t>
  </si>
  <si>
    <t>WP_011014452.1</t>
  </si>
  <si>
    <t>CGL_RS07850</t>
  </si>
  <si>
    <t>TOTE conflict system archaeo-eukaryotic primase domain-containing protein</t>
  </si>
  <si>
    <t>WP_011014453.1</t>
  </si>
  <si>
    <t>CGL_RS07855</t>
  </si>
  <si>
    <t>quinone oxidoreductase family protein</t>
  </si>
  <si>
    <t>WP_020948586.1</t>
  </si>
  <si>
    <t>CGL_RS07860</t>
  </si>
  <si>
    <t>heme o synthase</t>
  </si>
  <si>
    <t>WP_020948587.1</t>
  </si>
  <si>
    <t>CGL_RS07865</t>
  </si>
  <si>
    <t>transketolase</t>
  </si>
  <si>
    <t>tkt</t>
  </si>
  <si>
    <t>WP_172820728.1</t>
  </si>
  <si>
    <t>CGL_RS07870</t>
  </si>
  <si>
    <t>transaldolase</t>
  </si>
  <si>
    <t>tal</t>
  </si>
  <si>
    <t>WP_003856053.1</t>
  </si>
  <si>
    <t>CGL_RS07875</t>
  </si>
  <si>
    <t>glucose-6-phosphate dehydrogenase</t>
  </si>
  <si>
    <t>zwf</t>
  </si>
  <si>
    <t>WP_011014457.1</t>
  </si>
  <si>
    <t>CGL_RS07880</t>
  </si>
  <si>
    <t>glucose-6-phosphate dehydrogenase assembly protein OpcA</t>
  </si>
  <si>
    <t>WP_011014458.1</t>
  </si>
  <si>
    <t>CGL_RS07885</t>
  </si>
  <si>
    <t>6-phosphogluconolactonase</t>
  </si>
  <si>
    <t>pgl</t>
  </si>
  <si>
    <t>WP_003862263.1</t>
  </si>
  <si>
    <t>CGL_RS07890</t>
  </si>
  <si>
    <t>CGL_RS07895</t>
  </si>
  <si>
    <t>IS1380-like element IS1677 family transposase</t>
  </si>
  <si>
    <t>WP_010991835.1</t>
  </si>
  <si>
    <t>CGL_RS07900</t>
  </si>
  <si>
    <t>CGL_RS07905</t>
  </si>
  <si>
    <t>tyramine oxidase subunit B</t>
  </si>
  <si>
    <t>WP_011014462.1</t>
  </si>
  <si>
    <t>CGL_RS07910</t>
  </si>
  <si>
    <t>ammonium transporter</t>
  </si>
  <si>
    <t>WP_011014463.1</t>
  </si>
  <si>
    <t>CGL_RS07915</t>
  </si>
  <si>
    <t>preprotein translocase subunit SecG</t>
  </si>
  <si>
    <t>secG</t>
  </si>
  <si>
    <t>WP_011014464.1</t>
  </si>
  <si>
    <t>CGL_RS07920</t>
  </si>
  <si>
    <t>phosphoenolpyruvate carboxylase</t>
  </si>
  <si>
    <t>ppc</t>
  </si>
  <si>
    <t>WP_011014465.1</t>
  </si>
  <si>
    <t>CGL_RS07925</t>
  </si>
  <si>
    <t>triose-phosphate isomerase</t>
  </si>
  <si>
    <t>tpiA</t>
  </si>
  <si>
    <t>WP_011014466.1</t>
  </si>
  <si>
    <t>CGL_RS07930</t>
  </si>
  <si>
    <t>phosphoglycerate kinase</t>
  </si>
  <si>
    <t>pgk</t>
  </si>
  <si>
    <t>WP_003862252.1</t>
  </si>
  <si>
    <t>CGL_RS07935</t>
  </si>
  <si>
    <t>type I glyceraldehyde-3-phosphate dehydrogenase</t>
  </si>
  <si>
    <t>gap</t>
  </si>
  <si>
    <t>WP_003862250.1</t>
  </si>
  <si>
    <t>CGL_RS07940</t>
  </si>
  <si>
    <t>DNA-binding protein WhiA</t>
  </si>
  <si>
    <t>whiA</t>
  </si>
  <si>
    <t>WP_003862248.1</t>
  </si>
  <si>
    <t>CGL_RS07945</t>
  </si>
  <si>
    <t>gluconeogenesis factor YvcK family protein</t>
  </si>
  <si>
    <t>yvcK</t>
  </si>
  <si>
    <t>WP_011014467.1</t>
  </si>
  <si>
    <t>CGL_RS07950</t>
  </si>
  <si>
    <t>RNase adapter RapZ</t>
  </si>
  <si>
    <t>rapZ</t>
  </si>
  <si>
    <t>WP_003856023.1</t>
  </si>
  <si>
    <t>CGL_RS07955</t>
  </si>
  <si>
    <t>excinuclease ABC subunit UvrC</t>
  </si>
  <si>
    <t>uvrC</t>
  </si>
  <si>
    <t>WP_011014468.1</t>
  </si>
  <si>
    <t>CGL_RS07960</t>
  </si>
  <si>
    <t>WP_011014469.1</t>
  </si>
  <si>
    <t>CGL_RS07965</t>
  </si>
  <si>
    <t>6,7-dimethyl-8-ribityllumazine synthase</t>
  </si>
  <si>
    <t>ribH</t>
  </si>
  <si>
    <t>WP_003856018.1</t>
  </si>
  <si>
    <t>CGL_RS07970</t>
  </si>
  <si>
    <t>bifunctional 3,4-dihydroxy-2-butanone-4-phosphate synthase/GTP cyclohydrolase II</t>
  </si>
  <si>
    <t>WP_003856016.1</t>
  </si>
  <si>
    <t>CGL_RS07975</t>
  </si>
  <si>
    <t>riboflavin synthase</t>
  </si>
  <si>
    <t>WP_011014470.1</t>
  </si>
  <si>
    <t>CGL_RS07980</t>
  </si>
  <si>
    <t>bifunctional diaminohydroxyphosphoribosylaminopyrimidine deaminase/5-amino-6-(5-phosphoribosylamino)uracil reductase RibD</t>
  </si>
  <si>
    <t>ribD</t>
  </si>
  <si>
    <t>WP_011014471.1</t>
  </si>
  <si>
    <t>CGL_RS07985</t>
  </si>
  <si>
    <t>ribulose-phosphate 3-epimerase</t>
  </si>
  <si>
    <t>rpe</t>
  </si>
  <si>
    <t>WP_011014472.1</t>
  </si>
  <si>
    <t>CGL_RS07990</t>
  </si>
  <si>
    <t>RsmB/NOP family class I SAM-dependent RNA methyltransferase</t>
  </si>
  <si>
    <t>WP_011265767.1</t>
  </si>
  <si>
    <t>CGL_RS07995</t>
  </si>
  <si>
    <t>methionyl-tRNA formyltransferase</t>
  </si>
  <si>
    <t>fmt</t>
  </si>
  <si>
    <t>WP_003862229.1</t>
  </si>
  <si>
    <t>CGL_RS08000</t>
  </si>
  <si>
    <t>peptide deformylase</t>
  </si>
  <si>
    <t>def</t>
  </si>
  <si>
    <t>WP_003856004.1</t>
  </si>
  <si>
    <t>CGL_RS08005</t>
  </si>
  <si>
    <t>primosomal protein N'</t>
  </si>
  <si>
    <t>WP_011014474.1</t>
  </si>
  <si>
    <t>CGL_RS08010</t>
  </si>
  <si>
    <t>methionine adenosyltransferase</t>
  </si>
  <si>
    <t>metK</t>
  </si>
  <si>
    <t>WP_003856000.1</t>
  </si>
  <si>
    <t>CGL_RS08015</t>
  </si>
  <si>
    <t>bifunctional phosphopantothenoylcysteine decarboxylase/phosphopantothenate--cysteine ligase CoaBC</t>
  </si>
  <si>
    <t>coaBC</t>
  </si>
  <si>
    <t>WP_011014475.1</t>
  </si>
  <si>
    <t>CGL_RS08020</t>
  </si>
  <si>
    <t>DNA-directed RNA polymerase subunit omega</t>
  </si>
  <si>
    <t>rpoZ</t>
  </si>
  <si>
    <t>WP_003855993.1</t>
  </si>
  <si>
    <t>CGL_RS08025</t>
  </si>
  <si>
    <t>guanylate kinase</t>
  </si>
  <si>
    <t>gmk</t>
  </si>
  <si>
    <t>WP_003855988.1</t>
  </si>
  <si>
    <t>CGL_RS08030</t>
  </si>
  <si>
    <t>integration host factor, actinobacterial type</t>
  </si>
  <si>
    <t>mihF</t>
  </si>
  <si>
    <t>WP_003862221.1</t>
  </si>
  <si>
    <t>CGL_RS08035</t>
  </si>
  <si>
    <t>orotidine-5'-phosphate decarboxylase</t>
  </si>
  <si>
    <t>pyrF</t>
  </si>
  <si>
    <t>WP_011014477.1</t>
  </si>
  <si>
    <t>CGL_RS08040</t>
  </si>
  <si>
    <t>carbamoyl-phosphate synthase large subunit</t>
  </si>
  <si>
    <t>carB</t>
  </si>
  <si>
    <t>WP_003862217.1</t>
  </si>
  <si>
    <t>CGL_RS08045</t>
  </si>
  <si>
    <t>glutamine-hydrolyzing carbamoyl-phosphate synthase small subunit</t>
  </si>
  <si>
    <t>carA</t>
  </si>
  <si>
    <t>WP_011014478.1</t>
  </si>
  <si>
    <t>CGL_RS08050</t>
  </si>
  <si>
    <t>dihydroorotase</t>
  </si>
  <si>
    <t>WP_011014479.1</t>
  </si>
  <si>
    <t>CGL_RS08055</t>
  </si>
  <si>
    <t>aspartate carbamoyltransferase catalytic subunit</t>
  </si>
  <si>
    <t>WP_003862210.1</t>
  </si>
  <si>
    <t>CGL_RS08060</t>
  </si>
  <si>
    <t>bifunctional pyr operon transcriptional regulator/uracil phosphoribosyltransferase PyrR</t>
  </si>
  <si>
    <t>pyrR</t>
  </si>
  <si>
    <t>WP_003862208.1</t>
  </si>
  <si>
    <t>CGL_RS08065</t>
  </si>
  <si>
    <t>TIGR01777 family oxidoreductase</t>
  </si>
  <si>
    <t>WP_020948589.1</t>
  </si>
  <si>
    <t>CGL_RS08070</t>
  </si>
  <si>
    <t>WP_011014481.1</t>
  </si>
  <si>
    <t>CGL_RS08075</t>
  </si>
  <si>
    <t>WP_011014482.1</t>
  </si>
  <si>
    <t>CGL_RS08080</t>
  </si>
  <si>
    <t>WP_011265771.1</t>
  </si>
  <si>
    <t>CGL_RS08085</t>
  </si>
  <si>
    <t>transcription antitermination factor NusB</t>
  </si>
  <si>
    <t>nusB</t>
  </si>
  <si>
    <t>WP_011014484.1</t>
  </si>
  <si>
    <t>CGL_RS08090</t>
  </si>
  <si>
    <t>elongation factor P</t>
  </si>
  <si>
    <t>efp</t>
  </si>
  <si>
    <t>WP_003855973.1</t>
  </si>
  <si>
    <t>CGL_RS08095</t>
  </si>
  <si>
    <t>aminopeptidase P family protein</t>
  </si>
  <si>
    <t>WP_011014485.1</t>
  </si>
  <si>
    <t>CGL_RS08100</t>
  </si>
  <si>
    <t>3-dehydroquinate synthase</t>
  </si>
  <si>
    <t>aroB</t>
  </si>
  <si>
    <t>WP_011014486.1</t>
  </si>
  <si>
    <t>CGL_RS08105</t>
  </si>
  <si>
    <t>shikimate kinase</t>
  </si>
  <si>
    <t>WP_011014487.1</t>
  </si>
  <si>
    <t>CGL_RS08110</t>
  </si>
  <si>
    <t>chorismate synthase</t>
  </si>
  <si>
    <t>aroC</t>
  </si>
  <si>
    <t>WP_020948590.1</t>
  </si>
  <si>
    <t>CGL_RS08115</t>
  </si>
  <si>
    <t>prepilin peptidase</t>
  </si>
  <si>
    <t>WP_011014489.1</t>
  </si>
  <si>
    <t>CGL_RS08120</t>
  </si>
  <si>
    <t>WP_003855958.1</t>
  </si>
  <si>
    <t>CGL_RS08125</t>
  </si>
  <si>
    <t>WP_011014490.1</t>
  </si>
  <si>
    <t>CGL_RS08130</t>
  </si>
  <si>
    <t>WP_011014491.1</t>
  </si>
  <si>
    <t>CGL_RS08135</t>
  </si>
  <si>
    <t>WP_011014492.1</t>
  </si>
  <si>
    <t>CGL_RS08140</t>
  </si>
  <si>
    <t>shikimate dehydrogenase</t>
  </si>
  <si>
    <t>WP_011014493.1</t>
  </si>
  <si>
    <t>CGL_RS08145</t>
  </si>
  <si>
    <t>endolytic transglycosylase MltG</t>
  </si>
  <si>
    <t>mltG</t>
  </si>
  <si>
    <t>WP_011014494.1</t>
  </si>
  <si>
    <t>CGL_RS08150</t>
  </si>
  <si>
    <t>Holliday junction resolvase RuvX</t>
  </si>
  <si>
    <t>ruvX</t>
  </si>
  <si>
    <t>WP_011014495.1</t>
  </si>
  <si>
    <t>CGL_RS08155</t>
  </si>
  <si>
    <t>alanine--tRNA ligase</t>
  </si>
  <si>
    <t>alaS</t>
  </si>
  <si>
    <t>WP_011014496.1</t>
  </si>
  <si>
    <t>CGL_RS08160</t>
  </si>
  <si>
    <t>replication-associated recombination protein A</t>
  </si>
  <si>
    <t>WP_003855936.1</t>
  </si>
  <si>
    <t>CGL_RS08165</t>
  </si>
  <si>
    <t>phosphotransferase family protein</t>
  </si>
  <si>
    <t>WP_011014497.1</t>
  </si>
  <si>
    <t>CGL_RS08170</t>
  </si>
  <si>
    <t>aspartate--tRNA ligase</t>
  </si>
  <si>
    <t>aspS</t>
  </si>
  <si>
    <t>WP_011014498.1</t>
  </si>
  <si>
    <t>CGL_RS08175</t>
  </si>
  <si>
    <t>KPN_02809 family neutral zinc metallopeptidase</t>
  </si>
  <si>
    <t>WP_011265774.1</t>
  </si>
  <si>
    <t>CGL_RS08180</t>
  </si>
  <si>
    <t>WP_011014500.1</t>
  </si>
  <si>
    <t>CGL_RS08185</t>
  </si>
  <si>
    <t>WP_011014501.1</t>
  </si>
  <si>
    <t>CGL_RS08190</t>
  </si>
  <si>
    <t>WP_003855924.1</t>
  </si>
  <si>
    <t>CGL_RS08195</t>
  </si>
  <si>
    <t>WP_011014502.1</t>
  </si>
  <si>
    <t>CGL_RS08200</t>
  </si>
  <si>
    <t>WP_011014503.1</t>
  </si>
  <si>
    <t>CGL_RS08205</t>
  </si>
  <si>
    <t>CE1758 family FMN-dependent luciferase-like monooxygenase</t>
  </si>
  <si>
    <t>WP_011014504.1</t>
  </si>
  <si>
    <t>CGL_RS08210</t>
  </si>
  <si>
    <t>CGL_RS08215</t>
  </si>
  <si>
    <t>L-serine ammonia-lyase</t>
  </si>
  <si>
    <t>WP_011014507.1</t>
  </si>
  <si>
    <t>CGL_RS08220</t>
  </si>
  <si>
    <t>glycerol-3-phosphate dehydrogenase/oxidase</t>
  </si>
  <si>
    <t>WP_020948593.1</t>
  </si>
  <si>
    <t>CGL_RS08225</t>
  </si>
  <si>
    <t>histidine--tRNA ligase</t>
  </si>
  <si>
    <t>hisS</t>
  </si>
  <si>
    <t>WP_011014509.1</t>
  </si>
  <si>
    <t>CGL_RS08230</t>
  </si>
  <si>
    <t>WP_011014510.1</t>
  </si>
  <si>
    <t>CGL_RS08235</t>
  </si>
  <si>
    <t>WP_011014511.1</t>
  </si>
  <si>
    <t>CGL_RS08240</t>
  </si>
  <si>
    <t>putative Ig domain-containing protein</t>
  </si>
  <si>
    <t>WP_011014512.1</t>
  </si>
  <si>
    <t>CGL_RS08245</t>
  </si>
  <si>
    <t>WP_011014513.1</t>
  </si>
  <si>
    <t>CGL_RS08250</t>
  </si>
  <si>
    <t>RelA/SpoT family protein</t>
  </si>
  <si>
    <t>WP_003855910.1</t>
  </si>
  <si>
    <t>CGL_RS08255</t>
  </si>
  <si>
    <t>adenine phosphoribosyltransferase</t>
  </si>
  <si>
    <t>WP_011014514.1</t>
  </si>
  <si>
    <t>CGL_RS08260</t>
  </si>
  <si>
    <t>WP_011014515.1</t>
  </si>
  <si>
    <t>CGL_RS08265</t>
  </si>
  <si>
    <t>protein translocase subunit SecF</t>
  </si>
  <si>
    <t>secF</t>
  </si>
  <si>
    <t>WP_011014516.1</t>
  </si>
  <si>
    <t>CGL_RS08270</t>
  </si>
  <si>
    <t>protein translocase subunit SecD</t>
  </si>
  <si>
    <t>secD</t>
  </si>
  <si>
    <t>WP_011265778.1</t>
  </si>
  <si>
    <t>CGL_RS08275</t>
  </si>
  <si>
    <t>preprotein translocase subunit YajC</t>
  </si>
  <si>
    <t>yajC</t>
  </si>
  <si>
    <t>WP_011014518.1</t>
  </si>
  <si>
    <t>CGL_RS08280</t>
  </si>
  <si>
    <t>Holliday junction branch migration DNA helicase RuvB</t>
  </si>
  <si>
    <t>ruvB</t>
  </si>
  <si>
    <t>WP_003855899.1</t>
  </si>
  <si>
    <t>CGL_RS08285</t>
  </si>
  <si>
    <t>Holliday junction branch migration protein RuvA</t>
  </si>
  <si>
    <t>ruvA</t>
  </si>
  <si>
    <t>WP_003859897.1</t>
  </si>
  <si>
    <t>CGL_RS08290</t>
  </si>
  <si>
    <t>crossover junction endodeoxyribonuclease RuvC</t>
  </si>
  <si>
    <t>ruvC</t>
  </si>
  <si>
    <t>WP_011014519.1</t>
  </si>
  <si>
    <t>CGL_RS08295</t>
  </si>
  <si>
    <t>YebC/PmpR family DNA-binding transcriptional regulator</t>
  </si>
  <si>
    <t>WP_011014520.1</t>
  </si>
  <si>
    <t>CGL_RS08300</t>
  </si>
  <si>
    <t>acyl-CoA thioesterase</t>
  </si>
  <si>
    <t>WP_011014521.1</t>
  </si>
  <si>
    <t>CGL_RS08305</t>
  </si>
  <si>
    <t>DUF3817 domain-containing protein</t>
  </si>
  <si>
    <t>WP_011014522.1</t>
  </si>
  <si>
    <t>CGL_RS08310</t>
  </si>
  <si>
    <t>WP_003855892.1</t>
  </si>
  <si>
    <t>CGL_RS08315</t>
  </si>
  <si>
    <t>WP_003859886.1</t>
  </si>
  <si>
    <t>CGL_RS08320</t>
  </si>
  <si>
    <t>phosphatidylinositol mannoside acyltransferase</t>
  </si>
  <si>
    <t>WP_011014523.1</t>
  </si>
  <si>
    <t>CGL_RS08325</t>
  </si>
  <si>
    <t>phosphatidylinositol phosphate synthase</t>
  </si>
  <si>
    <t>pgsA</t>
  </si>
  <si>
    <t>WP_003859882.1</t>
  </si>
  <si>
    <t>CGL_RS08330</t>
  </si>
  <si>
    <t>HIT family protein</t>
  </si>
  <si>
    <t>WP_003859881.1</t>
  </si>
  <si>
    <t>CGL_RS08335</t>
  </si>
  <si>
    <t>threonine--tRNA ligase</t>
  </si>
  <si>
    <t>thrS</t>
  </si>
  <si>
    <t>WP_011014525.1</t>
  </si>
  <si>
    <t>CGL_RS08340</t>
  </si>
  <si>
    <t>Dyp-type peroxidase</t>
  </si>
  <si>
    <t>WP_003859878.1</t>
  </si>
  <si>
    <t>CGL_RS08345</t>
  </si>
  <si>
    <t>copper chaperone PCu(A)C</t>
  </si>
  <si>
    <t>WP_011014526.1</t>
  </si>
  <si>
    <t>CGL_RS08350</t>
  </si>
  <si>
    <t>copper resistance CopC family protein</t>
  </si>
  <si>
    <t>WP_041625472.1</t>
  </si>
  <si>
    <t>CGL_RS08355</t>
  </si>
  <si>
    <t>tRNA-Gly</t>
  </si>
  <si>
    <t>CGL_RS08360</t>
  </si>
  <si>
    <t>tRNA-Val</t>
  </si>
  <si>
    <t>CGL_RS08365</t>
  </si>
  <si>
    <t>tRNA-Cys</t>
  </si>
  <si>
    <t>CGL_RS08370</t>
  </si>
  <si>
    <t>CGL_RS08375</t>
  </si>
  <si>
    <t>CGL_RS08380</t>
  </si>
  <si>
    <t>CGL_RS08385</t>
  </si>
  <si>
    <t>CGL_RS08390</t>
  </si>
  <si>
    <t>WP_011014528.1</t>
  </si>
  <si>
    <t>CGL_RS08395</t>
  </si>
  <si>
    <t>WP_011265782.1</t>
  </si>
  <si>
    <t>CGL_RS08400</t>
  </si>
  <si>
    <t>WP_011014530.1</t>
  </si>
  <si>
    <t>CGL_RS08405</t>
  </si>
  <si>
    <t>WP_041625669.1</t>
  </si>
  <si>
    <t>CGL_RS08410</t>
  </si>
  <si>
    <t>WP_011014532.1</t>
  </si>
  <si>
    <t>CGL_RS08415</t>
  </si>
  <si>
    <t>WP_011014533.1</t>
  </si>
  <si>
    <t>CGL_RS08420</t>
  </si>
  <si>
    <t>WP_011014534.1</t>
  </si>
  <si>
    <t>CGL_RS08425</t>
  </si>
  <si>
    <t>WP_011014535.1</t>
  </si>
  <si>
    <t>CGL_RS08430</t>
  </si>
  <si>
    <t>WP_011014536.1</t>
  </si>
  <si>
    <t>CGL_RS08435</t>
  </si>
  <si>
    <t>WP_011014537.1</t>
  </si>
  <si>
    <t>CGL_RS08440</t>
  </si>
  <si>
    <t>WP_011014538.1</t>
  </si>
  <si>
    <t>CGL_RS08445</t>
  </si>
  <si>
    <t>WP_011265784.1</t>
  </si>
  <si>
    <t>CGL_RS08450</t>
  </si>
  <si>
    <t>WP_011014540.1</t>
  </si>
  <si>
    <t>CGL_RS08455</t>
  </si>
  <si>
    <t>WP_231838265.1</t>
  </si>
  <si>
    <t>CGL_RS08460</t>
  </si>
  <si>
    <t>WP_011014542.1</t>
  </si>
  <si>
    <t>CGL_RS08465</t>
  </si>
  <si>
    <t>T3SS effector HopA1 family protein</t>
  </si>
  <si>
    <t>WP_011265786.1</t>
  </si>
  <si>
    <t>CGL_RS08470</t>
  </si>
  <si>
    <t>flavoprotein</t>
  </si>
  <si>
    <t>WP_231838295.1</t>
  </si>
  <si>
    <t>CGL_RS08475</t>
  </si>
  <si>
    <t>WP_011265788.1</t>
  </si>
  <si>
    <t>CGL_RS08480</t>
  </si>
  <si>
    <t>WP_157665529.1</t>
  </si>
  <si>
    <t>CGL_RS08485</t>
  </si>
  <si>
    <t>WP_011014545.1</t>
  </si>
  <si>
    <t>CGL_RS08490</t>
  </si>
  <si>
    <t>WP_011014546.1</t>
  </si>
  <si>
    <t>CGL_RS08495</t>
  </si>
  <si>
    <t>NADAR domain-containing protein</t>
  </si>
  <si>
    <t>WP_231838296.1</t>
  </si>
  <si>
    <t>CGL_RS08500</t>
  </si>
  <si>
    <t>WP_011014548.1</t>
  </si>
  <si>
    <t>CGL_RS08505</t>
  </si>
  <si>
    <t>WP_157665528.1</t>
  </si>
  <si>
    <t>CGL_RS08510</t>
  </si>
  <si>
    <t>WP_011265791.1</t>
  </si>
  <si>
    <t>CGL_RS15820</t>
  </si>
  <si>
    <t>WP_011014549.1</t>
  </si>
  <si>
    <t>CGL_RS08515</t>
  </si>
  <si>
    <t>WP_011014550.1</t>
  </si>
  <si>
    <t>CGL_RS08520</t>
  </si>
  <si>
    <t>WP_011014551.1</t>
  </si>
  <si>
    <t>CGL_RS08525</t>
  </si>
  <si>
    <t>WP_011014552.1</t>
  </si>
  <si>
    <t>CGL_RS08530</t>
  </si>
  <si>
    <t>WP_011014553.1</t>
  </si>
  <si>
    <t>CGL_RS08535</t>
  </si>
  <si>
    <t>WP_011014554.1</t>
  </si>
  <si>
    <t>CGL_RS08540</t>
  </si>
  <si>
    <t>WP_011014555.1</t>
  </si>
  <si>
    <t>CGL_RS08545</t>
  </si>
  <si>
    <t>WP_011014556.1</t>
  </si>
  <si>
    <t>CGL_RS08550</t>
  </si>
  <si>
    <t>WP_011014557.1</t>
  </si>
  <si>
    <t>CGL_RS08555</t>
  </si>
  <si>
    <t>WP_257151957.1</t>
  </si>
  <si>
    <t>CGL_RS15825</t>
  </si>
  <si>
    <t>WP_011014558.1</t>
  </si>
  <si>
    <t>CGL_RS08560</t>
  </si>
  <si>
    <t>WP_011014559.1</t>
  </si>
  <si>
    <t>CGL_RS08565</t>
  </si>
  <si>
    <t>WP_011014560.1</t>
  </si>
  <si>
    <t>CGL_RS08570</t>
  </si>
  <si>
    <t>WP_011014561.1</t>
  </si>
  <si>
    <t>CGL_RS08575</t>
  </si>
  <si>
    <t>recombinase family protein</t>
  </si>
  <si>
    <t>WP_011014562.1</t>
  </si>
  <si>
    <t>CGL_RS08580</t>
  </si>
  <si>
    <t>WP_011265796.1</t>
  </si>
  <si>
    <t>CGL_RS08585</t>
  </si>
  <si>
    <t>WP_011014564.1</t>
  </si>
  <si>
    <t>CGL_RS08590</t>
  </si>
  <si>
    <t>dual specificity protein phosphatase family protein</t>
  </si>
  <si>
    <t>WP_011014565.1</t>
  </si>
  <si>
    <t>CGL_RS08595</t>
  </si>
  <si>
    <t>WP_011014566.1</t>
  </si>
  <si>
    <t>CGL_RS08600</t>
  </si>
  <si>
    <t>FadR/GntR family transcriptional regulator</t>
  </si>
  <si>
    <t>WP_011014567.1</t>
  </si>
  <si>
    <t>CGL_RS08605</t>
  </si>
  <si>
    <t>WP_011014568.1</t>
  </si>
  <si>
    <t>CGL_RS08610</t>
  </si>
  <si>
    <t>WP_011014569.1</t>
  </si>
  <si>
    <t>CGL_RS08615</t>
  </si>
  <si>
    <t>WP_011014570.1</t>
  </si>
  <si>
    <t>CGL_RS08620</t>
  </si>
  <si>
    <t>WP_227747663.1</t>
  </si>
  <si>
    <t>CGL_RS08625</t>
  </si>
  <si>
    <t>WP_011265797.1</t>
  </si>
  <si>
    <t>CGL_RS08630</t>
  </si>
  <si>
    <t>WP_011265798.1</t>
  </si>
  <si>
    <t>CGL_RS15535</t>
  </si>
  <si>
    <t>WP_011265799.1</t>
  </si>
  <si>
    <t>CGL_RS08640</t>
  </si>
  <si>
    <t>WP_011265800.1</t>
  </si>
  <si>
    <t>CGL_RS08645</t>
  </si>
  <si>
    <t>KAP family NTPase</t>
  </si>
  <si>
    <t>WP_208400643.1</t>
  </si>
  <si>
    <t>CGL_RS08650</t>
  </si>
  <si>
    <t>WP_011014576.1</t>
  </si>
  <si>
    <t>CGL_RS08655</t>
  </si>
  <si>
    <t>WP_011014577.1</t>
  </si>
  <si>
    <t>CGL_RS08660</t>
  </si>
  <si>
    <t>WP_011014578.1</t>
  </si>
  <si>
    <t>CGL_RS08665</t>
  </si>
  <si>
    <t>WP_101677571.1</t>
  </si>
  <si>
    <t>CGL_RS08670</t>
  </si>
  <si>
    <t>WP_011014583.1</t>
  </si>
  <si>
    <t>CGL_RS08680</t>
  </si>
  <si>
    <t>DHH family phosphoesterase</t>
  </si>
  <si>
    <t>WP_011014584.1</t>
  </si>
  <si>
    <t>CGL_RS08685</t>
  </si>
  <si>
    <t>WP_011014585.1</t>
  </si>
  <si>
    <t>CGL_RS08690</t>
  </si>
  <si>
    <t>DNA primase family protein</t>
  </si>
  <si>
    <t>WP_011014586.1</t>
  </si>
  <si>
    <t>CGL_RS08695</t>
  </si>
  <si>
    <t>WP_011014587.1</t>
  </si>
  <si>
    <t>CGL_RS08700</t>
  </si>
  <si>
    <t>VRR-NUC domain-containing protein</t>
  </si>
  <si>
    <t>WP_011014588.1</t>
  </si>
  <si>
    <t>CGL_RS08705</t>
  </si>
  <si>
    <t>WP_011014589.1</t>
  </si>
  <si>
    <t>CGL_RS08710</t>
  </si>
  <si>
    <t>WP_011014590.1</t>
  </si>
  <si>
    <t>CGL_RS08715</t>
  </si>
  <si>
    <t>WP_011014591.1</t>
  </si>
  <si>
    <t>CGL_RS08720</t>
  </si>
  <si>
    <t>DUF4406 domain-containing protein</t>
  </si>
  <si>
    <t>WP_011014592.1</t>
  </si>
  <si>
    <t>CGL_RS08725</t>
  </si>
  <si>
    <t>histone-like nucleoid-structuring protein Lsr2</t>
  </si>
  <si>
    <t>WP_011014593.1</t>
  </si>
  <si>
    <t>CGL_RS08730</t>
  </si>
  <si>
    <t>WP_011265805.1</t>
  </si>
  <si>
    <t>CGL_RS08735</t>
  </si>
  <si>
    <t>WP_011014595.1</t>
  </si>
  <si>
    <t>CGL_RS08740</t>
  </si>
  <si>
    <t>WP_011014596.1</t>
  </si>
  <si>
    <t>CGL_RS08745</t>
  </si>
  <si>
    <t>WP_011014597.1</t>
  </si>
  <si>
    <t>CGL_RS08750</t>
  </si>
  <si>
    <t>WP_011014598.1</t>
  </si>
  <si>
    <t>CGL_RS08755</t>
  </si>
  <si>
    <t>WP_011265806.1</t>
  </si>
  <si>
    <t>CGL_RS08760</t>
  </si>
  <si>
    <t>LysM peptidoglycan-binding domain-containing protein</t>
  </si>
  <si>
    <t>WP_011014599.1</t>
  </si>
  <si>
    <t>CGL_RS08765</t>
  </si>
  <si>
    <t>WP_011014600.1</t>
  </si>
  <si>
    <t>CGL_RS08770</t>
  </si>
  <si>
    <t>WP_011014601.1</t>
  </si>
  <si>
    <t>CGL_RS08775</t>
  </si>
  <si>
    <t>WP_011014602.1</t>
  </si>
  <si>
    <t>CGL_RS08780</t>
  </si>
  <si>
    <t>gyrase inhibitor Gip</t>
  </si>
  <si>
    <t>gip</t>
  </si>
  <si>
    <t>WP_011014603.1</t>
  </si>
  <si>
    <t>CGL_RS08785</t>
  </si>
  <si>
    <t>WP_011014604.1</t>
  </si>
  <si>
    <t>CGL_RS08790</t>
  </si>
  <si>
    <t>WP_227747664.1</t>
  </si>
  <si>
    <t>CGL_RS08795</t>
  </si>
  <si>
    <t>ATP-dependent Clp protease ATP-binding subunit</t>
  </si>
  <si>
    <t>WP_227747665.1</t>
  </si>
  <si>
    <t>CGL_RS08800</t>
  </si>
  <si>
    <t>WP_011014607.1</t>
  </si>
  <si>
    <t>CGL_RS08805</t>
  </si>
  <si>
    <t>WP_011014608.1</t>
  </si>
  <si>
    <t>CGL_RS15445</t>
  </si>
  <si>
    <t>UvrD-helicase domain-containing protein</t>
  </si>
  <si>
    <t>WP_011265807.1</t>
  </si>
  <si>
    <t>CGL_RS15660</t>
  </si>
  <si>
    <t>WP_227747666.1</t>
  </si>
  <si>
    <t>CGL_RS15665</t>
  </si>
  <si>
    <t>WP_011014611.1</t>
  </si>
  <si>
    <t>CGL_RS08820</t>
  </si>
  <si>
    <t>WP_011014612.1</t>
  </si>
  <si>
    <t>CGL_RS08825</t>
  </si>
  <si>
    <t>WP_011014613.1</t>
  </si>
  <si>
    <t>CGL_RS08830</t>
  </si>
  <si>
    <t>WP_011014614.1</t>
  </si>
  <si>
    <t>CGL_RS08835</t>
  </si>
  <si>
    <t>WP_011014615.1</t>
  </si>
  <si>
    <t>CGL_RS08840</t>
  </si>
  <si>
    <t>WP_011014616.1</t>
  </si>
  <si>
    <t>CGL_RS08845</t>
  </si>
  <si>
    <t>WP_011014617.1</t>
  </si>
  <si>
    <t>CGL_RS08850</t>
  </si>
  <si>
    <t>WP_011014618.1</t>
  </si>
  <si>
    <t>CGL_RS08855</t>
  </si>
  <si>
    <t>WP_011014619.1</t>
  </si>
  <si>
    <t>CGL_RS08860</t>
  </si>
  <si>
    <t>DNA cytosine methyltransferase</t>
  </si>
  <si>
    <t>WP_011265811.1</t>
  </si>
  <si>
    <t>CGL_RS08865</t>
  </si>
  <si>
    <t>restriction endonuclease PLD domain-containing protein</t>
  </si>
  <si>
    <t>WP_011014621.1</t>
  </si>
  <si>
    <t>CGL_RS08870</t>
  </si>
  <si>
    <t>Z1 domain-containing protein</t>
  </si>
  <si>
    <t>WP_227747667.1</t>
  </si>
  <si>
    <t>CGL_RS08875</t>
  </si>
  <si>
    <t>WP_011014623.1</t>
  </si>
  <si>
    <t>CGL_RS08880</t>
  </si>
  <si>
    <t>WP_011014624.1</t>
  </si>
  <si>
    <t>CGL_RS08885</t>
  </si>
  <si>
    <t>zinc-ribbon domain-containing protein</t>
  </si>
  <si>
    <t>WP_011014625.1</t>
  </si>
  <si>
    <t>CGL_RS08890</t>
  </si>
  <si>
    <t>WP_011014626.1</t>
  </si>
  <si>
    <t>CGL_RS08895</t>
  </si>
  <si>
    <t>helicase</t>
  </si>
  <si>
    <t>WP_227747668.1</t>
  </si>
  <si>
    <t>CGL_RS08900</t>
  </si>
  <si>
    <t>WP_227747669.1</t>
  </si>
  <si>
    <t>CGL_RS15670</t>
  </si>
  <si>
    <t>type IV secretory system conjugative DNA transfer family protein</t>
  </si>
  <si>
    <t>WP_011265814.1</t>
  </si>
  <si>
    <t>CGL_RS08910</t>
  </si>
  <si>
    <t>DUF7487 domain-containing protein</t>
  </si>
  <si>
    <t>WP_011014630.1</t>
  </si>
  <si>
    <t>CGL_RS08915</t>
  </si>
  <si>
    <t>WP_011014631.1</t>
  </si>
  <si>
    <t>CGL_RS08920</t>
  </si>
  <si>
    <t>WP_011014632.1</t>
  </si>
  <si>
    <t>CGL_RS08925</t>
  </si>
  <si>
    <t>WP_011014633.1</t>
  </si>
  <si>
    <t>CGL_RS08930</t>
  </si>
  <si>
    <t>DUF456 domain-containing protein</t>
  </si>
  <si>
    <t>WP_011014634.1</t>
  </si>
  <si>
    <t>CGL_RS08935</t>
  </si>
  <si>
    <t>WP_011014635.1</t>
  </si>
  <si>
    <t>CGL_RS08940</t>
  </si>
  <si>
    <t>WP_011014636.1</t>
  </si>
  <si>
    <t>CGL_RS08945</t>
  </si>
  <si>
    <t>WP_011014637.1</t>
  </si>
  <si>
    <t>CGL_RS08950</t>
  </si>
  <si>
    <t>relaxase MobL</t>
  </si>
  <si>
    <t>mobL</t>
  </si>
  <si>
    <t>WP_011014638.1</t>
  </si>
  <si>
    <t>CGL_RS08955</t>
  </si>
  <si>
    <t>WP_011014639.1</t>
  </si>
  <si>
    <t>CGL_RS08960</t>
  </si>
  <si>
    <t>WP_011014640.1</t>
  </si>
  <si>
    <t>CGL_RS08965</t>
  </si>
  <si>
    <t>WP_011014641.1</t>
  </si>
  <si>
    <t>CGL_RS08970</t>
  </si>
  <si>
    <t>WP_011014642.1</t>
  </si>
  <si>
    <t>CGL_RS08975</t>
  </si>
  <si>
    <t>WP_011014643.1</t>
  </si>
  <si>
    <t>CGL_RS08980</t>
  </si>
  <si>
    <t>phage tail tip lysozyme</t>
  </si>
  <si>
    <t>WP_011014644.1</t>
  </si>
  <si>
    <t>CGL_RS08985</t>
  </si>
  <si>
    <t>WP_231838266.1</t>
  </si>
  <si>
    <t>CGL_RS08990</t>
  </si>
  <si>
    <t>WP_011014646.1</t>
  </si>
  <si>
    <t>CGL_RS08995</t>
  </si>
  <si>
    <t>WP_011014647.1</t>
  </si>
  <si>
    <t>CGL_RS09000</t>
  </si>
  <si>
    <t>WP_227747670.1</t>
  </si>
  <si>
    <t>CGL_RS09005</t>
  </si>
  <si>
    <t>DUF2188 domain-containing protein</t>
  </si>
  <si>
    <t>WP_011014649.1</t>
  </si>
  <si>
    <t>CGL_RS09010</t>
  </si>
  <si>
    <t>WP_011014650.1</t>
  </si>
  <si>
    <t>CGL_RS09015</t>
  </si>
  <si>
    <t>WP_011265818.1</t>
  </si>
  <si>
    <t>CGL_RS09020</t>
  </si>
  <si>
    <t>WP_011014652.1</t>
  </si>
  <si>
    <t>CGL_RS09025</t>
  </si>
  <si>
    <t>WP_011014653.1</t>
  </si>
  <si>
    <t>CGL_RS09030</t>
  </si>
  <si>
    <t>WP_011014654.1</t>
  </si>
  <si>
    <t>CGL_RS09035</t>
  </si>
  <si>
    <t>WP_011014655.1</t>
  </si>
  <si>
    <t>CGL_RS09040</t>
  </si>
  <si>
    <t>WP_227747672.1</t>
  </si>
  <si>
    <t>CGL_RS09045</t>
  </si>
  <si>
    <t>adenine-specific methyltransferase EcoRI family protein</t>
  </si>
  <si>
    <t>WP_208400985.1</t>
  </si>
  <si>
    <t>CGL_RS09050</t>
  </si>
  <si>
    <t>WP_011014659.1</t>
  </si>
  <si>
    <t>CGL_RS09055</t>
  </si>
  <si>
    <t>WP_011265820.1</t>
  </si>
  <si>
    <t>CGL_RS09065</t>
  </si>
  <si>
    <t>WP_227747673.1</t>
  </si>
  <si>
    <t>CGL_RS09070</t>
  </si>
  <si>
    <t>WP_011265821.1</t>
  </si>
  <si>
    <t>CGL_RS09075</t>
  </si>
  <si>
    <t>Cgl1822 family protein</t>
  </si>
  <si>
    <t>WP_011265822.1</t>
  </si>
  <si>
    <t>CGL_RS09080</t>
  </si>
  <si>
    <t>S49 family peptidase</t>
  </si>
  <si>
    <t>WP_011014665.1</t>
  </si>
  <si>
    <t>CGL_RS09085</t>
  </si>
  <si>
    <t>WP_011014666.1</t>
  </si>
  <si>
    <t>CGL_RS09090</t>
  </si>
  <si>
    <t>WP_227747674.1</t>
  </si>
  <si>
    <t>CGL_RS15675</t>
  </si>
  <si>
    <t>WP_227747675.1</t>
  </si>
  <si>
    <t>CGL_RS09105</t>
  </si>
  <si>
    <t>WP_227747676.1</t>
  </si>
  <si>
    <t>CGL_RS09110</t>
  </si>
  <si>
    <t>WP_011014671.1</t>
  </si>
  <si>
    <t>CGL_RS09115</t>
  </si>
  <si>
    <t>WP_011014672.1</t>
  </si>
  <si>
    <t>CGL_RS09120</t>
  </si>
  <si>
    <t>WP_011014673.1</t>
  </si>
  <si>
    <t>CGL_RS09125</t>
  </si>
  <si>
    <t>WP_011014674.1</t>
  </si>
  <si>
    <t>CGL_RS09130</t>
  </si>
  <si>
    <t>WP_227747677.1</t>
  </si>
  <si>
    <t>CGL_RS15680</t>
  </si>
  <si>
    <t>WP_011014678.1</t>
  </si>
  <si>
    <t>CGL_RS09145</t>
  </si>
  <si>
    <t>CGL_RS09150</t>
  </si>
  <si>
    <t>WP_011014680.1</t>
  </si>
  <si>
    <t>CGL_RS09155</t>
  </si>
  <si>
    <t>WP_011014682.1</t>
  </si>
  <si>
    <t>CGL_RS09160</t>
  </si>
  <si>
    <t>WP_011014683.1</t>
  </si>
  <si>
    <t>CGL_RS09165</t>
  </si>
  <si>
    <t>WP_011014684.1</t>
  </si>
  <si>
    <t>CGL_RS09170</t>
  </si>
  <si>
    <t>WP_011014685.1</t>
  </si>
  <si>
    <t>CGL_RS09175</t>
  </si>
  <si>
    <t>DNA topoisomerase</t>
  </si>
  <si>
    <t>WP_011014686.1</t>
  </si>
  <si>
    <t>CGL_RS09180</t>
  </si>
  <si>
    <t>DEAD/DEAH box helicase family protein</t>
  </si>
  <si>
    <t>WP_231838267.1</t>
  </si>
  <si>
    <t>CGL_RS09185</t>
  </si>
  <si>
    <t>WP_011014688.1</t>
  </si>
  <si>
    <t>CGL_RS09190</t>
  </si>
  <si>
    <t>WP_011014689.1</t>
  </si>
  <si>
    <t>CGL_RS09195</t>
  </si>
  <si>
    <t>WP_011014690.1</t>
  </si>
  <si>
    <t>CGL_RS09200</t>
  </si>
  <si>
    <t>WP_011014691.1</t>
  </si>
  <si>
    <t>CGL_RS09205</t>
  </si>
  <si>
    <t>WP_011014692.1</t>
  </si>
  <si>
    <t>CGL_RS09210</t>
  </si>
  <si>
    <t>WP_208400638.1</t>
  </si>
  <si>
    <t>CGL_RS09215</t>
  </si>
  <si>
    <t>WP_011014694.1</t>
  </si>
  <si>
    <t>CGL_RS09220</t>
  </si>
  <si>
    <t>WP_011014695.1</t>
  </si>
  <si>
    <t>CGL_RS09225</t>
  </si>
  <si>
    <t>thermonuclease family protein</t>
  </si>
  <si>
    <t>WP_011014696.1</t>
  </si>
  <si>
    <t>CGL_RS09230</t>
  </si>
  <si>
    <t>WP_158295297.1</t>
  </si>
  <si>
    <t>CGL_RS09235</t>
  </si>
  <si>
    <t>WP_011014697.1</t>
  </si>
  <si>
    <t>CGL_RS09240</t>
  </si>
  <si>
    <t>WP_011014698.1</t>
  </si>
  <si>
    <t>CGL_RS09245</t>
  </si>
  <si>
    <t>WP_011014699.1</t>
  </si>
  <si>
    <t>CGL_RS09250</t>
  </si>
  <si>
    <t>WP_011014700.1</t>
  </si>
  <si>
    <t>CGL_RS09255</t>
  </si>
  <si>
    <t>WP_011014701.1</t>
  </si>
  <si>
    <t>CGL_RS09260</t>
  </si>
  <si>
    <t>WP_011014702.1</t>
  </si>
  <si>
    <t>CGL_RS09265</t>
  </si>
  <si>
    <t>WP_011014703.1</t>
  </si>
  <si>
    <t>CGL_RS09270</t>
  </si>
  <si>
    <t>WP_011014704.1</t>
  </si>
  <si>
    <t>CGL_RS09275</t>
  </si>
  <si>
    <t>single-stranded DNA-binding protein</t>
  </si>
  <si>
    <t>WP_011014705.1</t>
  </si>
  <si>
    <t>CGL_RS09280</t>
  </si>
  <si>
    <t>WP_011014706.1</t>
  </si>
  <si>
    <t>CGL_RS09285</t>
  </si>
  <si>
    <t>WP_011014707.1</t>
  </si>
  <si>
    <t>CGL_RS09290</t>
  </si>
  <si>
    <t>WP_011014708.1</t>
  </si>
  <si>
    <t>CGL_RS09295</t>
  </si>
  <si>
    <t>WP_011014709.1</t>
  </si>
  <si>
    <t>CGL_RS09300</t>
  </si>
  <si>
    <t>WP_011014710.1</t>
  </si>
  <si>
    <t>CGL_RS09305</t>
  </si>
  <si>
    <t>WP_011014711.1</t>
  </si>
  <si>
    <t>CGL_RS09310</t>
  </si>
  <si>
    <t>WP_011014712.1</t>
  </si>
  <si>
    <t>CGL_RS09315</t>
  </si>
  <si>
    <t>WP_231838268.1</t>
  </si>
  <si>
    <t>CGL_RS09320</t>
  </si>
  <si>
    <t>WP_011014714.1</t>
  </si>
  <si>
    <t>CGL_RS09325</t>
  </si>
  <si>
    <t>WP_011014715.1</t>
  </si>
  <si>
    <t>CGL_RS09330</t>
  </si>
  <si>
    <t>WP_011014716.1</t>
  </si>
  <si>
    <t>CGL_RS09335</t>
  </si>
  <si>
    <t>WP_158295298.1</t>
  </si>
  <si>
    <t>CGL_RS09340</t>
  </si>
  <si>
    <t>WP_011014717.1</t>
  </si>
  <si>
    <t>CGL_RS09345</t>
  </si>
  <si>
    <t>WP_011014718.1</t>
  </si>
  <si>
    <t>CGL_RS09350</t>
  </si>
  <si>
    <t>WP_231838269.1</t>
  </si>
  <si>
    <t>CGL_RS09355</t>
  </si>
  <si>
    <t>WP_011014720.1</t>
  </si>
  <si>
    <t>CGL_RS09360</t>
  </si>
  <si>
    <t>WP_011014721.1</t>
  </si>
  <si>
    <t>CGL_RS09365</t>
  </si>
  <si>
    <t>WP_011014722.1</t>
  </si>
  <si>
    <t>CGL_RS09370</t>
  </si>
  <si>
    <t>WP_231838270.1</t>
  </si>
  <si>
    <t>CGL_RS09375</t>
  </si>
  <si>
    <t>CGL_RS09380</t>
  </si>
  <si>
    <t>IS5-like element ISCgl6 family transposase</t>
  </si>
  <si>
    <t>WP_011014728.1</t>
  </si>
  <si>
    <t>CGL_RS09385</t>
  </si>
  <si>
    <t>WP_011014729.1</t>
  </si>
  <si>
    <t>CGL_RS09390</t>
  </si>
  <si>
    <t>WP_011014730.1</t>
  </si>
  <si>
    <t>CGL_RS09395</t>
  </si>
  <si>
    <t>CGL_RS09400</t>
  </si>
  <si>
    <t>WP_011014731.1</t>
  </si>
  <si>
    <t>CGL_RS09405</t>
  </si>
  <si>
    <t>WP_227747653.1</t>
  </si>
  <si>
    <t>CGL_RS09410</t>
  </si>
  <si>
    <t>CGL_RS09415</t>
  </si>
  <si>
    <t>glycerate kinase</t>
  </si>
  <si>
    <t>WP_011014734.1</t>
  </si>
  <si>
    <t>CGL_RS09420</t>
  </si>
  <si>
    <t>WP_011014735.1</t>
  </si>
  <si>
    <t>CGL_RS09425</t>
  </si>
  <si>
    <t>WP_003857322.1</t>
  </si>
  <si>
    <t>CGL_RS09430</t>
  </si>
  <si>
    <t>pyrimidine reductase family protein</t>
  </si>
  <si>
    <t>WP_011014736.1</t>
  </si>
  <si>
    <t>CGL_RS09435</t>
  </si>
  <si>
    <t>arabinofuranan 3-O-arabinosyltransferase</t>
  </si>
  <si>
    <t>aftC</t>
  </si>
  <si>
    <t>WP_011265835.1</t>
  </si>
  <si>
    <t>CGL_RS09440</t>
  </si>
  <si>
    <t>peptide-methionine (R)-S-oxide reductase MsrB</t>
  </si>
  <si>
    <t>msrB</t>
  </si>
  <si>
    <t>WP_003857328.1</t>
  </si>
  <si>
    <t>CGL_RS09445</t>
  </si>
  <si>
    <t>hydrogen peroxide-dependent heme synthase</t>
  </si>
  <si>
    <t>hemQ</t>
  </si>
  <si>
    <t>WP_011014738.1</t>
  </si>
  <si>
    <t>CGL_RS09450</t>
  </si>
  <si>
    <t>DUF3000 domain-containing protein</t>
  </si>
  <si>
    <t>WP_003859862.1</t>
  </si>
  <si>
    <t>CGL_RS09455</t>
  </si>
  <si>
    <t>ribonuclease D</t>
  </si>
  <si>
    <t>WP_011014740.1</t>
  </si>
  <si>
    <t>CGL_RS09460</t>
  </si>
  <si>
    <t>1-deoxy-D-xylulose-5-phosphate synthase</t>
  </si>
  <si>
    <t>dxs</t>
  </si>
  <si>
    <t>WP_011014741.1</t>
  </si>
  <si>
    <t>CGL_RS09465</t>
  </si>
  <si>
    <t>class I SAM-dependent RNA methyltransferase</t>
  </si>
  <si>
    <t>WP_011014742.1</t>
  </si>
  <si>
    <t>CGL_RS09470</t>
  </si>
  <si>
    <t>DUF3710 domain-containing protein</t>
  </si>
  <si>
    <t>WP_011014743.1</t>
  </si>
  <si>
    <t>CGL_RS09475</t>
  </si>
  <si>
    <t>dUTP diphosphatase</t>
  </si>
  <si>
    <t>dut</t>
  </si>
  <si>
    <t>WP_011014744.1</t>
  </si>
  <si>
    <t>CGL_RS09480</t>
  </si>
  <si>
    <t>DUF3093 domain-containing protein</t>
  </si>
  <si>
    <t>WP_003859852.1</t>
  </si>
  <si>
    <t>CGL_RS09485</t>
  </si>
  <si>
    <t>WP_011014745.1</t>
  </si>
  <si>
    <t>CGL_RS09490</t>
  </si>
  <si>
    <t>DUF4193 domain-containing protein</t>
  </si>
  <si>
    <t>WP_003857344.1</t>
  </si>
  <si>
    <t>CGL_RS09495</t>
  </si>
  <si>
    <t>WP_011014746.1</t>
  </si>
  <si>
    <t>CGL_RS09500</t>
  </si>
  <si>
    <t>polyphosphate--glucose phosphotransferase</t>
  </si>
  <si>
    <t>ppgK</t>
  </si>
  <si>
    <t>WP_011014747.1</t>
  </si>
  <si>
    <t>CGL_RS09505</t>
  </si>
  <si>
    <t>WP_011265837.1</t>
  </si>
  <si>
    <t>CGL_RS09510</t>
  </si>
  <si>
    <t>DUF418 domain-containing protein</t>
  </si>
  <si>
    <t>WP_011014749.1</t>
  </si>
  <si>
    <t>CGL_RS09515</t>
  </si>
  <si>
    <t>WP_003857354.1</t>
  </si>
  <si>
    <t>CGL_RS09520</t>
  </si>
  <si>
    <t>WP_003859837.1</t>
  </si>
  <si>
    <t>CGL_RS09525</t>
  </si>
  <si>
    <t>DUF3039 domain-containing protein</t>
  </si>
  <si>
    <t>WP_003857359.1</t>
  </si>
  <si>
    <t>CGL_RS09530</t>
  </si>
  <si>
    <t>DUF3099 domain-containing protein</t>
  </si>
  <si>
    <t>WP_011014750.1</t>
  </si>
  <si>
    <t>CGL_RS09535</t>
  </si>
  <si>
    <t>DUF7059 domain-containing protein</t>
  </si>
  <si>
    <t>WP_011014751.1</t>
  </si>
  <si>
    <t>CGL_RS09540</t>
  </si>
  <si>
    <t>D-aminoacyl-tRNA deacylase</t>
  </si>
  <si>
    <t>dtd</t>
  </si>
  <si>
    <t>WP_003859832.1</t>
  </si>
  <si>
    <t>CGL_RS09545</t>
  </si>
  <si>
    <t>WP_011014752.1</t>
  </si>
  <si>
    <t>CGL_RS09550</t>
  </si>
  <si>
    <t>iron dependent repressor, metal binding and dimerization domain protein</t>
  </si>
  <si>
    <t>WP_011014753.1</t>
  </si>
  <si>
    <t>CGL_RS09555</t>
  </si>
  <si>
    <t>UDP-glucose 4-epimerase GalE</t>
  </si>
  <si>
    <t>galE</t>
  </si>
  <si>
    <t>WP_011014754.1</t>
  </si>
  <si>
    <t>CGL_RS09560</t>
  </si>
  <si>
    <t>DUF4192 domain-containing protein</t>
  </si>
  <si>
    <t>WP_020948595.1</t>
  </si>
  <si>
    <t>CGL_RS09565</t>
  </si>
  <si>
    <t>proteasome assembly chaperone family protein</t>
  </si>
  <si>
    <t>WP_003859825.1</t>
  </si>
  <si>
    <t>CGL_RS09570</t>
  </si>
  <si>
    <t>WP_020948596.1</t>
  </si>
  <si>
    <t>CGL_RS09575</t>
  </si>
  <si>
    <t>hydrogen peroxide-inducible genes activator</t>
  </si>
  <si>
    <t>WP_011014757.1</t>
  </si>
  <si>
    <t>CGL_RS09580</t>
  </si>
  <si>
    <t>DUF2189 domain-containing protein</t>
  </si>
  <si>
    <t>WP_011014758.1</t>
  </si>
  <si>
    <t>CGL_RS09585</t>
  </si>
  <si>
    <t>ATP-dependent RNA helicase HrpA</t>
  </si>
  <si>
    <t>hrpA</t>
  </si>
  <si>
    <t>WP_011014759.1</t>
  </si>
  <si>
    <t>CGL_RS09590</t>
  </si>
  <si>
    <t>transcriptional regulator NrdR</t>
  </si>
  <si>
    <t>nrdR</t>
  </si>
  <si>
    <t>WP_003857385.1</t>
  </si>
  <si>
    <t>CGL_RS09595</t>
  </si>
  <si>
    <t>WP_011265842.1</t>
  </si>
  <si>
    <t>CGL_RS15685</t>
  </si>
  <si>
    <t>transcriptional repressor LexA</t>
  </si>
  <si>
    <t>lexA</t>
  </si>
  <si>
    <t>WP_003857389.1</t>
  </si>
  <si>
    <t>CGL_RS09605</t>
  </si>
  <si>
    <t>WP_011014761.1</t>
  </si>
  <si>
    <t>CGL_RS09610</t>
  </si>
  <si>
    <t>1-phosphofructokinase family hexose kinase</t>
  </si>
  <si>
    <t>WP_011014762.1</t>
  </si>
  <si>
    <t>CGL_RS09615</t>
  </si>
  <si>
    <t>phosphoenolpyruvate--protein phosphotransferase</t>
  </si>
  <si>
    <t>ptsP</t>
  </si>
  <si>
    <t>WP_374057885.1</t>
  </si>
  <si>
    <t>CGL_RS09620</t>
  </si>
  <si>
    <t>WP_011014764.1</t>
  </si>
  <si>
    <t>CGL_RS09625</t>
  </si>
  <si>
    <t>1-phosphofructokinase</t>
  </si>
  <si>
    <t>WP_011014765.1</t>
  </si>
  <si>
    <t>CGL_RS09630</t>
  </si>
  <si>
    <t>fructose-specific PTS transporter subunit EIIC</t>
  </si>
  <si>
    <t>WP_011014766.1</t>
  </si>
  <si>
    <t>CGL_RS09635</t>
  </si>
  <si>
    <t>HPr family phosphocarrier protein</t>
  </si>
  <si>
    <t>WP_003857409.1</t>
  </si>
  <si>
    <t>CGL_RS09640</t>
  </si>
  <si>
    <t>WP_011014767.1</t>
  </si>
  <si>
    <t>CGL_RS09645</t>
  </si>
  <si>
    <t>uracil-xanthine permease family protein</t>
  </si>
  <si>
    <t>WP_011014768.1</t>
  </si>
  <si>
    <t>CGL_RS09650</t>
  </si>
  <si>
    <t>GTPase HflX</t>
  </si>
  <si>
    <t>hflX</t>
  </si>
  <si>
    <t>WP_011265844.1</t>
  </si>
  <si>
    <t>CGL_RS09655</t>
  </si>
  <si>
    <t>WP_011014770.1</t>
  </si>
  <si>
    <t>CGL_RS09660</t>
  </si>
  <si>
    <t>WP_011014771.1</t>
  </si>
  <si>
    <t>CGL_RS09665</t>
  </si>
  <si>
    <t>diaminopimelate epimerase</t>
  </si>
  <si>
    <t>dapF</t>
  </si>
  <si>
    <t>WP_011014772.1</t>
  </si>
  <si>
    <t>CGL_RS09670</t>
  </si>
  <si>
    <t>tRNA (adenosine(37)-N6)-dimethylallyltransferase MiaA</t>
  </si>
  <si>
    <t>miaA</t>
  </si>
  <si>
    <t>WP_011014773.1</t>
  </si>
  <si>
    <t>CGL_RS09675</t>
  </si>
  <si>
    <t>WP_011014774.1</t>
  </si>
  <si>
    <t>CGL_RS09680</t>
  </si>
  <si>
    <t>DUF349 domain-containing protein</t>
  </si>
  <si>
    <t>WP_011014775.1</t>
  </si>
  <si>
    <t>CGL_RS09685</t>
  </si>
  <si>
    <t>WP_011014776.1</t>
  </si>
  <si>
    <t>CGL_RS09690</t>
  </si>
  <si>
    <t>Rv2732c family membrane protein</t>
  </si>
  <si>
    <t>WP_003861637.1</t>
  </si>
  <si>
    <t>CGL_RS09695</t>
  </si>
  <si>
    <t>tRNA (N6-isopentenyl adenosine(37)-C2)-methylthiotransferase MiaB</t>
  </si>
  <si>
    <t>miaB</t>
  </si>
  <si>
    <t>WP_011014777.1</t>
  </si>
  <si>
    <t>CGL_RS09700</t>
  </si>
  <si>
    <t>glutamate ABC transporter ATP-binding protein GluA</t>
  </si>
  <si>
    <t>gluA</t>
  </si>
  <si>
    <t>WP_003857431.1</t>
  </si>
  <si>
    <t>CGL_RS09705</t>
  </si>
  <si>
    <t>glutamate ABC transporter substrate-binding protein GluB</t>
  </si>
  <si>
    <t>gluB</t>
  </si>
  <si>
    <t>WP_011014779.1</t>
  </si>
  <si>
    <t>CGL_RS09710</t>
  </si>
  <si>
    <t>glutamate ABC transporter permease GluC</t>
  </si>
  <si>
    <t>gluC</t>
  </si>
  <si>
    <t>WP_011014780.1</t>
  </si>
  <si>
    <t>CGL_RS09715</t>
  </si>
  <si>
    <t>WP_011014781.1</t>
  </si>
  <si>
    <t>CGL_RS09720</t>
  </si>
  <si>
    <t>recombination regulator RecX</t>
  </si>
  <si>
    <t>recX</t>
  </si>
  <si>
    <t>WP_011014782.1</t>
  </si>
  <si>
    <t>CGL_RS09725</t>
  </si>
  <si>
    <t>recombinase RecA</t>
  </si>
  <si>
    <t>recA</t>
  </si>
  <si>
    <t>WP_003857444.1</t>
  </si>
  <si>
    <t>CGL_RS09730</t>
  </si>
  <si>
    <t>DUF3046 domain-containing protein</t>
  </si>
  <si>
    <t>WP_003857447.1</t>
  </si>
  <si>
    <t>CGL_RS09735</t>
  </si>
  <si>
    <t>WP_231838271.1</t>
  </si>
  <si>
    <t>CGL_RS09740</t>
  </si>
  <si>
    <t>biotin transporter BioY</t>
  </si>
  <si>
    <t>bioY</t>
  </si>
  <si>
    <t>WP_003857452.1</t>
  </si>
  <si>
    <t>CGL_RS09745</t>
  </si>
  <si>
    <t>energy-coupling factor ABC transporter ATP-binding protein</t>
  </si>
  <si>
    <t>WP_011014785.1</t>
  </si>
  <si>
    <t>CGL_RS09750</t>
  </si>
  <si>
    <t>WP_003857456.1</t>
  </si>
  <si>
    <t>CGL_RS09755</t>
  </si>
  <si>
    <t>PspA/IM30 family protein</t>
  </si>
  <si>
    <t>WP_003857458.1</t>
  </si>
  <si>
    <t>CGL_RS09760</t>
  </si>
  <si>
    <t>WP_003861658.1</t>
  </si>
  <si>
    <t>CGL_RS09765</t>
  </si>
  <si>
    <t>CinA family protein</t>
  </si>
  <si>
    <t>WP_011014786.1</t>
  </si>
  <si>
    <t>CGL_RS09770</t>
  </si>
  <si>
    <t>CDP-diacylglycerol--glycerol-3-phosphate 3-phosphatidyltransferase</t>
  </si>
  <si>
    <t>WP_003861660.1</t>
  </si>
  <si>
    <t>CGL_RS09775</t>
  </si>
  <si>
    <t>YciI family protein</t>
  </si>
  <si>
    <t>WP_003857466.1</t>
  </si>
  <si>
    <t>CGL_RS09780</t>
  </si>
  <si>
    <t>TerC family protein</t>
  </si>
  <si>
    <t>WP_011014789.1</t>
  </si>
  <si>
    <t>CGL_RS09785</t>
  </si>
  <si>
    <t>FtsK/SpoIIIE family DNA translocase</t>
  </si>
  <si>
    <t>WP_011014790.1</t>
  </si>
  <si>
    <t>CGL_RS09790</t>
  </si>
  <si>
    <t>TIGR03085 family metal-binding protein</t>
  </si>
  <si>
    <t>WP_003857475.1</t>
  </si>
  <si>
    <t>CGL_RS09795</t>
  </si>
  <si>
    <t>ribonuclease J</t>
  </si>
  <si>
    <t>WP_011014791.1</t>
  </si>
  <si>
    <t>CGL_RS09800</t>
  </si>
  <si>
    <t>4-hydroxy-tetrahydrodipicolinate synthase</t>
  </si>
  <si>
    <t>dapA</t>
  </si>
  <si>
    <t>WP_011014792.1</t>
  </si>
  <si>
    <t>CGL_RS09805</t>
  </si>
  <si>
    <t>FAD-dependent thymidylate synthase</t>
  </si>
  <si>
    <t>thyX</t>
  </si>
  <si>
    <t>WP_011014793.1</t>
  </si>
  <si>
    <t>CGL_RS09810</t>
  </si>
  <si>
    <t>4-hydroxy-tetrahydrodipicolinate reductase</t>
  </si>
  <si>
    <t>dapB</t>
  </si>
  <si>
    <t>WP_011014794.1</t>
  </si>
  <si>
    <t>CGL_RS09815</t>
  </si>
  <si>
    <t>WP_011897393.1</t>
  </si>
  <si>
    <t>CGL_RS09820</t>
  </si>
  <si>
    <t>polyribonucleotide nucleotidyltransferase</t>
  </si>
  <si>
    <t>WP_011014796.1</t>
  </si>
  <si>
    <t>CGL_RS09825</t>
  </si>
  <si>
    <t>30S ribosomal protein S15</t>
  </si>
  <si>
    <t>rpsO</t>
  </si>
  <si>
    <t>WP_003857482.1</t>
  </si>
  <si>
    <t>CGL_RS09830</t>
  </si>
  <si>
    <t>WP_011014797.1</t>
  </si>
  <si>
    <t>CGL_RS09835</t>
  </si>
  <si>
    <t>bifunctional riboflavin kinase/FAD synthetase</t>
  </si>
  <si>
    <t>WP_011014798.1</t>
  </si>
  <si>
    <t>CGL_RS09840</t>
  </si>
  <si>
    <t>tRNA pseudouridine(55) synthase TruB</t>
  </si>
  <si>
    <t>truB</t>
  </si>
  <si>
    <t>WP_011014799.1</t>
  </si>
  <si>
    <t>CGL_RS09845</t>
  </si>
  <si>
    <t>4'-phosphopantetheinyl transferase family protein</t>
  </si>
  <si>
    <t>WP_003857486.1</t>
  </si>
  <si>
    <t>CGL_RS09850</t>
  </si>
  <si>
    <t>WP_003857487.1</t>
  </si>
  <si>
    <t>CGL_RS09855</t>
  </si>
  <si>
    <t>MATE family efflux transporter</t>
  </si>
  <si>
    <t>WP_011265854.1</t>
  </si>
  <si>
    <t>CGL_RS09860</t>
  </si>
  <si>
    <t>WP_011014801.1</t>
  </si>
  <si>
    <t>CGL_RS09865</t>
  </si>
  <si>
    <t>30S ribosome-binding factor RbfA</t>
  </si>
  <si>
    <t>rbfA</t>
  </si>
  <si>
    <t>WP_003861694.1</t>
  </si>
  <si>
    <t>CGL_RS09870</t>
  </si>
  <si>
    <t>translation initiation factor IF-2</t>
  </si>
  <si>
    <t>infB</t>
  </si>
  <si>
    <t>WP_011014802.1</t>
  </si>
  <si>
    <t>CGL_RS09875</t>
  </si>
  <si>
    <t>YlxR family protein</t>
  </si>
  <si>
    <t>WP_011014803.1</t>
  </si>
  <si>
    <t>CGL_RS09880</t>
  </si>
  <si>
    <t>transcription termination factor NusA</t>
  </si>
  <si>
    <t>nusA</t>
  </si>
  <si>
    <t>WP_003861701.1</t>
  </si>
  <si>
    <t>CGL_RS09885</t>
  </si>
  <si>
    <t>ribosome maturation factor RimP</t>
  </si>
  <si>
    <t>rimP</t>
  </si>
  <si>
    <t>WP_011014804.1</t>
  </si>
  <si>
    <t>CGL_RS09890</t>
  </si>
  <si>
    <t>DUF4439 domain-containing protein</t>
  </si>
  <si>
    <t>WP_011014805.1</t>
  </si>
  <si>
    <t>CGL_RS09895</t>
  </si>
  <si>
    <t>peptide ABC transporter substrate-binding protein</t>
  </si>
  <si>
    <t>WP_011014806.1</t>
  </si>
  <si>
    <t>CGL_RS09900</t>
  </si>
  <si>
    <t>WP_003857497.1</t>
  </si>
  <si>
    <t>CGL_RS09905</t>
  </si>
  <si>
    <t>WP_006284211.1</t>
  </si>
  <si>
    <t>CGL_RS09910</t>
  </si>
  <si>
    <t>WP_011014807.1</t>
  </si>
  <si>
    <t>CGL_RS09915</t>
  </si>
  <si>
    <t>proline--tRNA ligase</t>
  </si>
  <si>
    <t>WP_003857500.1</t>
  </si>
  <si>
    <t>CGL_RS09920</t>
  </si>
  <si>
    <t>peroxide stress protein YaaA</t>
  </si>
  <si>
    <t>yaaA</t>
  </si>
  <si>
    <t>WP_011014808.1</t>
  </si>
  <si>
    <t>CGL_RS09925</t>
  </si>
  <si>
    <t>WP_041625498.1</t>
  </si>
  <si>
    <t>CGL_RS09930</t>
  </si>
  <si>
    <t>WP_011014810.1</t>
  </si>
  <si>
    <t>CGL_RS09935</t>
  </si>
  <si>
    <t>uroporphyrinogen-III C-methyltransferase</t>
  </si>
  <si>
    <t>cobA</t>
  </si>
  <si>
    <t>WP_011014811.1</t>
  </si>
  <si>
    <t>CGL_RS09940</t>
  </si>
  <si>
    <t>protein adenylyltransferase SelO</t>
  </si>
  <si>
    <t>WP_011014812.1</t>
  </si>
  <si>
    <t>CGL_RS09945</t>
  </si>
  <si>
    <t>WP_011014813.1</t>
  </si>
  <si>
    <t>CGL_RS09950</t>
  </si>
  <si>
    <t>malate dehydrogenase (quinone)</t>
  </si>
  <si>
    <t>mqo</t>
  </si>
  <si>
    <t>WP_011014814.1</t>
  </si>
  <si>
    <t>CGL_RS09955</t>
  </si>
  <si>
    <t>WP_003861718.1</t>
  </si>
  <si>
    <t>CGL_RS09960</t>
  </si>
  <si>
    <t>mycothione reductase</t>
  </si>
  <si>
    <t>mtr</t>
  </si>
  <si>
    <t>WP_011014816.1</t>
  </si>
  <si>
    <t>CGL_RS09965</t>
  </si>
  <si>
    <t>WP_011014817.1</t>
  </si>
  <si>
    <t>CGL_RS09970</t>
  </si>
  <si>
    <t>WP_011014818.1</t>
  </si>
  <si>
    <t>CGL_RS09975</t>
  </si>
  <si>
    <t>WP_011265857.1</t>
  </si>
  <si>
    <t>CGL_RS09980</t>
  </si>
  <si>
    <t>WP_020948601.1</t>
  </si>
  <si>
    <t>CGL_RS09985</t>
  </si>
  <si>
    <t>WP_011014821.1</t>
  </si>
  <si>
    <t>CGL_RS09990</t>
  </si>
  <si>
    <t>WP_011014822.1</t>
  </si>
  <si>
    <t>CGL_RS09995</t>
  </si>
  <si>
    <t>WP_003857531.1</t>
  </si>
  <si>
    <t>CGL_RS10000</t>
  </si>
  <si>
    <t>WP_011014823.1</t>
  </si>
  <si>
    <t>CGL_RS10005</t>
  </si>
  <si>
    <t>WP_003857536.1</t>
  </si>
  <si>
    <t>CGL_RS10010</t>
  </si>
  <si>
    <t>flavodoxin-dependent (E)-4-hydroxy-3-methylbut-2-enyl-diphosphate synthase</t>
  </si>
  <si>
    <t>ispG</t>
  </si>
  <si>
    <t>WP_003857537.1</t>
  </si>
  <si>
    <t>CGL_RS10015</t>
  </si>
  <si>
    <t>M50 family metallopeptidase</t>
  </si>
  <si>
    <t>WP_011014824.1</t>
  </si>
  <si>
    <t>CGL_RS10020</t>
  </si>
  <si>
    <t>1-deoxy-D-xylulose-5-phosphate reductoisomerase</t>
  </si>
  <si>
    <t>dxr</t>
  </si>
  <si>
    <t>WP_011014825.1</t>
  </si>
  <si>
    <t>CGL_RS10025</t>
  </si>
  <si>
    <t>DUF2631 domain-containing protein</t>
  </si>
  <si>
    <t>WP_003857542.1</t>
  </si>
  <si>
    <t>CGL_RS10030</t>
  </si>
  <si>
    <t>WP_011014826.1</t>
  </si>
  <si>
    <t>CGL_RS10035</t>
  </si>
  <si>
    <t>WP_003861735.1</t>
  </si>
  <si>
    <t>CGL_RS10040</t>
  </si>
  <si>
    <t>23S rRNA (adenine(2503)-C(2))-methyltransferase RlmN</t>
  </si>
  <si>
    <t>rlmN</t>
  </si>
  <si>
    <t>WP_003861738.1</t>
  </si>
  <si>
    <t>CGL_RS10045</t>
  </si>
  <si>
    <t>LapA family protein</t>
  </si>
  <si>
    <t>WP_011897422.1</t>
  </si>
  <si>
    <t>CGL_RS10050</t>
  </si>
  <si>
    <t>phosphatidate cytidylyltransferase</t>
  </si>
  <si>
    <t>WP_003857552.1</t>
  </si>
  <si>
    <t>CGL_RS10055</t>
  </si>
  <si>
    <t>ribosome recycling factor</t>
  </si>
  <si>
    <t>frr</t>
  </si>
  <si>
    <t>WP_011014829.1</t>
  </si>
  <si>
    <t>CGL_RS10060</t>
  </si>
  <si>
    <t>UMP kinase</t>
  </si>
  <si>
    <t>pyrH</t>
  </si>
  <si>
    <t>WP_006284182.1</t>
  </si>
  <si>
    <t>CGL_RS10065</t>
  </si>
  <si>
    <t>translation elongation factor Ts</t>
  </si>
  <si>
    <t>tsf</t>
  </si>
  <si>
    <t>WP_011014830.1</t>
  </si>
  <si>
    <t>CGL_RS10070</t>
  </si>
  <si>
    <t>30S ribosomal protein S2</t>
  </si>
  <si>
    <t>rpsB</t>
  </si>
  <si>
    <t>WP_011014831.1</t>
  </si>
  <si>
    <t>CGL_RS10075</t>
  </si>
  <si>
    <t>WP_011014832.1</t>
  </si>
  <si>
    <t>CGL_RS10080</t>
  </si>
  <si>
    <t>tyrosine recombinase XerC</t>
  </si>
  <si>
    <t>WP_011014833.1</t>
  </si>
  <si>
    <t>CGL_RS10085</t>
  </si>
  <si>
    <t>DNA-processing protein DprA</t>
  </si>
  <si>
    <t>dprA</t>
  </si>
  <si>
    <t>WP_003861752.1</t>
  </si>
  <si>
    <t>CGL_RS10090</t>
  </si>
  <si>
    <t>YifB family Mg chelatase-like AAA ATPase</t>
  </si>
  <si>
    <t>WP_011014834.1</t>
  </si>
  <si>
    <t>CGL_RS10095</t>
  </si>
  <si>
    <t>YraN family protein</t>
  </si>
  <si>
    <t>WP_011014835.1</t>
  </si>
  <si>
    <t>CGL_RS10100</t>
  </si>
  <si>
    <t>DUF2469 domain-containing protein</t>
  </si>
  <si>
    <t>WP_003857573.1</t>
  </si>
  <si>
    <t>CGL_RS10105</t>
  </si>
  <si>
    <t>ribonuclease HII</t>
  </si>
  <si>
    <t>WP_003861890.1</t>
  </si>
  <si>
    <t>CGL_RS10110</t>
  </si>
  <si>
    <t>signal peptidase I</t>
  </si>
  <si>
    <t>lepB</t>
  </si>
  <si>
    <t>WP_011014836.1</t>
  </si>
  <si>
    <t>CGL_RS10115</t>
  </si>
  <si>
    <t>WP_011265861.1</t>
  </si>
  <si>
    <t>CGL_RS10120</t>
  </si>
  <si>
    <t>50S ribosomal protein L19</t>
  </si>
  <si>
    <t>rplS</t>
  </si>
  <si>
    <t>WP_011014838.1</t>
  </si>
  <si>
    <t>CGL_RS10125</t>
  </si>
  <si>
    <t>thiamine phosphate synthase</t>
  </si>
  <si>
    <t>WP_011014839.1</t>
  </si>
  <si>
    <t>CGL_RS10130</t>
  </si>
  <si>
    <t>glycine oxidase ThiO</t>
  </si>
  <si>
    <t>thiO</t>
  </si>
  <si>
    <t>WP_003861894.1</t>
  </si>
  <si>
    <t>CGL_RS10135</t>
  </si>
  <si>
    <t>sulfur carrier protein ThiS</t>
  </si>
  <si>
    <t>thiS</t>
  </si>
  <si>
    <t>WP_003857586.1</t>
  </si>
  <si>
    <t>CGL_RS10140</t>
  </si>
  <si>
    <t>thiazole synthase</t>
  </si>
  <si>
    <t>WP_003857587.1</t>
  </si>
  <si>
    <t>CGL_RS10145</t>
  </si>
  <si>
    <t>WP_011014840.1</t>
  </si>
  <si>
    <t>CGL_RS10150</t>
  </si>
  <si>
    <t>Tex family protein</t>
  </si>
  <si>
    <t>WP_011014841.1</t>
  </si>
  <si>
    <t>CGL_RS10155</t>
  </si>
  <si>
    <t>WP_003857593.1</t>
  </si>
  <si>
    <t>CGL_RS10160</t>
  </si>
  <si>
    <t>DASS family sodium-coupled anion symporter</t>
  </si>
  <si>
    <t>WP_011265863.1</t>
  </si>
  <si>
    <t>CGL_RS10165</t>
  </si>
  <si>
    <t>adenylosuccinate lyase</t>
  </si>
  <si>
    <t>WP_011014843.1</t>
  </si>
  <si>
    <t>CGL_RS10170</t>
  </si>
  <si>
    <t>WP_011014844.1</t>
  </si>
  <si>
    <t>CGL_RS10175</t>
  </si>
  <si>
    <t>WP_003856330.1</t>
  </si>
  <si>
    <t>CGL_RS10180</t>
  </si>
  <si>
    <t>tRNA (guanosine(37)-N1)-methyltransferase TrmD</t>
  </si>
  <si>
    <t>trmD</t>
  </si>
  <si>
    <t>WP_011014845.1</t>
  </si>
  <si>
    <t>CGL_RS10185</t>
  </si>
  <si>
    <t>DUF4232 domain-containing protein</t>
  </si>
  <si>
    <t>WP_011014846.1</t>
  </si>
  <si>
    <t>CGL_RS10190</t>
  </si>
  <si>
    <t>ribosome maturation factor RimM</t>
  </si>
  <si>
    <t>rimM</t>
  </si>
  <si>
    <t>WP_011014847.1</t>
  </si>
  <si>
    <t>CGL_RS10195</t>
  </si>
  <si>
    <t>WP_003861911.1</t>
  </si>
  <si>
    <t>CGL_RS10200</t>
  </si>
  <si>
    <t>30S ribosomal protein S16</t>
  </si>
  <si>
    <t>rpsP</t>
  </si>
  <si>
    <t>WP_011014848.1</t>
  </si>
  <si>
    <t>CGL_RS10205</t>
  </si>
  <si>
    <t>WP_003856346.1</t>
  </si>
  <si>
    <t>CGL_RS10210</t>
  </si>
  <si>
    <t>WP_011014849.1</t>
  </si>
  <si>
    <t>CGL_RS10215</t>
  </si>
  <si>
    <t>WP_011014850.1</t>
  </si>
  <si>
    <t>CGL_RS10220</t>
  </si>
  <si>
    <t>signal recognition particle protein</t>
  </si>
  <si>
    <t>ffh</t>
  </si>
  <si>
    <t>WP_011014851.1</t>
  </si>
  <si>
    <t>CGL_RS10225</t>
  </si>
  <si>
    <t>[protein-PII] uridylyltransferase</t>
  </si>
  <si>
    <t>WP_011014852.1</t>
  </si>
  <si>
    <t>CGL_RS10230</t>
  </si>
  <si>
    <t>P-II family nitrogen regulator GlnK</t>
  </si>
  <si>
    <t>glnK</t>
  </si>
  <si>
    <t>WP_011014853.1</t>
  </si>
  <si>
    <t>CGL_RS10235</t>
  </si>
  <si>
    <t>WP_011014854.1</t>
  </si>
  <si>
    <t>CGL_RS10240</t>
  </si>
  <si>
    <t>signal recognition particle-docking protein FtsY</t>
  </si>
  <si>
    <t>ftsY</t>
  </si>
  <si>
    <t>WP_011014855.1</t>
  </si>
  <si>
    <t>CGL_RS10245</t>
  </si>
  <si>
    <t>WP_011014856.1</t>
  </si>
  <si>
    <t>CGL_RS10250</t>
  </si>
  <si>
    <t>chromosome segregation protein SMC</t>
  </si>
  <si>
    <t>smc</t>
  </si>
  <si>
    <t>WP_011014857.1</t>
  </si>
  <si>
    <t>CGL_RS10255</t>
  </si>
  <si>
    <t>acylphosphatase</t>
  </si>
  <si>
    <t>WP_003856367.1</t>
  </si>
  <si>
    <t>CGL_RS10260</t>
  </si>
  <si>
    <t>WP_011265868.1</t>
  </si>
  <si>
    <t>CGL_RS10265</t>
  </si>
  <si>
    <t>WP_011014859.1</t>
  </si>
  <si>
    <t>CGL_RS10270</t>
  </si>
  <si>
    <t>WP_011014860.1</t>
  </si>
  <si>
    <t>CGL_RS10275</t>
  </si>
  <si>
    <t>WP_011014861.1</t>
  </si>
  <si>
    <t>CGL_RS10280</t>
  </si>
  <si>
    <t>cation transporter</t>
  </si>
  <si>
    <t>WP_011014862.1</t>
  </si>
  <si>
    <t>CGL_RS10285</t>
  </si>
  <si>
    <t>bifunctional DNA-formamidopyrimidine glycosylase/DNA-(apurinic or apyrimidinic site) lyase</t>
  </si>
  <si>
    <t>mutM</t>
  </si>
  <si>
    <t>WP_011014863.1</t>
  </si>
  <si>
    <t>CGL_RS10290</t>
  </si>
  <si>
    <t>ribonuclease III</t>
  </si>
  <si>
    <t>rnc</t>
  </si>
  <si>
    <t>WP_003861938.1</t>
  </si>
  <si>
    <t>CGL_RS10295</t>
  </si>
  <si>
    <t>YceD family protein</t>
  </si>
  <si>
    <t>WP_003861940.1</t>
  </si>
  <si>
    <t>CGL_RS10300</t>
  </si>
  <si>
    <t>DivIVA domain-containing protein</t>
  </si>
  <si>
    <t>WP_003861943.1</t>
  </si>
  <si>
    <t>CGL_RS10305</t>
  </si>
  <si>
    <t>WP_011265869.1</t>
  </si>
  <si>
    <t>CGL_RS10310</t>
  </si>
  <si>
    <t>amino acid ABC transporter ATP-binding/permease protein</t>
  </si>
  <si>
    <t>WP_011014865.1</t>
  </si>
  <si>
    <t>CGL_RS10315</t>
  </si>
  <si>
    <t>NADP-specific glutamate dehydrogenase</t>
  </si>
  <si>
    <t>gdhA</t>
  </si>
  <si>
    <t>WP_003856385.1</t>
  </si>
  <si>
    <t>CGL_RS10320</t>
  </si>
  <si>
    <t>WP_011014866.1</t>
  </si>
  <si>
    <t>CGL_RS10325</t>
  </si>
  <si>
    <t>WP_003856390.1</t>
  </si>
  <si>
    <t>CGL_RS10330</t>
  </si>
  <si>
    <t>DUF4921 family protein</t>
  </si>
  <si>
    <t>WP_011014867.1</t>
  </si>
  <si>
    <t>CGL_RS10335</t>
  </si>
  <si>
    <t>amidohydrolase</t>
  </si>
  <si>
    <t>WP_011014868.1</t>
  </si>
  <si>
    <t>CGL_RS10340</t>
  </si>
  <si>
    <t>WP_011014869.1</t>
  </si>
  <si>
    <t>CGL_RS10345</t>
  </si>
  <si>
    <t>WP_011014870.1</t>
  </si>
  <si>
    <t>CGL_RS10350</t>
  </si>
  <si>
    <t>alpha-glucan family phosphorylase</t>
  </si>
  <si>
    <t>glgP</t>
  </si>
  <si>
    <t>WP_231838273.1</t>
  </si>
  <si>
    <t>CGL_RS10355</t>
  </si>
  <si>
    <t>WP_011014872.1</t>
  </si>
  <si>
    <t>CGL_RS10360</t>
  </si>
  <si>
    <t>pyruvate kinase</t>
  </si>
  <si>
    <t>pyk</t>
  </si>
  <si>
    <t>WP_011014873.1</t>
  </si>
  <si>
    <t>CGL_RS10365</t>
  </si>
  <si>
    <t>prolipoprotein diacylglyceryl transferase</t>
  </si>
  <si>
    <t>lgt</t>
  </si>
  <si>
    <t>WP_011014874.1</t>
  </si>
  <si>
    <t>CGL_RS10370</t>
  </si>
  <si>
    <t>indole-3-glycerol-phosphate synthase</t>
  </si>
  <si>
    <t>WP_003856406.1</t>
  </si>
  <si>
    <t>CGL_RS10375</t>
  </si>
  <si>
    <t>TIGR02234 family membrane protein</t>
  </si>
  <si>
    <t>WP_011014875.1</t>
  </si>
  <si>
    <t>CGL_RS10380</t>
  </si>
  <si>
    <t>phosphoribosyl-AMP cyclohydrolase</t>
  </si>
  <si>
    <t>hisI</t>
  </si>
  <si>
    <t>WP_011014876.1</t>
  </si>
  <si>
    <t>CGL_RS10385</t>
  </si>
  <si>
    <t>imidazole glycerol phosphate synthase subunit HisF</t>
  </si>
  <si>
    <t>hisF</t>
  </si>
  <si>
    <t>WP_003856413.1</t>
  </si>
  <si>
    <t>CGL_RS10390</t>
  </si>
  <si>
    <t>WP_003861968.1</t>
  </si>
  <si>
    <t>CGL_RS10395</t>
  </si>
  <si>
    <t>bifunctional 1-(5-phosphoribosyl)-5-((5-phosphoribosylamino)methylideneamino)imidazole-4-carboxamide isomerase/phosphoribosylanthranilate isomerase PriA</t>
  </si>
  <si>
    <t>priA</t>
  </si>
  <si>
    <t>WP_003856418.1</t>
  </si>
  <si>
    <t>CGL_RS10400</t>
  </si>
  <si>
    <t>imidazole glycerol phosphate synthase subunit HisH</t>
  </si>
  <si>
    <t>hisH</t>
  </si>
  <si>
    <t>WP_011014877.1</t>
  </si>
  <si>
    <t>CGL_RS10405</t>
  </si>
  <si>
    <t>CGL_RS15690</t>
  </si>
  <si>
    <t>WP_040968195.1</t>
  </si>
  <si>
    <t>CGL_RS10410</t>
  </si>
  <si>
    <t>WP_011014879.1</t>
  </si>
  <si>
    <t>CGL_RS10415</t>
  </si>
  <si>
    <t>imidazoleglycerol-phosphate dehydratase HisB</t>
  </si>
  <si>
    <t>hisB</t>
  </si>
  <si>
    <t>WP_003861983.1</t>
  </si>
  <si>
    <t>CGL_RS10420</t>
  </si>
  <si>
    <t>WP_011014880.1</t>
  </si>
  <si>
    <t>CGL_RS10425</t>
  </si>
  <si>
    <t>histidinol dehydrogenase</t>
  </si>
  <si>
    <t>hisD</t>
  </si>
  <si>
    <t>WP_011014881.1</t>
  </si>
  <si>
    <t>CGL_RS10430</t>
  </si>
  <si>
    <t>WP_011014882.1</t>
  </si>
  <si>
    <t>CGL_RS10435</t>
  </si>
  <si>
    <t>WP_003861988.1</t>
  </si>
  <si>
    <t>CGL_RS10440</t>
  </si>
  <si>
    <t>WP_011014883.1</t>
  </si>
  <si>
    <t>CGL_RS10445</t>
  </si>
  <si>
    <t>WP_011014884.1</t>
  </si>
  <si>
    <t>CGL_RS10450</t>
  </si>
  <si>
    <t>glycogen debranching protein GlgX</t>
  </si>
  <si>
    <t>glgX</t>
  </si>
  <si>
    <t>WP_011014885.1</t>
  </si>
  <si>
    <t>CGL_RS10455</t>
  </si>
  <si>
    <t>WP_011014886.1</t>
  </si>
  <si>
    <t>CGL_RS10460</t>
  </si>
  <si>
    <t>hydroxypyruvate isomerase family protein</t>
  </si>
  <si>
    <t>WP_011014887.1</t>
  </si>
  <si>
    <t>CGL_RS10465</t>
  </si>
  <si>
    <t>WP_011014888.1</t>
  </si>
  <si>
    <t>CGL_RS10470</t>
  </si>
  <si>
    <t>WP_011014889.1</t>
  </si>
  <si>
    <t>CGL_RS10475</t>
  </si>
  <si>
    <t>WP_003856445.1</t>
  </si>
  <si>
    <t>CGL_RS10480</t>
  </si>
  <si>
    <t>WP_172820752.1</t>
  </si>
  <si>
    <t>CGL_RS10485</t>
  </si>
  <si>
    <t>WP_011265874.1</t>
  </si>
  <si>
    <t>CGL_RS10490</t>
  </si>
  <si>
    <t>WP_003856451.1</t>
  </si>
  <si>
    <t>CGL_RS10495</t>
  </si>
  <si>
    <t>WP_041625511.1</t>
  </si>
  <si>
    <t>CGL_RS10500</t>
  </si>
  <si>
    <t>WP_006284123.1</t>
  </si>
  <si>
    <t>CGL_RS10505</t>
  </si>
  <si>
    <t>malto-oligosyltrehalose synthase</t>
  </si>
  <si>
    <t>treY</t>
  </si>
  <si>
    <t>WP_011014893.1</t>
  </si>
  <si>
    <t>CGL_RS10510</t>
  </si>
  <si>
    <t>WP_003856459.1</t>
  </si>
  <si>
    <t>CGL_RS10515</t>
  </si>
  <si>
    <t>WP_003856460.1</t>
  </si>
  <si>
    <t>CGL_RS15830</t>
  </si>
  <si>
    <t>WP_011265876.1</t>
  </si>
  <si>
    <t>CGL_RS10520</t>
  </si>
  <si>
    <t>WP_020948609.1</t>
  </si>
  <si>
    <t>CGL_RS10525</t>
  </si>
  <si>
    <t>WP_011014896.1</t>
  </si>
  <si>
    <t>CGL_RS10530</t>
  </si>
  <si>
    <t>WP_011014897.1</t>
  </si>
  <si>
    <t>CGL_RS10535</t>
  </si>
  <si>
    <t>WP_003862025.1</t>
  </si>
  <si>
    <t>CGL_RS10540</t>
  </si>
  <si>
    <t>YigZ family protein</t>
  </si>
  <si>
    <t>WP_011014898.1</t>
  </si>
  <si>
    <t>CGL_RS10545</t>
  </si>
  <si>
    <t>malto-oligosyltrehalose trehalohydrolase</t>
  </si>
  <si>
    <t>treZ</t>
  </si>
  <si>
    <t>WP_020948610.1</t>
  </si>
  <si>
    <t>CGL_RS10550</t>
  </si>
  <si>
    <t>threonine ammonia-lyase IlvA</t>
  </si>
  <si>
    <t>ilvA</t>
  </si>
  <si>
    <t>WP_003862033.1</t>
  </si>
  <si>
    <t>CGL_RS10555</t>
  </si>
  <si>
    <t>WP_041625516.1</t>
  </si>
  <si>
    <t>CGL_RS10560</t>
  </si>
  <si>
    <t>cobalamin-independent methionine synthase II family protein</t>
  </si>
  <si>
    <t>WP_003856473.1</t>
  </si>
  <si>
    <t>CGL_RS10565</t>
  </si>
  <si>
    <t>DNA polymerase III subunit alpha</t>
  </si>
  <si>
    <t>dnaE</t>
  </si>
  <si>
    <t>WP_011265882.1</t>
  </si>
  <si>
    <t>CGL_RS10570</t>
  </si>
  <si>
    <t>EamA family transporter RarD</t>
  </si>
  <si>
    <t>rarD</t>
  </si>
  <si>
    <t>WP_011014902.1</t>
  </si>
  <si>
    <t>CGL_RS10575</t>
  </si>
  <si>
    <t>transporter substrate-binding domain-containing protein</t>
  </si>
  <si>
    <t>WP_011014903.1</t>
  </si>
  <si>
    <t>CGL_RS10580</t>
  </si>
  <si>
    <t>WP_011014904.1</t>
  </si>
  <si>
    <t>CGL_RS10585</t>
  </si>
  <si>
    <t>WP_011014905.1</t>
  </si>
  <si>
    <t>CGL_RS10590</t>
  </si>
  <si>
    <t>FAD/NAD(P)-binding protein</t>
  </si>
  <si>
    <t>WP_011265883.1</t>
  </si>
  <si>
    <t>CGL_RS10595</t>
  </si>
  <si>
    <t>pyridoxal-phosphate dependent enzyme</t>
  </si>
  <si>
    <t>WP_011014907.1</t>
  </si>
  <si>
    <t>CGL_RS10600</t>
  </si>
  <si>
    <t>WP_011014908.1</t>
  </si>
  <si>
    <t>CGL_RS10605</t>
  </si>
  <si>
    <t>WP_003856488.1</t>
  </si>
  <si>
    <t>CGL_RS10610</t>
  </si>
  <si>
    <t>signal peptidase II</t>
  </si>
  <si>
    <t>lspA</t>
  </si>
  <si>
    <t>WP_003860409.1</t>
  </si>
  <si>
    <t>CGL_RS10615</t>
  </si>
  <si>
    <t>WP_172820751.1</t>
  </si>
  <si>
    <t>CGL_RS10620</t>
  </si>
  <si>
    <t>WP_011014910.1</t>
  </si>
  <si>
    <t>CGL_RS10625</t>
  </si>
  <si>
    <t>WP_003860404.1</t>
  </si>
  <si>
    <t>CGL_RS10630</t>
  </si>
  <si>
    <t>asparaginase</t>
  </si>
  <si>
    <t>WP_003860401.1</t>
  </si>
  <si>
    <t>CGL_RS10635</t>
  </si>
  <si>
    <t>DNA polymerase IV</t>
  </si>
  <si>
    <t>WP_011014912.1</t>
  </si>
  <si>
    <t>CGL_RS10645</t>
  </si>
  <si>
    <t>WP_011014913.1</t>
  </si>
  <si>
    <t>CGL_RS10650</t>
  </si>
  <si>
    <t>WP_011014914.1</t>
  </si>
  <si>
    <t>CGL_RS10655</t>
  </si>
  <si>
    <t>WP_011014915.1</t>
  </si>
  <si>
    <t>CGL_RS10660</t>
  </si>
  <si>
    <t>isoleucine--tRNA ligase</t>
  </si>
  <si>
    <t>ileS</t>
  </si>
  <si>
    <t>WP_011014916.1</t>
  </si>
  <si>
    <t>CGL_RS10665</t>
  </si>
  <si>
    <t>WP_011265889.1</t>
  </si>
  <si>
    <t>CGL_RS10670</t>
  </si>
  <si>
    <t>WP_003860384.1</t>
  </si>
  <si>
    <t>CGL_RS10675</t>
  </si>
  <si>
    <t>YggT family protein</t>
  </si>
  <si>
    <t>WP_011014917.1</t>
  </si>
  <si>
    <t>CGL_RS10680</t>
  </si>
  <si>
    <t>cell division protein SepF</t>
  </si>
  <si>
    <t>WP_003856516.1</t>
  </si>
  <si>
    <t>CGL_RS10685</t>
  </si>
  <si>
    <t>YggS family pyridoxal phosphate-dependent enzyme</t>
  </si>
  <si>
    <t>WP_011014918.1</t>
  </si>
  <si>
    <t>CGL_RS10690</t>
  </si>
  <si>
    <t>peptidoglycan editing factor PgeF</t>
  </si>
  <si>
    <t>pgeF</t>
  </si>
  <si>
    <t>WP_011014919.1</t>
  </si>
  <si>
    <t>CGL_RS10695</t>
  </si>
  <si>
    <t>cell division protein FtsZ</t>
  </si>
  <si>
    <t>ftsZ</t>
  </si>
  <si>
    <t>WP_011014920.1</t>
  </si>
  <si>
    <t>CGL_RS10700</t>
  </si>
  <si>
    <t>cell division protein FtsQ</t>
  </si>
  <si>
    <t>ftsQ</t>
  </si>
  <si>
    <t>WP_003860375.1</t>
  </si>
  <si>
    <t>CGL_RS10705</t>
  </si>
  <si>
    <t>UDP-N-acetylmuramate--L-alanine ligase</t>
  </si>
  <si>
    <t>murC</t>
  </si>
  <si>
    <t>WP_231838297.1</t>
  </si>
  <si>
    <t>CGL_RS10710</t>
  </si>
  <si>
    <t>undecaprenyldiphospho-muramoylpentapeptide beta-N-acetylglucosaminyltransferase</t>
  </si>
  <si>
    <t>murG</t>
  </si>
  <si>
    <t>WP_003860372.1</t>
  </si>
  <si>
    <t>CGL_RS10715</t>
  </si>
  <si>
    <t>peptidoglycan glycosyltransferase FtsW</t>
  </si>
  <si>
    <t>WP_011014922.1</t>
  </si>
  <si>
    <t>CGL_RS10720</t>
  </si>
  <si>
    <t>UDP-N-acetylmuramoyl-L-alanine--D-glutamate ligase</t>
  </si>
  <si>
    <t>murD</t>
  </si>
  <si>
    <t>WP_011014923.1</t>
  </si>
  <si>
    <t>CGL_RS10725</t>
  </si>
  <si>
    <t>phospho-N-acetylmuramoyl-pentapeptide-transferase</t>
  </si>
  <si>
    <t>mraY</t>
  </si>
  <si>
    <t>WP_011014924.1</t>
  </si>
  <si>
    <t>CGL_RS10730</t>
  </si>
  <si>
    <t>UDP-N-acetylmuramoyl-tripeptide--D-alanyl-D-alanine ligase</t>
  </si>
  <si>
    <t>murF</t>
  </si>
  <si>
    <t>WP_011014925.1</t>
  </si>
  <si>
    <t>CGL_RS10735</t>
  </si>
  <si>
    <t>UDP-N-acetylmuramoyl-L-alanyl-D-glutamate--2,6-diaminopimelate ligase</t>
  </si>
  <si>
    <t>WP_003856539.1</t>
  </si>
  <si>
    <t>CGL_RS10740</t>
  </si>
  <si>
    <t>peptidoglycan D,D-transpeptidase FtsI family protein</t>
  </si>
  <si>
    <t>WP_011014926.1</t>
  </si>
  <si>
    <t>CGL_RS10745</t>
  </si>
  <si>
    <t>WP_011014927.1</t>
  </si>
  <si>
    <t>CGL_RS10750</t>
  </si>
  <si>
    <t>16S rRNA (cytosine(1402)-N(4))-methyltransferase RsmH</t>
  </si>
  <si>
    <t>rsmH</t>
  </si>
  <si>
    <t>WP_003860361.1</t>
  </si>
  <si>
    <t>CGL_RS10755</t>
  </si>
  <si>
    <t>division/cell wall cluster transcriptional repressor MraZ</t>
  </si>
  <si>
    <t>mraZ</t>
  </si>
  <si>
    <t>WP_003856549.1</t>
  </si>
  <si>
    <t>CGL_RS10760</t>
  </si>
  <si>
    <t>CGL_RS10765</t>
  </si>
  <si>
    <t>SAV_6107 family HEPN domain-containing protein</t>
  </si>
  <si>
    <t>WP_011014929.1</t>
  </si>
  <si>
    <t>CGL_RS10770</t>
  </si>
  <si>
    <t>WP_003856553.1</t>
  </si>
  <si>
    <t>CGL_RS10775</t>
  </si>
  <si>
    <t>methylenetetrahydrofolate reductase [NAD(P)H]</t>
  </si>
  <si>
    <t>metF</t>
  </si>
  <si>
    <t>WP_011014930.1</t>
  </si>
  <si>
    <t>CGL_RS10780</t>
  </si>
  <si>
    <t>geranylgeranyl pyrophosphate synthase IdsA</t>
  </si>
  <si>
    <t>idsA</t>
  </si>
  <si>
    <t>WP_011265892.1</t>
  </si>
  <si>
    <t>CGL_RS10785</t>
  </si>
  <si>
    <t>alpha-(1-&gt;6)-mannopyranosyltransferase A</t>
  </si>
  <si>
    <t>WP_011014932.1</t>
  </si>
  <si>
    <t>CGL_RS10790</t>
  </si>
  <si>
    <t>Rv2175c family DNA-binding protein</t>
  </si>
  <si>
    <t>WP_003856558.1</t>
  </si>
  <si>
    <t>CGL_RS10795</t>
  </si>
  <si>
    <t>WP_011014933.1</t>
  </si>
  <si>
    <t>CGL_RS10800</t>
  </si>
  <si>
    <t>glycosyltransferase 87 family protein</t>
  </si>
  <si>
    <t>WP_011014934.1</t>
  </si>
  <si>
    <t>CGL_RS10805</t>
  </si>
  <si>
    <t>alpha-(1-2)-mannopyranosyltransferase MptD</t>
  </si>
  <si>
    <t>mptD</t>
  </si>
  <si>
    <t>WP_011014935.1</t>
  </si>
  <si>
    <t>CGL_RS10810</t>
  </si>
  <si>
    <t>class II 3-deoxy-7-phosphoheptulonate synthase</t>
  </si>
  <si>
    <t>WP_003856581.1</t>
  </si>
  <si>
    <t>CGL_RS10815</t>
  </si>
  <si>
    <t>polyadenylate-specific 3'-exoribonuclease AS</t>
  </si>
  <si>
    <t>WP_003856583.1</t>
  </si>
  <si>
    <t>CGL_RS10820</t>
  </si>
  <si>
    <t>alpha-(1-2)-mannopyranosyltransferase MptC</t>
  </si>
  <si>
    <t>mptC</t>
  </si>
  <si>
    <t>WP_011014937.1</t>
  </si>
  <si>
    <t>CGL_RS10825</t>
  </si>
  <si>
    <t>WP_011014938.1</t>
  </si>
  <si>
    <t>CGL_RS10830</t>
  </si>
  <si>
    <t>WP_011014939.1</t>
  </si>
  <si>
    <t>CGL_RS10835</t>
  </si>
  <si>
    <t>WP_011014940.1</t>
  </si>
  <si>
    <t>CGL_RS10840</t>
  </si>
  <si>
    <t>lysophospholipid acyltransferase family protein</t>
  </si>
  <si>
    <t>WP_011014941.1</t>
  </si>
  <si>
    <t>CGL_RS10845</t>
  </si>
  <si>
    <t>ROK family glucokinase</t>
  </si>
  <si>
    <t>WP_011014942.1</t>
  </si>
  <si>
    <t>CGL_RS10850</t>
  </si>
  <si>
    <t>GDP-mannose-dependent monoacylated alpha-(1-6)-phosphatidylinositol monomannoside mannosyltransferase</t>
  </si>
  <si>
    <t>pimB</t>
  </si>
  <si>
    <t>WP_011014943.1</t>
  </si>
  <si>
    <t>CGL_RS10855</t>
  </si>
  <si>
    <t>NlpC/P60 family protein</t>
  </si>
  <si>
    <t>WP_011265894.1</t>
  </si>
  <si>
    <t>CGL_RS10860</t>
  </si>
  <si>
    <t>WP_011014945.1</t>
  </si>
  <si>
    <t>CGL_RS10865</t>
  </si>
  <si>
    <t>cytochrome bc1 complex cytochrome b subunit</t>
  </si>
  <si>
    <t>qcrB</t>
  </si>
  <si>
    <t>WP_003856609.1</t>
  </si>
  <si>
    <t>CGL_RS10870</t>
  </si>
  <si>
    <t>cytochrome bc1 complex Rieske iron-sulfur subunit</t>
  </si>
  <si>
    <t>WP_011014946.1</t>
  </si>
  <si>
    <t>CGL_RS10875</t>
  </si>
  <si>
    <t>cytochrome bc1 complex diheme cytochrome c subunit</t>
  </si>
  <si>
    <t>WP_172820726.1</t>
  </si>
  <si>
    <t>CGL_RS10880</t>
  </si>
  <si>
    <t>aa3-type cytochrome oxidase subunit III</t>
  </si>
  <si>
    <t>WP_011014948.1</t>
  </si>
  <si>
    <t>CGL_RS10885</t>
  </si>
  <si>
    <t>aa3-type cytochrome oxidase subunit IV</t>
  </si>
  <si>
    <t>WP_011014950.1</t>
  </si>
  <si>
    <t>CGL_RS10890</t>
  </si>
  <si>
    <t>aa3-type cytochrome oxidase subunit II</t>
  </si>
  <si>
    <t>WP_011014951.1</t>
  </si>
  <si>
    <t>CGL_RS10895</t>
  </si>
  <si>
    <t>asparagine synthase (glutamine-hydrolyzing)</t>
  </si>
  <si>
    <t>asnB</t>
  </si>
  <si>
    <t>WP_011014952.1</t>
  </si>
  <si>
    <t>CGL_RS10900</t>
  </si>
  <si>
    <t>HesB/IscA family protein</t>
  </si>
  <si>
    <t>WP_003856623.1</t>
  </si>
  <si>
    <t>CGL_RS10905</t>
  </si>
  <si>
    <t>DUF3043 domain-containing protein</t>
  </si>
  <si>
    <t>WP_020948613.1</t>
  </si>
  <si>
    <t>CGL_RS10910</t>
  </si>
  <si>
    <t>bifunctional adenosylcobinamide kinase/adenosylcobinamide-phosphate guanylyltransferase</t>
  </si>
  <si>
    <t>WP_003856625.1</t>
  </si>
  <si>
    <t>CGL_RS10915</t>
  </si>
  <si>
    <t>nicotinate-nucleotide--dimethylbenzimidazole phosphoribosyltransferase</t>
  </si>
  <si>
    <t>cobT</t>
  </si>
  <si>
    <t>WP_011014954.1</t>
  </si>
  <si>
    <t>CGL_RS10920</t>
  </si>
  <si>
    <t>adenosylcobinamide-GDP ribazoletransferase</t>
  </si>
  <si>
    <t>WP_011014955.1</t>
  </si>
  <si>
    <t>CGL_RS10925</t>
  </si>
  <si>
    <t>WP_003856628.1</t>
  </si>
  <si>
    <t>CGL_RS10930</t>
  </si>
  <si>
    <t>branched-chain amino acid aminotransferase</t>
  </si>
  <si>
    <t>WP_011014956.1</t>
  </si>
  <si>
    <t>CGL_RS10935</t>
  </si>
  <si>
    <t>leucyl aminopeptidase</t>
  </si>
  <si>
    <t>WP_011014957.1</t>
  </si>
  <si>
    <t>CGL_RS10940</t>
  </si>
  <si>
    <t>WP_003856631.1</t>
  </si>
  <si>
    <t>CGL_RS10945</t>
  </si>
  <si>
    <t>2-oxoglutarate dehydrogenase, E2 component, dihydrolipoamide succinyltransferase</t>
  </si>
  <si>
    <t>sucB</t>
  </si>
  <si>
    <t>WP_011014958.1</t>
  </si>
  <si>
    <t>CGL_RS10950</t>
  </si>
  <si>
    <t>lipoyl(octanoyl) transferase LipB</t>
  </si>
  <si>
    <t>lipB</t>
  </si>
  <si>
    <t>WP_003856633.1</t>
  </si>
  <si>
    <t>CGL_RS10955</t>
  </si>
  <si>
    <t>lipoyl synthase</t>
  </si>
  <si>
    <t>lipA</t>
  </si>
  <si>
    <t>WP_003856634.1</t>
  </si>
  <si>
    <t>CGL_RS10960</t>
  </si>
  <si>
    <t>DUF4191 domain-containing protein</t>
  </si>
  <si>
    <t>WP_003859641.1</t>
  </si>
  <si>
    <t>CGL_RS10965</t>
  </si>
  <si>
    <t>WP_003859640.1</t>
  </si>
  <si>
    <t>CGL_RS10970</t>
  </si>
  <si>
    <t>CGL_RS10975</t>
  </si>
  <si>
    <t>WP_003856936.1</t>
  </si>
  <si>
    <t>CGL_RS10980</t>
  </si>
  <si>
    <t>type I glutamate--ammonia ligase</t>
  </si>
  <si>
    <t>glnA</t>
  </si>
  <si>
    <t>WP_011014960.1</t>
  </si>
  <si>
    <t>CGL_RS10985</t>
  </si>
  <si>
    <t>WP_003856940.1</t>
  </si>
  <si>
    <t>CGL_RS15450</t>
  </si>
  <si>
    <t>WP_011014962.1</t>
  </si>
  <si>
    <t>CGL_RS10990</t>
  </si>
  <si>
    <t>WP_003859635.1</t>
  </si>
  <si>
    <t>CGL_RS10995</t>
  </si>
  <si>
    <t>LLM class oxidoreductase</t>
  </si>
  <si>
    <t>WP_011014963.1</t>
  </si>
  <si>
    <t>CGL_RS11000</t>
  </si>
  <si>
    <t>WP_003859631.1</t>
  </si>
  <si>
    <t>CGL_RS11005</t>
  </si>
  <si>
    <t>threonine synthase</t>
  </si>
  <si>
    <t>thrC</t>
  </si>
  <si>
    <t>WP_011014964.1</t>
  </si>
  <si>
    <t>CGL_RS11010</t>
  </si>
  <si>
    <t>WP_011014965.1</t>
  </si>
  <si>
    <t>CGL_RS11015</t>
  </si>
  <si>
    <t>WP_011014966.1</t>
  </si>
  <si>
    <t>CGL_RS11020</t>
  </si>
  <si>
    <t>WP_011014967.1</t>
  </si>
  <si>
    <t>CGL_RS15695</t>
  </si>
  <si>
    <t>WP_231838274.1</t>
  </si>
  <si>
    <t>CGL_RS15700</t>
  </si>
  <si>
    <t>WP_227747714.1</t>
  </si>
  <si>
    <t>CGL_RS15705</t>
  </si>
  <si>
    <t>WP_003859624.1</t>
  </si>
  <si>
    <t>CGL_RS11030</t>
  </si>
  <si>
    <t>heme oxygenase (biliverdin-producing)</t>
  </si>
  <si>
    <t>WP_011014970.1</t>
  </si>
  <si>
    <t>CGL_RS11035</t>
  </si>
  <si>
    <t>bifunctional [glutamine synthetase] adenylyltransferase/[glutamine synthetase]-adenylyl-L-tyrosine phosphorylase</t>
  </si>
  <si>
    <t>WP_011014971.1</t>
  </si>
  <si>
    <t>CGL_RS11040</t>
  </si>
  <si>
    <t>glutamine synthetase family protein</t>
  </si>
  <si>
    <t>WP_003856962.1</t>
  </si>
  <si>
    <t>CGL_RS11045</t>
  </si>
  <si>
    <t>DUF2786 domain-containing protein</t>
  </si>
  <si>
    <t>WP_011014972.1</t>
  </si>
  <si>
    <t>CGL_RS11050</t>
  </si>
  <si>
    <t>CYTH and CHAD domain-containing protein</t>
  </si>
  <si>
    <t>WP_011265901.1</t>
  </si>
  <si>
    <t>CGL_RS11055</t>
  </si>
  <si>
    <t>WP_003856969.1</t>
  </si>
  <si>
    <t>CGL_RS11060</t>
  </si>
  <si>
    <t>galactokinase family protein</t>
  </si>
  <si>
    <t>WP_003856970.1</t>
  </si>
  <si>
    <t>CGL_RS11065</t>
  </si>
  <si>
    <t>ribonuclease R family protein</t>
  </si>
  <si>
    <t>WP_020948617.1</t>
  </si>
  <si>
    <t>CGL_RS11070</t>
  </si>
  <si>
    <t>RNase P RNA component class A</t>
  </si>
  <si>
    <t>rnpB</t>
  </si>
  <si>
    <t>RNase_P_RNA</t>
  </si>
  <si>
    <t>CGL_RS11075</t>
  </si>
  <si>
    <t>bifunctional RNase H/acid phosphatase</t>
  </si>
  <si>
    <t>WP_003859605.1</t>
  </si>
  <si>
    <t>CGL_RS11080</t>
  </si>
  <si>
    <t>zinc ribbon domain-containing protein</t>
  </si>
  <si>
    <t>WP_011014976.1</t>
  </si>
  <si>
    <t>CGL_RS11085</t>
  </si>
  <si>
    <t>Nif3-like dinuclear metal center hexameric protein</t>
  </si>
  <si>
    <t>WP_011014977.1</t>
  </si>
  <si>
    <t>CGL_RS11090</t>
  </si>
  <si>
    <t>WP_003856980.1</t>
  </si>
  <si>
    <t>CGL_RS11095</t>
  </si>
  <si>
    <t>low molecular weight protein-tyrosine-phosphatase</t>
  </si>
  <si>
    <t>WP_011265906.1</t>
  </si>
  <si>
    <t>CGL_RS11100</t>
  </si>
  <si>
    <t>SURF1 family cytochrome oxidase biogenesis protein</t>
  </si>
  <si>
    <t>WP_011265907.1</t>
  </si>
  <si>
    <t>CGL_RS11105</t>
  </si>
  <si>
    <t>CGL_RS11110</t>
  </si>
  <si>
    <t>WP_231838275.1</t>
  </si>
  <si>
    <t>CGL_RS11115</t>
  </si>
  <si>
    <t>CGL_RS11120</t>
  </si>
  <si>
    <t>DUF3052 domain-containing protein</t>
  </si>
  <si>
    <t>WP_003859595.1</t>
  </si>
  <si>
    <t>CGL_RS11125</t>
  </si>
  <si>
    <t>pyruvate dehydrogenase (acetyl-transferring), homodimeric type</t>
  </si>
  <si>
    <t>aceE</t>
  </si>
  <si>
    <t>WP_011014985.1</t>
  </si>
  <si>
    <t>CGL_RS11130</t>
  </si>
  <si>
    <t>WP_003856990.1</t>
  </si>
  <si>
    <t>CGL_RS11135</t>
  </si>
  <si>
    <t>WP_003856992.1</t>
  </si>
  <si>
    <t>CGL_RS11140</t>
  </si>
  <si>
    <t>WP_003856994.1</t>
  </si>
  <si>
    <t>CGL_RS11145</t>
  </si>
  <si>
    <t>CGL_RS15710</t>
  </si>
  <si>
    <t>WP_011014986.1</t>
  </si>
  <si>
    <t>CGL_RS15715</t>
  </si>
  <si>
    <t>WP_003856997.1</t>
  </si>
  <si>
    <t>CGL_RS15720</t>
  </si>
  <si>
    <t>WP_011265913.1</t>
  </si>
  <si>
    <t>CGL_RS11155</t>
  </si>
  <si>
    <t>acyl carrier protein</t>
  </si>
  <si>
    <t>WP_003859586.1</t>
  </si>
  <si>
    <t>CGL_RS11160</t>
  </si>
  <si>
    <t>WP_003859582.1</t>
  </si>
  <si>
    <t>CGL_RS11165</t>
  </si>
  <si>
    <t>App1 family protein</t>
  </si>
  <si>
    <t>WP_011014988.1</t>
  </si>
  <si>
    <t>CGL_RS11170</t>
  </si>
  <si>
    <t>WP_003857008.1</t>
  </si>
  <si>
    <t>CGL_RS11175</t>
  </si>
  <si>
    <t>serine hydrolase domain-containing protein</t>
  </si>
  <si>
    <t>WP_003857011.1</t>
  </si>
  <si>
    <t>CGL_RS11180</t>
  </si>
  <si>
    <t>DUF4274 domain-containing protein</t>
  </si>
  <si>
    <t>WP_011014990.1</t>
  </si>
  <si>
    <t>CGL_RS11185</t>
  </si>
  <si>
    <t>WP_011014991.1</t>
  </si>
  <si>
    <t>CGL_RS11190</t>
  </si>
  <si>
    <t>WP_011014992.1</t>
  </si>
  <si>
    <t>CGL_RS11195</t>
  </si>
  <si>
    <t>WP_011014993.1</t>
  </si>
  <si>
    <t>CGL_RS11200</t>
  </si>
  <si>
    <t>WP_011014994.1</t>
  </si>
  <si>
    <t>CGL_RS11205</t>
  </si>
  <si>
    <t>WP_011014995.1</t>
  </si>
  <si>
    <t>CGL_RS11210</t>
  </si>
  <si>
    <t>CGL_RS11215</t>
  </si>
  <si>
    <t>alkaline phosphatase D family protein</t>
  </si>
  <si>
    <t>WP_011014996.1</t>
  </si>
  <si>
    <t>CGL_RS11220</t>
  </si>
  <si>
    <t>tRNA-Asn</t>
  </si>
  <si>
    <t>CGL_RS11225</t>
  </si>
  <si>
    <t>CGL_RS11230</t>
  </si>
  <si>
    <t>glycoside hydrolase family 15 protein</t>
  </si>
  <si>
    <t>WP_011014997.1</t>
  </si>
  <si>
    <t>CGL_RS11235</t>
  </si>
  <si>
    <t>WP_011014998.1</t>
  </si>
  <si>
    <t>CGL_RS11240</t>
  </si>
  <si>
    <t>DNA primase</t>
  </si>
  <si>
    <t>dnaG</t>
  </si>
  <si>
    <t>WP_003857029.1</t>
  </si>
  <si>
    <t>CGL_RS11245</t>
  </si>
  <si>
    <t>ribonuclease</t>
  </si>
  <si>
    <t>WP_003859561.1</t>
  </si>
  <si>
    <t>CGL_RS11250</t>
  </si>
  <si>
    <t>WP_003857033.1</t>
  </si>
  <si>
    <t>CGL_RS11255</t>
  </si>
  <si>
    <t>glutamine--fructose-6-phosphate transaminase (isomerizing)</t>
  </si>
  <si>
    <t>glmS</t>
  </si>
  <si>
    <t>WP_011015000.1</t>
  </si>
  <si>
    <t>CGL_RS11260</t>
  </si>
  <si>
    <t>deoxyguanosinetriphosphate triphosphohydrolase</t>
  </si>
  <si>
    <t>WP_011015002.1</t>
  </si>
  <si>
    <t>CGL_RS11270</t>
  </si>
  <si>
    <t>WP_011265918.1</t>
  </si>
  <si>
    <t>CGL_RS11275</t>
  </si>
  <si>
    <t>TPM domain-containing protein</t>
  </si>
  <si>
    <t>WP_011015004.1</t>
  </si>
  <si>
    <t>CGL_RS11280</t>
  </si>
  <si>
    <t>WP_011015005.1</t>
  </si>
  <si>
    <t>CGL_RS11285</t>
  </si>
  <si>
    <t>WP_011015006.1</t>
  </si>
  <si>
    <t>CGL_RS11290</t>
  </si>
  <si>
    <t>glycine--tRNA ligase</t>
  </si>
  <si>
    <t>WP_003857047.1</t>
  </si>
  <si>
    <t>CGL_RS11295</t>
  </si>
  <si>
    <t>WP_003857049.1</t>
  </si>
  <si>
    <t>CGL_RS11300</t>
  </si>
  <si>
    <t>Fur family transcriptional regulator</t>
  </si>
  <si>
    <t>WP_011015007.1</t>
  </si>
  <si>
    <t>CGL_RS11305</t>
  </si>
  <si>
    <t>WP_011015008.1</t>
  </si>
  <si>
    <t>CGL_RS11310</t>
  </si>
  <si>
    <t>VIT1/CCC1 transporter family protein</t>
  </si>
  <si>
    <t>WP_011015009.1</t>
  </si>
  <si>
    <t>CGL_RS11315</t>
  </si>
  <si>
    <t>WP_011015010.1</t>
  </si>
  <si>
    <t>CGL_RS11320</t>
  </si>
  <si>
    <t>DNA repair protein RecO</t>
  </si>
  <si>
    <t>recO</t>
  </si>
  <si>
    <t>WP_003859464.1</t>
  </si>
  <si>
    <t>CGL_RS11325</t>
  </si>
  <si>
    <t>GTPase Era</t>
  </si>
  <si>
    <t>era</t>
  </si>
  <si>
    <t>WP_011015011.1</t>
  </si>
  <si>
    <t>CGL_RS11330</t>
  </si>
  <si>
    <t>WP_003859459.1</t>
  </si>
  <si>
    <t>CGL_RS11335</t>
  </si>
  <si>
    <t>rRNA maturation RNase YbeY</t>
  </si>
  <si>
    <t>ybeY</t>
  </si>
  <si>
    <t>WP_011015012.1</t>
  </si>
  <si>
    <t>CGL_RS11340</t>
  </si>
  <si>
    <t>WP_230582022.1</t>
  </si>
  <si>
    <t>CGL_RS11345</t>
  </si>
  <si>
    <t>16S rRNA (uracil(1498)-N(3))-methyltransferase</t>
  </si>
  <si>
    <t>WP_011015014.1</t>
  </si>
  <si>
    <t>CGL_RS11350</t>
  </si>
  <si>
    <t>molecular chaperone DnaJ</t>
  </si>
  <si>
    <t>dnaJ</t>
  </si>
  <si>
    <t>WP_011015015.1</t>
  </si>
  <si>
    <t>CGL_RS11355</t>
  </si>
  <si>
    <t>heat-inducible transcriptional repressor HrcA</t>
  </si>
  <si>
    <t>hrcA</t>
  </si>
  <si>
    <t>WP_003859450.1</t>
  </si>
  <si>
    <t>CGL_RS11360</t>
  </si>
  <si>
    <t>radical SAM family heme chaperone HemW</t>
  </si>
  <si>
    <t>hemW</t>
  </si>
  <si>
    <t>WP_011015017.1</t>
  </si>
  <si>
    <t>CGL_RS11365</t>
  </si>
  <si>
    <t>WP_041625527.1</t>
  </si>
  <si>
    <t>CGL_RS11370</t>
  </si>
  <si>
    <t>WP_003859444.1</t>
  </si>
  <si>
    <t>CGL_RS11375</t>
  </si>
  <si>
    <t>WP_003859442.1</t>
  </si>
  <si>
    <t>CGL_RS11380</t>
  </si>
  <si>
    <t>AMP-dependent synthetase/ligase</t>
  </si>
  <si>
    <t>WP_003859440.1</t>
  </si>
  <si>
    <t>CGL_RS11385</t>
  </si>
  <si>
    <t>4-alpha-glucanotransferase</t>
  </si>
  <si>
    <t>malQ</t>
  </si>
  <si>
    <t>WP_011015019.1</t>
  </si>
  <si>
    <t>CGL_RS11390</t>
  </si>
  <si>
    <t>WP_011015020.1</t>
  </si>
  <si>
    <t>CGL_RS11395</t>
  </si>
  <si>
    <t>WP_003859434.1</t>
  </si>
  <si>
    <t>CGL_RS15460</t>
  </si>
  <si>
    <t>WP_003859432.1</t>
  </si>
  <si>
    <t>CGL_RS11400</t>
  </si>
  <si>
    <t>M3 family metallopeptidase</t>
  </si>
  <si>
    <t>WP_011015021.1</t>
  </si>
  <si>
    <t>CGL_RS11405</t>
  </si>
  <si>
    <t>carboxylesterase family protein</t>
  </si>
  <si>
    <t>WP_011015022.1</t>
  </si>
  <si>
    <t>CGL_RS11410</t>
  </si>
  <si>
    <t>maltose alpha-D-glucosyltransferase</t>
  </si>
  <si>
    <t>treS</t>
  </si>
  <si>
    <t>WP_011265922.1</t>
  </si>
  <si>
    <t>CGL_RS11415</t>
  </si>
  <si>
    <t>trehalose synthase</t>
  </si>
  <si>
    <t>WP_011015024.1</t>
  </si>
  <si>
    <t>CGL_RS11420</t>
  </si>
  <si>
    <t>isopentenyl-diphosphate Delta-isomerase</t>
  </si>
  <si>
    <t>idi</t>
  </si>
  <si>
    <t>WP_020948619.1</t>
  </si>
  <si>
    <t>CGL_RS11425</t>
  </si>
  <si>
    <t>WP_011015026.1</t>
  </si>
  <si>
    <t>CGL_RS11430</t>
  </si>
  <si>
    <t>DUF3558 domain-containing protein</t>
  </si>
  <si>
    <t>WP_011015027.1</t>
  </si>
  <si>
    <t>CGL_RS11435</t>
  </si>
  <si>
    <t>WP_011015028.1</t>
  </si>
  <si>
    <t>CGL_RS11440</t>
  </si>
  <si>
    <t>MalY/PatB family protein</t>
  </si>
  <si>
    <t>WP_011015029.1</t>
  </si>
  <si>
    <t>CGL_RS11445</t>
  </si>
  <si>
    <t>branched-chain amino acid transport system II carrier protein</t>
  </si>
  <si>
    <t>brnQ</t>
  </si>
  <si>
    <t>WP_011015030.1</t>
  </si>
  <si>
    <t>CGL_RS11450</t>
  </si>
  <si>
    <t>WP_011015031.1</t>
  </si>
  <si>
    <t>CGL_RS11455</t>
  </si>
  <si>
    <t>BCCT family transporter</t>
  </si>
  <si>
    <t>WP_011015032.1</t>
  </si>
  <si>
    <t>CGL_RS11460</t>
  </si>
  <si>
    <t>WP_003859410.1</t>
  </si>
  <si>
    <t>CGL_RS11465</t>
  </si>
  <si>
    <t>AEC family transporter</t>
  </si>
  <si>
    <t>WP_003859408.1</t>
  </si>
  <si>
    <t>CGL_RS11470</t>
  </si>
  <si>
    <t>FAD-binding and (Fe-S)-binding domain-containing protein</t>
  </si>
  <si>
    <t>WP_011015033.1</t>
  </si>
  <si>
    <t>CGL_RS11475</t>
  </si>
  <si>
    <t>WP_011265924.1</t>
  </si>
  <si>
    <t>CGL_RS11480</t>
  </si>
  <si>
    <t>WP_011015035.1</t>
  </si>
  <si>
    <t>CGL_RS11485</t>
  </si>
  <si>
    <t>TRAP transporter permease</t>
  </si>
  <si>
    <t>WP_004567745.1</t>
  </si>
  <si>
    <t>CGL_RS11490</t>
  </si>
  <si>
    <t>WP_227747712.1</t>
  </si>
  <si>
    <t>CGL_RS15725</t>
  </si>
  <si>
    <t>WP_011015037.1</t>
  </si>
  <si>
    <t>CGL_RS11500</t>
  </si>
  <si>
    <t>WP_011015038.1</t>
  </si>
  <si>
    <t>CGL_RS11505</t>
  </si>
  <si>
    <t>WP_011015039.1</t>
  </si>
  <si>
    <t>CGL_RS11510</t>
  </si>
  <si>
    <t>dipeptide ABC transporter ATP-binding protein</t>
  </si>
  <si>
    <t>WP_011015040.1</t>
  </si>
  <si>
    <t>CGL_RS11515</t>
  </si>
  <si>
    <t>RNA 2',3'-cyclic phosphodiesterase</t>
  </si>
  <si>
    <t>thpR</t>
  </si>
  <si>
    <t>WP_003859391.1</t>
  </si>
  <si>
    <t>CGL_RS11520</t>
  </si>
  <si>
    <t>WP_011015041.1</t>
  </si>
  <si>
    <t>CGL_RS11525</t>
  </si>
  <si>
    <t>PepSY-associated TM helix domain-containing protein</t>
  </si>
  <si>
    <t>WP_020948620.1</t>
  </si>
  <si>
    <t>CGL_RS11530</t>
  </si>
  <si>
    <t>WP_003859383.1</t>
  </si>
  <si>
    <t>CGL_RS11535</t>
  </si>
  <si>
    <t>D-hexose-6-phosphate mutarotase</t>
  </si>
  <si>
    <t>WP_011265927.1</t>
  </si>
  <si>
    <t>CGL_RS11540</t>
  </si>
  <si>
    <t>malate synthase G</t>
  </si>
  <si>
    <t>glcB</t>
  </si>
  <si>
    <t>WP_011015044.1</t>
  </si>
  <si>
    <t>CGL_RS11545</t>
  </si>
  <si>
    <t>isocitrate lyase</t>
  </si>
  <si>
    <t>aceA</t>
  </si>
  <si>
    <t>WP_003859378.1</t>
  </si>
  <si>
    <t>CGL_RS11550</t>
  </si>
  <si>
    <t>thiamine biosynthesis protein ThiX</t>
  </si>
  <si>
    <t>thiX</t>
  </si>
  <si>
    <t>WP_011015045.1</t>
  </si>
  <si>
    <t>CGL_RS11555</t>
  </si>
  <si>
    <t>WP_011015046.1</t>
  </si>
  <si>
    <t>CGL_RS11560</t>
  </si>
  <si>
    <t>WP_011015047.1</t>
  </si>
  <si>
    <t>CGL_RS11565</t>
  </si>
  <si>
    <t>three-helix bundle dimerization domain-containing protein</t>
  </si>
  <si>
    <t>WP_003859360.1</t>
  </si>
  <si>
    <t>CGL_RS11570</t>
  </si>
  <si>
    <t>WP_011015048.1</t>
  </si>
  <si>
    <t>CGL_RS11575</t>
  </si>
  <si>
    <t>lamin tail domain-containing protein</t>
  </si>
  <si>
    <t>WP_011015049.1</t>
  </si>
  <si>
    <t>CGL_RS11580</t>
  </si>
  <si>
    <t>WP_011015050.1</t>
  </si>
  <si>
    <t>CGL_RS11585</t>
  </si>
  <si>
    <t>TRAP transporter large permease</t>
  </si>
  <si>
    <t>WP_011015051.1</t>
  </si>
  <si>
    <t>CGL_RS11590</t>
  </si>
  <si>
    <t>TRAP transporter small permease</t>
  </si>
  <si>
    <t>WP_011015052.1</t>
  </si>
  <si>
    <t>CGL_RS11595</t>
  </si>
  <si>
    <t>TRAP transporter substrate-binding protein DctP</t>
  </si>
  <si>
    <t>dctP</t>
  </si>
  <si>
    <t>WP_227747711.1</t>
  </si>
  <si>
    <t>CGL_RS11600</t>
  </si>
  <si>
    <t>translation elongation factor 4</t>
  </si>
  <si>
    <t>lepA</t>
  </si>
  <si>
    <t>WP_011015054.1</t>
  </si>
  <si>
    <t>CGL_RS11605</t>
  </si>
  <si>
    <t>type II toxin-antitoxin system PemK/MazF family toxin</t>
  </si>
  <si>
    <t>WP_003859345.1</t>
  </si>
  <si>
    <t>CGL_RS11610</t>
  </si>
  <si>
    <t>30S ribosomal protein S20</t>
  </si>
  <si>
    <t>rpsT</t>
  </si>
  <si>
    <t>WP_003859343.1</t>
  </si>
  <si>
    <t>CGL_RS11615</t>
  </si>
  <si>
    <t>WP_011015055.1</t>
  </si>
  <si>
    <t>CGL_RS11620</t>
  </si>
  <si>
    <t>WP_011265930.1</t>
  </si>
  <si>
    <t>CGL_RS11625</t>
  </si>
  <si>
    <t>DNA polymerase III subunit delta</t>
  </si>
  <si>
    <t>holA</t>
  </si>
  <si>
    <t>WP_011015057.1</t>
  </si>
  <si>
    <t>CGL_RS11630</t>
  </si>
  <si>
    <t>ComEC/Rec2 family competence protein</t>
  </si>
  <si>
    <t>WP_011015058.1</t>
  </si>
  <si>
    <t>CGL_RS11635</t>
  </si>
  <si>
    <t>ComEA family DNA-binding protein</t>
  </si>
  <si>
    <t>WP_011015059.1</t>
  </si>
  <si>
    <t>CGL_RS11640</t>
  </si>
  <si>
    <t>DegV family protein</t>
  </si>
  <si>
    <t>WP_011015060.1</t>
  </si>
  <si>
    <t>CGL_RS11645</t>
  </si>
  <si>
    <t>WP_003859329.1</t>
  </si>
  <si>
    <t>CGL_RS11650</t>
  </si>
  <si>
    <t>ribosome silencing factor</t>
  </si>
  <si>
    <t>rsfS</t>
  </si>
  <si>
    <t>WP_003859327.1</t>
  </si>
  <si>
    <t>CGL_RS11655</t>
  </si>
  <si>
    <t>nicotinate-nucleotide adenylyltransferase</t>
  </si>
  <si>
    <t>nadD</t>
  </si>
  <si>
    <t>WP_011015061.1</t>
  </si>
  <si>
    <t>CGL_RS11660</t>
  </si>
  <si>
    <t>PE-PPE domain-containing protein</t>
  </si>
  <si>
    <t>WP_011015062.1</t>
  </si>
  <si>
    <t>CGL_RS11665</t>
  </si>
  <si>
    <t>glutamate-5-semialdehyde dehydrogenase</t>
  </si>
  <si>
    <t>WP_003859321.1</t>
  </si>
  <si>
    <t>CGL_RS11670</t>
  </si>
  <si>
    <t>WP_003859319.1</t>
  </si>
  <si>
    <t>CGL_RS11675</t>
  </si>
  <si>
    <t>glutamate 5-kinase</t>
  </si>
  <si>
    <t>proB</t>
  </si>
  <si>
    <t>WP_011015063.1</t>
  </si>
  <si>
    <t>CGL_RS11680</t>
  </si>
  <si>
    <t>GTPase ObgE</t>
  </si>
  <si>
    <t>obgE</t>
  </si>
  <si>
    <t>WP_011015064.1</t>
  </si>
  <si>
    <t>CGL_RS11685</t>
  </si>
  <si>
    <t>solute carrier family 23 protein</t>
  </si>
  <si>
    <t>WP_011015065.1</t>
  </si>
  <si>
    <t>CGL_RS11690</t>
  </si>
  <si>
    <t>WP_011265932.1</t>
  </si>
  <si>
    <t>CGL_RS11695</t>
  </si>
  <si>
    <t>WP_011015067.1</t>
  </si>
  <si>
    <t>CGL_RS11700</t>
  </si>
  <si>
    <t>WP_003859305.1</t>
  </si>
  <si>
    <t>CGL_RS11705</t>
  </si>
  <si>
    <t>50S ribosomal protein L27</t>
  </si>
  <si>
    <t>rpmA</t>
  </si>
  <si>
    <t>WP_003859304.1</t>
  </si>
  <si>
    <t>CGL_RS11710</t>
  </si>
  <si>
    <t>50S ribosomal protein L21</t>
  </si>
  <si>
    <t>rplU</t>
  </si>
  <si>
    <t>WP_003859302.1</t>
  </si>
  <si>
    <t>CGL_RS11715</t>
  </si>
  <si>
    <t>translation initiation factor IF-2 N-terminal domain-containing protein</t>
  </si>
  <si>
    <t>WP_011015068.1</t>
  </si>
  <si>
    <t>CGL_RS11720</t>
  </si>
  <si>
    <t>WP_011015069.1</t>
  </si>
  <si>
    <t>CGL_RS11725</t>
  </si>
  <si>
    <t>CGL_RS11730</t>
  </si>
  <si>
    <t>WP_011015071.1</t>
  </si>
  <si>
    <t>CGL_RS11735</t>
  </si>
  <si>
    <t>CGL_RS11740</t>
  </si>
  <si>
    <t>WP_004567670.1</t>
  </si>
  <si>
    <t>CGL_RS11745</t>
  </si>
  <si>
    <t>nucleoside-diphosphate kinase</t>
  </si>
  <si>
    <t>ndk</t>
  </si>
  <si>
    <t>WP_003859294.1</t>
  </si>
  <si>
    <t>CGL_RS11750</t>
  </si>
  <si>
    <t>WP_011015073.1</t>
  </si>
  <si>
    <t>CGL_RS11755</t>
  </si>
  <si>
    <t>WP_003859291.1</t>
  </si>
  <si>
    <t>CGL_RS11760</t>
  </si>
  <si>
    <t>WP_003859290.1</t>
  </si>
  <si>
    <t>CGL_RS11765</t>
  </si>
  <si>
    <t>DUF4233 domain-containing protein</t>
  </si>
  <si>
    <t>WP_004567665.1</t>
  </si>
  <si>
    <t>CGL_RS11770</t>
  </si>
  <si>
    <t>bifunctional tetrahydrofolate synthase/dihydrofolate synthase</t>
  </si>
  <si>
    <t>folC</t>
  </si>
  <si>
    <t>WP_011265933.1</t>
  </si>
  <si>
    <t>CGL_RS11775</t>
  </si>
  <si>
    <t>valine--tRNA ligase</t>
  </si>
  <si>
    <t>WP_011015075.1</t>
  </si>
  <si>
    <t>CGL_RS11780</t>
  </si>
  <si>
    <t>WP_011015076.1</t>
  </si>
  <si>
    <t>CGL_RS11785</t>
  </si>
  <si>
    <t>Hsp70 family protein</t>
  </si>
  <si>
    <t>WP_011015077.1</t>
  </si>
  <si>
    <t>CGL_RS11790</t>
  </si>
  <si>
    <t>WP_011015078.1</t>
  </si>
  <si>
    <t>CGL_RS11795</t>
  </si>
  <si>
    <t>malate dehydrogenase</t>
  </si>
  <si>
    <t>WP_011015079.1</t>
  </si>
  <si>
    <t>CGL_RS11800</t>
  </si>
  <si>
    <t>WP_011015080.1</t>
  </si>
  <si>
    <t>CGL_RS11805</t>
  </si>
  <si>
    <t>WP_208400921.1</t>
  </si>
  <si>
    <t>CGL_RS11810</t>
  </si>
  <si>
    <t>aromatic ring-hydroxylating oxygenase subunit alpha</t>
  </si>
  <si>
    <t>WP_011015082.1</t>
  </si>
  <si>
    <t>CGL_RS11815</t>
  </si>
  <si>
    <t>PDR/VanB family oxidoreductase</t>
  </si>
  <si>
    <t>WP_003859269.1</t>
  </si>
  <si>
    <t>CGL_RS11820</t>
  </si>
  <si>
    <t>WP_011015083.1</t>
  </si>
  <si>
    <t>CGL_RS11825</t>
  </si>
  <si>
    <t>WP_011015084.1</t>
  </si>
  <si>
    <t>CGL_RS11830</t>
  </si>
  <si>
    <t>ATP-dependent Clp protease ATP-binding subunit ClpX</t>
  </si>
  <si>
    <t>clpX</t>
  </si>
  <si>
    <t>WP_011015085.1</t>
  </si>
  <si>
    <t>CGL_RS11835</t>
  </si>
  <si>
    <t>WP_011015086.1</t>
  </si>
  <si>
    <t>CGL_RS11840</t>
  </si>
  <si>
    <t>CoA transferase subunit B</t>
  </si>
  <si>
    <t>WP_003859257.1</t>
  </si>
  <si>
    <t>CGL_RS11845</t>
  </si>
  <si>
    <t>CoA transferase subunit A</t>
  </si>
  <si>
    <t>WP_003859254.1</t>
  </si>
  <si>
    <t>CGL_RS11850</t>
  </si>
  <si>
    <t>IclR family transcriptional regulator domain-containing protein</t>
  </si>
  <si>
    <t>WP_011015087.1</t>
  </si>
  <si>
    <t>CGL_RS11855</t>
  </si>
  <si>
    <t>acetyl-CoA C-acetyltransferase</t>
  </si>
  <si>
    <t>WP_003859251.1</t>
  </si>
  <si>
    <t>CGL_RS11860</t>
  </si>
  <si>
    <t>3-oxoadipate enol-lactonase</t>
  </si>
  <si>
    <t>pcaD</t>
  </si>
  <si>
    <t>WP_011015088.1</t>
  </si>
  <si>
    <t>CGL_RS11865</t>
  </si>
  <si>
    <t>LuxR family transcriptional regulator</t>
  </si>
  <si>
    <t>WP_011015089.1</t>
  </si>
  <si>
    <t>CGL_RS11870</t>
  </si>
  <si>
    <t>4-carboxymuconolactone decarboxylase</t>
  </si>
  <si>
    <t>pcaC</t>
  </si>
  <si>
    <t>WP_003859243.1</t>
  </si>
  <si>
    <t>CGL_RS11875</t>
  </si>
  <si>
    <t>3-carboxy-cis,cis-muconate cycloisomerase</t>
  </si>
  <si>
    <t>pcaB</t>
  </si>
  <si>
    <t>WP_011015090.1</t>
  </si>
  <si>
    <t>CGL_RS11880</t>
  </si>
  <si>
    <t>protocatechuate 3,4-dioxygenase subunit alpha</t>
  </si>
  <si>
    <t>pcaG</t>
  </si>
  <si>
    <t>WP_004567634.1</t>
  </si>
  <si>
    <t>CGL_RS11885</t>
  </si>
  <si>
    <t>pcaH</t>
  </si>
  <si>
    <t>WP_003859237.1</t>
  </si>
  <si>
    <t>CGL_RS11890</t>
  </si>
  <si>
    <t>WP_011015091.1</t>
  </si>
  <si>
    <t>CGL_RS11895</t>
  </si>
  <si>
    <t>muconolactone Delta-isomerase</t>
  </si>
  <si>
    <t>catC</t>
  </si>
  <si>
    <t>WP_003859234.1</t>
  </si>
  <si>
    <t>CGL_RS11900</t>
  </si>
  <si>
    <t>muconate/chloromuconate family cycloisomerase</t>
  </si>
  <si>
    <t>WP_011015092.1</t>
  </si>
  <si>
    <t>CGL_RS11905</t>
  </si>
  <si>
    <t>catechol 1,2-dioxygenase</t>
  </si>
  <si>
    <t>catA</t>
  </si>
  <si>
    <t>WP_011015093.1</t>
  </si>
  <si>
    <t>CGL_RS11910</t>
  </si>
  <si>
    <t>benzoate 1,2-dioxygenase large subunit</t>
  </si>
  <si>
    <t>benA</t>
  </si>
  <si>
    <t>WP_011015094.1</t>
  </si>
  <si>
    <t>CGL_RS11915</t>
  </si>
  <si>
    <t>benzoate 1,2-dioxygenase small subunit</t>
  </si>
  <si>
    <t>benB</t>
  </si>
  <si>
    <t>WP_011015095.1</t>
  </si>
  <si>
    <t>CGL_RS11920</t>
  </si>
  <si>
    <t>benzoate 1,2-dioxygenase electron transfer component BenC</t>
  </si>
  <si>
    <t>benC</t>
  </si>
  <si>
    <t>WP_003859226.1</t>
  </si>
  <si>
    <t>CGL_RS11925</t>
  </si>
  <si>
    <t>1,6-dihydroxycyclohexa-2,4-diene-1-carboxylate dehydrogenase</t>
  </si>
  <si>
    <t>WP_011015096.1</t>
  </si>
  <si>
    <t>CGL_RS11930</t>
  </si>
  <si>
    <t>WP_011265935.1</t>
  </si>
  <si>
    <t>CGL_RS11935</t>
  </si>
  <si>
    <t>WP_011015098.1</t>
  </si>
  <si>
    <t>CGL_RS11940</t>
  </si>
  <si>
    <t>benzoate/H(+) symporter BenE family transporter</t>
  </si>
  <si>
    <t>WP_011015099.1</t>
  </si>
  <si>
    <t>CGL_RS11945</t>
  </si>
  <si>
    <t>ATP-dependent Clp protease proteolytic subunit</t>
  </si>
  <si>
    <t>WP_003859221.1</t>
  </si>
  <si>
    <t>CGL_RS11950</t>
  </si>
  <si>
    <t>WP_003859220.1</t>
  </si>
  <si>
    <t>CGL_RS11955</t>
  </si>
  <si>
    <t>trigger factor</t>
  </si>
  <si>
    <t>tig</t>
  </si>
  <si>
    <t>WP_004567596.1</t>
  </si>
  <si>
    <t>CGL_RS11960</t>
  </si>
  <si>
    <t>CGL_RS11965</t>
  </si>
  <si>
    <t>WP_011015100.1</t>
  </si>
  <si>
    <t>CGL_RS11970</t>
  </si>
  <si>
    <t>WP_011015101.1</t>
  </si>
  <si>
    <t>CGL_RS11975</t>
  </si>
  <si>
    <t>WP_011015102.1</t>
  </si>
  <si>
    <t>CGL_RS11980</t>
  </si>
  <si>
    <t>CGL_RS11985</t>
  </si>
  <si>
    <t>WP_003859215.1</t>
  </si>
  <si>
    <t>CGL_RS11990</t>
  </si>
  <si>
    <t>CGL_RS11995</t>
  </si>
  <si>
    <t>WP_011015105.1</t>
  </si>
  <si>
    <t>CGL_RS12000</t>
  </si>
  <si>
    <t>ribose-5-phosphate isomerase</t>
  </si>
  <si>
    <t>WP_003859211.1</t>
  </si>
  <si>
    <t>CGL_RS12005</t>
  </si>
  <si>
    <t>WP_011015106.1</t>
  </si>
  <si>
    <t>CGL_RS12010</t>
  </si>
  <si>
    <t>WP_011015107.1</t>
  </si>
  <si>
    <t>CGL_RS12015</t>
  </si>
  <si>
    <t>aminopeptidase N</t>
  </si>
  <si>
    <t>pepN</t>
  </si>
  <si>
    <t>WP_011015108.1</t>
  </si>
  <si>
    <t>CGL_RS12020</t>
  </si>
  <si>
    <t>type I restriction enzyme HsdR N-terminal domain-containing protein</t>
  </si>
  <si>
    <t>WP_011015109.1</t>
  </si>
  <si>
    <t>CGL_RS12025</t>
  </si>
  <si>
    <t>WP_011265937.1</t>
  </si>
  <si>
    <t>CGL_RS12030</t>
  </si>
  <si>
    <t>WP_011015111.1</t>
  </si>
  <si>
    <t>CGL_RS12035</t>
  </si>
  <si>
    <t>WP_011015112.1</t>
  </si>
  <si>
    <t>CGL_RS15465</t>
  </si>
  <si>
    <t>crtI</t>
  </si>
  <si>
    <t>CGL_RS12040</t>
  </si>
  <si>
    <t>WP_042383442.1</t>
  </si>
  <si>
    <t>CGL_RS12045</t>
  </si>
  <si>
    <t>WP_011015116.1</t>
  </si>
  <si>
    <t>CGL_RS12050</t>
  </si>
  <si>
    <t>alkylhydroperoxidase domain protein</t>
  </si>
  <si>
    <t>WP_011015117.1</t>
  </si>
  <si>
    <t>CGL_RS12055</t>
  </si>
  <si>
    <t>WP_011015118.1</t>
  </si>
  <si>
    <t>CGL_RS12060</t>
  </si>
  <si>
    <t>WP_003863669.1</t>
  </si>
  <si>
    <t>CGL_RS12065</t>
  </si>
  <si>
    <t>WP_011015119.1</t>
  </si>
  <si>
    <t>CGL_RS12070</t>
  </si>
  <si>
    <t>TIGR04028 family ABC transporter substrate-binding protein</t>
  </si>
  <si>
    <t>WP_011015120.1</t>
  </si>
  <si>
    <t>CGL_RS12075</t>
  </si>
  <si>
    <t>WP_011015121.1</t>
  </si>
  <si>
    <t>CGL_RS12080</t>
  </si>
  <si>
    <t>aspartate aminotransferase family protein</t>
  </si>
  <si>
    <t>WP_011015122.1</t>
  </si>
  <si>
    <t>CGL_RS12085</t>
  </si>
  <si>
    <t>WP_011015123.1</t>
  </si>
  <si>
    <t>CGL_RS12090</t>
  </si>
  <si>
    <t>WP_011015124.1</t>
  </si>
  <si>
    <t>CGL_RS12095</t>
  </si>
  <si>
    <t>WP_011015125.1</t>
  </si>
  <si>
    <t>CGL_RS12100</t>
  </si>
  <si>
    <t>WP_011015126.1</t>
  </si>
  <si>
    <t>CGL_RS12105</t>
  </si>
  <si>
    <t>cystathionine gamma-synthase</t>
  </si>
  <si>
    <t>WP_011015127.1</t>
  </si>
  <si>
    <t>CGL_RS12110</t>
  </si>
  <si>
    <t>WP_011265940.1</t>
  </si>
  <si>
    <t>CGL_RS12115</t>
  </si>
  <si>
    <t>globin</t>
  </si>
  <si>
    <t>WP_011015129.1</t>
  </si>
  <si>
    <t>CGL_RS12120</t>
  </si>
  <si>
    <t>chromate efflux transporter</t>
  </si>
  <si>
    <t>chrA</t>
  </si>
  <si>
    <t>WP_011015130.1</t>
  </si>
  <si>
    <t>CGL_RS12125</t>
  </si>
  <si>
    <t>WP_004567537.1</t>
  </si>
  <si>
    <t>CGL_RS12130</t>
  </si>
  <si>
    <t>WP_004567531.1</t>
  </si>
  <si>
    <t>CGL_RS12135</t>
  </si>
  <si>
    <t>alkaline phosphatase family protein</t>
  </si>
  <si>
    <t>WP_011265941.1</t>
  </si>
  <si>
    <t>CGL_RS12140</t>
  </si>
  <si>
    <t>energy-dependent translational throttle protein EttA</t>
  </si>
  <si>
    <t>ettA</t>
  </si>
  <si>
    <t>WP_011015133.1</t>
  </si>
  <si>
    <t>CGL_RS12150</t>
  </si>
  <si>
    <t>WP_011015134.1</t>
  </si>
  <si>
    <t>CGL_RS12155</t>
  </si>
  <si>
    <t>cytochrome c oxidase assembly protein</t>
  </si>
  <si>
    <t>WP_011015135.1</t>
  </si>
  <si>
    <t>CGL_RS12160</t>
  </si>
  <si>
    <t>CGL_RS12165</t>
  </si>
  <si>
    <t>alkaline phosphatase</t>
  </si>
  <si>
    <t>WP_011015136.1</t>
  </si>
  <si>
    <t>CGL_RS12170</t>
  </si>
  <si>
    <t>tRNA-His</t>
  </si>
  <si>
    <t>CGL_RS12175</t>
  </si>
  <si>
    <t>ABC transport system MusEFGK2I component MusI</t>
  </si>
  <si>
    <t>musI</t>
  </si>
  <si>
    <t>WP_003860887.1</t>
  </si>
  <si>
    <t>CGL_RS12180</t>
  </si>
  <si>
    <t>WP_011015137.1</t>
  </si>
  <si>
    <t>CGL_RS12185</t>
  </si>
  <si>
    <t>WP_004567523.1</t>
  </si>
  <si>
    <t>CGL_RS12190</t>
  </si>
  <si>
    <t>WP_011015138.1</t>
  </si>
  <si>
    <t>CGL_RS12195</t>
  </si>
  <si>
    <t>DUF4032 domain-containing protein</t>
  </si>
  <si>
    <t>WP_227747732.1</t>
  </si>
  <si>
    <t>CGL_RS12200</t>
  </si>
  <si>
    <t>WP_227747733.1</t>
  </si>
  <si>
    <t>CGL_RS15730</t>
  </si>
  <si>
    <t>WP_011015140.1</t>
  </si>
  <si>
    <t>CGL_RS12205</t>
  </si>
  <si>
    <t>CGL_RS12210</t>
  </si>
  <si>
    <t>WP_227747730.1</t>
  </si>
  <si>
    <t>CGL_RS12215</t>
  </si>
  <si>
    <t>WP_158024313.1</t>
  </si>
  <si>
    <t>CGL_RS12220</t>
  </si>
  <si>
    <t>WP_003860878.1</t>
  </si>
  <si>
    <t>CGL_RS12225</t>
  </si>
  <si>
    <t>WP_011015143.1</t>
  </si>
  <si>
    <t>CGL_RS12230</t>
  </si>
  <si>
    <t>CGL_RS12235</t>
  </si>
  <si>
    <t>nickel pincer cofactor biosynthesis protein LarB</t>
  </si>
  <si>
    <t>larB</t>
  </si>
  <si>
    <t>WP_011015145.1</t>
  </si>
  <si>
    <t>CGL_RS12240</t>
  </si>
  <si>
    <t>nickel pincer cofactor biosynthesis protein LarC</t>
  </si>
  <si>
    <t>larC</t>
  </si>
  <si>
    <t>WP_011015146.1</t>
  </si>
  <si>
    <t>CGL_RS12245</t>
  </si>
  <si>
    <t>WP_011015147.1</t>
  </si>
  <si>
    <t>CGL_RS12250</t>
  </si>
  <si>
    <t>mycolate reductase</t>
  </si>
  <si>
    <t>cmrA</t>
  </si>
  <si>
    <t>WP_011015148.1</t>
  </si>
  <si>
    <t>CGL_RS12255</t>
  </si>
  <si>
    <t>oligoribonuclease</t>
  </si>
  <si>
    <t>orn</t>
  </si>
  <si>
    <t>WP_011015149.1</t>
  </si>
  <si>
    <t>CGL_RS12260</t>
  </si>
  <si>
    <t>WP_003860847.1</t>
  </si>
  <si>
    <t>CGL_RS12265</t>
  </si>
  <si>
    <t>WP_011015151.1</t>
  </si>
  <si>
    <t>CGL_RS12270</t>
  </si>
  <si>
    <t>tRNA-Lys</t>
  </si>
  <si>
    <t>CGL_RS12275</t>
  </si>
  <si>
    <t>CGL_RS12280</t>
  </si>
  <si>
    <t>WP_011015152.1</t>
  </si>
  <si>
    <t>CGL_RS12285</t>
  </si>
  <si>
    <t>WP_011015153.1</t>
  </si>
  <si>
    <t>CGL_RS12290</t>
  </si>
  <si>
    <t>CGL_RS12300</t>
  </si>
  <si>
    <t>WP_011015155.1</t>
  </si>
  <si>
    <t>CGL_RS12305</t>
  </si>
  <si>
    <t>WP_011265947.1</t>
  </si>
  <si>
    <t>CGL_RS12310</t>
  </si>
  <si>
    <t>glutaminase</t>
  </si>
  <si>
    <t>WP_003860838.1</t>
  </si>
  <si>
    <t>CGL_RS12315</t>
  </si>
  <si>
    <t>WP_080558835.1</t>
  </si>
  <si>
    <t>CGL_RS12320</t>
  </si>
  <si>
    <t>WP_143340968.1</t>
  </si>
  <si>
    <t>CGL_RS12325</t>
  </si>
  <si>
    <t>WP_011015158.1</t>
  </si>
  <si>
    <t>CGL_RS12330</t>
  </si>
  <si>
    <t>glucuronate isomerase</t>
  </si>
  <si>
    <t>uxaC</t>
  </si>
  <si>
    <t>WP_011015159.1</t>
  </si>
  <si>
    <t>CGL_RS12335</t>
  </si>
  <si>
    <t>gluconokinase</t>
  </si>
  <si>
    <t>WP_011015160.1</t>
  </si>
  <si>
    <t>CGL_RS12340</t>
  </si>
  <si>
    <t>WP_011015161.1</t>
  </si>
  <si>
    <t>CGL_RS12345</t>
  </si>
  <si>
    <t>isochorismatase family protein</t>
  </si>
  <si>
    <t>WP_011015162.1</t>
  </si>
  <si>
    <t>CGL_RS12350</t>
  </si>
  <si>
    <t>DUF3618 domain-containing protein</t>
  </si>
  <si>
    <t>WP_011015163.1</t>
  </si>
  <si>
    <t>CGL_RS12355</t>
  </si>
  <si>
    <t>thioredoxin-dependent thiol peroxidase</t>
  </si>
  <si>
    <t>bcp</t>
  </si>
  <si>
    <t>WP_011015164.1</t>
  </si>
  <si>
    <t>CGL_RS12360</t>
  </si>
  <si>
    <t>WP_003857691.1</t>
  </si>
  <si>
    <t>CGL_RS12365</t>
  </si>
  <si>
    <t>holo-ACP synthase AcpS</t>
  </si>
  <si>
    <t>WP_011015166.1</t>
  </si>
  <si>
    <t>CGL_RS12370</t>
  </si>
  <si>
    <t>WP_011015167.1</t>
  </si>
  <si>
    <t>CGL_RS12375</t>
  </si>
  <si>
    <t>WP_011265952.1</t>
  </si>
  <si>
    <t>CGL_RS12385</t>
  </si>
  <si>
    <t>WP_011015170.1</t>
  </si>
  <si>
    <t>CGL_RS12390</t>
  </si>
  <si>
    <t>WP_003857695.1</t>
  </si>
  <si>
    <t>CGL_RS12395</t>
  </si>
  <si>
    <t>WP_011015171.1</t>
  </si>
  <si>
    <t>CGL_RS12400</t>
  </si>
  <si>
    <t>WP_003857696.1</t>
  </si>
  <si>
    <t>CGL_RS12405</t>
  </si>
  <si>
    <t>CGL_RS12410</t>
  </si>
  <si>
    <t>WP_003857998.1</t>
  </si>
  <si>
    <t>CGL_RS12415</t>
  </si>
  <si>
    <t>WP_003857996.1</t>
  </si>
  <si>
    <t>CGL_RS12420</t>
  </si>
  <si>
    <t>RdgB/HAM1 family non-canonical purine NTP pyrophosphatase</t>
  </si>
  <si>
    <t>rdgB</t>
  </si>
  <si>
    <t>WP_011015172.1</t>
  </si>
  <si>
    <t>CGL_RS12425</t>
  </si>
  <si>
    <t>ribonuclease PH</t>
  </si>
  <si>
    <t>rph</t>
  </si>
  <si>
    <t>WP_003857993.1</t>
  </si>
  <si>
    <t>CGL_RS12430</t>
  </si>
  <si>
    <t>WP_011015173.1</t>
  </si>
  <si>
    <t>CGL_RS12435</t>
  </si>
  <si>
    <t>WP_011015174.1</t>
  </si>
  <si>
    <t>CGL_RS12440</t>
  </si>
  <si>
    <t>CGL_RS12450</t>
  </si>
  <si>
    <t>DUF2254 domain-containing protein</t>
  </si>
  <si>
    <t>WP_020948629.1</t>
  </si>
  <si>
    <t>CGL_RS12455</t>
  </si>
  <si>
    <t>CGL_RS12460</t>
  </si>
  <si>
    <t>3',5'-cyclic adenosine monophosphate phosphodiesterase CpdA</t>
  </si>
  <si>
    <t>cdpA</t>
  </si>
  <si>
    <t>WP_003857989.1</t>
  </si>
  <si>
    <t>CGL_RS12470</t>
  </si>
  <si>
    <t>glutamate racemase</t>
  </si>
  <si>
    <t>murI</t>
  </si>
  <si>
    <t>WP_011015179.1</t>
  </si>
  <si>
    <t>CGL_RS12475</t>
  </si>
  <si>
    <t>putative secreted protein</t>
  </si>
  <si>
    <t>WP_020948631.1</t>
  </si>
  <si>
    <t>CGL_RS12480</t>
  </si>
  <si>
    <t>WP_011015181.1</t>
  </si>
  <si>
    <t>CGL_RS12485</t>
  </si>
  <si>
    <t>WP_003860306.1</t>
  </si>
  <si>
    <t>CGL_RS12490</t>
  </si>
  <si>
    <t>P1 family peptidase</t>
  </si>
  <si>
    <t>WP_011015182.1</t>
  </si>
  <si>
    <t>CGL_RS12495</t>
  </si>
  <si>
    <t>DUF2017 domain-containing protein</t>
  </si>
  <si>
    <t>WP_003857980.1</t>
  </si>
  <si>
    <t>CGL_RS12500</t>
  </si>
  <si>
    <t>ATP-dependent Clp protease adapter ClpS</t>
  </si>
  <si>
    <t>clpS</t>
  </si>
  <si>
    <t>WP_011897801.1</t>
  </si>
  <si>
    <t>CGL_RS12505</t>
  </si>
  <si>
    <t>WP_011015183.1</t>
  </si>
  <si>
    <t>CGL_RS12510</t>
  </si>
  <si>
    <t>nicotinate phosphoribosyltransferase</t>
  </si>
  <si>
    <t>WP_011015184.1</t>
  </si>
  <si>
    <t>CGL_RS12515</t>
  </si>
  <si>
    <t>ATP-dependent DNA helicase</t>
  </si>
  <si>
    <t>WP_011015186.1</t>
  </si>
  <si>
    <t>CGL_RS12520</t>
  </si>
  <si>
    <t>WP_011015187.1</t>
  </si>
  <si>
    <t>CGL_RS12525</t>
  </si>
  <si>
    <t>WP_227747768.1</t>
  </si>
  <si>
    <t>CGL_RS12530</t>
  </si>
  <si>
    <t>phosphoserine phosphatase SerB</t>
  </si>
  <si>
    <t>serB</t>
  </si>
  <si>
    <t>WP_003860289.1</t>
  </si>
  <si>
    <t>CGL_RS12535</t>
  </si>
  <si>
    <t>aa3-type cytochrome oxidase subunit I</t>
  </si>
  <si>
    <t>ctaD</t>
  </si>
  <si>
    <t>WP_011015188.1</t>
  </si>
  <si>
    <t>CGL_RS12540</t>
  </si>
  <si>
    <t>class 1b ribonucleoside-diphosphate reductase subunit beta</t>
  </si>
  <si>
    <t>nrdF</t>
  </si>
  <si>
    <t>WP_011015189.1</t>
  </si>
  <si>
    <t>CGL_RS12545</t>
  </si>
  <si>
    <t>ferritin</t>
  </si>
  <si>
    <t>WP_003860285.1</t>
  </si>
  <si>
    <t>CGL_RS12550</t>
  </si>
  <si>
    <t>WP_227747767.1</t>
  </si>
  <si>
    <t>CGL_RS12555</t>
  </si>
  <si>
    <t>WP_011265961.1</t>
  </si>
  <si>
    <t>CGL_RS12560</t>
  </si>
  <si>
    <t>CGL_RS12565</t>
  </si>
  <si>
    <t>class 1b ribonucleoside-diphosphate reductase subunit alpha</t>
  </si>
  <si>
    <t>nrdE</t>
  </si>
  <si>
    <t>WP_042383447.1</t>
  </si>
  <si>
    <t>CGL_RS12570</t>
  </si>
  <si>
    <t>class Ib ribonucleoside-diphosphate reductase assembly flavoprotein NrdI</t>
  </si>
  <si>
    <t>nrdI</t>
  </si>
  <si>
    <t>WP_003857951.1</t>
  </si>
  <si>
    <t>CGL_RS12575</t>
  </si>
  <si>
    <t>glutaredoxin-like protein NrdH</t>
  </si>
  <si>
    <t>nrdH</t>
  </si>
  <si>
    <t>WP_003857948.1</t>
  </si>
  <si>
    <t>CGL_RS12580</t>
  </si>
  <si>
    <t>type B 50S ribosomal protein L36</t>
  </si>
  <si>
    <t>ykgO</t>
  </si>
  <si>
    <t>WP_003857945.1</t>
  </si>
  <si>
    <t>CGL_RS12585</t>
  </si>
  <si>
    <t>ammonia-dependent NAD(+) synthetase</t>
  </si>
  <si>
    <t>nadE</t>
  </si>
  <si>
    <t>WP_011015194.1</t>
  </si>
  <si>
    <t>CGL_RS12590</t>
  </si>
  <si>
    <t>fructosamine kinase family protein</t>
  </si>
  <si>
    <t>WP_011015195.1</t>
  </si>
  <si>
    <t>CGL_RS12595</t>
  </si>
  <si>
    <t>pyridoxamine 5'-phosphate oxidase family protein</t>
  </si>
  <si>
    <t>WP_011015196.1</t>
  </si>
  <si>
    <t>CGL_RS12600</t>
  </si>
  <si>
    <t>MDR family oxidoreductase</t>
  </si>
  <si>
    <t>WP_011015197.1</t>
  </si>
  <si>
    <t>CGL_RS12605</t>
  </si>
  <si>
    <t>MmgE/PrpD family protein</t>
  </si>
  <si>
    <t>WP_003860267.1</t>
  </si>
  <si>
    <t>CGL_RS12610</t>
  </si>
  <si>
    <t>phosphosulfolactate synthase</t>
  </si>
  <si>
    <t>WP_003860265.1</t>
  </si>
  <si>
    <t>CGL_RS12615</t>
  </si>
  <si>
    <t>CGL_RS12620</t>
  </si>
  <si>
    <t>WP_011265962.1</t>
  </si>
  <si>
    <t>CGL_RS12625</t>
  </si>
  <si>
    <t>phosphoglucomutase (alpha-D-glucose-1,6-bisphosphate-dependent)</t>
  </si>
  <si>
    <t>pgm</t>
  </si>
  <si>
    <t>WP_011015199.1</t>
  </si>
  <si>
    <t>CGL_RS12630</t>
  </si>
  <si>
    <t>fluoride efflux transporter family protein</t>
  </si>
  <si>
    <t>WP_011015200.1</t>
  </si>
  <si>
    <t>CGL_RS12635</t>
  </si>
  <si>
    <t>fluoride efflux transporter FluC</t>
  </si>
  <si>
    <t>WP_003860253.1</t>
  </si>
  <si>
    <t>CGL_RS12640</t>
  </si>
  <si>
    <t>putative hydro-lyase</t>
  </si>
  <si>
    <t>WP_011015201.1</t>
  </si>
  <si>
    <t>CGL_RS12645</t>
  </si>
  <si>
    <t>IS1380-like element ISCgl4 family transposase</t>
  </si>
  <si>
    <t>WP_011015202.1</t>
  </si>
  <si>
    <t>CGL_RS12655</t>
  </si>
  <si>
    <t>WP_011015203.1</t>
  </si>
  <si>
    <t>CGL_RS12660</t>
  </si>
  <si>
    <t>CGL_RS12670</t>
  </si>
  <si>
    <t>CGL_RS12675</t>
  </si>
  <si>
    <t>DUF1648 domain-containing protein</t>
  </si>
  <si>
    <t>WP_011265963.1</t>
  </si>
  <si>
    <t>CGL_RS12680</t>
  </si>
  <si>
    <t>dicarboxylate/amino acid:cation symporter</t>
  </si>
  <si>
    <t>WP_011015206.1</t>
  </si>
  <si>
    <t>CGL_RS12685</t>
  </si>
  <si>
    <t>WP_011265965.1</t>
  </si>
  <si>
    <t>CGL_RS12690</t>
  </si>
  <si>
    <t>WP_003860245.1</t>
  </si>
  <si>
    <t>CGL_RS12695</t>
  </si>
  <si>
    <t>CGL_RS12700</t>
  </si>
  <si>
    <t>CGL_RS12705</t>
  </si>
  <si>
    <t>CGL_RS12710</t>
  </si>
  <si>
    <t>WP_011015208.1</t>
  </si>
  <si>
    <t>CGL_RS12715</t>
  </si>
  <si>
    <t>CGL_RS12720</t>
  </si>
  <si>
    <t>WP_011015210.1</t>
  </si>
  <si>
    <t>CGL_RS12725</t>
  </si>
  <si>
    <t>CGL_RS12730</t>
  </si>
  <si>
    <t>CGL_RS12735</t>
  </si>
  <si>
    <t>CGL_RS12740</t>
  </si>
  <si>
    <t>murA</t>
  </si>
  <si>
    <t>WP_011015212.1</t>
  </si>
  <si>
    <t>CGL_RS12745</t>
  </si>
  <si>
    <t>cob(I)yrinic acid a,c-diamide adenosyltransferase</t>
  </si>
  <si>
    <t>WP_011015213.1</t>
  </si>
  <si>
    <t>CGL_RS12750</t>
  </si>
  <si>
    <t>acetate metabolism transcriptional regulator RamA</t>
  </si>
  <si>
    <t>ramA</t>
  </si>
  <si>
    <t>WP_003857068.1</t>
  </si>
  <si>
    <t>CGL_RS12755</t>
  </si>
  <si>
    <t>cysteine synthase A</t>
  </si>
  <si>
    <t>cysK</t>
  </si>
  <si>
    <t>WP_011265967.1</t>
  </si>
  <si>
    <t>CGL_RS12765</t>
  </si>
  <si>
    <t>serine O-acetyltransferase EpsC</t>
  </si>
  <si>
    <t>epsC</t>
  </si>
  <si>
    <t>WP_006286028.1</t>
  </si>
  <si>
    <t>CGL_RS12770</t>
  </si>
  <si>
    <t>WP_011015215.1</t>
  </si>
  <si>
    <t>CGL_RS12775</t>
  </si>
  <si>
    <t>tRNA-Phe</t>
  </si>
  <si>
    <t>CGL_RS12780</t>
  </si>
  <si>
    <t>tRNA-Asp</t>
  </si>
  <si>
    <t>CGL_RS12785</t>
  </si>
  <si>
    <t>succinate--CoA ligase subunit alpha</t>
  </si>
  <si>
    <t>sucD</t>
  </si>
  <si>
    <t>WP_003863158.1</t>
  </si>
  <si>
    <t>CGL_RS12790</t>
  </si>
  <si>
    <t>ADP-forming succinate--CoA ligase subunit beta</t>
  </si>
  <si>
    <t>sucC</t>
  </si>
  <si>
    <t>WP_011015216.1</t>
  </si>
  <si>
    <t>CGL_RS12795</t>
  </si>
  <si>
    <t>CGL_RS12800</t>
  </si>
  <si>
    <t>CGL_RS12805</t>
  </si>
  <si>
    <t>DsbA family oxidoreductase</t>
  </si>
  <si>
    <t>WP_011015217.1</t>
  </si>
  <si>
    <t>CGL_RS12810</t>
  </si>
  <si>
    <t>WP_011265970.1</t>
  </si>
  <si>
    <t>CGL_RS12815</t>
  </si>
  <si>
    <t>CGL_RS12820</t>
  </si>
  <si>
    <t>acetyl-CoA hydrolase/transferase family protein</t>
  </si>
  <si>
    <t>WP_011015219.1</t>
  </si>
  <si>
    <t>CGL_RS12825</t>
  </si>
  <si>
    <t>tRNA dihydrouridine synthase DusB</t>
  </si>
  <si>
    <t>dusB</t>
  </si>
  <si>
    <t>WP_003858945.1</t>
  </si>
  <si>
    <t>CGL_RS12830</t>
  </si>
  <si>
    <t>phosphate signaling complex protein PhoU</t>
  </si>
  <si>
    <t>phoU</t>
  </si>
  <si>
    <t>WP_011015220.1</t>
  </si>
  <si>
    <t>CGL_RS12835</t>
  </si>
  <si>
    <t>phosphate ABC transporter ATP-binding protein PstB</t>
  </si>
  <si>
    <t>pstB</t>
  </si>
  <si>
    <t>WP_011015221.1</t>
  </si>
  <si>
    <t>CGL_RS12840</t>
  </si>
  <si>
    <t>phosphate ABC transporter permease PstA</t>
  </si>
  <si>
    <t>pstA</t>
  </si>
  <si>
    <t>WP_011015222.1</t>
  </si>
  <si>
    <t>CGL_RS12845</t>
  </si>
  <si>
    <t>phosphate ABC transporter permease subunit PstC</t>
  </si>
  <si>
    <t>pstC</t>
  </si>
  <si>
    <t>WP_011265971.1</t>
  </si>
  <si>
    <t>CGL_RS12850</t>
  </si>
  <si>
    <t>phosphate ABC transporter substrate-binding protein PstS</t>
  </si>
  <si>
    <t>pstS</t>
  </si>
  <si>
    <t>WP_011015224.1</t>
  </si>
  <si>
    <t>CGL_RS12855</t>
  </si>
  <si>
    <t>mycothiol synthase</t>
  </si>
  <si>
    <t>mshD</t>
  </si>
  <si>
    <t>WP_011015225.1</t>
  </si>
  <si>
    <t>CGL_RS12860</t>
  </si>
  <si>
    <t>WP_011265972.1</t>
  </si>
  <si>
    <t>CGL_RS12865</t>
  </si>
  <si>
    <t>diacylglycerol/lipid kinase family protein</t>
  </si>
  <si>
    <t>WP_011015227.1</t>
  </si>
  <si>
    <t>CGL_RS12870</t>
  </si>
  <si>
    <t>FABP family protein</t>
  </si>
  <si>
    <t>WP_003863137.1</t>
  </si>
  <si>
    <t>CGL_RS12875</t>
  </si>
  <si>
    <t>aminodeoxychorismate lyase</t>
  </si>
  <si>
    <t>WP_011015228.1</t>
  </si>
  <si>
    <t>CGL_RS12880</t>
  </si>
  <si>
    <t>YgfZ/GcvT domain-containing protein</t>
  </si>
  <si>
    <t>WP_011015229.1</t>
  </si>
  <si>
    <t>CGL_RS12885</t>
  </si>
  <si>
    <t>DUF3073 domain-containing protein</t>
  </si>
  <si>
    <t>WP_003863131.1</t>
  </si>
  <si>
    <t>CGL_RS12890</t>
  </si>
  <si>
    <t>phosphoribosylformylglycinamidine cyclo-ligase</t>
  </si>
  <si>
    <t>purM</t>
  </si>
  <si>
    <t>WP_003863129.1</t>
  </si>
  <si>
    <t>CGL_RS12895</t>
  </si>
  <si>
    <t>amidophosphoribosyltransferase</t>
  </si>
  <si>
    <t>purF</t>
  </si>
  <si>
    <t>WP_011265975.1</t>
  </si>
  <si>
    <t>CGL_RS12900</t>
  </si>
  <si>
    <t>sterol carrier family protein</t>
  </si>
  <si>
    <t>WP_003863125.1</t>
  </si>
  <si>
    <t>CGL_RS12905</t>
  </si>
  <si>
    <t>WP_011015231.1</t>
  </si>
  <si>
    <t>CGL_RS12910</t>
  </si>
  <si>
    <t>PAQR family membrane homeostasis protein TrhA</t>
  </si>
  <si>
    <t>WP_011015232.1</t>
  </si>
  <si>
    <t>CGL_RS12915</t>
  </si>
  <si>
    <t>phosphoribosylformylglycinamidine synthase subunit PurL</t>
  </si>
  <si>
    <t>purL</t>
  </si>
  <si>
    <t>WP_011015233.1</t>
  </si>
  <si>
    <t>CGL_RS12920</t>
  </si>
  <si>
    <t>phosphoribosylformylglycinamidine synthase subunit PurQ</t>
  </si>
  <si>
    <t>purQ</t>
  </si>
  <si>
    <t>WP_003863118.1</t>
  </si>
  <si>
    <t>CGL_RS12925</t>
  </si>
  <si>
    <t>phosphoribosylformylglycinamidine synthase subunit PurS</t>
  </si>
  <si>
    <t>purS</t>
  </si>
  <si>
    <t>WP_003854010.1</t>
  </si>
  <si>
    <t>CGL_RS12930</t>
  </si>
  <si>
    <t>glutathione peroxidase</t>
  </si>
  <si>
    <t>WP_011015234.1</t>
  </si>
  <si>
    <t>CGL_RS12935</t>
  </si>
  <si>
    <t>endonuclease/exonuclease/phosphatase family protein</t>
  </si>
  <si>
    <t>WP_011015235.1</t>
  </si>
  <si>
    <t>CGL_RS12940</t>
  </si>
  <si>
    <t>DUF2334 domain-containing protein</t>
  </si>
  <si>
    <t>WP_003854006.1</t>
  </si>
  <si>
    <t>CGL_RS12945</t>
  </si>
  <si>
    <t>C4-dicarboxylate transporter DctA</t>
  </si>
  <si>
    <t>WP_003863112.1</t>
  </si>
  <si>
    <t>CGL_RS12950</t>
  </si>
  <si>
    <t>S9 family peptidase</t>
  </si>
  <si>
    <t>WP_011015237.1</t>
  </si>
  <si>
    <t>CGL_RS12955</t>
  </si>
  <si>
    <t>phosphoribosylaminoimidazolesuccinocarboxamide synthase</t>
  </si>
  <si>
    <t>WP_003863110.1</t>
  </si>
  <si>
    <t>CGL_RS12960</t>
  </si>
  <si>
    <t>purB</t>
  </si>
  <si>
    <t>WP_172820771.1</t>
  </si>
  <si>
    <t>CGL_RS12965</t>
  </si>
  <si>
    <t>WP_006285864.1</t>
  </si>
  <si>
    <t>CGL_RS12970</t>
  </si>
  <si>
    <t>phosphoribosylamine--glycine ligase</t>
  </si>
  <si>
    <t>purD</t>
  </si>
  <si>
    <t>WP_003863105.1</t>
  </si>
  <si>
    <t>CGL_RS12975</t>
  </si>
  <si>
    <t>WP_011015240.1</t>
  </si>
  <si>
    <t>CGL_RS12980</t>
  </si>
  <si>
    <t>WP_011015241.1</t>
  </si>
  <si>
    <t>CGL_RS12985</t>
  </si>
  <si>
    <t>peptide MFS transporter</t>
  </si>
  <si>
    <t>WP_011265978.1</t>
  </si>
  <si>
    <t>CGL_RS12990</t>
  </si>
  <si>
    <t>adenosylmethionine--8-amino-7-oxononanoate transaminase</t>
  </si>
  <si>
    <t>WP_011015243.1</t>
  </si>
  <si>
    <t>CGL_RS12995</t>
  </si>
  <si>
    <t>dethiobiotin synthase</t>
  </si>
  <si>
    <t>bioD</t>
  </si>
  <si>
    <t>WP_011015244.1</t>
  </si>
  <si>
    <t>CGL_RS13000</t>
  </si>
  <si>
    <t>WP_011015245.1</t>
  </si>
  <si>
    <t>CGL_RS13005</t>
  </si>
  <si>
    <t>WP_003863097.1</t>
  </si>
  <si>
    <t>CGL_RS13010</t>
  </si>
  <si>
    <t>WP_011015246.1</t>
  </si>
  <si>
    <t>CGL_RS13015</t>
  </si>
  <si>
    <t>D-TA family PLP-dependent enzyme</t>
  </si>
  <si>
    <t>WP_003863093.1</t>
  </si>
  <si>
    <t>CGL_RS13020</t>
  </si>
  <si>
    <t>pyruvate dehydrogenase</t>
  </si>
  <si>
    <t>WP_011015247.1</t>
  </si>
  <si>
    <t>CGL_RS13025</t>
  </si>
  <si>
    <t>WP_011015248.1</t>
  </si>
  <si>
    <t>CGL_RS13030</t>
  </si>
  <si>
    <t>WP_011015249.1</t>
  </si>
  <si>
    <t>CGL_RS13035</t>
  </si>
  <si>
    <t>WP_011015250.1</t>
  </si>
  <si>
    <t>CGL_RS13040</t>
  </si>
  <si>
    <t>glycoside hydrolase family 16 protein</t>
  </si>
  <si>
    <t>WP_011265980.1</t>
  </si>
  <si>
    <t>CGL_RS13045</t>
  </si>
  <si>
    <t>FAD-binding protein</t>
  </si>
  <si>
    <t>WP_011015252.1</t>
  </si>
  <si>
    <t>CGL_RS13050</t>
  </si>
  <si>
    <t>WP_011015253.1</t>
  </si>
  <si>
    <t>CGL_RS13055</t>
  </si>
  <si>
    <t>diaminopimelate dehydrogenase</t>
  </si>
  <si>
    <t>WP_011015254.1</t>
  </si>
  <si>
    <t>CGL_RS13060</t>
  </si>
  <si>
    <t>alpha/beta hydrolase family esterase</t>
  </si>
  <si>
    <t>WP_011015255.1</t>
  </si>
  <si>
    <t>CGL_RS13065</t>
  </si>
  <si>
    <t>WP_003853955.1</t>
  </si>
  <si>
    <t>CGL_RS13070</t>
  </si>
  <si>
    <t>WP_011265982.1</t>
  </si>
  <si>
    <t>CGL_RS13075</t>
  </si>
  <si>
    <t>WP_003853941.1</t>
  </si>
  <si>
    <t>CGL_RS13080</t>
  </si>
  <si>
    <t>CGL_RS13085</t>
  </si>
  <si>
    <t>threonine/serine exporter ThrE</t>
  </si>
  <si>
    <t>thrE</t>
  </si>
  <si>
    <t>WP_003853939.1</t>
  </si>
  <si>
    <t>CGL_RS13090</t>
  </si>
  <si>
    <t>WP_003853934.1</t>
  </si>
  <si>
    <t>CGL_RS13095</t>
  </si>
  <si>
    <t>alpha,alpha-trehalose-phosphate synthase (UDP-forming)</t>
  </si>
  <si>
    <t>WP_011015258.1</t>
  </si>
  <si>
    <t>CGL_RS13100</t>
  </si>
  <si>
    <t>WP_003863057.1</t>
  </si>
  <si>
    <t>CGL_RS13105</t>
  </si>
  <si>
    <t>trehalose-phosphatase</t>
  </si>
  <si>
    <t>otsB</t>
  </si>
  <si>
    <t>WP_003863055.1</t>
  </si>
  <si>
    <t>CGL_RS13110</t>
  </si>
  <si>
    <t>WP_011015259.1</t>
  </si>
  <si>
    <t>CGL_RS13115</t>
  </si>
  <si>
    <t>metal ABC transporter solute-binding protein</t>
  </si>
  <si>
    <t>WP_011015260.1</t>
  </si>
  <si>
    <t>CGL_RS13120</t>
  </si>
  <si>
    <t>metal ABC transporter ATP-binding protein</t>
  </si>
  <si>
    <t>WP_011015261.1</t>
  </si>
  <si>
    <t>CGL_RS13125</t>
  </si>
  <si>
    <t>metal ABC transporter permease</t>
  </si>
  <si>
    <t>WP_011015262.1</t>
  </si>
  <si>
    <t>CGL_RS13130</t>
  </si>
  <si>
    <t>CGL_RS13135</t>
  </si>
  <si>
    <t>FAD-dependent oxidoreductase</t>
  </si>
  <si>
    <t>WP_011015264.1</t>
  </si>
  <si>
    <t>CGL_RS13145</t>
  </si>
  <si>
    <t>TIM barrel protein</t>
  </si>
  <si>
    <t>WP_011015265.1</t>
  </si>
  <si>
    <t>CGL_RS13150</t>
  </si>
  <si>
    <t>CGL_RS15870</t>
  </si>
  <si>
    <t>CGL_RS15875</t>
  </si>
  <si>
    <t>WP_011015270.1</t>
  </si>
  <si>
    <t>CGL_RS13170</t>
  </si>
  <si>
    <t>23S rRNA (guanosine(2251)-2'-O)-methyltransferase RlmB</t>
  </si>
  <si>
    <t>rlmB</t>
  </si>
  <si>
    <t>WP_003863034.1</t>
  </si>
  <si>
    <t>CGL_RS13175</t>
  </si>
  <si>
    <t>cysteine--tRNA ligase</t>
  </si>
  <si>
    <t>cysS</t>
  </si>
  <si>
    <t>WP_011015271.1</t>
  </si>
  <si>
    <t>CGL_RS13180</t>
  </si>
  <si>
    <t>sucrose-specific PTS transporter subunit IIBC</t>
  </si>
  <si>
    <t>WP_011015272.1</t>
  </si>
  <si>
    <t>CGL_RS13185</t>
  </si>
  <si>
    <t>sucrose-6-phosphate hydrolase</t>
  </si>
  <si>
    <t>scrB</t>
  </si>
  <si>
    <t>WP_011015273.1</t>
  </si>
  <si>
    <t>CGL_RS13190</t>
  </si>
  <si>
    <t>glucosamine-6-phosphate deaminase</t>
  </si>
  <si>
    <t>nagB</t>
  </si>
  <si>
    <t>WP_011015274.1</t>
  </si>
  <si>
    <t>CGL_RS13195</t>
  </si>
  <si>
    <t>N-acetylglucosamine-6-phosphate deacetylase</t>
  </si>
  <si>
    <t>WP_011265984.1</t>
  </si>
  <si>
    <t>CGL_RS13200</t>
  </si>
  <si>
    <t>dihydrodipicolinate synthase family protein</t>
  </si>
  <si>
    <t>WP_011015276.1</t>
  </si>
  <si>
    <t>CGL_RS13205</t>
  </si>
  <si>
    <t>ROK family protein</t>
  </si>
  <si>
    <t>WP_011015277.1</t>
  </si>
  <si>
    <t>CGL_RS13210</t>
  </si>
  <si>
    <t>N-acetylmannosamine-6-phosphate 2-epimerase</t>
  </si>
  <si>
    <t>WP_011015278.1</t>
  </si>
  <si>
    <t>CGL_RS13215</t>
  </si>
  <si>
    <t>WP_011015279.1</t>
  </si>
  <si>
    <t>CGL_RS13220</t>
  </si>
  <si>
    <t>WP_011015280.1</t>
  </si>
  <si>
    <t>CGL_RS13225</t>
  </si>
  <si>
    <t>WP_011265985.1</t>
  </si>
  <si>
    <t>CGL_RS13230</t>
  </si>
  <si>
    <t>WP_003853884.1</t>
  </si>
  <si>
    <t>CGL_RS13235</t>
  </si>
  <si>
    <t>dipeptide/oligopeptide/nickel ABC transporter permease/ATP-binding protein</t>
  </si>
  <si>
    <t>WP_011265986.1</t>
  </si>
  <si>
    <t>CGL_RS13240</t>
  </si>
  <si>
    <t>WP_011015284.1</t>
  </si>
  <si>
    <t>CGL_RS13245</t>
  </si>
  <si>
    <t>WP_011015285.1</t>
  </si>
  <si>
    <t>CGL_RS13250</t>
  </si>
  <si>
    <t>WP_011015286.1</t>
  </si>
  <si>
    <t>CGL_RS13255</t>
  </si>
  <si>
    <t>WP_011015287.1</t>
  </si>
  <si>
    <t>CGL_RS13260</t>
  </si>
  <si>
    <t>2-C-methyl-D-erythritol 2,4-cyclodiphosphate synthase</t>
  </si>
  <si>
    <t>ispF</t>
  </si>
  <si>
    <t>WP_011015288.1</t>
  </si>
  <si>
    <t>CGL_RS13265</t>
  </si>
  <si>
    <t>2-C-methyl-D-erythritol 4-phosphate cytidylyltransferase</t>
  </si>
  <si>
    <t>ispD</t>
  </si>
  <si>
    <t>WP_011015289.1</t>
  </si>
  <si>
    <t>CGL_RS13270</t>
  </si>
  <si>
    <t>CarD family transcriptional regulator</t>
  </si>
  <si>
    <t>WP_003853867.1</t>
  </si>
  <si>
    <t>CGL_RS13275</t>
  </si>
  <si>
    <t>WP_003853866.1</t>
  </si>
  <si>
    <t>CGL_RS13280</t>
  </si>
  <si>
    <t>WP_011015290.1</t>
  </si>
  <si>
    <t>CGL_RS13285</t>
  </si>
  <si>
    <t>WP_011015291.1</t>
  </si>
  <si>
    <t>CGL_RS13290</t>
  </si>
  <si>
    <t>DNA repair protein RadA</t>
  </si>
  <si>
    <t>radA</t>
  </si>
  <si>
    <t>WP_011015292.1</t>
  </si>
  <si>
    <t>CGL_RS13295</t>
  </si>
  <si>
    <t>DNA integrity scanning diadenylate cyclase DisA</t>
  </si>
  <si>
    <t>disA</t>
  </si>
  <si>
    <t>WP_011015293.1</t>
  </si>
  <si>
    <t>CGL_RS13300</t>
  </si>
  <si>
    <t>WP_011015294.1</t>
  </si>
  <si>
    <t>CGL_RS13305</t>
  </si>
  <si>
    <t>WP_011015295.1</t>
  </si>
  <si>
    <t>CGL_RS13310</t>
  </si>
  <si>
    <t>carbonic anhydrase</t>
  </si>
  <si>
    <t>WP_003853851.1</t>
  </si>
  <si>
    <t>CGL_RS13315</t>
  </si>
  <si>
    <t>A/G-specific adenine glycosylase</t>
  </si>
  <si>
    <t>WP_011015296.1</t>
  </si>
  <si>
    <t>CGL_RS13320</t>
  </si>
  <si>
    <t>WP_011015297.1</t>
  </si>
  <si>
    <t>CGL_RS13325</t>
  </si>
  <si>
    <t>DUF4236 domain-containing protein</t>
  </si>
  <si>
    <t>WP_020948639.1</t>
  </si>
  <si>
    <t>CGL_RS13330</t>
  </si>
  <si>
    <t>acetoin reductase</t>
  </si>
  <si>
    <t>WP_011015298.1</t>
  </si>
  <si>
    <t>CGL_RS13335</t>
  </si>
  <si>
    <t>Rib/alpha-like domain-containing protein</t>
  </si>
  <si>
    <t>WP_011015299.1</t>
  </si>
  <si>
    <t>CGL_RS13340</t>
  </si>
  <si>
    <t>WP_011015300.1</t>
  </si>
  <si>
    <t>CGL_RS13345</t>
  </si>
  <si>
    <t>WP_011015301.1</t>
  </si>
  <si>
    <t>CGL_RS13350</t>
  </si>
  <si>
    <t>GuaB1 family IMP dehydrogenase-related protein</t>
  </si>
  <si>
    <t>WP_011015302.1</t>
  </si>
  <si>
    <t>CGL_RS13355</t>
  </si>
  <si>
    <t>WP_172820748.1</t>
  </si>
  <si>
    <t>CGL_RS13360</t>
  </si>
  <si>
    <t>phenol hydroxylase</t>
  </si>
  <si>
    <t>WP_011015304.1</t>
  </si>
  <si>
    <t>CGL_RS13365</t>
  </si>
  <si>
    <t>WP_011015305.1</t>
  </si>
  <si>
    <t>CGL_RS13370</t>
  </si>
  <si>
    <t>WP_011015306.1</t>
  </si>
  <si>
    <t>CGL_RS13375</t>
  </si>
  <si>
    <t>WP_011015307.1</t>
  </si>
  <si>
    <t>CGL_RS13380</t>
  </si>
  <si>
    <t>WP_011015308.1</t>
  </si>
  <si>
    <t>CGL_RS13385</t>
  </si>
  <si>
    <t>DUF559 domain-containing protein</t>
  </si>
  <si>
    <t>WP_011015309.1</t>
  </si>
  <si>
    <t>CGL_RS13390</t>
  </si>
  <si>
    <t>lysine--tRNA ligase</t>
  </si>
  <si>
    <t>lysS</t>
  </si>
  <si>
    <t>WP_011015310.1</t>
  </si>
  <si>
    <t>CGL_RS13395</t>
  </si>
  <si>
    <t>4-phosphopantoate--beta-alanine ligase</t>
  </si>
  <si>
    <t>WP_011015311.1</t>
  </si>
  <si>
    <t>CGL_RS13400</t>
  </si>
  <si>
    <t>WP_011015312.1</t>
  </si>
  <si>
    <t>CGL_RS13405</t>
  </si>
  <si>
    <t>DUF6779 domain-containing protein</t>
  </si>
  <si>
    <t>WP_011265991.1</t>
  </si>
  <si>
    <t>CGL_RS13410</t>
  </si>
  <si>
    <t>DUF3180 domain-containing protein</t>
  </si>
  <si>
    <t>WP_003853810.1</t>
  </si>
  <si>
    <t>CGL_RS13415</t>
  </si>
  <si>
    <t>2-amino-4-hydroxy-6-hydroxymethyldihydropteridine diphosphokinase</t>
  </si>
  <si>
    <t>folK</t>
  </si>
  <si>
    <t>WP_011015314.1</t>
  </si>
  <si>
    <t>CGL_RS13420</t>
  </si>
  <si>
    <t>dihydroneopterin aldolase</t>
  </si>
  <si>
    <t>folB</t>
  </si>
  <si>
    <t>WP_003853806.1</t>
  </si>
  <si>
    <t>CGL_RS13425</t>
  </si>
  <si>
    <t>WP_003853803.1</t>
  </si>
  <si>
    <t>CGL_RS13430</t>
  </si>
  <si>
    <t>GTP cyclohydrolase I FolE</t>
  </si>
  <si>
    <t>folE</t>
  </si>
  <si>
    <t>WP_011015316.1</t>
  </si>
  <si>
    <t>CGL_RS13435</t>
  </si>
  <si>
    <t>ATP-dependent zinc metalloprotease FtsH</t>
  </si>
  <si>
    <t>ftsH</t>
  </si>
  <si>
    <t>WP_011015317.1</t>
  </si>
  <si>
    <t>CGL_RS13440</t>
  </si>
  <si>
    <t>hypoxanthine phosphoribosyltransferase</t>
  </si>
  <si>
    <t>hpt</t>
  </si>
  <si>
    <t>WP_006285928.1</t>
  </si>
  <si>
    <t>CGL_RS13445</t>
  </si>
  <si>
    <t>tRNA lysidine(34) synthetase TilS</t>
  </si>
  <si>
    <t>tilS</t>
  </si>
  <si>
    <t>WP_011015318.1</t>
  </si>
  <si>
    <t>CGL_RS13450</t>
  </si>
  <si>
    <t>D-alanyl-D-alanine carboxypeptidase/D-alanyl-D-alanine endopeptidase</t>
  </si>
  <si>
    <t>dacB</t>
  </si>
  <si>
    <t>WP_011015319.1</t>
  </si>
  <si>
    <t>CGL_RS13455</t>
  </si>
  <si>
    <t>inorganic diphosphatase</t>
  </si>
  <si>
    <t>WP_011015320.1</t>
  </si>
  <si>
    <t>CGL_RS13460</t>
  </si>
  <si>
    <t>polyamine aminopropyltransferase</t>
  </si>
  <si>
    <t>WP_003862946.1</t>
  </si>
  <si>
    <t>CGL_RS13465</t>
  </si>
  <si>
    <t>DUF350 domain-containing protein</t>
  </si>
  <si>
    <t>WP_011015321.1</t>
  </si>
  <si>
    <t>CGL_RS13470</t>
  </si>
  <si>
    <t>DUF4247 domain-containing protein</t>
  </si>
  <si>
    <t>WP_003853779.1</t>
  </si>
  <si>
    <t>CGL_RS13475</t>
  </si>
  <si>
    <t>DUF2617 family protein</t>
  </si>
  <si>
    <t>WP_003853776.1</t>
  </si>
  <si>
    <t>CGL_RS13480</t>
  </si>
  <si>
    <t>DUF4178 domain-containing protein</t>
  </si>
  <si>
    <t>WP_003862941.1</t>
  </si>
  <si>
    <t>CGL_RS13485</t>
  </si>
  <si>
    <t>WP_003862939.1</t>
  </si>
  <si>
    <t>CGL_RS15745</t>
  </si>
  <si>
    <t>WP_011015323.1</t>
  </si>
  <si>
    <t>CGL_RS13505</t>
  </si>
  <si>
    <t>WP_003862931.1</t>
  </si>
  <si>
    <t>CGL_RS13510</t>
  </si>
  <si>
    <t>WP_011015324.1</t>
  </si>
  <si>
    <t>CGL_RS13515</t>
  </si>
  <si>
    <t>Pls/PosA family non-ribosomal peptide synthetase</t>
  </si>
  <si>
    <t>WP_011015325.1</t>
  </si>
  <si>
    <t>CGL_RS13520</t>
  </si>
  <si>
    <t>succinic semialdehyde dehydrogenase</t>
  </si>
  <si>
    <t>WP_011015326.1</t>
  </si>
  <si>
    <t>CGL_RS13525</t>
  </si>
  <si>
    <t>WP_003862924.1</t>
  </si>
  <si>
    <t>CGL_RS13530</t>
  </si>
  <si>
    <t>PorA family porin</t>
  </si>
  <si>
    <t>WP_011265994.1</t>
  </si>
  <si>
    <t>CGL_RS13535</t>
  </si>
  <si>
    <t>PorH family porin</t>
  </si>
  <si>
    <t>WP_011265995.1</t>
  </si>
  <si>
    <t>CGL_RS13540</t>
  </si>
  <si>
    <t>WP_003862917.1</t>
  </si>
  <si>
    <t>CGL_RS13545</t>
  </si>
  <si>
    <t>WP_011015328.1</t>
  </si>
  <si>
    <t>CGL_RS13550</t>
  </si>
  <si>
    <t>WP_011015329.1</t>
  </si>
  <si>
    <t>CGL_RS13555</t>
  </si>
  <si>
    <t>WP_003853745.1</t>
  </si>
  <si>
    <t>CGL_RS13560</t>
  </si>
  <si>
    <t>WP_041625578.1</t>
  </si>
  <si>
    <t>CGL_RS13565</t>
  </si>
  <si>
    <t>WP_011015331.1</t>
  </si>
  <si>
    <t>CGL_RS13570</t>
  </si>
  <si>
    <t>WP_011015332.1</t>
  </si>
  <si>
    <t>CGL_RS13575</t>
  </si>
  <si>
    <t>tubulin-like doman-containing protein</t>
  </si>
  <si>
    <t>WP_011015333.1</t>
  </si>
  <si>
    <t>CGL_RS13580</t>
  </si>
  <si>
    <t>WP_011015334.1</t>
  </si>
  <si>
    <t>CGL_RS13585</t>
  </si>
  <si>
    <t>WP_011015335.1</t>
  </si>
  <si>
    <t>CGL_RS13590</t>
  </si>
  <si>
    <t>dipeptidase</t>
  </si>
  <si>
    <t>WP_011015336.1</t>
  </si>
  <si>
    <t>CGL_RS13595</t>
  </si>
  <si>
    <t>WP_003862907.1</t>
  </si>
  <si>
    <t>CGL_RS13600</t>
  </si>
  <si>
    <t>Na+/H+ antiporter subunit A</t>
  </si>
  <si>
    <t>WP_011015337.1</t>
  </si>
  <si>
    <t>CGL_RS13605</t>
  </si>
  <si>
    <t>Na(+)/H(+) antiporter subunit C</t>
  </si>
  <si>
    <t>WP_003853720.1</t>
  </si>
  <si>
    <t>CGL_RS13610</t>
  </si>
  <si>
    <t>Na+/H+ antiporter subunit D</t>
  </si>
  <si>
    <t>WP_011265998.1</t>
  </si>
  <si>
    <t>CGL_RS13615</t>
  </si>
  <si>
    <t>Na+/H+ antiporter subunit E</t>
  </si>
  <si>
    <t>WP_011015339.1</t>
  </si>
  <si>
    <t>CGL_RS13620</t>
  </si>
  <si>
    <t>monovalent cation/H+ antiporter complex subunit F</t>
  </si>
  <si>
    <t>WP_003862899.1</t>
  </si>
  <si>
    <t>CGL_RS13625</t>
  </si>
  <si>
    <t>monovalent cation/H(+) antiporter subunit G</t>
  </si>
  <si>
    <t>mnhG</t>
  </si>
  <si>
    <t>WP_003853711.1</t>
  </si>
  <si>
    <t>CGL_RS13630</t>
  </si>
  <si>
    <t>WP_003853708.1</t>
  </si>
  <si>
    <t>CGL_RS13635</t>
  </si>
  <si>
    <t>glutamate--cysteine ligase</t>
  </si>
  <si>
    <t>WP_003853704.1</t>
  </si>
  <si>
    <t>CGL_RS13640</t>
  </si>
  <si>
    <t>LytR C-terminal domain-containing protein</t>
  </si>
  <si>
    <t>WP_011015340.1</t>
  </si>
  <si>
    <t>CGL_RS13645</t>
  </si>
  <si>
    <t>DUF3263 domain-containing protein</t>
  </si>
  <si>
    <t>WP_003853699.1</t>
  </si>
  <si>
    <t>CGL_RS13650</t>
  </si>
  <si>
    <t>WP_003862894.1</t>
  </si>
  <si>
    <t>CGL_RS13655</t>
  </si>
  <si>
    <t>N-acetylglutamate synthase, CG3035 family</t>
  </si>
  <si>
    <t>WP_011015341.1</t>
  </si>
  <si>
    <t>CGL_RS13660</t>
  </si>
  <si>
    <t>WP_003853692.1</t>
  </si>
  <si>
    <t>CGL_RS13665</t>
  </si>
  <si>
    <t>phospholipase D-like domain-containing protein</t>
  </si>
  <si>
    <t>WP_003853689.1</t>
  </si>
  <si>
    <t>CGL_RS13670</t>
  </si>
  <si>
    <t>multidrug effflux MFS transporter</t>
  </si>
  <si>
    <t>WP_003862889.1</t>
  </si>
  <si>
    <t>CGL_RS13675</t>
  </si>
  <si>
    <t>Na/Pi cotransporter family protein</t>
  </si>
  <si>
    <t>WP_172820770.1</t>
  </si>
  <si>
    <t>CGL_RS13680</t>
  </si>
  <si>
    <t>PhzF family phenazine biosynthesis protein</t>
  </si>
  <si>
    <t>WP_011015343.1</t>
  </si>
  <si>
    <t>CGL_RS13685</t>
  </si>
  <si>
    <t>multidrug ABC transporter permease</t>
  </si>
  <si>
    <t>WP_003853677.1</t>
  </si>
  <si>
    <t>CGL_RS13690</t>
  </si>
  <si>
    <t>WP_011015345.1</t>
  </si>
  <si>
    <t>CGL_RS13695</t>
  </si>
  <si>
    <t>WP_011266001.1</t>
  </si>
  <si>
    <t>CGL_RS13700</t>
  </si>
  <si>
    <t>WP_011266002.1</t>
  </si>
  <si>
    <t>CGL_RS13705</t>
  </si>
  <si>
    <t>glutamate ABC transporter substrate-binding protein</t>
  </si>
  <si>
    <t>WP_011015348.1</t>
  </si>
  <si>
    <t>CGL_RS13710</t>
  </si>
  <si>
    <t>serine/threonine protein kinase</t>
  </si>
  <si>
    <t>WP_011015349.1</t>
  </si>
  <si>
    <t>CGL_RS13715</t>
  </si>
  <si>
    <t>acetate kinase</t>
  </si>
  <si>
    <t>WP_003862874.1</t>
  </si>
  <si>
    <t>CGL_RS13720</t>
  </si>
  <si>
    <t>phosphate acetyltransferase</t>
  </si>
  <si>
    <t>pta</t>
  </si>
  <si>
    <t>WP_011015350.1</t>
  </si>
  <si>
    <t>CGL_RS13725</t>
  </si>
  <si>
    <t>WP_011015351.1</t>
  </si>
  <si>
    <t>CGL_RS13730</t>
  </si>
  <si>
    <t>WP_011015352.1</t>
  </si>
  <si>
    <t>CGL_RS13735</t>
  </si>
  <si>
    <t>WP_011015353.1</t>
  </si>
  <si>
    <t>CGL_RS13740</t>
  </si>
  <si>
    <t>WP_011266003.1</t>
  </si>
  <si>
    <t>CGL_RS13745</t>
  </si>
  <si>
    <t>WP_011015355.1</t>
  </si>
  <si>
    <t>CGL_RS13750</t>
  </si>
  <si>
    <t>formate-dependent phosphoribosylglycinamide formyltransferase</t>
  </si>
  <si>
    <t>purT</t>
  </si>
  <si>
    <t>WP_003853648.1</t>
  </si>
  <si>
    <t>CGL_RS13755</t>
  </si>
  <si>
    <t>WP_227747700.1</t>
  </si>
  <si>
    <t>CGL_RS13760</t>
  </si>
  <si>
    <t>WP_011266004.1</t>
  </si>
  <si>
    <t>CGL_RS13765</t>
  </si>
  <si>
    <t>WP_096633838.1</t>
  </si>
  <si>
    <t>CGL_RS13770</t>
  </si>
  <si>
    <t>WP_011015359.1</t>
  </si>
  <si>
    <t>CGL_RS13775</t>
  </si>
  <si>
    <t>WP_011015360.1</t>
  </si>
  <si>
    <t>CGL_RS13780</t>
  </si>
  <si>
    <t>adenylosuccinate synthase</t>
  </si>
  <si>
    <t>WP_011015361.1</t>
  </si>
  <si>
    <t>CGL_RS13785</t>
  </si>
  <si>
    <t>WP_020948641.1</t>
  </si>
  <si>
    <t>CGL_RS13790</t>
  </si>
  <si>
    <t>WP_003862858.1</t>
  </si>
  <si>
    <t>CGL_RS13795</t>
  </si>
  <si>
    <t>WP_003853634.1</t>
  </si>
  <si>
    <t>CGL_RS13800</t>
  </si>
  <si>
    <t>class II fructose-bisphosphate aldolase</t>
  </si>
  <si>
    <t>fbaA</t>
  </si>
  <si>
    <t>WP_011015363.1</t>
  </si>
  <si>
    <t>CGL_RS13805</t>
  </si>
  <si>
    <t>glycoside hydrolase family 76 protein</t>
  </si>
  <si>
    <t>WP_011266006.1</t>
  </si>
  <si>
    <t>CGL_RS13810</t>
  </si>
  <si>
    <t>WP_011266007.1</t>
  </si>
  <si>
    <t>CGL_RS13815</t>
  </si>
  <si>
    <t>orotate phosphoribosyltransferase</t>
  </si>
  <si>
    <t>pyrE</t>
  </si>
  <si>
    <t>WP_003862850.1</t>
  </si>
  <si>
    <t>CGL_RS13820</t>
  </si>
  <si>
    <t>WP_041625587.1</t>
  </si>
  <si>
    <t>CGL_RS13825</t>
  </si>
  <si>
    <t>WP_011015366.1</t>
  </si>
  <si>
    <t>CGL_RS13830</t>
  </si>
  <si>
    <t>WP_011015367.1</t>
  </si>
  <si>
    <t>CGL_RS13835</t>
  </si>
  <si>
    <t>multidrug efflux MFS transporter Cmr</t>
  </si>
  <si>
    <t>cmr</t>
  </si>
  <si>
    <t>WP_011015368.1</t>
  </si>
  <si>
    <t>CGL_RS13840</t>
  </si>
  <si>
    <t>DUF4265 domain-containing protein</t>
  </si>
  <si>
    <t>WP_011015369.1</t>
  </si>
  <si>
    <t>CGL_RS13845</t>
  </si>
  <si>
    <t>ATP-dependent chaperone ClpB</t>
  </si>
  <si>
    <t>clpB</t>
  </si>
  <si>
    <t>WP_011015370.1</t>
  </si>
  <si>
    <t>CGL_RS13850</t>
  </si>
  <si>
    <t>sodium/glutamate symporter</t>
  </si>
  <si>
    <t>WP_011015371.1</t>
  </si>
  <si>
    <t>CGL_RS13855</t>
  </si>
  <si>
    <t>WP_020948644.1</t>
  </si>
  <si>
    <t>CGL_RS13860</t>
  </si>
  <si>
    <t>WP_011015373.1</t>
  </si>
  <si>
    <t>CGL_RS13865</t>
  </si>
  <si>
    <t>WP_011015374.1</t>
  </si>
  <si>
    <t>CGL_RS13870</t>
  </si>
  <si>
    <t>WP_011015375.1</t>
  </si>
  <si>
    <t>CGL_RS13875</t>
  </si>
  <si>
    <t>aminotransferase class I/II-fold pyridoxal phosphate-dependent enzyme</t>
  </si>
  <si>
    <t>WP_011015376.1</t>
  </si>
  <si>
    <t>CGL_RS13880</t>
  </si>
  <si>
    <t>WP_011015377.1</t>
  </si>
  <si>
    <t>CGL_RS13885</t>
  </si>
  <si>
    <t>CGL_RS15860</t>
  </si>
  <si>
    <t>type IV toxin-antitoxin system AbiEi family antitoxin</t>
  </si>
  <si>
    <t>WP_011015380.1</t>
  </si>
  <si>
    <t>CGL_RS13900</t>
  </si>
  <si>
    <t>WP_011015381.1</t>
  </si>
  <si>
    <t>CGL_RS13905</t>
  </si>
  <si>
    <t>WP_011015382.1</t>
  </si>
  <si>
    <t>CGL_RS13910</t>
  </si>
  <si>
    <t>carbon-nitrogen hydrolase family protein</t>
  </si>
  <si>
    <t>WP_011015383.1</t>
  </si>
  <si>
    <t>CGL_RS13915</t>
  </si>
  <si>
    <t>WP_011015384.1</t>
  </si>
  <si>
    <t>CGL_RS13920</t>
  </si>
  <si>
    <t>WP_011015385.1</t>
  </si>
  <si>
    <t>CGL_RS13925</t>
  </si>
  <si>
    <t>acetaldehyde dehydrogenase ExaC</t>
  </si>
  <si>
    <t>WP_011015386.1</t>
  </si>
  <si>
    <t>CGL_RS13930</t>
  </si>
  <si>
    <t>heat shock protein transcriptional repressor HspR</t>
  </si>
  <si>
    <t>WP_011015387.1</t>
  </si>
  <si>
    <t>CGL_RS13935</t>
  </si>
  <si>
    <t>WP_011015388.1</t>
  </si>
  <si>
    <t>CGL_RS13940</t>
  </si>
  <si>
    <t>nucleotide exchange factor GrpE</t>
  </si>
  <si>
    <t>grpE</t>
  </si>
  <si>
    <t>WP_011015389.1</t>
  </si>
  <si>
    <t>CGL_RS13945</t>
  </si>
  <si>
    <t>molecular chaperone DnaK</t>
  </si>
  <si>
    <t>dnaK</t>
  </si>
  <si>
    <t>WP_011015390.1</t>
  </si>
  <si>
    <t>CGL_RS13950</t>
  </si>
  <si>
    <t>WP_011015391.1</t>
  </si>
  <si>
    <t>CGL_RS13955</t>
  </si>
  <si>
    <t>nucleosidase</t>
  </si>
  <si>
    <t>WP_011015392.1</t>
  </si>
  <si>
    <t>CGL_RS13960</t>
  </si>
  <si>
    <t>Wadjet anti-phage system protein JetD domain-containing protein</t>
  </si>
  <si>
    <t>WP_011015393.1</t>
  </si>
  <si>
    <t>CGL_RS13965</t>
  </si>
  <si>
    <t>WP_011015394.1</t>
  </si>
  <si>
    <t>CGL_RS13970</t>
  </si>
  <si>
    <t>DUF4194 domain-containing protein</t>
  </si>
  <si>
    <t>WP_011015395.1</t>
  </si>
  <si>
    <t>CGL_RS13975</t>
  </si>
  <si>
    <t>DUF3375 domain-containing protein</t>
  </si>
  <si>
    <t>WP_011015396.1</t>
  </si>
  <si>
    <t>CGL_RS13980</t>
  </si>
  <si>
    <t>alcohol dehydrogenase AdhP</t>
  </si>
  <si>
    <t>adhP</t>
  </si>
  <si>
    <t>WP_011015397.1</t>
  </si>
  <si>
    <t>CGL_RS13985</t>
  </si>
  <si>
    <t>CGL_RS15755</t>
  </si>
  <si>
    <t>WP_011015399.1</t>
  </si>
  <si>
    <t>CGL_RS15760</t>
  </si>
  <si>
    <t>CGL_RS15765</t>
  </si>
  <si>
    <t>WP_011015401.1</t>
  </si>
  <si>
    <t>CGL_RS14000</t>
  </si>
  <si>
    <t>sirohydrochlorin chelatase</t>
  </si>
  <si>
    <t>WP_011015402.1</t>
  </si>
  <si>
    <t>CGL_RS14005</t>
  </si>
  <si>
    <t>WP_003862775.1</t>
  </si>
  <si>
    <t>CGL_RS14010</t>
  </si>
  <si>
    <t>sulfate adenylyltransferase subunit CysD</t>
  </si>
  <si>
    <t>cysD</t>
  </si>
  <si>
    <t>WP_011015403.1</t>
  </si>
  <si>
    <t>CGL_RS14015</t>
  </si>
  <si>
    <t>phosphoadenylyl-sulfate reductase</t>
  </si>
  <si>
    <t>WP_003853541.1</t>
  </si>
  <si>
    <t>CGL_RS14020</t>
  </si>
  <si>
    <t>WP_011015405.1</t>
  </si>
  <si>
    <t>CGL_RS14030</t>
  </si>
  <si>
    <t>WP_011015406.1</t>
  </si>
  <si>
    <t>CGL_RS14035</t>
  </si>
  <si>
    <t>WP_003862769.1</t>
  </si>
  <si>
    <t>CGL_RS14040</t>
  </si>
  <si>
    <t>WP_020948647.1</t>
  </si>
  <si>
    <t>CGL_RS14045</t>
  </si>
  <si>
    <t>WP_003853529.1</t>
  </si>
  <si>
    <t>CGL_RS14050</t>
  </si>
  <si>
    <t>WP_011015408.1</t>
  </si>
  <si>
    <t>CGL_RS14055</t>
  </si>
  <si>
    <t>tripartite tricarboxylate transporter permease TctA</t>
  </si>
  <si>
    <t>tctA</t>
  </si>
  <si>
    <t>WP_011015409.1</t>
  </si>
  <si>
    <t>CGL_RS14060</t>
  </si>
  <si>
    <t>tripartite tricarboxylate transporter TctB</t>
  </si>
  <si>
    <t>tctB</t>
  </si>
  <si>
    <t>WP_011015410.1</t>
  </si>
  <si>
    <t>CGL_RS14065</t>
  </si>
  <si>
    <t>tripartite tricarboxylate transporter substrate binding protein TctC</t>
  </si>
  <si>
    <t>tctC</t>
  </si>
  <si>
    <t>WP_011015411.1</t>
  </si>
  <si>
    <t>CGL_RS14070</t>
  </si>
  <si>
    <t>WP_011015412.1</t>
  </si>
  <si>
    <t>CGL_RS14075</t>
  </si>
  <si>
    <t>WP_011015413.1</t>
  </si>
  <si>
    <t>CGL_RS14080</t>
  </si>
  <si>
    <t>WP_011015414.1</t>
  </si>
  <si>
    <t>CGL_RS14085</t>
  </si>
  <si>
    <t>M20/M25/M40 family metallo-hydrolase</t>
  </si>
  <si>
    <t>WP_011015415.1</t>
  </si>
  <si>
    <t>CGL_RS14090</t>
  </si>
  <si>
    <t>cytochrome b/b6 domain-containing protein</t>
  </si>
  <si>
    <t>WP_011015416.1</t>
  </si>
  <si>
    <t>CGL_RS15845</t>
  </si>
  <si>
    <t>WP_011266014.1</t>
  </si>
  <si>
    <t>CGL_RS14100</t>
  </si>
  <si>
    <t>WP_011015418.1</t>
  </si>
  <si>
    <t>CGL_RS14105</t>
  </si>
  <si>
    <t>WP_011015419.1</t>
  </si>
  <si>
    <t>CGL_RS14110</t>
  </si>
  <si>
    <t>NADPH-dependent oxidoreductase</t>
  </si>
  <si>
    <t>WP_011015420.1</t>
  </si>
  <si>
    <t>CGL_RS14115</t>
  </si>
  <si>
    <t>WP_011015421.1</t>
  </si>
  <si>
    <t>CGL_RS14120</t>
  </si>
  <si>
    <t>WP_011015422.1</t>
  </si>
  <si>
    <t>CGL_RS14125</t>
  </si>
  <si>
    <t>WP_011015423.1</t>
  </si>
  <si>
    <t>CGL_RS14130</t>
  </si>
  <si>
    <t>WP_011015424.1</t>
  </si>
  <si>
    <t>CGL_RS14135</t>
  </si>
  <si>
    <t>globin domain-containing protein</t>
  </si>
  <si>
    <t>WP_011015425.1</t>
  </si>
  <si>
    <t>CGL_RS14140</t>
  </si>
  <si>
    <t>WP_003853486.1</t>
  </si>
  <si>
    <t>CGL_RS14145</t>
  </si>
  <si>
    <t>WP_011015426.1</t>
  </si>
  <si>
    <t>CGL_RS14150</t>
  </si>
  <si>
    <t>PRD domain-containing protein</t>
  </si>
  <si>
    <t>WP_227747698.1</t>
  </si>
  <si>
    <t>CGL_RS14155</t>
  </si>
  <si>
    <t>CGL_RS15880</t>
  </si>
  <si>
    <t>WP_003862692.1</t>
  </si>
  <si>
    <t>CGL_RS15550</t>
  </si>
  <si>
    <t>WP_003862691.1</t>
  </si>
  <si>
    <t>CGL_RS14170</t>
  </si>
  <si>
    <t>CGL_RS14175</t>
  </si>
  <si>
    <t>YibE/F family protein</t>
  </si>
  <si>
    <t>WP_011015432.1</t>
  </si>
  <si>
    <t>CGL_RS14180</t>
  </si>
  <si>
    <t>UDP-glucose dehydrogenase family protein</t>
  </si>
  <si>
    <t>WP_011015433.1</t>
  </si>
  <si>
    <t>CGL_RS14185</t>
  </si>
  <si>
    <t>dCTP deaminase</t>
  </si>
  <si>
    <t>dcd</t>
  </si>
  <si>
    <t>WP_003853460.1</t>
  </si>
  <si>
    <t>CGL_RS14190</t>
  </si>
  <si>
    <t>CGL_RS14195</t>
  </si>
  <si>
    <t>WP_011015434.1</t>
  </si>
  <si>
    <t>CGL_RS14200</t>
  </si>
  <si>
    <t>VanW family protein</t>
  </si>
  <si>
    <t>WP_011015435.1</t>
  </si>
  <si>
    <t>CGL_RS14205</t>
  </si>
  <si>
    <t>glycoside hydrolase family 3 N-terminal domain-containing protein</t>
  </si>
  <si>
    <t>WP_011266018.1</t>
  </si>
  <si>
    <t>CGL_RS14210</t>
  </si>
  <si>
    <t>WP_011015437.1</t>
  </si>
  <si>
    <t>CGL_RS14215</t>
  </si>
  <si>
    <t>DUF2613 domain-containing protein</t>
  </si>
  <si>
    <t>WP_003853449.1</t>
  </si>
  <si>
    <t>CGL_RS14220</t>
  </si>
  <si>
    <t>DUF3367 domain-containing protein</t>
  </si>
  <si>
    <t>WP_041625594.1</t>
  </si>
  <si>
    <t>CGL_RS14225</t>
  </si>
  <si>
    <t>trehalose corynomycolate mycolyl acetyltransferase TmaT</t>
  </si>
  <si>
    <t>tmaT</t>
  </si>
  <si>
    <t>WP_011015440.1</t>
  </si>
  <si>
    <t>CGL_RS14235</t>
  </si>
  <si>
    <t>porin PorA family protein</t>
  </si>
  <si>
    <t>WP_011015441.1</t>
  </si>
  <si>
    <t>CGL_RS14240</t>
  </si>
  <si>
    <t>WP_011015442.1</t>
  </si>
  <si>
    <t>CGL_RS14245</t>
  </si>
  <si>
    <t>WP_011015443.1</t>
  </si>
  <si>
    <t>CGL_RS14250</t>
  </si>
  <si>
    <t>WP_011266020.1</t>
  </si>
  <si>
    <t>CGL_RS14255</t>
  </si>
  <si>
    <t>WP_011015445.1</t>
  </si>
  <si>
    <t>CGL_RS14260</t>
  </si>
  <si>
    <t>phosphoenolpyruvate carboxykinase (GTP)</t>
  </si>
  <si>
    <t>WP_011015446.1</t>
  </si>
  <si>
    <t>CGL_RS14265</t>
  </si>
  <si>
    <t>TDT family transporter</t>
  </si>
  <si>
    <t>WP_011015447.1</t>
  </si>
  <si>
    <t>CGL_RS14270</t>
  </si>
  <si>
    <t>tRNA (guanosine(46)-N7)-methyltransferase TrmB</t>
  </si>
  <si>
    <t>trmB</t>
  </si>
  <si>
    <t>WP_011015448.1</t>
  </si>
  <si>
    <t>CGL_RS14275</t>
  </si>
  <si>
    <t>NYN domain-containing protein</t>
  </si>
  <si>
    <t>WP_003857880.1</t>
  </si>
  <si>
    <t>CGL_RS14280</t>
  </si>
  <si>
    <t>WP_011015449.1</t>
  </si>
  <si>
    <t>CGL_RS14285</t>
  </si>
  <si>
    <t>lysylphosphatidylglycerol synthase transmembrane domain-containing protein</t>
  </si>
  <si>
    <t>WP_011015450.1</t>
  </si>
  <si>
    <t>CGL_RS14290</t>
  </si>
  <si>
    <t>DUF3054 domain-containing protein</t>
  </si>
  <si>
    <t>WP_003857875.1</t>
  </si>
  <si>
    <t>CGL_RS14295</t>
  </si>
  <si>
    <t>WP_003857874.1</t>
  </si>
  <si>
    <t>CGL_RS14300</t>
  </si>
  <si>
    <t>CGL_RS15885</t>
  </si>
  <si>
    <t>CGL_RS14305</t>
  </si>
  <si>
    <t>FadD32-like long-chain-fatty-acid--AMP ligase</t>
  </si>
  <si>
    <t>WP_011015452.1</t>
  </si>
  <si>
    <t>CGL_RS14310</t>
  </si>
  <si>
    <t>cutinase family protein</t>
  </si>
  <si>
    <t>WP_011015453.1</t>
  </si>
  <si>
    <t>CGL_RS14315</t>
  </si>
  <si>
    <t>DUF732 domain-containing protein</t>
  </si>
  <si>
    <t>WP_011015454.1</t>
  </si>
  <si>
    <t>CGL_RS14320</t>
  </si>
  <si>
    <t>alpha/beta hydrolase-fold protein</t>
  </si>
  <si>
    <t>WP_011015455.1</t>
  </si>
  <si>
    <t>CGL_RS14325</t>
  </si>
  <si>
    <t>WP_011015456.1</t>
  </si>
  <si>
    <t>CGL_RS14330</t>
  </si>
  <si>
    <t>WP_011015457.1</t>
  </si>
  <si>
    <t>CGL_RS14335</t>
  </si>
  <si>
    <t>beta-(1-&gt;2)-arabinofuranosyltransferase</t>
  </si>
  <si>
    <t>aftB</t>
  </si>
  <si>
    <t>WP_011015458.1</t>
  </si>
  <si>
    <t>CGL_RS14340</t>
  </si>
  <si>
    <t>decaprenyl-phosphate phosphoribosyltransferase</t>
  </si>
  <si>
    <t>WP_011015459.1</t>
  </si>
  <si>
    <t>CGL_RS14345</t>
  </si>
  <si>
    <t>phosphatase PAP2 family protein</t>
  </si>
  <si>
    <t>WP_011015460.1</t>
  </si>
  <si>
    <t>CGL_RS14350</t>
  </si>
  <si>
    <t>WP_006284777.1</t>
  </si>
  <si>
    <t>CGL_RS14355</t>
  </si>
  <si>
    <t>DUF5129 domain-containing protein</t>
  </si>
  <si>
    <t>WP_011015462.1</t>
  </si>
  <si>
    <t>CGL_RS14360</t>
  </si>
  <si>
    <t>WP_011015463.1</t>
  </si>
  <si>
    <t>CGL_RS14365</t>
  </si>
  <si>
    <t>WP_011015464.1</t>
  </si>
  <si>
    <t>CGL_RS14370</t>
  </si>
  <si>
    <t>WP_011015465.1</t>
  </si>
  <si>
    <t>CGL_RS14375</t>
  </si>
  <si>
    <t>UDP-galactopyranose mutase</t>
  </si>
  <si>
    <t>glf</t>
  </si>
  <si>
    <t>WP_011015466.1</t>
  </si>
  <si>
    <t>CGL_RS14380</t>
  </si>
  <si>
    <t>WP_011015467.1</t>
  </si>
  <si>
    <t>CGL_RS14385</t>
  </si>
  <si>
    <t>glycerol kinase GlpK</t>
  </si>
  <si>
    <t>glpK</t>
  </si>
  <si>
    <t>WP_003857839.1</t>
  </si>
  <si>
    <t>CGL_RS14390</t>
  </si>
  <si>
    <t>WP_011015468.1</t>
  </si>
  <si>
    <t>CGL_RS14395</t>
  </si>
  <si>
    <t>WP_011015469.1</t>
  </si>
  <si>
    <t>CGL_RS14400</t>
  </si>
  <si>
    <t>serine--tRNA ligase</t>
  </si>
  <si>
    <t>serS</t>
  </si>
  <si>
    <t>WP_003857828.1</t>
  </si>
  <si>
    <t>CGL_RS14405</t>
  </si>
  <si>
    <t>WP_003862621.1</t>
  </si>
  <si>
    <t>CGL_RS14410</t>
  </si>
  <si>
    <t>WP_173361799.1</t>
  </si>
  <si>
    <t>CGL_RS14415</t>
  </si>
  <si>
    <t>WP_003862613.1</t>
  </si>
  <si>
    <t>CGL_RS14420</t>
  </si>
  <si>
    <t>WP_011015472.1</t>
  </si>
  <si>
    <t>CGL_RS14425</t>
  </si>
  <si>
    <t>prephenate dehydratase</t>
  </si>
  <si>
    <t>pheA</t>
  </si>
  <si>
    <t>WP_003862609.1</t>
  </si>
  <si>
    <t>CGL_RS14430</t>
  </si>
  <si>
    <t>amidase</t>
  </si>
  <si>
    <t>WP_011266027.1</t>
  </si>
  <si>
    <t>CGL_RS14435</t>
  </si>
  <si>
    <t>CPBP family intramembrane glutamic endopeptidase</t>
  </si>
  <si>
    <t>WP_011266028.1</t>
  </si>
  <si>
    <t>CGL_RS14440</t>
  </si>
  <si>
    <t>LCP family protein</t>
  </si>
  <si>
    <t>WP_011266029.1</t>
  </si>
  <si>
    <t>CGL_RS14450</t>
  </si>
  <si>
    <t>WP_011266030.1</t>
  </si>
  <si>
    <t>CGL_RS14455</t>
  </si>
  <si>
    <t>WP_011015477.1</t>
  </si>
  <si>
    <t>CGL_RS14460</t>
  </si>
  <si>
    <t>WP_011015478.1</t>
  </si>
  <si>
    <t>CGL_RS14465</t>
  </si>
  <si>
    <t>DUF5926 family protein</t>
  </si>
  <si>
    <t>WP_003862592.1</t>
  </si>
  <si>
    <t>CGL_RS14470</t>
  </si>
  <si>
    <t>WP_011266031.1</t>
  </si>
  <si>
    <t>CGL_RS14475</t>
  </si>
  <si>
    <t>GntP family permease</t>
  </si>
  <si>
    <t>WP_011015481.1</t>
  </si>
  <si>
    <t>CGL_RS14480</t>
  </si>
  <si>
    <t>WP_011015482.1</t>
  </si>
  <si>
    <t>CGL_RS14485</t>
  </si>
  <si>
    <t>L-lactate dehydrogenase</t>
  </si>
  <si>
    <t>WP_011015483.1</t>
  </si>
  <si>
    <t>CGL_RS14490</t>
  </si>
  <si>
    <t>WP_011015484.1</t>
  </si>
  <si>
    <t>CGL_RS14495</t>
  </si>
  <si>
    <t>WP_011015485.1</t>
  </si>
  <si>
    <t>CGL_RS14500</t>
  </si>
  <si>
    <t>WP_011015486.1</t>
  </si>
  <si>
    <t>CGL_RS14505</t>
  </si>
  <si>
    <t>WP_011015487.1</t>
  </si>
  <si>
    <t>CGL_RS14510</t>
  </si>
  <si>
    <t>WP_011015488.1</t>
  </si>
  <si>
    <t>CGL_RS14515</t>
  </si>
  <si>
    <t>WP_011015489.1</t>
  </si>
  <si>
    <t>CGL_RS14520</t>
  </si>
  <si>
    <t>quinone-dependent L-lactate dehydrogenase</t>
  </si>
  <si>
    <t>lldD</t>
  </si>
  <si>
    <t>WP_011015490.1</t>
  </si>
  <si>
    <t>CGL_RS14525</t>
  </si>
  <si>
    <t>WP_020948652.1</t>
  </si>
  <si>
    <t>CGL_RS14535</t>
  </si>
  <si>
    <t>purple acid phosphatase family protein</t>
  </si>
  <si>
    <t>WP_011015494.1</t>
  </si>
  <si>
    <t>CGL_RS14540</t>
  </si>
  <si>
    <t>LURP-one-related/scramblase family protein</t>
  </si>
  <si>
    <t>WP_011015495.1</t>
  </si>
  <si>
    <t>CGL_RS14545</t>
  </si>
  <si>
    <t>CGL_RS14550</t>
  </si>
  <si>
    <t>peptide-methionine (S)-S-oxide reductase MsrA</t>
  </si>
  <si>
    <t>msrA</t>
  </si>
  <si>
    <t>WP_011015498.1</t>
  </si>
  <si>
    <t>CGL_RS14555</t>
  </si>
  <si>
    <t>superoxide dismutase</t>
  </si>
  <si>
    <t>WP_003862560.1</t>
  </si>
  <si>
    <t>CGL_RS14560</t>
  </si>
  <si>
    <t>WP_011015499.1</t>
  </si>
  <si>
    <t>CGL_RS14565</t>
  </si>
  <si>
    <t>WP_011015500.1</t>
  </si>
  <si>
    <t>CGL_RS14570</t>
  </si>
  <si>
    <t>cupredoxin domain-containing protein</t>
  </si>
  <si>
    <t>WP_011015501.1</t>
  </si>
  <si>
    <t>CGL_RS14575</t>
  </si>
  <si>
    <t>TM0106 family RecB-like putative nuclease</t>
  </si>
  <si>
    <t>WP_011015502.1</t>
  </si>
  <si>
    <t>CGL_RS14580</t>
  </si>
  <si>
    <t>DUF6474 family protein</t>
  </si>
  <si>
    <t>WP_011015503.1</t>
  </si>
  <si>
    <t>CGL_RS14585</t>
  </si>
  <si>
    <t>WP_011015504.1</t>
  </si>
  <si>
    <t>CGL_RS14590</t>
  </si>
  <si>
    <t>WP_003862546.1</t>
  </si>
  <si>
    <t>CGL_RS14595</t>
  </si>
  <si>
    <t>LuxR C-terminal-related transcriptional regulator</t>
  </si>
  <si>
    <t>WP_003862544.1</t>
  </si>
  <si>
    <t>CGL_RS14600</t>
  </si>
  <si>
    <t>WP_011015505.1</t>
  </si>
  <si>
    <t>CGL_RS14605</t>
  </si>
  <si>
    <t>DUF2020 domain-containing protein</t>
  </si>
  <si>
    <t>WP_011015506.1</t>
  </si>
  <si>
    <t>CGL_RS14610</t>
  </si>
  <si>
    <t>WP_003858985.1</t>
  </si>
  <si>
    <t>CGL_RS15475</t>
  </si>
  <si>
    <t>class E sortase</t>
  </si>
  <si>
    <t>WP_011015507.1</t>
  </si>
  <si>
    <t>CGL_RS14615</t>
  </si>
  <si>
    <t>membrane protein insertase YidC</t>
  </si>
  <si>
    <t>yidC</t>
  </si>
  <si>
    <t>WP_011015508.1</t>
  </si>
  <si>
    <t>CGL_RS14620</t>
  </si>
  <si>
    <t>TetR/AcrR family transcriptional regulator MbcR</t>
  </si>
  <si>
    <t>mcbR</t>
  </si>
  <si>
    <t>WP_011015509.1</t>
  </si>
  <si>
    <t>CGL_RS14625</t>
  </si>
  <si>
    <t>GlsB/YeaQ/YmgE family stress response membrane protein</t>
  </si>
  <si>
    <t>WP_011015510.1</t>
  </si>
  <si>
    <t>CGL_RS14630</t>
  </si>
  <si>
    <t>WP_011015511.1</t>
  </si>
  <si>
    <t>CGL_RS14635</t>
  </si>
  <si>
    <t>WP_011015512.1</t>
  </si>
  <si>
    <t>CGL_RS14640</t>
  </si>
  <si>
    <t>WP_003862521.1</t>
  </si>
  <si>
    <t>CGL_RS15480</t>
  </si>
  <si>
    <t>WP_011015513.1</t>
  </si>
  <si>
    <t>CGL_RS14645</t>
  </si>
  <si>
    <t>CGL_RS14650</t>
  </si>
  <si>
    <t>CGL_RS14655</t>
  </si>
  <si>
    <t>CGL_RS14660</t>
  </si>
  <si>
    <t>WP_011015515.1</t>
  </si>
  <si>
    <t>CGL_RS14670</t>
  </si>
  <si>
    <t>WP_011015516.1</t>
  </si>
  <si>
    <t>CGL_RS14675</t>
  </si>
  <si>
    <t>rod-shaped morphology protein RsmP</t>
  </si>
  <si>
    <t>rsmP</t>
  </si>
  <si>
    <t>WP_003855053.1</t>
  </si>
  <si>
    <t>CGL_RS14680</t>
  </si>
  <si>
    <t>WP_011015518.1</t>
  </si>
  <si>
    <t>CGL_RS14685</t>
  </si>
  <si>
    <t>molybdopterin-dependent oxidoreductase</t>
  </si>
  <si>
    <t>WP_227747683.1</t>
  </si>
  <si>
    <t>CGL_RS14690</t>
  </si>
  <si>
    <t>WP_034983375.1</t>
  </si>
  <si>
    <t>CGL_RS14695</t>
  </si>
  <si>
    <t>WP_011015520.1</t>
  </si>
  <si>
    <t>CGL_RS14700</t>
  </si>
  <si>
    <t>class I SAM-dependent DNA methyltransferase</t>
  </si>
  <si>
    <t>WP_227747684.1</t>
  </si>
  <si>
    <t>CGL_RS14705</t>
  </si>
  <si>
    <t>WP_011015522.1</t>
  </si>
  <si>
    <t>CGL_RS14710</t>
  </si>
  <si>
    <t>WP_231133819.1</t>
  </si>
  <si>
    <t>CGL_RS14715</t>
  </si>
  <si>
    <t>WP_020948655.1</t>
  </si>
  <si>
    <t>CGL_RS15785</t>
  </si>
  <si>
    <t>WP_011015523.1</t>
  </si>
  <si>
    <t>CGL_RS15790</t>
  </si>
  <si>
    <t>WP_011015524.1</t>
  </si>
  <si>
    <t>CGL_RS14725</t>
  </si>
  <si>
    <t>WP_003859505.1</t>
  </si>
  <si>
    <t>CGL_RS14730</t>
  </si>
  <si>
    <t>hexameric tyrosine-coordinated heme protein</t>
  </si>
  <si>
    <t>WP_024127858.1</t>
  </si>
  <si>
    <t>CGL_RS14735</t>
  </si>
  <si>
    <t>CGL_RS14740</t>
  </si>
  <si>
    <t>CGL_RS15850</t>
  </si>
  <si>
    <t>DUF305 domain-containing protein</t>
  </si>
  <si>
    <t>WP_011015525.1</t>
  </si>
  <si>
    <t>CGL_RS14750</t>
  </si>
  <si>
    <t>copper-translocating P-type ATPase</t>
  </si>
  <si>
    <t>WP_011015526.1</t>
  </si>
  <si>
    <t>CGL_RS14755</t>
  </si>
  <si>
    <t>WP_011015527.1</t>
  </si>
  <si>
    <t>CGL_RS14760</t>
  </si>
  <si>
    <t>WP_011015528.1</t>
  </si>
  <si>
    <t>CGL_RS15795</t>
  </si>
  <si>
    <t>WP_011015529.1</t>
  </si>
  <si>
    <t>CGL_RS14765</t>
  </si>
  <si>
    <t>WP_011015530.1</t>
  </si>
  <si>
    <t>CGL_RS14770</t>
  </si>
  <si>
    <t>WP_011015531.1</t>
  </si>
  <si>
    <t>CGL_RS14775</t>
  </si>
  <si>
    <t>WP_003859486.1</t>
  </si>
  <si>
    <t>CGL_RS14780</t>
  </si>
  <si>
    <t>CGL_RS14785</t>
  </si>
  <si>
    <t>NADP-dependent oxidoreductase</t>
  </si>
  <si>
    <t>WP_231838278.1</t>
  </si>
  <si>
    <t>CGL_RS14790</t>
  </si>
  <si>
    <t>WP_227747685.1</t>
  </si>
  <si>
    <t>CGL_RS14795</t>
  </si>
  <si>
    <t>WP_227747686.1</t>
  </si>
  <si>
    <t>CGL_RS14800</t>
  </si>
  <si>
    <t>WP_011015535.1</t>
  </si>
  <si>
    <t>CGL_RS14805</t>
  </si>
  <si>
    <t>WP_011015536.1</t>
  </si>
  <si>
    <t>CGL_RS14810</t>
  </si>
  <si>
    <t>WP_011015537.1</t>
  </si>
  <si>
    <t>CGL_RS14815</t>
  </si>
  <si>
    <t>CGL_RS14820</t>
  </si>
  <si>
    <t>trxA</t>
  </si>
  <si>
    <t>WP_003861174.1</t>
  </si>
  <si>
    <t>CGL_RS14825</t>
  </si>
  <si>
    <t>WP_011015540.1</t>
  </si>
  <si>
    <t>CGL_RS14830</t>
  </si>
  <si>
    <t>WP_003861178.1</t>
  </si>
  <si>
    <t>CGL_RS14835</t>
  </si>
  <si>
    <t>WP_227747687.1</t>
  </si>
  <si>
    <t>CGL_RS14840</t>
  </si>
  <si>
    <t>WP_011015542.1</t>
  </si>
  <si>
    <t>CGL_RS14845</t>
  </si>
  <si>
    <t>replicative DNA helicase</t>
  </si>
  <si>
    <t>dnaB</t>
  </si>
  <si>
    <t>WP_011015543.1</t>
  </si>
  <si>
    <t>CGL_RS14850</t>
  </si>
  <si>
    <t>50S ribosomal protein L9</t>
  </si>
  <si>
    <t>rplI</t>
  </si>
  <si>
    <t>WP_011015544.1</t>
  </si>
  <si>
    <t>CGL_RS14855</t>
  </si>
  <si>
    <t>WP_011015545.1</t>
  </si>
  <si>
    <t>CGL_RS14860</t>
  </si>
  <si>
    <t>30S ribosomal protein S6</t>
  </si>
  <si>
    <t>rpsF</t>
  </si>
  <si>
    <t>WP_003855074.1</t>
  </si>
  <si>
    <t>CGL_RS14865</t>
  </si>
  <si>
    <t>WP_003855075.1</t>
  </si>
  <si>
    <t>CGL_RS15490</t>
  </si>
  <si>
    <t>WP_003861194.1</t>
  </si>
  <si>
    <t>CGL_RS14870</t>
  </si>
  <si>
    <t>glycosyltransferase family 87 protein</t>
  </si>
  <si>
    <t>WP_011015546.1</t>
  </si>
  <si>
    <t>CGL_RS14875</t>
  </si>
  <si>
    <t>WP_011015547.1</t>
  </si>
  <si>
    <t>CGL_RS14880</t>
  </si>
  <si>
    <t>DUF5318 family protein</t>
  </si>
  <si>
    <t>WP_011015548.1</t>
  </si>
  <si>
    <t>CGL_RS14885</t>
  </si>
  <si>
    <t>MarR family transcriptional regulator CarR</t>
  </si>
  <si>
    <t>carR</t>
  </si>
  <si>
    <t>WP_003855083.1</t>
  </si>
  <si>
    <t>CGL_RS14890</t>
  </si>
  <si>
    <t>WP_003861200.1</t>
  </si>
  <si>
    <t>CGL_RS14895</t>
  </si>
  <si>
    <t>WP_003861203.1</t>
  </si>
  <si>
    <t>CGL_RS14900</t>
  </si>
  <si>
    <t>WP_011015550.1</t>
  </si>
  <si>
    <t>CGL_RS14905</t>
  </si>
  <si>
    <t>rhodanese-related sulfurtransferase</t>
  </si>
  <si>
    <t>WP_011015551.1</t>
  </si>
  <si>
    <t>CGL_RS14910</t>
  </si>
  <si>
    <t>WP_011015552.1</t>
  </si>
  <si>
    <t>CGL_RS14915</t>
  </si>
  <si>
    <t>WP_003855103.1</t>
  </si>
  <si>
    <t>CGL_RS14920</t>
  </si>
  <si>
    <t>efflux RND transporter periplasmic adaptor subunit</t>
  </si>
  <si>
    <t>WP_011015553.1</t>
  </si>
  <si>
    <t>CGL_RS14925</t>
  </si>
  <si>
    <t>inositol-3-phosphate synthase</t>
  </si>
  <si>
    <t>WP_003855107.1</t>
  </si>
  <si>
    <t>CGL_RS14930</t>
  </si>
  <si>
    <t>WP_011266052.1</t>
  </si>
  <si>
    <t>CGL_RS14935</t>
  </si>
  <si>
    <t>DUF1846 domain-containing protein</t>
  </si>
  <si>
    <t>WP_011015555.1</t>
  </si>
  <si>
    <t>CGL_RS14940</t>
  </si>
  <si>
    <t>DNA starvation/stationary phase protection protein Dps</t>
  </si>
  <si>
    <t>dps</t>
  </si>
  <si>
    <t>WP_003861220.1</t>
  </si>
  <si>
    <t>CGL_RS14945</t>
  </si>
  <si>
    <t>WP_011266054.1</t>
  </si>
  <si>
    <t>CGL_RS14950</t>
  </si>
  <si>
    <t>RtcB family protein</t>
  </si>
  <si>
    <t>WP_011015557.1</t>
  </si>
  <si>
    <t>CGL_RS14955</t>
  </si>
  <si>
    <t>WP_011266055.1</t>
  </si>
  <si>
    <t>CGL_RS14960</t>
  </si>
  <si>
    <t>methylated-DNA--[protein]-cysteine S-methyltransferase</t>
  </si>
  <si>
    <t>WP_011015559.1</t>
  </si>
  <si>
    <t>CGL_RS14965</t>
  </si>
  <si>
    <t>zinc-binding alcohol dehydrogenase family protein</t>
  </si>
  <si>
    <t>WP_011015560.1</t>
  </si>
  <si>
    <t>CGL_RS14970</t>
  </si>
  <si>
    <t>WP_011015561.1</t>
  </si>
  <si>
    <t>CGL_RS14975</t>
  </si>
  <si>
    <t>NAD(P)-dependent malic enzyme</t>
  </si>
  <si>
    <t>WP_011015562.1</t>
  </si>
  <si>
    <t>CGL_RS14980</t>
  </si>
  <si>
    <t>WP_011015563.1</t>
  </si>
  <si>
    <t>CGL_RS14985</t>
  </si>
  <si>
    <t>VanZ family protein</t>
  </si>
  <si>
    <t>WP_011015564.1</t>
  </si>
  <si>
    <t>CGL_RS14990</t>
  </si>
  <si>
    <t>WP_011015565.1</t>
  </si>
  <si>
    <t>CGL_RS14995</t>
  </si>
  <si>
    <t>WP_041625711.1</t>
  </si>
  <si>
    <t>CGL_RS15000</t>
  </si>
  <si>
    <t>D-amino acid dehydrogenase</t>
  </si>
  <si>
    <t>WP_011015567.1</t>
  </si>
  <si>
    <t>CGL_RS15005</t>
  </si>
  <si>
    <t>WP_011015568.1</t>
  </si>
  <si>
    <t>CGL_RS15010</t>
  </si>
  <si>
    <t>WP_231838279.1</t>
  </si>
  <si>
    <t>CGL_RS15015</t>
  </si>
  <si>
    <t>WP_011015570.1</t>
  </si>
  <si>
    <t>CGL_RS15020</t>
  </si>
  <si>
    <t>malonic semialdehyde reductase</t>
  </si>
  <si>
    <t>WP_011015571.1</t>
  </si>
  <si>
    <t>CGL_RS15025</t>
  </si>
  <si>
    <t>WP_011015572.1</t>
  </si>
  <si>
    <t>CGL_RS15030</t>
  </si>
  <si>
    <t>leucine--tRNA ligase</t>
  </si>
  <si>
    <t>leuS</t>
  </si>
  <si>
    <t>WP_011015573.1</t>
  </si>
  <si>
    <t>CGL_RS15035</t>
  </si>
  <si>
    <t>YbaN family protein</t>
  </si>
  <si>
    <t>WP_011015574.1</t>
  </si>
  <si>
    <t>CGL_RS15040</t>
  </si>
  <si>
    <t>WP_011015575.1</t>
  </si>
  <si>
    <t>CGL_RS15045</t>
  </si>
  <si>
    <t>mycothiol-dependent maleylpyruvate isomerase NagL</t>
  </si>
  <si>
    <t>nagL</t>
  </si>
  <si>
    <t>WP_003855155.1</t>
  </si>
  <si>
    <t>CGL_RS15050</t>
  </si>
  <si>
    <t>WP_004567937.1</t>
  </si>
  <si>
    <t>CGL_RS15055</t>
  </si>
  <si>
    <t>WP_011015576.1</t>
  </si>
  <si>
    <t>CGL_RS15060</t>
  </si>
  <si>
    <t>WP_004567940.1</t>
  </si>
  <si>
    <t>CGL_RS15065</t>
  </si>
  <si>
    <t>WP_011015577.1</t>
  </si>
  <si>
    <t>CGL_RS15070</t>
  </si>
  <si>
    <t>3-hydroxybenzoate 6-hydroxylase</t>
  </si>
  <si>
    <t>WP_011015578.1</t>
  </si>
  <si>
    <t>CGL_RS15075</t>
  </si>
  <si>
    <t>WP_011015579.1</t>
  </si>
  <si>
    <t>CGL_RS15085</t>
  </si>
  <si>
    <t>WP_003855171.1</t>
  </si>
  <si>
    <t>CGL_RS15090</t>
  </si>
  <si>
    <t>trp operon leader peptide</t>
  </si>
  <si>
    <t>trpL</t>
  </si>
  <si>
    <t>WP_020948662.1</t>
  </si>
  <si>
    <t>CGL_RS15555</t>
  </si>
  <si>
    <t>anthranilate synthase component 1</t>
  </si>
  <si>
    <t>WP_011015581.1</t>
  </si>
  <si>
    <t>CGL_RS15095</t>
  </si>
  <si>
    <t>anthranilate synthase component II</t>
  </si>
  <si>
    <t>WP_003855176.1</t>
  </si>
  <si>
    <t>CGL_RS15100</t>
  </si>
  <si>
    <t>anthranilate phosphoribosyltransferase</t>
  </si>
  <si>
    <t>trpD</t>
  </si>
  <si>
    <t>WP_003855178.1</t>
  </si>
  <si>
    <t>CGL_RS15105</t>
  </si>
  <si>
    <t>bifunctional indole-3-glycerol-phosphate synthase TrpC/phosphoribosylanthranilate isomerase TrpF</t>
  </si>
  <si>
    <t>trpCF</t>
  </si>
  <si>
    <t>WP_011015582.1</t>
  </si>
  <si>
    <t>CGL_RS15110</t>
  </si>
  <si>
    <t>tryptophan synthase subunit beta</t>
  </si>
  <si>
    <t>trpB</t>
  </si>
  <si>
    <t>WP_004567953.1</t>
  </si>
  <si>
    <t>CGL_RS15115</t>
  </si>
  <si>
    <t>tryptophan synthase subunit alpha</t>
  </si>
  <si>
    <t>trpA</t>
  </si>
  <si>
    <t>WP_004567954.1</t>
  </si>
  <si>
    <t>CGL_RS15120</t>
  </si>
  <si>
    <t>PTS ascorbate transporter subunit IIC</t>
  </si>
  <si>
    <t>WP_011015583.1</t>
  </si>
  <si>
    <t>CGL_RS15125</t>
  </si>
  <si>
    <t>PTS sugar transporter subunit IIA</t>
  </si>
  <si>
    <t>WP_011015584.1</t>
  </si>
  <si>
    <t>CGL_RS15130</t>
  </si>
  <si>
    <t>WP_004567959.1</t>
  </si>
  <si>
    <t>CGL_RS15135</t>
  </si>
  <si>
    <t>WP_011015585.1</t>
  </si>
  <si>
    <t>CGL_RS15140</t>
  </si>
  <si>
    <t>Rieske (2Fe-2S) protein</t>
  </si>
  <si>
    <t>WP_003855195.1</t>
  </si>
  <si>
    <t>CGL_RS15145</t>
  </si>
  <si>
    <t>NADH:flavin oxidoreductase/NADH oxidase</t>
  </si>
  <si>
    <t>WP_011015587.1</t>
  </si>
  <si>
    <t>CGL_RS15150</t>
  </si>
  <si>
    <t>WP_020948664.1</t>
  </si>
  <si>
    <t>CGL_RS15155</t>
  </si>
  <si>
    <t>DUF1684 domain-containing protein</t>
  </si>
  <si>
    <t>WP_011015589.1</t>
  </si>
  <si>
    <t>CGL_RS15160</t>
  </si>
  <si>
    <t>WP_003855203.1</t>
  </si>
  <si>
    <t>CGL_RS15165</t>
  </si>
  <si>
    <t>WP_011015590.1</t>
  </si>
  <si>
    <t>CGL_RS15170</t>
  </si>
  <si>
    <t>WP_011015591.1</t>
  </si>
  <si>
    <t>CGL_RS15175</t>
  </si>
  <si>
    <t>type I toxin-antitoxin system antitoxin GrtC</t>
  </si>
  <si>
    <t>grtC</t>
  </si>
  <si>
    <t>WP_003855208.1</t>
  </si>
  <si>
    <t>CGL_RS15495</t>
  </si>
  <si>
    <t>type I toxin-antitoxin system antitoxin GrtB</t>
  </si>
  <si>
    <t>grtB</t>
  </si>
  <si>
    <t>WP_011015592.1</t>
  </si>
  <si>
    <t>CGL_RS15500</t>
  </si>
  <si>
    <t>type I toxin-antitoxin system antitoxin GrtA</t>
  </si>
  <si>
    <t>grtA</t>
  </si>
  <si>
    <t>WP_011015593.1</t>
  </si>
  <si>
    <t>CGL_RS15505</t>
  </si>
  <si>
    <t>WP_011015594.1</t>
  </si>
  <si>
    <t>CGL_RS15180</t>
  </si>
  <si>
    <t>WP_003855212.1</t>
  </si>
  <si>
    <t>CGL_RS15185</t>
  </si>
  <si>
    <t>WP_003855213.1</t>
  </si>
  <si>
    <t>CGL_RS15190</t>
  </si>
  <si>
    <t>WP_011015595.1</t>
  </si>
  <si>
    <t>CGL_RS15195</t>
  </si>
  <si>
    <t>dioxygenase</t>
  </si>
  <si>
    <t>WP_011015596.1</t>
  </si>
  <si>
    <t>CGL_RS15200</t>
  </si>
  <si>
    <t>WP_011015597.1</t>
  </si>
  <si>
    <t>CGL_RS15205</t>
  </si>
  <si>
    <t>WP_011015598.1</t>
  </si>
  <si>
    <t>CGL_RS15210</t>
  </si>
  <si>
    <t>WP_011266064.1</t>
  </si>
  <si>
    <t>CGL_RS15215</t>
  </si>
  <si>
    <t>WP_011015600.1</t>
  </si>
  <si>
    <t>CGL_RS15220</t>
  </si>
  <si>
    <t>WP_011015601.1</t>
  </si>
  <si>
    <t>CGL_RS15225</t>
  </si>
  <si>
    <t>inositol 2-dehydrogenase</t>
  </si>
  <si>
    <t>iolG</t>
  </si>
  <si>
    <t>WP_003855225.1</t>
  </si>
  <si>
    <t>CGL_RS15230</t>
  </si>
  <si>
    <t>WP_011015602.1</t>
  </si>
  <si>
    <t>CGL_RS15235</t>
  </si>
  <si>
    <t>WP_011266065.1</t>
  </si>
  <si>
    <t>CGL_RS15240</t>
  </si>
  <si>
    <t>WP_011015604.1</t>
  </si>
  <si>
    <t>CGL_RS15245</t>
  </si>
  <si>
    <t>WP_011015605.1</t>
  </si>
  <si>
    <t>CGL_RS15250</t>
  </si>
  <si>
    <t>slipin family protein</t>
  </si>
  <si>
    <t>WP_011266067.1</t>
  </si>
  <si>
    <t>CGL_RS15255</t>
  </si>
  <si>
    <t>WP_011015607.1</t>
  </si>
  <si>
    <t>CGL_RS15260</t>
  </si>
  <si>
    <t>WP_011015608.1</t>
  </si>
  <si>
    <t>CGL_RS15265</t>
  </si>
  <si>
    <t>DUF4395 domain-containing protein</t>
  </si>
  <si>
    <t>WP_011015609.1</t>
  </si>
  <si>
    <t>CGL_RS15270</t>
  </si>
  <si>
    <t>CGL_RS15275</t>
  </si>
  <si>
    <t>WP_306556787.1</t>
  </si>
  <si>
    <t>CGL_RS15800</t>
  </si>
  <si>
    <t>WP_003860938.1</t>
  </si>
  <si>
    <t>CGL_RS15280</t>
  </si>
  <si>
    <t>WP_011266071.1</t>
  </si>
  <si>
    <t>CGL_RS15285</t>
  </si>
  <si>
    <t>WP_011015613.1</t>
  </si>
  <si>
    <t>CGL_RS15290</t>
  </si>
  <si>
    <t>zinc-binding dehydrogenase</t>
  </si>
  <si>
    <t>WP_011015614.1</t>
  </si>
  <si>
    <t>CGL_RS15295</t>
  </si>
  <si>
    <t>DUF1304 domain-containing protein</t>
  </si>
  <si>
    <t>WP_011015615.1</t>
  </si>
  <si>
    <t>CGL_RS15300</t>
  </si>
  <si>
    <t>WP_020948667.1</t>
  </si>
  <si>
    <t>CGL_RS15305</t>
  </si>
  <si>
    <t>thiD</t>
  </si>
  <si>
    <t>WP_011015616.1</t>
  </si>
  <si>
    <t>CGL_RS15310</t>
  </si>
  <si>
    <t>WP_011015617.1</t>
  </si>
  <si>
    <t>CGL_RS15315</t>
  </si>
  <si>
    <t>WP_003855276.1</t>
  </si>
  <si>
    <t>CGL_RS15320</t>
  </si>
  <si>
    <t>branched-chain amino acid transporter permease</t>
  </si>
  <si>
    <t>WP_011015618.1</t>
  </si>
  <si>
    <t>CGL_RS15325</t>
  </si>
  <si>
    <t>AzlC family ABC transporter permease</t>
  </si>
  <si>
    <t>WP_011015619.1</t>
  </si>
  <si>
    <t>CGL_RS15330</t>
  </si>
  <si>
    <t>YqgE/AlgH family protein</t>
  </si>
  <si>
    <t>WP_003860953.1</t>
  </si>
  <si>
    <t>CGL_RS15335</t>
  </si>
  <si>
    <t>CCA tRNA nucleotidyltransferase</t>
  </si>
  <si>
    <t>WP_003855284.1</t>
  </si>
  <si>
    <t>CGL_RS15340</t>
  </si>
  <si>
    <t>WP_011015620.1</t>
  </si>
  <si>
    <t>CGL_RS15560</t>
  </si>
  <si>
    <t>WP_011015621.1</t>
  </si>
  <si>
    <t>CGL_RS15355</t>
  </si>
  <si>
    <t>virulence factor</t>
  </si>
  <si>
    <t>WP_011015622.1</t>
  </si>
  <si>
    <t>CGL_RS15360</t>
  </si>
  <si>
    <t>WP_003855298.1</t>
  </si>
  <si>
    <t>CGL_RS15365</t>
  </si>
  <si>
    <t>thioredoxin-disulfide reductase</t>
  </si>
  <si>
    <t>trxB</t>
  </si>
  <si>
    <t>WP_003855300.1</t>
  </si>
  <si>
    <t>CGL_RS15370</t>
  </si>
  <si>
    <t>WP_011015624.1</t>
  </si>
  <si>
    <t>CGL_RS15375</t>
  </si>
  <si>
    <t>N-acetylmuramoyl-L-alanine amidase</t>
  </si>
  <si>
    <t>WP_041625627.1</t>
  </si>
  <si>
    <t>CGL_RS15380</t>
  </si>
  <si>
    <t>WP_011015626.1</t>
  </si>
  <si>
    <t>CGL_RS15385</t>
  </si>
  <si>
    <t>ParB/RepB/Spo0J family partition protein</t>
  </si>
  <si>
    <t>WP_003855307.1</t>
  </si>
  <si>
    <t>CGL_RS15390</t>
  </si>
  <si>
    <t>WP_003855308.1</t>
  </si>
  <si>
    <t>CGL_RS15395</t>
  </si>
  <si>
    <t>16S rRNA (guanine(527)-N(7))-methyltransferase RsmG</t>
  </si>
  <si>
    <t>rsmG</t>
  </si>
  <si>
    <t>WP_011266076.1</t>
  </si>
  <si>
    <t>CGL_RS15400</t>
  </si>
  <si>
    <t>WP_003855313.1</t>
  </si>
  <si>
    <t>CGL_RS15405</t>
  </si>
  <si>
    <t>membrane protein insertion efficiency factor YidD</t>
  </si>
  <si>
    <t>yidD</t>
  </si>
  <si>
    <t>WP_011266077.1</t>
  </si>
  <si>
    <t>CGL_RS15410</t>
  </si>
  <si>
    <t>ribonuclease P protein component</t>
  </si>
  <si>
    <t>rnpA</t>
  </si>
  <si>
    <t>WP_003860977.1</t>
  </si>
  <si>
    <t>CGL_RS15415</t>
  </si>
  <si>
    <t>50S ribosomal protein L34</t>
  </si>
  <si>
    <t>rpmH</t>
  </si>
  <si>
    <t>WP_003855320.1</t>
  </si>
  <si>
    <t>CGL_RS15420</t>
  </si>
  <si>
    <t>EC_Number</t>
  </si>
  <si>
    <t>2.7.7.7</t>
  </si>
  <si>
    <t>z</t>
  </si>
  <si>
    <t>5.6.2.2</t>
  </si>
  <si>
    <t>5.2.1.8</t>
  </si>
  <si>
    <t>2.4.99.28</t>
  </si>
  <si>
    <t>3.1.3.16</t>
  </si>
  <si>
    <t>2.7.13.3</t>
  </si>
  <si>
    <t>2.8.1.6</t>
  </si>
  <si>
    <t>2.3.1.286</t>
  </si>
  <si>
    <t>3.5.1.5</t>
  </si>
  <si>
    <t>3.2.2.4</t>
  </si>
  <si>
    <t>2.7.1.17</t>
  </si>
  <si>
    <t>6.3.2.1</t>
  </si>
  <si>
    <t>2.1.2.11</t>
  </si>
  <si>
    <t>4.1.1.11</t>
  </si>
  <si>
    <t>3.6.4.13</t>
  </si>
  <si>
    <t>3.2.2.20</t>
  </si>
  <si>
    <t>2.1.1.63</t>
  </si>
  <si>
    <t>2.7.1.92</t>
  </si>
  <si>
    <t>5.3.1.30</t>
  </si>
  <si>
    <t>3.7.1.22</t>
  </si>
  <si>
    <t>1.4.1.13</t>
  </si>
  <si>
    <t>1.1.1.333</t>
  </si>
  <si>
    <t>2.4.1.287</t>
  </si>
  <si>
    <t>1.6.5.5</t>
  </si>
  <si>
    <t>2.8.1.12</t>
  </si>
  <si>
    <t>4.6.1.17</t>
  </si>
  <si>
    <t>2.6.1.9</t>
  </si>
  <si>
    <t>1.3.1.12</t>
  </si>
  <si>
    <t>3.5.4.33</t>
  </si>
  <si>
    <t>2.4.2.29</t>
  </si>
  <si>
    <t>6.3.2.13</t>
  </si>
  <si>
    <t>2.3.3.13</t>
  </si>
  <si>
    <t>2.7.2.4</t>
  </si>
  <si>
    <t>1.2.1.11</t>
  </si>
  <si>
    <t>1.11.1.6</t>
  </si>
  <si>
    <t>2.8.4.2</t>
  </si>
  <si>
    <t>4.2.99.18</t>
  </si>
  <si>
    <t>5.6.2.1</t>
  </si>
  <si>
    <t>1.1.1.306</t>
  </si>
  <si>
    <t>4.2.1.47</t>
  </si>
  <si>
    <t>2.7.7.24</t>
  </si>
  <si>
    <t>4.2.1.46</t>
  </si>
  <si>
    <t>2.7.10.2</t>
  </si>
  <si>
    <t>2.5.1.7</t>
  </si>
  <si>
    <t>1.3.1.98</t>
  </si>
  <si>
    <t>1.8.1.4</t>
  </si>
  <si>
    <t>2.7.7.9</t>
  </si>
  <si>
    <t>3.5.1.10</t>
  </si>
  <si>
    <t>4.1.2.4</t>
  </si>
  <si>
    <t>2.4.1.250</t>
  </si>
  <si>
    <t>5.4.2.11</t>
  </si>
  <si>
    <t>1.5.1.2</t>
  </si>
  <si>
    <t>1.2.1.70</t>
  </si>
  <si>
    <t>2.5.1.61</t>
  </si>
  <si>
    <t>4.2.1.118</t>
  </si>
  <si>
    <t>4.2.1.10</t>
  </si>
  <si>
    <t>2.1.1.107</t>
  </si>
  <si>
    <t>4.2.1.24</t>
  </si>
  <si>
    <t>4.1.1.37</t>
  </si>
  <si>
    <t>1.3.3.4</t>
  </si>
  <si>
    <t>5.4.3.8</t>
  </si>
  <si>
    <t>2.5.1.74</t>
  </si>
  <si>
    <t>6.2.1.26</t>
  </si>
  <si>
    <t>4.1.3.36</t>
  </si>
  <si>
    <t>4.2.1.96</t>
  </si>
  <si>
    <t>4.2.1.113</t>
  </si>
  <si>
    <t>2.2.1.9</t>
  </si>
  <si>
    <t>2.1.1.163</t>
  </si>
  <si>
    <t>1.3.1.83</t>
  </si>
  <si>
    <t>2.6.1.19</t>
  </si>
  <si>
    <t>2.7.7.6</t>
  </si>
  <si>
    <t>2.7.4.3</t>
  </si>
  <si>
    <t>3.4.11.18</t>
  </si>
  <si>
    <t>5.4.99.12</t>
  </si>
  <si>
    <t>5.4.2.10</t>
  </si>
  <si>
    <t>5.1.1.1</t>
  </si>
  <si>
    <t>2.3.1.234</t>
  </si>
  <si>
    <t>2.3.1.266</t>
  </si>
  <si>
    <t>1.1.1.205</t>
  </si>
  <si>
    <t>6.3.5.2</t>
  </si>
  <si>
    <t>7.4.2.11</t>
  </si>
  <si>
    <t>2.1.1.207</t>
  </si>
  <si>
    <t>2.3.1.31</t>
  </si>
  <si>
    <t>2.5.1.47</t>
  </si>
  <si>
    <t>4.1.3.30</t>
  </si>
  <si>
    <t>1.1.1.42</t>
  </si>
  <si>
    <t>3.1.11.2</t>
  </si>
  <si>
    <t>6.1.1.2</t>
  </si>
  <si>
    <t>2.4.2.9</t>
  </si>
  <si>
    <t>6.4.1.1</t>
  </si>
  <si>
    <t>3.6.1.9</t>
  </si>
  <si>
    <t>6.3.4.15</t>
  </si>
  <si>
    <t>6.3.4.18</t>
  </si>
  <si>
    <t>1.1.1.100</t>
  </si>
  <si>
    <t>1.5.1.3</t>
  </si>
  <si>
    <t>5.3.1.8</t>
  </si>
  <si>
    <t>3.13.2.1</t>
  </si>
  <si>
    <t>2.7.4.9</t>
  </si>
  <si>
    <t>2.5.1.19</t>
  </si>
  <si>
    <t>5.6.2.4</t>
  </si>
  <si>
    <t>3.1.3.15</t>
  </si>
  <si>
    <t>2.6.1.52</t>
  </si>
  <si>
    <t>2.3.3.16</t>
  </si>
  <si>
    <t>2.1.3.15</t>
  </si>
  <si>
    <t>2.3.1.85</t>
  </si>
  <si>
    <t>2.1.1.45</t>
  </si>
  <si>
    <t>3.1.3.7</t>
  </si>
  <si>
    <t>5.3.1.9</t>
  </si>
  <si>
    <t>5.4.99.5</t>
  </si>
  <si>
    <t>3.6.4.12</t>
  </si>
  <si>
    <t>2.1.2.2</t>
  </si>
  <si>
    <t>6.3.3.2</t>
  </si>
  <si>
    <t>2.4.1.109</t>
  </si>
  <si>
    <t>2.1.1.198</t>
  </si>
  <si>
    <t>6.1.1.10</t>
  </si>
  <si>
    <t>1.1.1.28</t>
  </si>
  <si>
    <t>2.1.1.182</t>
  </si>
  <si>
    <t>2.7.1.148</t>
  </si>
  <si>
    <t>2.7.1.35</t>
  </si>
  <si>
    <t>2.7.4.1</t>
  </si>
  <si>
    <t>3.1.1.29</t>
  </si>
  <si>
    <t>1.13.12.16</t>
  </si>
  <si>
    <t>1.2.1.12</t>
  </si>
  <si>
    <t>2.7.6.1</t>
  </si>
  <si>
    <t>2.7.7.23</t>
  </si>
  <si>
    <t>2.3.2.2</t>
  </si>
  <si>
    <t>4.2.1.11</t>
  </si>
  <si>
    <t>2.5.1.54</t>
  </si>
  <si>
    <t>2.7.1.33</t>
  </si>
  <si>
    <t>2.1.2.1</t>
  </si>
  <si>
    <t>2.6.1.85</t>
  </si>
  <si>
    <t>3.5.2.9</t>
  </si>
  <si>
    <t>4.2.1.2</t>
  </si>
  <si>
    <t>3.1.3.11</t>
  </si>
  <si>
    <t>3.1.11.6</t>
  </si>
  <si>
    <t>1.17.7.4</t>
  </si>
  <si>
    <t>2.1.3.3</t>
  </si>
  <si>
    <t>2.4.2.19</t>
  </si>
  <si>
    <t>2.5.1.72</t>
  </si>
  <si>
    <t>1.1.1.169</t>
  </si>
  <si>
    <t>1.20.4.1</t>
  </si>
  <si>
    <t>3.5.1.103</t>
  </si>
  <si>
    <t>2.6.1.17</t>
  </si>
  <si>
    <t>2.3.1.117</t>
  </si>
  <si>
    <t>3.5.1.18</t>
  </si>
  <si>
    <t>2.5.1.15</t>
  </si>
  <si>
    <t>2.4.1.266</t>
  </si>
  <si>
    <t>2.4.1.21</t>
  </si>
  <si>
    <t>2.7.7.27</t>
  </si>
  <si>
    <t>4.1.1.71</t>
  </si>
  <si>
    <t>2.1.1.14</t>
  </si>
  <si>
    <t>1.14.13.127</t>
  </si>
  <si>
    <t>1.3.1.32</t>
  </si>
  <si>
    <t>2.7.6.5</t>
  </si>
  <si>
    <t>6.1.1.19</t>
  </si>
  <si>
    <t>4.1.1.20</t>
  </si>
  <si>
    <t>1.1.1.3</t>
  </si>
  <si>
    <t>2.7.1.39</t>
  </si>
  <si>
    <t>3.1.3.2</t>
  </si>
  <si>
    <t>2.7.7.77</t>
  </si>
  <si>
    <t>4.1.99.22</t>
  </si>
  <si>
    <t>2.1.1.297</t>
  </si>
  <si>
    <t>2.7.7.87</t>
  </si>
  <si>
    <t>7.1.2.2</t>
  </si>
  <si>
    <t>5.1.99.1</t>
  </si>
  <si>
    <t>2.4.1.18</t>
  </si>
  <si>
    <t>2.4.99.16</t>
  </si>
  <si>
    <t>2.7.11.1</t>
  </si>
  <si>
    <t>2.5.1.16</t>
  </si>
  <si>
    <t>2.8.1.13</t>
  </si>
  <si>
    <t>6.5.1.2</t>
  </si>
  <si>
    <t>5.4.99.62</t>
  </si>
  <si>
    <t>4.2.1.9</t>
  </si>
  <si>
    <t>2.2.1.6</t>
  </si>
  <si>
    <t>1.1.1.86</t>
  </si>
  <si>
    <t>1.1.1.95</t>
  </si>
  <si>
    <t>1.1.1.85</t>
  </si>
  <si>
    <t>5.4.4.2</t>
  </si>
  <si>
    <t>6.1.1.17</t>
  </si>
  <si>
    <t>4.1.99.17</t>
  </si>
  <si>
    <t>4.2.1.33</t>
  </si>
  <si>
    <t>1.1.1.94</t>
  </si>
  <si>
    <t>2.7.4.16</t>
  </si>
  <si>
    <t>3.2.2.27</t>
  </si>
  <si>
    <t>2.1.1.171</t>
  </si>
  <si>
    <t>2.7.7.3</t>
  </si>
  <si>
    <t>2.7.1.24</t>
  </si>
  <si>
    <t>1.6.5.2</t>
  </si>
  <si>
    <t>6.1.1.20</t>
  </si>
  <si>
    <t>1.2.1.38</t>
  </si>
  <si>
    <t>2.7.2.8</t>
  </si>
  <si>
    <t>2.6.1.11</t>
  </si>
  <si>
    <t>6.3.4.5</t>
  </si>
  <si>
    <t>3.1.3.1</t>
  </si>
  <si>
    <t>4.3.2.1</t>
  </si>
  <si>
    <t>6.1.1.1</t>
  </si>
  <si>
    <t>2.7.1.23</t>
  </si>
  <si>
    <t>6.3.4.2</t>
  </si>
  <si>
    <t>2.7.4.25</t>
  </si>
  <si>
    <t>1.1.1.44</t>
  </si>
  <si>
    <t>7.3.2.2</t>
  </si>
  <si>
    <t>2.7.1.50</t>
  </si>
  <si>
    <t>2.3.1.269</t>
  </si>
  <si>
    <t>1.8.7.1</t>
  </si>
  <si>
    <t>6.3.1.19</t>
  </si>
  <si>
    <t>3.5.1.119</t>
  </si>
  <si>
    <t>5.6.1.5</t>
  </si>
  <si>
    <t>4.3.1.1</t>
  </si>
  <si>
    <t>2.4.2.17</t>
  </si>
  <si>
    <t>3.6.1.31</t>
  </si>
  <si>
    <t>2.1.1.13</t>
  </si>
  <si>
    <t>1.20.4.4</t>
  </si>
  <si>
    <t>6.3.1.13</t>
  </si>
  <si>
    <t>3.6.1.27</t>
  </si>
  <si>
    <t>1.3.5.2</t>
  </si>
  <si>
    <t>5.4.99.2</t>
  </si>
  <si>
    <t>4.98.1.1</t>
  </si>
  <si>
    <t>2.8.1.7</t>
  </si>
  <si>
    <t>1.17.99.9</t>
  </si>
  <si>
    <t>2.5.1.141</t>
  </si>
  <si>
    <t>2.2.1.1</t>
  </si>
  <si>
    <t>2.2.1.2</t>
  </si>
  <si>
    <t>1.1.1.49</t>
  </si>
  <si>
    <t>3.1.1.31</t>
  </si>
  <si>
    <t>4.1.1.31</t>
  </si>
  <si>
    <t>5.3.1.1</t>
  </si>
  <si>
    <t>2.7.2.3</t>
  </si>
  <si>
    <t>2.5.1.78</t>
  </si>
  <si>
    <t>2.5.1.9</t>
  </si>
  <si>
    <t>5.1.3.1</t>
  </si>
  <si>
    <t>2.1.2.9</t>
  </si>
  <si>
    <t>3.5.1.88</t>
  </si>
  <si>
    <t>2.5.1.6</t>
  </si>
  <si>
    <t>2.7.4.8</t>
  </si>
  <si>
    <t>4.1.1.23</t>
  </si>
  <si>
    <t>6.3.5.5</t>
  </si>
  <si>
    <t>3.5.2.3</t>
  </si>
  <si>
    <t>2.1.3.2</t>
  </si>
  <si>
    <t>3.4.11.9</t>
  </si>
  <si>
    <t>4.2.3.4</t>
  </si>
  <si>
    <t>2.7.1.71</t>
  </si>
  <si>
    <t>4.2.3.5</t>
  </si>
  <si>
    <t>3.4.23.43</t>
  </si>
  <si>
    <t>1.1.1.25</t>
  </si>
  <si>
    <t>3.1.21.10</t>
  </si>
  <si>
    <t>6.1.1.7</t>
  </si>
  <si>
    <t>6.1.1.12</t>
  </si>
  <si>
    <t>4.3.1.17</t>
  </si>
  <si>
    <t>6.1.1.21</t>
  </si>
  <si>
    <t>2.4.2.7</t>
  </si>
  <si>
    <t>6.1.1.3</t>
  </si>
  <si>
    <t>2.1.1.37</t>
  </si>
  <si>
    <t>2.4.2.47</t>
  </si>
  <si>
    <t>1.8.4.12</t>
  </si>
  <si>
    <t>1.3.98.5</t>
  </si>
  <si>
    <t>3.1.13.5</t>
  </si>
  <si>
    <t>2.2.1.7</t>
  </si>
  <si>
    <t>3.6.1.23</t>
  </si>
  <si>
    <t>2.7.1.63</t>
  </si>
  <si>
    <t>3.1.1.96</t>
  </si>
  <si>
    <t>5.1.3.2</t>
  </si>
  <si>
    <t>3.4.21.88</t>
  </si>
  <si>
    <t>2.7.3.9</t>
  </si>
  <si>
    <t>2.7.1.56</t>
  </si>
  <si>
    <t>5.1.1.7</t>
  </si>
  <si>
    <t>2.5.1.75</t>
  </si>
  <si>
    <t>2.8.4.3</t>
  </si>
  <si>
    <t>2.7.8.5</t>
  </si>
  <si>
    <t>4.3.3.7</t>
  </si>
  <si>
    <t>2.1.1.148</t>
  </si>
  <si>
    <t>1.17.1.8</t>
  </si>
  <si>
    <t>2.7.7.8</t>
  </si>
  <si>
    <t>5.4.99.25</t>
  </si>
  <si>
    <t>2.7.8.7</t>
  </si>
  <si>
    <t>6.1.1.15</t>
  </si>
  <si>
    <t>2.7.7.108</t>
  </si>
  <si>
    <t>1.1.5.4</t>
  </si>
  <si>
    <t>1.8.1.15</t>
  </si>
  <si>
    <t>1.17.7.1</t>
  </si>
  <si>
    <t>1.1.1.267</t>
  </si>
  <si>
    <t>2.1.1.192</t>
  </si>
  <si>
    <t>2.7.7.41</t>
  </si>
  <si>
    <t>2.7.4.22</t>
  </si>
  <si>
    <t>3.1.26.4</t>
  </si>
  <si>
    <t>3.4.21.89</t>
  </si>
  <si>
    <t>2.5.1.3</t>
  </si>
  <si>
    <t>1.4.3.19</t>
  </si>
  <si>
    <t>2.8.1.10</t>
  </si>
  <si>
    <t>5.5.1.2</t>
  </si>
  <si>
    <t>2.1.1.228</t>
  </si>
  <si>
    <t>2.7.7.59</t>
  </si>
  <si>
    <t>3.6.1.7</t>
  </si>
  <si>
    <t>3.1.26.3</t>
  </si>
  <si>
    <t>1.4.1.4</t>
  </si>
  <si>
    <t>2.7.1.31</t>
  </si>
  <si>
    <t>2.7.1.40</t>
  </si>
  <si>
    <t>2.5.1.145</t>
  </si>
  <si>
    <t>3.5.4.19</t>
  </si>
  <si>
    <t>4.3.2.10</t>
  </si>
  <si>
    <t>4.2.1.19</t>
  </si>
  <si>
    <t>1.1.1.23</t>
  </si>
  <si>
    <t>3.2.1.196</t>
  </si>
  <si>
    <t>5.4.99.15</t>
  </si>
  <si>
    <t>3.2.1.141</t>
  </si>
  <si>
    <t>4.3.1.19</t>
  </si>
  <si>
    <t>3.4.23.36</t>
  </si>
  <si>
    <t>6.1.1.5</t>
  </si>
  <si>
    <t>6.3.2.8</t>
  </si>
  <si>
    <t>2.4.1.227</t>
  </si>
  <si>
    <t>6.3.2.9</t>
  </si>
  <si>
    <t>2.7.8.13</t>
  </si>
  <si>
    <t>6.3.2.10</t>
  </si>
  <si>
    <t>3.4.16.4</t>
  </si>
  <si>
    <t>2.1.1.199</t>
  </si>
  <si>
    <t>1.5.1.20</t>
  </si>
  <si>
    <t>2.7.1.2</t>
  </si>
  <si>
    <t>2.4.1.346</t>
  </si>
  <si>
    <t>7.1.1.8</t>
  </si>
  <si>
    <t>6.3.5.4</t>
  </si>
  <si>
    <t>2.4.2.21</t>
  </si>
  <si>
    <t>2.7.8.26</t>
  </si>
  <si>
    <t>2.6.1.42</t>
  </si>
  <si>
    <t>3.4.11.1</t>
  </si>
  <si>
    <t>2.3.1.181</t>
  </si>
  <si>
    <t>2.8.1.8</t>
  </si>
  <si>
    <t>6.3.1.2</t>
  </si>
  <si>
    <t>4.2.3.1</t>
  </si>
  <si>
    <t>3.6.1.25</t>
  </si>
  <si>
    <t>3.1.3.48</t>
  </si>
  <si>
    <t>1.2.4.1</t>
  </si>
  <si>
    <t>2.6.1.16</t>
  </si>
  <si>
    <t>6.1.1.14</t>
  </si>
  <si>
    <t>2.1.1.193</t>
  </si>
  <si>
    <t>2.4.1.25</t>
  </si>
  <si>
    <t>5.4.99.16</t>
  </si>
  <si>
    <t>5.3.3.2</t>
  </si>
  <si>
    <t>4.4.1.13</t>
  </si>
  <si>
    <t>5.1.3.15</t>
  </si>
  <si>
    <t>2.3.3.9</t>
  </si>
  <si>
    <t>4.1.3.1</t>
  </si>
  <si>
    <t>3.6.5.n1</t>
  </si>
  <si>
    <t>2.7.7.18</t>
  </si>
  <si>
    <t>1.2.1.41</t>
  </si>
  <si>
    <t>2.7.2.11</t>
  </si>
  <si>
    <t>2.7.4.6</t>
  </si>
  <si>
    <t>6.1.1.9</t>
  </si>
  <si>
    <t>1.1.1.37</t>
  </si>
  <si>
    <t>2.3.1.9</t>
  </si>
  <si>
    <t>3.1.1.24</t>
  </si>
  <si>
    <t>4.1.1.44</t>
  </si>
  <si>
    <t>1.13.11.3</t>
  </si>
  <si>
    <t>5.3.3.4</t>
  </si>
  <si>
    <t>1.13.11.1</t>
  </si>
  <si>
    <t>1.14.12.10</t>
  </si>
  <si>
    <t>1.3.1.25</t>
  </si>
  <si>
    <t>5.3.1.6</t>
  </si>
  <si>
    <t>3.4.11.2</t>
  </si>
  <si>
    <t>2.5.1.48</t>
  </si>
  <si>
    <t>4.99.1.12</t>
  </si>
  <si>
    <t>3.5.1.2</t>
  </si>
  <si>
    <t>5.3.1.12</t>
  </si>
  <si>
    <t>1.11.1.24</t>
  </si>
  <si>
    <t>3.6.1.66</t>
  </si>
  <si>
    <t>2.7.7.56</t>
  </si>
  <si>
    <t>5.1.1.3</t>
  </si>
  <si>
    <t>6.3.4.21</t>
  </si>
  <si>
    <t>3.1.3.3</t>
  </si>
  <si>
    <t>1.17.4.1</t>
  </si>
  <si>
    <t>6.3.1.5</t>
  </si>
  <si>
    <t>5.4.2.2</t>
  </si>
  <si>
    <t>2.5.1.17</t>
  </si>
  <si>
    <t>6.2.1.5</t>
  </si>
  <si>
    <t>7.3.2.1</t>
  </si>
  <si>
    <t>2.3.1.189</t>
  </si>
  <si>
    <t>4.1.3.38</t>
  </si>
  <si>
    <t>6.3.3.1</t>
  </si>
  <si>
    <t>2.4.2.14</t>
  </si>
  <si>
    <t>6.3.5.3</t>
  </si>
  <si>
    <t>6.3.2.6</t>
  </si>
  <si>
    <t>4.3.2.2</t>
  </si>
  <si>
    <t>6.3.4.13</t>
  </si>
  <si>
    <t>2.6.1.62</t>
  </si>
  <si>
    <t>6.3.3.3</t>
  </si>
  <si>
    <t>1.4.1.16</t>
  </si>
  <si>
    <t>2.4.1.15</t>
  </si>
  <si>
    <t>3.1.3.12</t>
  </si>
  <si>
    <t>6.1.1.16</t>
  </si>
  <si>
    <t>2.7.1.211</t>
  </si>
  <si>
    <t>3.5.99.6</t>
  </si>
  <si>
    <t>3.5.1.25</t>
  </si>
  <si>
    <t>5.1.3.9</t>
  </si>
  <si>
    <t>4.6.1.12</t>
  </si>
  <si>
    <t>2.7.7.60</t>
  </si>
  <si>
    <t>2.7.7.85</t>
  </si>
  <si>
    <t>3.2.2.31</t>
  </si>
  <si>
    <t>6.1.1.6</t>
  </si>
  <si>
    <t>1.1.1.1</t>
  </si>
  <si>
    <t>2.7.6.3</t>
  </si>
  <si>
    <t>4.1.2.25</t>
  </si>
  <si>
    <t>3.5.4.16</t>
  </si>
  <si>
    <t>2.4.2.8</t>
  </si>
  <si>
    <t>6.3.4.19</t>
  </si>
  <si>
    <t>3.6.1.1</t>
  </si>
  <si>
    <t>1.2.1.79</t>
  </si>
  <si>
    <t>6.3.2.2</t>
  </si>
  <si>
    <t>2.3.1.1</t>
  </si>
  <si>
    <t>2.7.2.1</t>
  </si>
  <si>
    <t>2.3.1.8</t>
  </si>
  <si>
    <t>6.3.4.4</t>
  </si>
  <si>
    <t>4.1.2.13</t>
  </si>
  <si>
    <t>2.4.2.10</t>
  </si>
  <si>
    <t>2.7.7.4</t>
  </si>
  <si>
    <t>1.8.4.8</t>
  </si>
  <si>
    <t>3.5.4.13</t>
  </si>
  <si>
    <t>4.1.1.32</t>
  </si>
  <si>
    <t>2.1.1.33</t>
  </si>
  <si>
    <t>2.4.2.45</t>
  </si>
  <si>
    <t>5.4.99.9</t>
  </si>
  <si>
    <t>2.7.1.30</t>
  </si>
  <si>
    <t>6.1.1.11</t>
  </si>
  <si>
    <t>4.2.1.51</t>
  </si>
  <si>
    <t>1.1.1.27</t>
  </si>
  <si>
    <t>1.8.4.11</t>
  </si>
  <si>
    <t>1.15.1.1</t>
  </si>
  <si>
    <t>5.6.2.3</t>
  </si>
  <si>
    <t>5.5.1.4</t>
  </si>
  <si>
    <t>6.5.1.8</t>
  </si>
  <si>
    <t>1.1.1.40</t>
  </si>
  <si>
    <t>2.7.1.12</t>
  </si>
  <si>
    <t>1.1.1.298</t>
  </si>
  <si>
    <t>6.1.1.4</t>
  </si>
  <si>
    <t>5.2.1.4</t>
  </si>
  <si>
    <t>1.14.13.24</t>
  </si>
  <si>
    <t>4.1.3.27</t>
  </si>
  <si>
    <t>2.4.2.18</t>
  </si>
  <si>
    <t>4.2.1.20</t>
  </si>
  <si>
    <t>1.1.1.18</t>
  </si>
  <si>
    <t>2.7.7.72</t>
  </si>
  <si>
    <t>1.8.1.9</t>
  </si>
  <si>
    <t>2.1.1.170</t>
  </si>
  <si>
    <t>3.1.26.5</t>
  </si>
  <si>
    <t>Protein Accession</t>
  </si>
  <si>
    <t>Ec_Number</t>
  </si>
  <si>
    <t>C00469 + C00003</t>
  </si>
  <si>
    <t>C00756 + C00003</t>
  </si>
  <si>
    <t>C05577 + C00004 + C00080</t>
  </si>
  <si>
    <t> C14090 + C00004 + C00080</t>
  </si>
  <si>
    <t>C00114 + C00003</t>
  </si>
  <si>
    <t>C01450 + C00004 + C00080</t>
  </si>
  <si>
    <t>C16596 + C00004 + C00080</t>
  </si>
  <si>
    <t>C00772 + C00004 + C00080</t>
  </si>
  <si>
    <t>C00685 + C00005 + C00080</t>
  </si>
  <si>
    <t>C04618 + C00006 </t>
  </si>
  <si>
    <t>C05753 + C00005</t>
  </si>
  <si>
    <t>C05750 + C00005 + C00080</t>
  </si>
  <si>
    <t>C04633 + C00006 </t>
  </si>
  <si>
    <t>C05762 + C00005 + C00080</t>
  </si>
  <si>
    <t>C05746 + C00005 + C00080</t>
  </si>
  <si>
    <t>C05757 + C00006</t>
  </si>
  <si>
    <t> C05756 + C00005 + C00080</t>
  </si>
  <si>
    <t>C00966 + C00005 + C00080</t>
  </si>
  <si>
    <t>C16618 + C00004 + C00080</t>
  </si>
  <si>
    <t>C00135 + 2 C00004 + 2 C00080</t>
  </si>
  <si>
    <t>C01929 + C00004 + C00080</t>
  </si>
  <si>
    <t>C02637 + C00005 + C00080</t>
  </si>
  <si>
    <t>C22438 + C00005 + C00080</t>
  </si>
  <si>
    <t> C11437 + C00005 + C00080</t>
  </si>
  <si>
    <t> C00022 + C00004 + C00080</t>
  </si>
  <si>
    <t> C00957 + C00004 + C00080</t>
  </si>
  <si>
    <t>C00022 + C00004 + C00080</t>
  </si>
  <si>
    <t>C00222 + C00005 + C00080</t>
  </si>
  <si>
    <t>C00441 + C00005 + C00080</t>
  </si>
  <si>
    <t> C05528 + C00004 + C00080</t>
  </si>
  <si>
    <t>C00036</t>
  </si>
  <si>
    <t> C00026 + C00011 + C00005 + C00080</t>
  </si>
  <si>
    <t>C05379</t>
  </si>
  <si>
    <t>C04236</t>
  </si>
  <si>
    <t> C06032 + C00003</t>
  </si>
  <si>
    <t>C04181 + C00005 + C00080</t>
  </si>
  <si>
    <t>C06006</t>
  </si>
  <si>
    <t>C14463 </t>
  </si>
  <si>
    <t>C00111 + C00005 + C00080</t>
  </si>
  <si>
    <t> C00026 + C00004 + C00080</t>
  </si>
  <si>
    <t>C00036 + C00027</t>
  </si>
  <si>
    <t>C05640 + 2 C00704 + 2 C00027 + 2 C00080</t>
  </si>
  <si>
    <t>C02480</t>
  </si>
  <si>
    <t>C03585</t>
  </si>
  <si>
    <t>C04112</t>
  </si>
  <si>
    <t>C16475</t>
  </si>
  <si>
    <t>C16474</t>
  </si>
  <si>
    <t>C18241</t>
  </si>
  <si>
    <t> C01163</t>
  </si>
  <si>
    <t>C03671 + C00001</t>
  </si>
  <si>
    <t>C16481 + C00003</t>
  </si>
  <si>
    <t>C16478 + C00003</t>
  </si>
  <si>
    <t> C16479 + C00003</t>
  </si>
  <si>
    <t>C16480 + C00003</t>
  </si>
  <si>
    <t>C12623 + C00001 + C00003</t>
  </si>
  <si>
    <t> C20258 + C00004 + C00080</t>
  </si>
  <si>
    <t>C20258 + C00005 + C00080</t>
  </si>
  <si>
    <t>New EC number</t>
  </si>
  <si>
    <t xml:space="preserve">KEGG Reaction URL </t>
  </si>
  <si>
    <t xml:space="preserve"> KEGG Enzyme URL </t>
  </si>
  <si>
    <t xml:space="preserve">1.1.1.193 </t>
  </si>
  <si>
    <t>3.5.4.26</t>
  </si>
  <si>
    <t>https://www.genome.jp/entry/1.17.4.1</t>
  </si>
  <si>
    <t>https://www.genome.jp/entry/R04294</t>
  </si>
  <si>
    <t>https://www.genome.jp/entry/R02017</t>
  </si>
  <si>
    <t>https://www.genome.jp/entry/R02018</t>
  </si>
  <si>
    <t>https://www.genome.jp/entry/R02019</t>
  </si>
  <si>
    <t>https://www.genome.jp/entry/R02024</t>
  </si>
  <si>
    <t>https://www.genome.jp/entry/R08363</t>
  </si>
  <si>
    <t>https://www.genome.jp/entry/R08364</t>
  </si>
  <si>
    <t>https://www.genome.jp/entry/R11893</t>
  </si>
  <si>
    <t>https://www.genome.jp/entry/1.17.7.1</t>
  </si>
  <si>
    <t>https://www.genome.jp/entry/R08689</t>
  </si>
  <si>
    <t>https://www.genome.jp/entry/1.17.7.4</t>
  </si>
  <si>
    <t>https://www.genome.jp/entry/R05884</t>
  </si>
  <si>
    <t>https://www.genome.jp/entry/R08210</t>
  </si>
  <si>
    <t>https://www.genome.jp/entry/1.17.99.9</t>
  </si>
  <si>
    <t>https://www.genome.jp/entry/R07412</t>
  </si>
  <si>
    <t>https://www.genome.jp/entry/R12682</t>
  </si>
  <si>
    <t>https://www.genome.jp/entry/R12683</t>
  </si>
  <si>
    <t>https://www.genome.jp/entry/1.2.1.11</t>
  </si>
  <si>
    <t>https://www.genome.jp/entry/R02291</t>
  </si>
  <si>
    <t>https://www.genome.jp/entry/1.2.1.12</t>
  </si>
  <si>
    <t>https://www.genome.jp/entry/R01061</t>
  </si>
  <si>
    <t>https://www.genome.jp/entry/1.2.1.38</t>
  </si>
  <si>
    <t>https://www.genome.jp/entry/R03443</t>
  </si>
  <si>
    <t>https://www.genome.jp/entry/1.2.1.41</t>
  </si>
  <si>
    <t>https://www.genome.jp/entry/R03313</t>
  </si>
  <si>
    <t>https://www.genome.jp/entry/1.2.1.70</t>
  </si>
  <si>
    <t>https://www.genome.jp/entry/R04109</t>
  </si>
  <si>
    <t>https://www.genome.jp/entry/1.2.1.79</t>
  </si>
  <si>
    <t>https://www.genome.jp/entry/R00714</t>
  </si>
  <si>
    <t>https://www.genome.jp/entry/1.2.4.1</t>
  </si>
  <si>
    <t>https://www.genome.jp/entry/R01699</t>
  </si>
  <si>
    <t>https://www.genome.jp/entry/R00014</t>
  </si>
  <si>
    <t>https://www.genome.jp/entry/R03270</t>
  </si>
  <si>
    <t>https://www.genome.jp/entry/1.20.4.1</t>
  </si>
  <si>
    <t>https://www.genome.jp/entry/R05747</t>
  </si>
  <si>
    <t>https://www.genome.jp/entry/1.20.4.4</t>
  </si>
  <si>
    <t>https://www.genome.jp/entry/R10927</t>
  </si>
  <si>
    <t>https://www.genome.jp/entry/1.3.1.12</t>
  </si>
  <si>
    <t>https://www.genome.jp/entry/R01728</t>
  </si>
  <si>
    <t>https://www.genome.jp/entry/1.3.1.25</t>
  </si>
  <si>
    <t>https://www.genome.jp/entry/R00813</t>
  </si>
  <si>
    <t>https://www.genome.jp/entry/R08111</t>
  </si>
  <si>
    <t>https://www.genome.jp/entry/R08112</t>
  </si>
  <si>
    <t>https://www.genome.jp/entry/R08113</t>
  </si>
  <si>
    <t>https://www.genome.jp/entry/1.3.1.32</t>
  </si>
  <si>
    <t>https://www.genome.jp/entry/R02988</t>
  </si>
  <si>
    <t>https://www.genome.jp/entry/R02989</t>
  </si>
  <si>
    <t>https://www.genome.jp/entry/R05355</t>
  </si>
  <si>
    <t>https://www.genome.jp/entry/R06848</t>
  </si>
  <si>
    <t>https://www.genome.jp/entry/R07781</t>
  </si>
  <si>
    <t>https://www.genome.jp/entry/R09137</t>
  </si>
  <si>
    <t>https://www.genome.jp/entry/R09138</t>
  </si>
  <si>
    <t>https://www.genome.jp/entry/R09223</t>
  </si>
  <si>
    <t>https://www.genome.jp/entry/R09224</t>
  </si>
  <si>
    <t>https://www.genome.jp/entry/1.3.1.83</t>
  </si>
  <si>
    <t>https://www.genome.jp/entry/R02063</t>
  </si>
  <si>
    <t>https://www.genome.jp/entry/1.3.1.98</t>
  </si>
  <si>
    <t>https://www.genome.jp/entry/R03192</t>
  </si>
  <si>
    <t>https://www.genome.jp/entry/R03191</t>
  </si>
  <si>
    <t>https://www.genome.jp/entry/1.3.3.4</t>
  </si>
  <si>
    <t>https://www.genome.jp/entry/R03222</t>
  </si>
  <si>
    <t>https://www.genome.jp/entry/1.3.5.2</t>
  </si>
  <si>
    <t>https://www.genome.jp/entry/R01868</t>
  </si>
  <si>
    <t>https://www.genome.jp/entry/1.3.98.5</t>
  </si>
  <si>
    <t>https://www.genome.jp/entry/R11522</t>
  </si>
  <si>
    <t>https://www.genome.jp/entry/R12454</t>
  </si>
  <si>
    <t>https://www.genome.jp/entry/R12455</t>
  </si>
  <si>
    <t>https://www.genome.jp/entry/1.4.1.13</t>
  </si>
  <si>
    <t>https://www.genome.jp/entry/R00114</t>
  </si>
  <si>
    <t>https://www.genome.jp/entry/R00248</t>
  </si>
  <si>
    <t>https://www.genome.jp/entry/R00256</t>
  </si>
  <si>
    <t>https://www.genome.jp/entry/1.4.1.16</t>
  </si>
  <si>
    <t>https://www.genome.jp/entry/R02755</t>
  </si>
  <si>
    <t>https://www.genome.jp/entry/1.4.1.4</t>
  </si>
  <si>
    <t>https://www.genome.jp/entry/R00145</t>
  </si>
  <si>
    <t>https://www.genome.jp/entry/R00146</t>
  </si>
  <si>
    <t>Reactants</t>
  </si>
  <si>
    <t>Products</t>
  </si>
  <si>
    <t>C05167 + C00001 + C00006 </t>
  </si>
  <si>
    <t>C00161 + C00014 + C00005 + C00080</t>
  </si>
  <si>
    <t>C05167 + C00001 + C00003</t>
  </si>
  <si>
    <t> C00161 + C00014 + C00004 + C00080</t>
  </si>
  <si>
    <t>C00025 + C00006 + C00001</t>
  </si>
  <si>
    <t> C00026 + C00014 + C00005 + C00080</t>
  </si>
  <si>
    <t>https://www.genome.jp/entry/1.4.3.19</t>
  </si>
  <si>
    <t>C00037 + C00001 + C00007</t>
  </si>
  <si>
    <t>https://www.genome.jp/entry/R00366</t>
  </si>
  <si>
    <t>https://www.genome.jp/entry/R07463</t>
  </si>
  <si>
    <t>https://www.genome.jp/entry/R10245</t>
  </si>
  <si>
    <t>https://www.genome.jp/entry/R05861</t>
  </si>
  <si>
    <t>https://www.genome.jp/entry/R05862</t>
  </si>
  <si>
    <t>https://www.genome.jp/entry/R05863</t>
  </si>
  <si>
    <t>C00037 + C00007 </t>
  </si>
  <si>
    <t> C15809 + C00027</t>
  </si>
  <si>
    <t>C00048 + C00014 + C00027</t>
  </si>
  <si>
    <t>C15809 + C00001</t>
  </si>
  <si>
    <t> C00048 + C00014</t>
  </si>
  <si>
    <t>C00133 + C00001 + C00007 </t>
  </si>
  <si>
    <t>C00022 + C00014 + C00027</t>
  </si>
  <si>
    <t>C00213 + C00001 + C00007</t>
  </si>
  <si>
    <t>C00048 + C00218 + C00027</t>
  </si>
  <si>
    <t>C11735 + C00001 + C00007 </t>
  </si>
  <si>
    <t>C00048 + C00797 + C00027</t>
  </si>
  <si>
    <t>https://www.genome.jp/entry/1.5.1.2</t>
  </si>
  <si>
    <t>https://www.genome.jp/entry/R01248</t>
  </si>
  <si>
    <t>C00148 + C00003</t>
  </si>
  <si>
    <t>C03912 + C00004 + C00080</t>
  </si>
  <si>
    <t>https://www.genome.jp/entry/R01251</t>
  </si>
  <si>
    <t>C00148 + C00006 </t>
  </si>
  <si>
    <t> C03912 + C00005 + C00080</t>
  </si>
  <si>
    <t>https://www.genome.jp/entry/R03291</t>
  </si>
  <si>
    <t>C01157 + C00003 </t>
  </si>
  <si>
    <t> C04281 + C00004 + C00080</t>
  </si>
  <si>
    <t>https://www.genome.jp/entry/R03293</t>
  </si>
  <si>
    <t>C01157 + C00006</t>
  </si>
  <si>
    <t>C04281 + C00005 + C00080</t>
  </si>
  <si>
    <t>https://www.genome.jp/entry/1.5.1.20</t>
  </si>
  <si>
    <t>https://www.genome.jp/entry/R01224</t>
  </si>
  <si>
    <t>C00440 + C00006 </t>
  </si>
  <si>
    <t>C00143 + C00005 + C00080</t>
  </si>
  <si>
    <t>https://www.genome.jp/entry/R07168</t>
  </si>
  <si>
    <t>C00440 + C00003</t>
  </si>
  <si>
    <t>C00143 + C00004 + C00080</t>
  </si>
  <si>
    <t>https://www.genome.jp/entry/1.5.1.3</t>
  </si>
  <si>
    <t>https://www.genome.jp/entry/R00939</t>
  </si>
  <si>
    <t>C00101 + C00006</t>
  </si>
  <si>
    <t>C00415 + C00005 + C00080</t>
  </si>
  <si>
    <t>https://www.genome.jp/entry/R00936</t>
  </si>
  <si>
    <t>C00101 + C00003</t>
  </si>
  <si>
    <t> C00415 + C00004 + C00080</t>
  </si>
  <si>
    <t>https://www.genome.jp/entry/R00937</t>
  </si>
  <si>
    <t>C00504 + 2 C00004 + 2 C00080</t>
  </si>
  <si>
    <t>https://www.genome.jp/entry/R00940</t>
  </si>
  <si>
    <t> C00504 + 2 C00005 + 2 C00080</t>
  </si>
  <si>
    <t>https://www.genome.jp/entry/R02235</t>
  </si>
  <si>
    <t>C00415 + C00003 </t>
  </si>
  <si>
    <t>C00504 + C00004 + C00080</t>
  </si>
  <si>
    <t>https://www.genome.jp/entry/R02236</t>
  </si>
  <si>
    <t>C00415 + C00006 </t>
  </si>
  <si>
    <t>C00504 + C00005 + C00080</t>
  </si>
  <si>
    <t>https://www.genome.jp/entry/R11765</t>
  </si>
  <si>
    <t>C00272 + C00006</t>
  </si>
  <si>
    <t>C02953 + C00005 + C00080</t>
  </si>
  <si>
    <t>https://www.genome.jp/entry/1.6.5.2</t>
  </si>
  <si>
    <t>https://www.genome.jp/entry/R07358</t>
  </si>
  <si>
    <t>C00004 + C00080 + C15602 </t>
  </si>
  <si>
    <t> C00003 + C15603</t>
  </si>
  <si>
    <t>https://www.genome.jp/entry/R02964</t>
  </si>
  <si>
    <t>https://www.genome.jp/entry/R03643</t>
  </si>
  <si>
    <t>https://www.genome.jp/entry/R03816</t>
  </si>
  <si>
    <t>https://www.genome.jp/entry/R07359</t>
  </si>
  <si>
    <t>C00828 + C00080 + C00004 </t>
  </si>
  <si>
    <t> C05819 + C00003</t>
  </si>
  <si>
    <t>C01628 + C00004 + C00080 </t>
  </si>
  <si>
    <t>C05850 + C00003</t>
  </si>
  <si>
    <t>C02059 + C00004 + C00080 </t>
  </si>
  <si>
    <t>C03313 + C00003</t>
  </si>
  <si>
    <t>C00005 + C00080 + C15602 </t>
  </si>
  <si>
    <t> C00006 + C15603</t>
  </si>
  <si>
    <t>https://www.genome.jp/entry/1.6.5.5</t>
  </si>
  <si>
    <t>https://www.genome.jp/entry/R02364</t>
  </si>
  <si>
    <t> 2 C05309 + C00006</t>
  </si>
  <si>
    <t>https://www.genome.jp/entry/1.8.1.15</t>
  </si>
  <si>
    <t>https://www.genome.jp/entry/R05715</t>
  </si>
  <si>
    <t>https://www.genome.jp/entry/R05716</t>
  </si>
  <si>
    <t>C11502 + C00005 + C00080</t>
  </si>
  <si>
    <t>C11502 + C00004 + C00080</t>
  </si>
  <si>
    <t>https://www.genome.jp/entry/1.8.1.4</t>
  </si>
  <si>
    <t>https://www.genome.jp/entry/R08550</t>
  </si>
  <si>
    <t>C16832 + C00003 </t>
  </si>
  <si>
    <t>C16237 + C00004 + C00080</t>
  </si>
  <si>
    <t>https://www.genome.jp/entry/R03815</t>
  </si>
  <si>
    <t>C02972 + C00003 </t>
  </si>
  <si>
    <t> C02051 + C00004 + C00080</t>
  </si>
  <si>
    <t>https://www.genome.jp/entry/R07618</t>
  </si>
  <si>
    <t>C15973 + C00003</t>
  </si>
  <si>
    <t>C15972 + C00004 + C00080</t>
  </si>
  <si>
    <t>https://www.genome.jp/entry/R01698</t>
  </si>
  <si>
    <t>C00579 + C00003</t>
  </si>
  <si>
    <t>C00248 + C00004 + C00080</t>
  </si>
  <si>
    <t>https://www.genome.jp/entry/1.8.1.9</t>
  </si>
  <si>
    <t>https://www.genome.jp/entry/R02016</t>
  </si>
  <si>
    <t>C00342 + C00006</t>
  </si>
  <si>
    <t> C00343 + C00005 + C00080</t>
  </si>
  <si>
    <t>https://www.genome.jp/entry/R00900</t>
  </si>
  <si>
    <t>C00097 + C00051 + C00006 </t>
  </si>
  <si>
    <t>C05526 + C00005</t>
  </si>
  <si>
    <t>https://www.genome.jp/entry/R03596</t>
  </si>
  <si>
    <t>C05684 + 3 C00005 + 5 C00080</t>
  </si>
  <si>
    <t>https://www.genome.jp/entry/R09372</t>
  </si>
  <si>
    <t>2 C00006 + 2 C00001 + C05703</t>
  </si>
  <si>
    <t>https://www.genome.jp/entry/1.8.4.11</t>
  </si>
  <si>
    <t>https://www.genome.jp/entry/R04120</t>
  </si>
  <si>
    <t>C03023 + C00343 + C00001</t>
  </si>
  <si>
    <t> C03895 + C00342</t>
  </si>
  <si>
    <t>https://www.genome.jp/entry/R07606</t>
  </si>
  <si>
    <t>C00073 + C00343 + C00001</t>
  </si>
  <si>
    <t> C15999 + C00342</t>
  </si>
  <si>
    <t>https://www.genome.jp/entry/1.8.4.12</t>
  </si>
  <si>
    <t>https://www.genome.jp/entry/R07607</t>
  </si>
  <si>
    <t>C15653 + C00342</t>
  </si>
  <si>
    <t>https://www.genome.jp/entry/1.8.4.8</t>
  </si>
  <si>
    <t>https://www.genome.jp/entry/R02021</t>
  </si>
  <si>
    <t>C00342 + C00053</t>
  </si>
  <si>
    <t>C00343 + C00094 + C00054</t>
  </si>
  <si>
    <t>https://www.genome.jp/entry/1.8.7.1</t>
  </si>
  <si>
    <t>https://www.genome.jp/entry/R00859</t>
  </si>
  <si>
    <t> C00094 + 6 C00138 + 6 C00080</t>
  </si>
  <si>
    <t>https://www.genome.jp/entry/R03600</t>
  </si>
  <si>
    <t>C05684 + 6 C00138 + 8 C00080</t>
  </si>
  <si>
    <t>https://www.genome.jp/entry/2.1.1.107</t>
  </si>
  <si>
    <t>https://www.genome.jp/entry/R03194</t>
  </si>
  <si>
    <t>2 C00021 + C02463</t>
  </si>
  <si>
    <t>https://www.genome.jp/entry/R07237</t>
  </si>
  <si>
    <t>C00019 + C01051</t>
  </si>
  <si>
    <t>C00021 + C15527</t>
  </si>
  <si>
    <t>https://www.genome.jp/entry/R07238</t>
  </si>
  <si>
    <t>C00019 + C15527</t>
  </si>
  <si>
    <t> C00021 + C02463</t>
  </si>
  <si>
    <t>https://www.genome.jp/entry/R03950</t>
  </si>
  <si>
    <t>2 C00021 + C05778</t>
  </si>
  <si>
    <t>https://www.genome.jp/entry/2.1.1.13</t>
  </si>
  <si>
    <t>https://www.genome.jp/entry/R00946</t>
  </si>
  <si>
    <t>https://www.genome.jp/entry/R09365</t>
  </si>
  <si>
    <t>C05698 + C04489</t>
  </si>
  <si>
    <t>C05335 + C04144</t>
  </si>
  <si>
    <t>C00440 + C00155</t>
  </si>
  <si>
    <t>C00101 + C00073</t>
  </si>
  <si>
    <t>https://www.genome.jp/entry/2.1.1.14</t>
  </si>
  <si>
    <t>https://www.genome.jp/entry/R04405</t>
  </si>
  <si>
    <t>C04489 + C00155 </t>
  </si>
  <si>
    <t>C04144 + C00073</t>
  </si>
  <si>
    <t> C05335 + C04144</t>
  </si>
  <si>
    <t>https://www.genome.jp/entry/2.1.1.148</t>
  </si>
  <si>
    <t>https://www.genome.jp/entry/R06613</t>
  </si>
  <si>
    <t>C00143 + C00365 + C00005 + C00080 </t>
  </si>
  <si>
    <t>C00101 + C00364 + C00006</t>
  </si>
  <si>
    <t>https://www.genome.jp/entry/2.1.1.163</t>
  </si>
  <si>
    <t>https://www.genome.jp/entry/R09736</t>
  </si>
  <si>
    <t>C19847 + C00019 </t>
  </si>
  <si>
    <t>C05819 + C00021</t>
  </si>
  <si>
    <t>https://www.genome.jp/entry/2.1.1.170</t>
  </si>
  <si>
    <t>C00019</t>
  </si>
  <si>
    <t>C00021 </t>
  </si>
  <si>
    <t>https://www.genome.jp/entry/2.1.1.171</t>
  </si>
  <si>
    <t>https://www.genome.jp/entry/R07234</t>
  </si>
  <si>
    <t>C00019 + C00240</t>
  </si>
  <si>
    <t> C00021 + C04153</t>
  </si>
  <si>
    <t>https://www.genome.jp/entry/2.1.1.182</t>
  </si>
  <si>
    <t>https://www.genome.jp/entry/R10716</t>
  </si>
  <si>
    <t>2 C00021 + C20796</t>
  </si>
  <si>
    <t>https://www.genome.jp/entry/2.1.1.192</t>
  </si>
  <si>
    <t>C00021+ C00073 + C05198 + 2 C22151</t>
  </si>
  <si>
    <t>https://www.genome.jp/entry/2.1.1.193</t>
  </si>
  <si>
    <t>C00021</t>
  </si>
  <si>
    <t>https://www.genome.jp/entry/2.1.1.198</t>
  </si>
  <si>
    <t>https://www.genome.jp/entry/2.1.1.199</t>
  </si>
  <si>
    <t>https://www.genome.jp/entry/2.1.1.207</t>
  </si>
  <si>
    <t>https://www.genome.jp/entry/R00597</t>
  </si>
  <si>
    <t>C00019 + C01977 </t>
  </si>
  <si>
    <t> C00021 + C04157</t>
  </si>
  <si>
    <t>https://www.genome.jp/entry/2.1.1.228</t>
  </si>
  <si>
    <t>https://www.genome.jp/entry/2.1.1.297</t>
  </si>
  <si>
    <t>https://www.genome.jp/entry/R10806</t>
  </si>
  <si>
    <t>C02583 + C00019</t>
  </si>
  <si>
    <t> C20858 + C00021</t>
  </si>
  <si>
    <t>https://www.genome.jp/entry/2.1.1.33</t>
  </si>
  <si>
    <t>https://www.genome.jp/entry/R00600</t>
  </si>
  <si>
    <t>C00019 + C01977</t>
  </si>
  <si>
    <t>C00021 + C04160</t>
  </si>
  <si>
    <t>https://www.genome.jp/entry/2.1.1.37</t>
  </si>
  <si>
    <t>https://www.genome.jp/entry/R00380</t>
  </si>
  <si>
    <t>C00019 + C00039 </t>
  </si>
  <si>
    <t>C00021 + C02967</t>
  </si>
  <si>
    <t>https://www.genome.jp/entry/R04858</t>
  </si>
  <si>
    <t>C00019 + C00856 </t>
  </si>
  <si>
    <t> C00021 + C02967</t>
  </si>
  <si>
    <t>https://www.genome.jp/entry/2.1.1.45</t>
  </si>
  <si>
    <t>https://www.genome.jp/entry/R02101</t>
  </si>
  <si>
    <t>C00365 + C00143</t>
  </si>
  <si>
    <t>C00415 + C00364</t>
  </si>
  <si>
    <t>https://www.genome.jp/entry/2.1.1.63</t>
  </si>
  <si>
    <t>https://www.genome.jp/entry/R04314</t>
  </si>
  <si>
    <t xml:space="preserve">	
C04250 + C02743 </t>
  </si>
  <si>
    <t>C03800 + C11475</t>
  </si>
  <si>
    <t>https://www.genome.jp/entry/2.1.2.1</t>
  </si>
  <si>
    <t>https://www.genome.jp/entry/R00945</t>
  </si>
  <si>
    <t xml:space="preserve">	
C00143 + C00037 + C00001 </t>
  </si>
  <si>
    <t>C00101 + C00065</t>
  </si>
  <si>
    <t>https://www.genome.jp/entry/R09099</t>
  </si>
  <si>
    <t>C00065 + C01217</t>
  </si>
  <si>
    <t>C04377 + C00037 + C00001</t>
  </si>
  <si>
    <t>https://www.genome.jp/entry/2.1.2.11</t>
  </si>
  <si>
    <t>https://www.genome.jp/entry/R01226</t>
  </si>
  <si>
    <t>C00143 + C00141 + C00001</t>
  </si>
  <si>
    <t>C00101 + C00966</t>
  </si>
  <si>
    <t>https://www.genome.jp/entry/R01216</t>
  </si>
  <si>
    <t xml:space="preserve">	
C00966</t>
  </si>
  <si>
    <t>C00141 + C00067</t>
  </si>
  <si>
    <t>https://www.genome.jp/entry/2.1.2.2</t>
  </si>
  <si>
    <t>https://www.genome.jp/entry/R04325</t>
  </si>
  <si>
    <t>C00234 + C03838 </t>
  </si>
  <si>
    <t>C00101 + C04376</t>
  </si>
  <si>
    <t>https://www.genome.jp/entry/R04326</t>
  </si>
  <si>
    <t>C03838 + C00445 + C00001 </t>
  </si>
  <si>
    <t xml:space="preserve"> C04376 + C00101</t>
  </si>
  <si>
    <t>https://www.genome.jp/entry/2.1.2.3</t>
  </si>
  <si>
    <t>C00234 + C04677</t>
  </si>
  <si>
    <t>C00101 + C04734</t>
  </si>
  <si>
    <t>https://www.genome.jp/entry/R04560</t>
  </si>
  <si>
    <t>https://www.genome.jp/entry/3.5.4.10</t>
  </si>
  <si>
    <t>3.5.4.10</t>
  </si>
  <si>
    <t xml:space="preserve">2.1.2.3 </t>
  </si>
  <si>
    <t>https://www.genome.jp/entry/R01127</t>
  </si>
  <si>
    <t>C00130 + C00001 </t>
  </si>
  <si>
    <t>C04734</t>
  </si>
  <si>
    <t>https://www.genome.jp/entry/2.1.2.9</t>
  </si>
  <si>
    <t>https://www.genome.jp/entry/R03940</t>
  </si>
  <si>
    <t>C02430 + C00234</t>
  </si>
  <si>
    <t> C00101 + C03294</t>
  </si>
  <si>
    <t>https://www.genome.jp/entry/2.1.3.15</t>
  </si>
  <si>
    <t>https://www.genome.jp/entry/R04386</t>
  </si>
  <si>
    <t>C00024 + C04419 </t>
  </si>
  <si>
    <t>C00083 + C06250</t>
  </si>
  <si>
    <t>https://www.genome.jp/entry/2.1.3.2</t>
  </si>
  <si>
    <t>https://www.genome.jp/entry/R01397</t>
  </si>
  <si>
    <t>C00169 + C00049</t>
  </si>
  <si>
    <t>C00009 + C00438</t>
  </si>
  <si>
    <t>https://www.genome.jp/entry/2.1.3.3</t>
  </si>
  <si>
    <t>https://www.genome.jp/entry/R01398</t>
  </si>
  <si>
    <t>C00169 + C00077</t>
  </si>
  <si>
    <t> C00009 + C00327</t>
  </si>
  <si>
    <t>https://www.genome.jp/entry/2.2.1.1</t>
  </si>
  <si>
    <t>https://www.genome.jp/entry/R01641</t>
  </si>
  <si>
    <t>C05382 + C00118 </t>
  </si>
  <si>
    <t>C00117 + C00231</t>
  </si>
  <si>
    <t>https://www.genome.jp/entry/R01067</t>
  </si>
  <si>
    <t>C00085 + C00118</t>
  </si>
  <si>
    <t>C00279 + C00231</t>
  </si>
  <si>
    <t>https://www.genome.jp/entry/R01830</t>
  </si>
  <si>
    <t>C05345 + C00118</t>
  </si>
  <si>
    <t>https://www.genome.jp/entry/R06590</t>
  </si>
  <si>
    <t>C12214 + C00117</t>
  </si>
  <si>
    <t> C12215 + C05382</t>
  </si>
  <si>
    <t>https://www.genome.jp/entry/R06861</t>
  </si>
  <si>
    <t>C00231 + C00068 </t>
  </si>
  <si>
    <t> C13378 + C00118</t>
  </si>
  <si>
    <t>https://www.genome.jp/entry/R06863</t>
  </si>
  <si>
    <t>C05382 + C00068</t>
  </si>
  <si>
    <t>C13378 + C00117</t>
  </si>
  <si>
    <t>https://www.genome.jp/entry/2.2.1.2</t>
  </si>
  <si>
    <t>https://www.genome.jp/entry/R08575</t>
  </si>
  <si>
    <t>C05382 + C00118</t>
  </si>
  <si>
    <t> C00279 + C00085</t>
  </si>
  <si>
    <t>https://www.genome.jp/entry/R01827</t>
  </si>
  <si>
    <t> C00279 + C05345</t>
  </si>
  <si>
    <t>https://www.genome.jp/entry/2.2.1.6</t>
  </si>
  <si>
    <t>https://www.genome.jp/entry/R00006</t>
  </si>
  <si>
    <t>C00900 + C00011</t>
  </si>
  <si>
    <t> 2 C00022</t>
  </si>
  <si>
    <t xml:space="preserve">	
C06010 + C00011</t>
  </si>
  <si>
    <t>https://www.genome.jp/entry/R00226</t>
  </si>
  <si>
    <t>C00022 + C00068</t>
  </si>
  <si>
    <t>C05125 + C00011</t>
  </si>
  <si>
    <t>https://www.genome.jp/entry/R03050</t>
  </si>
  <si>
    <t xml:space="preserve">	
C00900 + C00068 </t>
  </si>
  <si>
    <t>C05125 + C00022</t>
  </si>
  <si>
    <t>https://www.genome.jp/entry/R04672</t>
  </si>
  <si>
    <t xml:space="preserve">	
C06010 + C00068</t>
  </si>
  <si>
    <t> C05125 + C00022</t>
  </si>
  <si>
    <t>https://www.genome.jp/entry/R04673</t>
  </si>
  <si>
    <t xml:space="preserve">	
C00109 + C05125 </t>
  </si>
  <si>
    <t> C06006 + C00068</t>
  </si>
  <si>
    <t>https://www.genome.jp/entry/R08648</t>
  </si>
  <si>
    <t>C00022 + C00109 </t>
  </si>
  <si>
    <t>C06006 + C00011</t>
  </si>
  <si>
    <t>https://www.genome.jp/entry/2.2.1.7</t>
  </si>
  <si>
    <t>https://www.genome.jp/entry/R05636</t>
  </si>
  <si>
    <t>C00022 + C00118</t>
  </si>
  <si>
    <t>C11437 + C00011</t>
  </si>
  <si>
    <t>https://www.genome.jp/entry/2.2.1.9</t>
  </si>
  <si>
    <t>https://www.genome.jp/entry/R08165</t>
  </si>
  <si>
    <t>C00885 + C00026</t>
  </si>
  <si>
    <t> C16519 + C00011</t>
  </si>
  <si>
    <t>https://www.genome.jp/entry/2.3.1.1</t>
  </si>
  <si>
    <t>https://www.genome.jp/entry/R00259</t>
  </si>
  <si>
    <t>C00024 + C00025</t>
  </si>
  <si>
    <t>C00010 + C00624</t>
  </si>
  <si>
    <t>2.3.1.35</t>
  </si>
  <si>
    <t xml:space="preserve">2.3.1.1 </t>
  </si>
  <si>
    <t>https://www.genome.jp/entry/2.3.1.35</t>
  </si>
  <si>
    <t>https://www.genome.jp/entry/R02282</t>
  </si>
  <si>
    <t>C00437 + C00025</t>
  </si>
  <si>
    <t>C00077 + C00624</t>
  </si>
  <si>
    <t>https://www.genome.jp/entry/2.3.1.117</t>
  </si>
  <si>
    <t>https://www.genome.jp/entry/R04365</t>
  </si>
  <si>
    <t>C00091 + C03972 + C00001</t>
  </si>
  <si>
    <t>C00010 + C04462</t>
  </si>
  <si>
    <t>https://www.genome.jp/entry/2.3.1.181</t>
  </si>
  <si>
    <t>https://www.genome.jp/entry/R07766</t>
  </si>
  <si>
    <t>C05752 + C16240 </t>
  </si>
  <si>
    <t>C16236 + C00229</t>
  </si>
  <si>
    <t>https://www.genome.jp/entry/R12427</t>
  </si>
  <si>
    <t>C05752 + C22158 </t>
  </si>
  <si>
    <t>C22160 + C00229</t>
  </si>
  <si>
    <t>https://www.genome.jp/entry/R12428</t>
  </si>
  <si>
    <t>C05752 + C22157 </t>
  </si>
  <si>
    <t> C22159 + C00229</t>
  </si>
  <si>
    <t>https://www.genome.jp/entry/R07769</t>
  </si>
  <si>
    <t>C16239 + C16240</t>
  </si>
  <si>
    <t>C16237 + C00229</t>
  </si>
  <si>
    <t>https://www.genome.jp/entry/2.3.1.189</t>
  </si>
  <si>
    <t>https://www.genome.jp/entry/R09622</t>
  </si>
  <si>
    <t>C19703 + C00024</t>
  </si>
  <si>
    <t> C06717 + C00010</t>
  </si>
  <si>
    <t>https://www.genome.jp/entry/2.3.1.234</t>
  </si>
  <si>
    <t>https://www.genome.jp/entry/R10648</t>
  </si>
  <si>
    <t>C20641 + C17324 </t>
  </si>
  <si>
    <t> C00020 + C20751</t>
  </si>
  <si>
    <t>https://www.genome.jp/entry/2.3.1.266</t>
  </si>
  <si>
    <t>https://www.genome.jp/entry/R04316</t>
  </si>
  <si>
    <t>C00024 + C03803</t>
  </si>
  <si>
    <t>C00010 + C04341</t>
  </si>
  <si>
    <t>https://www.genome.jp/entry/2.3.1.269</t>
  </si>
  <si>
    <t>https://www.genome.jp/entry/2.3.1.286</t>
  </si>
  <si>
    <t>https://www.genome.jp/entry/R10634</t>
  </si>
  <si>
    <t>C00003 + C20743 + C00001 </t>
  </si>
  <si>
    <t> C00153 + C02188 + C20658 + C00080</t>
  </si>
  <si>
    <t>https://www.genome.jp/entry/R10633</t>
  </si>
  <si>
    <t>C00003 + C01997 + C00001 </t>
  </si>
  <si>
    <t> C00153 + C02415 + C20658 + C00080</t>
  </si>
  <si>
    <t>https://www.genome.jp/entry/2.3.1.31</t>
  </si>
  <si>
    <t>https://www.genome.jp/entry/R01776</t>
  </si>
  <si>
    <t>C00024 + C00263 </t>
  </si>
  <si>
    <t>C00010 + C01077</t>
  </si>
  <si>
    <t>https://www.genome.jp/entry/2.3.1.8</t>
  </si>
  <si>
    <t>https://www.genome.jp/entry/R00230</t>
  </si>
  <si>
    <t>C00024 + C00009</t>
  </si>
  <si>
    <t> C00010 + C00227</t>
  </si>
  <si>
    <t>https://www.genome.jp/entry/R00921</t>
  </si>
  <si>
    <t>C00100 + C00009</t>
  </si>
  <si>
    <t> C02876 + C00010</t>
  </si>
  <si>
    <t>https://www.genome.jp/entry/2.3.1.85</t>
  </si>
  <si>
    <t>https://www.genome.jp/entry/R05188</t>
  </si>
  <si>
    <t>C00638 + n C00011 + 2n C00006 + (n+1) C00010 + n C00001</t>
  </si>
  <si>
    <t>https://www.genome.jp/entry/R01624</t>
  </si>
  <si>
    <t>C00024 + C00229 </t>
  </si>
  <si>
    <t> C00010 + C03939</t>
  </si>
  <si>
    <t>https://www.genome.jp/entry/R01626</t>
  </si>
  <si>
    <t>C00083 + C00229 </t>
  </si>
  <si>
    <t>C00010 + C01209</t>
  </si>
  <si>
    <t>https://www.genome.jp/entry/R01706</t>
  </si>
  <si>
    <t>C05764 + C00001 </t>
  </si>
  <si>
    <t>C00229 + C00249</t>
  </si>
  <si>
    <t>https://www.genome.jp/entry/R04355</t>
  </si>
  <si>
    <t>C03939 + C01209 </t>
  </si>
  <si>
    <t> C05744 + C00011 + C00229</t>
  </si>
  <si>
    <t>https://www.genome.jp/entry/R04428</t>
  </si>
  <si>
    <t xml:space="preserve">	
C04618 </t>
  </si>
  <si>
    <t>C04246 + C00001</t>
  </si>
  <si>
    <t>https://www.genome.jp/entry/R04430</t>
  </si>
  <si>
    <t>C05745 + C00006</t>
  </si>
  <si>
    <t>C04246 + C00005 + C00080</t>
  </si>
  <si>
    <t>https://www.genome.jp/entry/R04533</t>
  </si>
  <si>
    <t> C05744 + C00005 + C00080</t>
  </si>
  <si>
    <t>https://www.genome.jp/entry/R04534</t>
  </si>
  <si>
    <t xml:space="preserve">	
C04619 + C00006 </t>
  </si>
  <si>
    <t>https://www.genome.jp/entry/R04535</t>
  </si>
  <si>
    <t xml:space="preserve">	
C04619 </t>
  </si>
  <si>
    <t> C05754 + C00001</t>
  </si>
  <si>
    <t>https://www.genome.jp/entry/R04536</t>
  </si>
  <si>
    <t xml:space="preserve">	
C04620 + C00006</t>
  </si>
  <si>
    <t> C05750 + C00005 + C00080</t>
  </si>
  <si>
    <t>https://www.genome.jp/entry/R04537</t>
  </si>
  <si>
    <t xml:space="preserve">	
C04620</t>
  </si>
  <si>
    <t>C05751 + C00001</t>
  </si>
  <si>
    <t>https://www.genome.jp/entry/R04543</t>
  </si>
  <si>
    <t>https://www.genome.jp/entry/R04544</t>
  </si>
  <si>
    <t xml:space="preserve">C04633 </t>
  </si>
  <si>
    <t> C05763 + C00001</t>
  </si>
  <si>
    <t>https://www.genome.jp/entry/R04566</t>
  </si>
  <si>
    <t xml:space="preserve">	
C04688 + C00006 </t>
  </si>
  <si>
    <t>C05759 + C00005 + C00080</t>
  </si>
  <si>
    <t>https://www.genome.jp/entry/R04568</t>
  </si>
  <si>
    <t>C04688</t>
  </si>
  <si>
    <t> C05760 + C00001</t>
  </si>
  <si>
    <t>https://www.genome.jp/entry/R04725</t>
  </si>
  <si>
    <t xml:space="preserve">C05223 + C00006 </t>
  </si>
  <si>
    <t>C05758 + C00005 + C00080</t>
  </si>
  <si>
    <t>https://www.genome.jp/entry/R04726</t>
  </si>
  <si>
    <t xml:space="preserve">	
C05223 + C01209 </t>
  </si>
  <si>
    <t>C05759 + C00011 + C00229</t>
  </si>
  <si>
    <t>https://www.genome.jp/entry/R04952</t>
  </si>
  <si>
    <t xml:space="preserve">C05745 + C01209 </t>
  </si>
  <si>
    <t> C05746 + C00011 + C00229</t>
  </si>
  <si>
    <t>https://www.genome.jp/entry/R04953</t>
  </si>
  <si>
    <t xml:space="preserve">	
C05747 + C00006</t>
  </si>
  <si>
    <t>https://www.genome.jp/entry/R04954</t>
  </si>
  <si>
    <t>C05747</t>
  </si>
  <si>
    <t> C05748 + C00001</t>
  </si>
  <si>
    <t>https://www.genome.jp/entry/R04956</t>
  </si>
  <si>
    <t xml:space="preserve">C05749 + C00006 </t>
  </si>
  <si>
    <t>C05748 + C00005 + C00080</t>
  </si>
  <si>
    <t>https://www.genome.jp/entry/R04957</t>
  </si>
  <si>
    <t>C05749 + C01209 </t>
  </si>
  <si>
    <t>C05750 + C00011 + C00229</t>
  </si>
  <si>
    <t>https://www.genome.jp/entry/R04959</t>
  </si>
  <si>
    <t>C05752 + C00006</t>
  </si>
  <si>
    <t>C05751 + C00005 + C00080</t>
  </si>
  <si>
    <t>https://www.genome.jp/entry/R04960</t>
  </si>
  <si>
    <t xml:space="preserve">	
C05752 + C01209 </t>
  </si>
  <si>
    <t>C05753 + C00011 + C00229</t>
  </si>
  <si>
    <t>https://www.genome.jp/entry/R04962</t>
  </si>
  <si>
    <t xml:space="preserve">	
C05755 + C00006 </t>
  </si>
  <si>
    <t> C05754 + C00005 + C00080</t>
  </si>
  <si>
    <t>https://www.genome.jp/entry/R04963</t>
  </si>
  <si>
    <t xml:space="preserve">C05755 + C01209 </t>
  </si>
  <si>
    <t>C05756 + C00011 + C00229</t>
  </si>
  <si>
    <t>https://www.genome.jp/entry/R04964</t>
  </si>
  <si>
    <t>C05756 + C00005 + C00080</t>
  </si>
  <si>
    <t>https://www.genome.jp/entry/R04965</t>
  </si>
  <si>
    <t xml:space="preserve">	
C05757 </t>
  </si>
  <si>
    <t>C05758 + C00001</t>
  </si>
  <si>
    <t>https://www.genome.jp/entry/R04967</t>
  </si>
  <si>
    <t xml:space="preserve">	
C05761 + C00006</t>
  </si>
  <si>
    <t>C05760 + C00005 + C00080</t>
  </si>
  <si>
    <t>https://www.genome.jp/entry/R04968</t>
  </si>
  <si>
    <t>C05761 + C01209</t>
  </si>
  <si>
    <t>C05762 + C00011 + C00229</t>
  </si>
  <si>
    <t>https://www.genome.jp/entry/R04970</t>
  </si>
  <si>
    <t>C05764 + C00006</t>
  </si>
  <si>
    <t>C05763 + C00005 + C00080</t>
  </si>
  <si>
    <t>https://www.genome.jp/entry/2.3.1.9</t>
  </si>
  <si>
    <t>https://www.genome.jp/entry/R00238</t>
  </si>
  <si>
    <t>C00010 + C00332</t>
  </si>
  <si>
    <t>https://www.genome.jp/entry/R00927</t>
  </si>
  <si>
    <t>C00100 + C00024 </t>
  </si>
  <si>
    <t> C00010 + C03344</t>
  </si>
  <si>
    <t>https://www.genome.jp/entry/R01177</t>
  </si>
  <si>
    <t xml:space="preserve">	
C00024 + C00136 </t>
  </si>
  <si>
    <t>C00010 + C05269</t>
  </si>
  <si>
    <t>https://www.genome.jp/entry/2.3.2.2</t>
  </si>
  <si>
    <t>https://www.genome.jp/entry/R04159</t>
  </si>
  <si>
    <t>C03193 + C00045 </t>
  </si>
  <si>
    <t>C00012 + C03363</t>
  </si>
  <si>
    <t>https://www.genome.jp/entry/R01262</t>
  </si>
  <si>
    <t xml:space="preserve">	
C00051 + C00151</t>
  </si>
  <si>
    <t>C01419 + C03740</t>
  </si>
  <si>
    <t>https://www.genome.jp/entry/R01687</t>
  </si>
  <si>
    <t xml:space="preserve">	
C03193 + C00245 </t>
  </si>
  <si>
    <t> C00012 + C05844</t>
  </si>
  <si>
    <t>https://www.genome.jp/entry/R03867</t>
  </si>
  <si>
    <t>C02166 + C00045</t>
  </si>
  <si>
    <t> C05951 + C03363</t>
  </si>
  <si>
    <t>https://www.genome.jp/entry/R04935</t>
  </si>
  <si>
    <t xml:space="preserve">	
C03193 + C05689</t>
  </si>
  <si>
    <t> C00012 + C05695</t>
  </si>
  <si>
    <t>https://www.genome.jp/entry/R03916</t>
  </si>
  <si>
    <t xml:space="preserve">	
C02320 + C00001</t>
  </si>
  <si>
    <t>C05729 + C00025</t>
  </si>
  <si>
    <t>https://www.genome.jp/entry/R03970</t>
  </si>
  <si>
    <t xml:space="preserve">	
C02512 + C00025</t>
  </si>
  <si>
    <t>C05711 + C00001</t>
  </si>
  <si>
    <t>https://www.genome.jp/entry/R03971</t>
  </si>
  <si>
    <t xml:space="preserve">	
C05670 + C00025 </t>
  </si>
  <si>
    <t>C06114 + C00001</t>
  </si>
  <si>
    <t>https://www.genome.jp/entry/2.3.3.13</t>
  </si>
  <si>
    <t>https://www.genome.jp/entry/R01213</t>
  </si>
  <si>
    <t>C02504 + C00010</t>
  </si>
  <si>
    <t>C00024 + C00141 + C00001</t>
  </si>
  <si>
    <t>https://www.genome.jp/entry/2.3.3.16</t>
  </si>
  <si>
    <t>https://www.genome.jp/entry/R00351</t>
  </si>
  <si>
    <t xml:space="preserve">	
C00158 + C00010 </t>
  </si>
  <si>
    <t>C00024 + C00001 + C00036</t>
  </si>
  <si>
    <t>2.3.3.5</t>
  </si>
  <si>
    <t xml:space="preserve">2.3.3.16 </t>
  </si>
  <si>
    <t>https://www.genome.jp/entry/2.3.3.5</t>
  </si>
  <si>
    <t>https://www.genome.jp/entry/R00931</t>
  </si>
  <si>
    <t xml:space="preserve">	
C02225 + C00010</t>
  </si>
  <si>
    <t> C00100 + C00036 + C00001</t>
  </si>
  <si>
    <t>C00158 + C00010 </t>
  </si>
  <si>
    <t> C00024 + C00001 + C00036</t>
  </si>
  <si>
    <t>https://www.genome.jp/entry/2.3.3.9</t>
  </si>
  <si>
    <t>https://www.genome.jp/entry/R00472</t>
  </si>
  <si>
    <t xml:space="preserve">	
C00149 + C00010 </t>
  </si>
  <si>
    <t> C00024 + C00001 + C00048</t>
  </si>
  <si>
    <t>https://www.genome.jp/entry/R04072</t>
  </si>
  <si>
    <t>C03862 + C02189 </t>
  </si>
  <si>
    <t> C00110 + C02863</t>
  </si>
  <si>
    <t>https://www.genome.jp/entry/2.4.1.109</t>
  </si>
  <si>
    <t>https://www.genome.jp/entry/R11399</t>
  </si>
  <si>
    <t xml:space="preserve">	
C03862 + C19803 </t>
  </si>
  <si>
    <t>C00110 + C20722</t>
  </si>
  <si>
    <t>https://www.genome.jp/entry/R00836</t>
  </si>
  <si>
    <t xml:space="preserve">	
C00029 + C00092 </t>
  </si>
  <si>
    <t> C00015 + C00689</t>
  </si>
  <si>
    <t>https://www.genome.jp/entry/2.4.1.15</t>
  </si>
  <si>
    <t>https://www.genome.jp/entry/R02737</t>
  </si>
  <si>
    <t xml:space="preserve">	
C00029 + C00668</t>
  </si>
  <si>
    <t>C00015 + C00689</t>
  </si>
  <si>
    <t>https://www.genome.jp/entry/2.4.1.18</t>
  </si>
  <si>
    <t>https://www.genome.jp/entry/R02110</t>
  </si>
  <si>
    <t xml:space="preserve">	
C00718 </t>
  </si>
  <si>
    <t>C00369</t>
  </si>
  <si>
    <t>https://www.genome.jp/entry/2.4.1.21</t>
  </si>
  <si>
    <t>https://www.genome.jp/entry/R02421</t>
  </si>
  <si>
    <t xml:space="preserve">	
C00498 + C00718</t>
  </si>
  <si>
    <t> C00008 + C00718</t>
  </si>
  <si>
    <t>https://www.genome.jp/entry/R07620</t>
  </si>
  <si>
    <t>G10617 + C02189 </t>
  </si>
  <si>
    <t> G10622 + G13027</t>
  </si>
  <si>
    <t>https://www.genome.jp/entry/R06043</t>
  </si>
  <si>
    <t xml:space="preserve">	
G10608 + C00092</t>
  </si>
  <si>
    <t> G10619 + G09795</t>
  </si>
  <si>
    <t>https://www.genome.jp/entry/R06226</t>
  </si>
  <si>
    <t>G10608 + C00668</t>
  </si>
  <si>
    <t>G10619 + G09795</t>
  </si>
  <si>
    <t>https://www.genome.jp/entry/R06186</t>
  </si>
  <si>
    <t xml:space="preserve">	
G10495</t>
  </si>
  <si>
    <t>G10545</t>
  </si>
  <si>
    <t>https://www.genome.jp/entry/R06049</t>
  </si>
  <si>
    <t>G10495(n+1) + G11113</t>
  </si>
  <si>
    <t>https://www.genome.jp/entry/2.4.1.227</t>
  </si>
  <si>
    <t>https://www.genome.jp/entry/R05662</t>
  </si>
  <si>
    <t xml:space="preserve">	
C04851 + C00043 </t>
  </si>
  <si>
    <t> C05893 + C00015</t>
  </si>
  <si>
    <t>https://www.genome.jp/entry/R06173</t>
  </si>
  <si>
    <t>G10552 + G10610</t>
  </si>
  <si>
    <t>G10553 + G10619</t>
  </si>
  <si>
    <t>https://www.genome.jp/entry/R05032</t>
  </si>
  <si>
    <t xml:space="preserve">	
C05897 + C00043</t>
  </si>
  <si>
    <t>C05898 + C00015</t>
  </si>
  <si>
    <t>https://www.genome.jp/entry/R06172</t>
  </si>
  <si>
    <t xml:space="preserve">	
G10551 + G10610</t>
  </si>
  <si>
    <t>G10550 + G10619</t>
  </si>
  <si>
    <t>https://www.genome.jp/entry/R06174</t>
  </si>
  <si>
    <t>G10556 + G10610</t>
  </si>
  <si>
    <t xml:space="preserve"> G10555 + G10619</t>
  </si>
  <si>
    <t>https://www.genome.jp/entry/2.4.1.25</t>
  </si>
  <si>
    <t>https://www.genome.jp/entry/R05196</t>
  </si>
  <si>
    <t> n C00208</t>
  </si>
  <si>
    <t>https://www.genome.jp/entry/R06069</t>
  </si>
  <si>
    <t>n G00275</t>
  </si>
  <si>
    <t>https://www.genome.jp/entry/2.4.1.250</t>
  </si>
  <si>
    <t>https://www.genome.jp/entry/R09634</t>
  </si>
  <si>
    <t xml:space="preserve">	
C00043 + C04006</t>
  </si>
  <si>
    <t> C19761 + C00015</t>
  </si>
  <si>
    <t>https://www.genome.jp/entry/2.4.1.266</t>
  </si>
  <si>
    <t>https://www.genome.jp/entry/R09663</t>
  </si>
  <si>
    <t xml:space="preserve">	
C15541 + C00197 </t>
  </si>
  <si>
    <t> C00454 + C19791</t>
  </si>
  <si>
    <t>https://www.genome.jp/entry/2.4.1.287</t>
  </si>
  <si>
    <t>https://www.genome.jp/entry/R12078</t>
  </si>
  <si>
    <t xml:space="preserve">	
G13125 + G13119 </t>
  </si>
  <si>
    <t>G10619 + G13120</t>
  </si>
  <si>
    <t>https://www.genome.jp/entry/R12079</t>
  </si>
  <si>
    <t xml:space="preserve">	
G13125 + G13120</t>
  </si>
  <si>
    <t> G10619 + G13121</t>
  </si>
  <si>
    <t>https://www.genome.jp/entry/2.4.1.346</t>
  </si>
  <si>
    <t>https://www.genome.jp/entry/R11703</t>
  </si>
  <si>
    <t xml:space="preserve">	
C00096 + C21606 </t>
  </si>
  <si>
    <t> C00035 + C21607</t>
  </si>
  <si>
    <t>https://www.genome.jp/entry/R11704</t>
  </si>
  <si>
    <t>C00096 + C21609 </t>
  </si>
  <si>
    <t> C00035 + C21608</t>
  </si>
  <si>
    <t>https://www.genome.jp/entry/R12040</t>
  </si>
  <si>
    <t xml:space="preserve">	
G10614 + G11291 </t>
  </si>
  <si>
    <t>G10620 + G13102</t>
  </si>
  <si>
    <t>https://www.genome.jp/entry/R12041</t>
  </si>
  <si>
    <t xml:space="preserve">	
G10614 + G13107</t>
  </si>
  <si>
    <t> G10620 + G13108</t>
  </si>
  <si>
    <t>https://www.genome.jp/entry/2.4.2.10</t>
  </si>
  <si>
    <t>https://www.genome.jp/entry/R01870</t>
  </si>
  <si>
    <t xml:space="preserve">	
C01103 + C00013 </t>
  </si>
  <si>
    <t>C00295 + C00119</t>
  </si>
  <si>
    <t>https://www.genome.jp/entry/R08231</t>
  </si>
  <si>
    <t>C07649 + C00119</t>
  </si>
  <si>
    <t>C16634 + C00013</t>
  </si>
  <si>
    <t>https://www.genome.jp/entry/2.4.2.14</t>
  </si>
  <si>
    <t>https://www.genome.jp/entry/R01072</t>
  </si>
  <si>
    <t xml:space="preserve">	
C03090 + C00013 + C00025</t>
  </si>
  <si>
    <t>C00064 + C00119 + C00001</t>
  </si>
  <si>
    <t>https://www.genome.jp/entry/2.4.2.17</t>
  </si>
  <si>
    <t>https://www.genome.jp/entry/R01071</t>
  </si>
  <si>
    <t xml:space="preserve">	
C02739 + C00013</t>
  </si>
  <si>
    <t> C00002 + C00119</t>
  </si>
  <si>
    <t>https://www.genome.jp/entry/2.4.2.18</t>
  </si>
  <si>
    <t>https://www.genome.jp/entry/R01073</t>
  </si>
  <si>
    <t>C04302 + C00013</t>
  </si>
  <si>
    <t>C00108 + C00119</t>
  </si>
  <si>
    <t>https://www.genome.jp/entry/2.4.2.19</t>
  </si>
  <si>
    <t>https://www.genome.jp/entry/R03348</t>
  </si>
  <si>
    <t xml:space="preserve">	
C01185 + C00013 + C00011</t>
  </si>
  <si>
    <t>C03722 + C00119</t>
  </si>
  <si>
    <t>https://www.genome.jp/entry/2.4.2.21</t>
  </si>
  <si>
    <t>https://www.genome.jp/entry/R04148</t>
  </si>
  <si>
    <t xml:space="preserve">C01185 + C03114 </t>
  </si>
  <si>
    <t>C00253 + C04778 + C00080</t>
  </si>
  <si>
    <t>https://www.genome.jp/entry/2.4.2.29</t>
  </si>
  <si>
    <t>https://www.genome.jp/entry/R10209</t>
  </si>
  <si>
    <t xml:space="preserve">	
C01977 + C16675</t>
  </si>
  <si>
    <t>C20446 + C00242</t>
  </si>
  <si>
    <t>https://www.genome.jp/entry/2.4.2.45</t>
  </si>
  <si>
    <t>https://www.genome.jp/entry/R10095</t>
  </si>
  <si>
    <t>C02970 + C00119</t>
  </si>
  <si>
    <t> C20352 + C00013</t>
  </si>
  <si>
    <t>https://www.genome.jp/entry/2.4.2.47</t>
  </si>
  <si>
    <t>https://www.genome.jp/entry/2.4.2.7</t>
  </si>
  <si>
    <t>https://www.genome.jp/entry/R00190</t>
  </si>
  <si>
    <t xml:space="preserve">	
C00020 + C00013</t>
  </si>
  <si>
    <t>C00147 + C00119</t>
  </si>
  <si>
    <t>https://www.genome.jp/entry/R04378</t>
  </si>
  <si>
    <t xml:space="preserve">	
C04677 + C00013</t>
  </si>
  <si>
    <t> C04051 + C00119</t>
  </si>
  <si>
    <t>https://www.genome.jp/entry/R01132</t>
  </si>
  <si>
    <t>https://www.genome.jp/entry/2.4.2.8</t>
  </si>
  <si>
    <t>C00130 + C00013</t>
  </si>
  <si>
    <t>C00262 + C00119</t>
  </si>
  <si>
    <t>https://www.genome.jp/entry/R01229</t>
  </si>
  <si>
    <t xml:space="preserve">	
C00144 + C00013 </t>
  </si>
  <si>
    <t> C00242 + C00119</t>
  </si>
  <si>
    <t>https://www.genome.jp/entry/R02142</t>
  </si>
  <si>
    <t xml:space="preserve">	
C00655 + C00013 </t>
  </si>
  <si>
    <t>C00385 + C00119</t>
  </si>
  <si>
    <t>https://www.genome.jp/entry/R08237</t>
  </si>
  <si>
    <t>C02380 + C00119 </t>
  </si>
  <si>
    <t> C04646 + C00013</t>
  </si>
  <si>
    <t>https://www.genome.jp/entry/R08238</t>
  </si>
  <si>
    <t>C16614 + C00119 </t>
  </si>
  <si>
    <t> C16615 + C00013</t>
  </si>
  <si>
    <t>https://www.genome.jp/entry/R08245</t>
  </si>
  <si>
    <t xml:space="preserve">	
C07648 + C00119</t>
  </si>
  <si>
    <t>C16619 + C00013</t>
  </si>
  <si>
    <t>https://www.genome.jp/entry/2.4.2.9</t>
  </si>
  <si>
    <t>https://www.genome.jp/entry/R00966</t>
  </si>
  <si>
    <t xml:space="preserve">	
C00105 + C00013</t>
  </si>
  <si>
    <t>C00106 + C00119</t>
  </si>
  <si>
    <t>https://www.genome.jp/entry/2.4.99.16</t>
  </si>
  <si>
    <t>https://www.genome.jp/entry/R09994</t>
  </si>
  <si>
    <t> C00009 + C00718(n+2)</t>
  </si>
  <si>
    <t>https://www.genome.jp/entry/2.4.99.28</t>
  </si>
  <si>
    <t>https://www.genome.jp/entry/R06178</t>
  </si>
  <si>
    <t xml:space="preserve">	
C05893 + C11826</t>
  </si>
  <si>
    <t>C04574 + C11826</t>
  </si>
  <si>
    <t>https://www.genome.jp/entry/R06179</t>
  </si>
  <si>
    <t>C04574 + G10554(n+1)</t>
  </si>
  <si>
    <t>https://www.genome.jp/entry/R04519</t>
  </si>
  <si>
    <t xml:space="preserve">	
C05898 + C11827</t>
  </si>
  <si>
    <t> C04574 + C11827</t>
  </si>
  <si>
    <t>https://www.genome.jp/entry/R06177</t>
  </si>
  <si>
    <t>C04574 + G10557(n+1)</t>
  </si>
  <si>
    <t>https://www.genome.jp/entry/2.5.1.141</t>
  </si>
  <si>
    <t>https://www.genome.jp/entry/R07411</t>
  </si>
  <si>
    <t xml:space="preserve">	
C00032 + C00001 + C00448</t>
  </si>
  <si>
    <t>C15672 + C00013</t>
  </si>
  <si>
    <t>https://www.genome.jp/entry/2.5.1.145</t>
  </si>
  <si>
    <t>C00623</t>
  </si>
  <si>
    <t>https://www.genome.jp/entry/2.5.1.15</t>
  </si>
  <si>
    <t>https://www.genome.jp/entry/R03067</t>
  </si>
  <si>
    <t xml:space="preserve">	
C04807 + C00568 </t>
  </si>
  <si>
    <t>C00013 + C00921</t>
  </si>
  <si>
    <t>https://www.genome.jp/entry/R03066</t>
  </si>
  <si>
    <t xml:space="preserve">	
C01300 + C00568 </t>
  </si>
  <si>
    <t> C00921 + C00001</t>
  </si>
  <si>
    <t>https://www.genome.jp/entry/2.5.1.16</t>
  </si>
  <si>
    <t>https://www.genome.jp/entry/R01920</t>
  </si>
  <si>
    <t xml:space="preserve">	
C01137 + C00134 </t>
  </si>
  <si>
    <t>C00170 + C00315</t>
  </si>
  <si>
    <t>https://www.genome.jp/entry/R08359</t>
  </si>
  <si>
    <t xml:space="preserve">	
C01137 + C01672</t>
  </si>
  <si>
    <t> C00170 + C16565</t>
  </si>
  <si>
    <t>https://www.genome.jp/entry/2.5.1.17</t>
  </si>
  <si>
    <t>https://www.genome.jp/entry/R12183</t>
  </si>
  <si>
    <t> 2 C00536 + 2 C00194 + C03161</t>
  </si>
  <si>
    <t>https://www.genome.jp/entry/R12184</t>
  </si>
  <si>
    <t> 2 C00536 + 2 C06506 + C03161</t>
  </si>
  <si>
    <t>https://www.genome.jp/entry/R01492</t>
  </si>
  <si>
    <t xml:space="preserve">	
C00002 + C00853 </t>
  </si>
  <si>
    <t>C00536 + C00194</t>
  </si>
  <si>
    <t>https://www.genome.jp/entry/R05220</t>
  </si>
  <si>
    <t xml:space="preserve">	
C06505 + C00002 </t>
  </si>
  <si>
    <t>C06506 + C00536</t>
  </si>
  <si>
    <t>https://www.genome.jp/entry/R07268</t>
  </si>
  <si>
    <t xml:space="preserve">	
C00002 + C05774 </t>
  </si>
  <si>
    <t>C00536 + C06508</t>
  </si>
  <si>
    <t>https://www.genome.jp/entry/2.5.1.19</t>
  </si>
  <si>
    <t>https://www.genome.jp/entry/R03460</t>
  </si>
  <si>
    <t xml:space="preserve">	
C00074 + C03175 </t>
  </si>
  <si>
    <t>C00009 + C01269</t>
  </si>
  <si>
    <t>https://www.genome.jp/entry/2.5.1.3</t>
  </si>
  <si>
    <t>https://www.genome.jp/entry/R03223</t>
  </si>
  <si>
    <t xml:space="preserve">	
C04752 + C04327</t>
  </si>
  <si>
    <t>C00013 + C01081</t>
  </si>
  <si>
    <t>https://www.genome.jp/entry/R10712</t>
  </si>
  <si>
    <t xml:space="preserve">C04752 + C20247 </t>
  </si>
  <si>
    <t>C01081 + C00013 + C00011</t>
  </si>
  <si>
    <t>https://www.genome.jp/entry/R11312</t>
  </si>
  <si>
    <t>C04752 + C20246</t>
  </si>
  <si>
    <t>C00013 + C01081 + C00011</t>
  </si>
  <si>
    <t>https://www.genome.jp/entry/2.5.1.47</t>
  </si>
  <si>
    <t>https://www.genome.jp/entry/R00897</t>
  </si>
  <si>
    <t>C00979 + C00283</t>
  </si>
  <si>
    <t> C00097 + C00033</t>
  </si>
  <si>
    <t>https://www.genome.jp/entry/R03601</t>
  </si>
  <si>
    <t>C00979 + C01528 </t>
  </si>
  <si>
    <t> C05688 + C00033</t>
  </si>
  <si>
    <t>https://www.genome.jp/entry/R04859</t>
  </si>
  <si>
    <t>C00979 + C00320 + C00342 + C00080 </t>
  </si>
  <si>
    <t> C00097 + C00094 + C00343 + C00033</t>
  </si>
  <si>
    <t>https://www.genome.jp/entry/R07274</t>
  </si>
  <si>
    <t>C01005 + C00283</t>
  </si>
  <si>
    <t> C00097 + C00009</t>
  </si>
  <si>
    <t>https://www.genome.jp/entry/2.5.1.48</t>
  </si>
  <si>
    <t>https://www.genome.jp/entry/R03260</t>
  </si>
  <si>
    <t>C01118 + C00097</t>
  </si>
  <si>
    <t xml:space="preserve">	
C01118 + C00097</t>
  </si>
  <si>
    <t>C02291 + C00042</t>
  </si>
  <si>
    <t>https://www.genome.jp/entry/R00999</t>
  </si>
  <si>
    <t>C01118 + C00001</t>
  </si>
  <si>
    <t>C00109 + C00042 + C00014</t>
  </si>
  <si>
    <t>https://www.genome.jp/entry/R01288</t>
  </si>
  <si>
    <t xml:space="preserve">	
C01118 + C00283</t>
  </si>
  <si>
    <t>C00155 + C00042</t>
  </si>
  <si>
    <t>https://www.genome.jp/entry/R02508</t>
  </si>
  <si>
    <t>C00542 + C00042</t>
  </si>
  <si>
    <t>https://www.genome.jp/entry/R03217</t>
  </si>
  <si>
    <t>C01077 + C00097 </t>
  </si>
  <si>
    <t>C02291 + C00033</t>
  </si>
  <si>
    <t>https://www.genome.jp/entry/R04944</t>
  </si>
  <si>
    <t xml:space="preserve">	
C05702 + C05688 </t>
  </si>
  <si>
    <t> C05699 + C00009</t>
  </si>
  <si>
    <t>https://www.genome.jp/entry/R04945</t>
  </si>
  <si>
    <t>C01077 + C05688 </t>
  </si>
  <si>
    <t>C05699 + C00033</t>
  </si>
  <si>
    <t>https://www.genome.jp/entry/R04946</t>
  </si>
  <si>
    <t xml:space="preserve">	
C01118 + C05688</t>
  </si>
  <si>
    <t>C05699 + C00042</t>
  </si>
  <si>
    <t>https://www.genome.jp/entry/2.5.1.54</t>
  </si>
  <si>
    <t>https://www.genome.jp/entry/R01826</t>
  </si>
  <si>
    <t>C00074 + C00279 + C00001 </t>
  </si>
  <si>
    <t>C04691 + C00009</t>
  </si>
  <si>
    <t>https://www.genome.jp/entry/2.5.1.6</t>
  </si>
  <si>
    <t>https://www.genome.jp/entry/R00177</t>
  </si>
  <si>
    <t xml:space="preserve">	
C00009 + C00013 + C00019</t>
  </si>
  <si>
    <t>C00002 + C00073 + C00001</t>
  </si>
  <si>
    <t>https://www.genome.jp/entry/R04771</t>
  </si>
  <si>
    <t xml:space="preserve">	
C00002 + C05335 + C00001 </t>
  </si>
  <si>
    <t>C00009 + C00013 + C05691</t>
  </si>
  <si>
    <t>https://www.genome.jp/entry/2.5.1.61</t>
  </si>
  <si>
    <t>https://www.genome.jp/entry/R00084</t>
  </si>
  <si>
    <t> C01024 + 4 C00014</t>
  </si>
  <si>
    <t>https://www.genome.jp/entry/2.5.1.7</t>
  </si>
  <si>
    <t>https://www.genome.jp/entry/R00660</t>
  </si>
  <si>
    <t>C00074 + C00043</t>
  </si>
  <si>
    <t xml:space="preserve">	
C00074 + C00043</t>
  </si>
  <si>
    <t>C04631 + C00009</t>
  </si>
  <si>
    <t>https://www.genome.jp/entry/2.5.1.72</t>
  </si>
  <si>
    <t>https://www.genome.jp/entry/R04292</t>
  </si>
  <si>
    <t>C05840 + C00111</t>
  </si>
  <si>
    <t>https://www.genome.jp/entry/2.5.1.74</t>
  </si>
  <si>
    <t>https://www.genome.jp/entry/R10757</t>
  </si>
  <si>
    <t xml:space="preserve">	
C05847 + C03657 </t>
  </si>
  <si>
    <t>C19847 + C00013 + C00011</t>
  </si>
  <si>
    <t>https://www.genome.jp/entry/2.5.1.75</t>
  </si>
  <si>
    <t>https://www.genome.jp/entry/R01122</t>
  </si>
  <si>
    <t xml:space="preserve">	
C00235 + C17324 </t>
  </si>
  <si>
    <t>C00013 + C04432</t>
  </si>
  <si>
    <t>https://www.genome.jp/entry/2.5.1.78</t>
  </si>
  <si>
    <t>https://www.genome.jp/entry/R04457</t>
  </si>
  <si>
    <t>C04732 + C15556</t>
  </si>
  <si>
    <t>C04332 + 2 C00001 + C00009</t>
  </si>
  <si>
    <t>https://www.genome.jp/entry/2.5.1.9</t>
  </si>
  <si>
    <t>https://www.genome.jp/entry/R00066</t>
  </si>
  <si>
    <t>C00255 + C04732</t>
  </si>
  <si>
    <t>https://www.genome.jp/entry/2.6.1.11</t>
  </si>
  <si>
    <t>https://www.genome.jp/entry/R02283</t>
  </si>
  <si>
    <t xml:space="preserve">C00437 + C00026 </t>
  </si>
  <si>
    <t>C01250 + C00025</t>
  </si>
  <si>
    <t>https://www.genome.jp/entry/2.6.1.16</t>
  </si>
  <si>
    <t>https://www.genome.jp/entry/R00768</t>
  </si>
  <si>
    <t xml:space="preserve">	
C00064 + C00085 </t>
  </si>
  <si>
    <t>C00025 + C00352</t>
  </si>
  <si>
    <t>https://www.genome.jp/entry/2.6.1.17</t>
  </si>
  <si>
    <t>https://www.genome.jp/entry/R04475</t>
  </si>
  <si>
    <t xml:space="preserve">	
C04421 + C00026 </t>
  </si>
  <si>
    <t> C04462 + C00025</t>
  </si>
  <si>
    <t>https://www.genome.jp/entry/2.6.1.19</t>
  </si>
  <si>
    <t>https://www.genome.jp/entry/R01648</t>
  </si>
  <si>
    <t xml:space="preserve">C00334 + C00026 </t>
  </si>
  <si>
    <t>C00232 + C00025</t>
  </si>
  <si>
    <t>https://www.genome.jp/entry/R00908</t>
  </si>
  <si>
    <t>C00099 + C00026</t>
  </si>
  <si>
    <t> C00222 + C00025</t>
  </si>
  <si>
    <t>https://www.genome.jp/entry/2.6.1.42</t>
  </si>
  <si>
    <t>https://www.genome.jp/entry/R01090</t>
  </si>
  <si>
    <t>C00123 + C00026</t>
  </si>
  <si>
    <t>C00233 + C00025</t>
  </si>
  <si>
    <t>https://www.genome.jp/entry/R01214</t>
  </si>
  <si>
    <t>C00183 + C00026 </t>
  </si>
  <si>
    <t>C00141 + C00025</t>
  </si>
  <si>
    <t>https://www.genome.jp/entry/R02199</t>
  </si>
  <si>
    <t xml:space="preserve">	
C00407 + C00026 </t>
  </si>
  <si>
    <t> C00671 + C00025</t>
  </si>
  <si>
    <t>https://www.genome.jp/entry/R10991</t>
  </si>
  <si>
    <t xml:space="preserve">	
C02356 + C00026 </t>
  </si>
  <si>
    <t>C00109 + C00025</t>
  </si>
  <si>
    <t>https://www.genome.jp/entry/2.6.1.52</t>
  </si>
  <si>
    <t>https://www.genome.jp/entry/R04173</t>
  </si>
  <si>
    <t xml:space="preserve">C01005 + C00026 </t>
  </si>
  <si>
    <t>C03232 + C00025</t>
  </si>
  <si>
    <t>https://www.genome.jp/entry/R05085</t>
  </si>
  <si>
    <t>C06055 + C00026 </t>
  </si>
  <si>
    <t> C06054 + C00025</t>
  </si>
  <si>
    <t>https://www.genome.jp/entry/2.6.1.62</t>
  </si>
  <si>
    <t>https://www.genome.jp/entry/R03231</t>
  </si>
  <si>
    <t xml:space="preserve">	
C00019 + C01092 </t>
  </si>
  <si>
    <t> C04425 + C01037</t>
  </si>
  <si>
    <t>https://www.genome.jp/entry/2.6.1.85</t>
  </si>
  <si>
    <t xml:space="preserve">	
C00064 + C00001</t>
  </si>
  <si>
    <t> C00025 + C00014</t>
  </si>
  <si>
    <t>https://www.genome.jp/entry/R01716</t>
  </si>
  <si>
    <t>C00251 + C00064</t>
  </si>
  <si>
    <t>C11355 + C00025</t>
  </si>
  <si>
    <t>https://www.genome.jp/entry/R05552</t>
  </si>
  <si>
    <t xml:space="preserve">	
C00251 + C00014 </t>
  </si>
  <si>
    <t>C11355 + C00001</t>
  </si>
  <si>
    <t>https://www.genome.jp/entry/2.6.1.9</t>
  </si>
  <si>
    <t>https://www.genome.jp/entry/R03243</t>
  </si>
  <si>
    <t>C01100 + C00026 </t>
  </si>
  <si>
    <t>C01267 + C00025</t>
  </si>
  <si>
    <t>https://www.genome.jp/entry/R00694</t>
  </si>
  <si>
    <t xml:space="preserve">	
C00079 + C00026 </t>
  </si>
  <si>
    <t>C00166 + C00025</t>
  </si>
  <si>
    <t>https://www.genome.jp/entry/R00734</t>
  </si>
  <si>
    <t xml:space="preserve">	
C00082 + C00026</t>
  </si>
  <si>
    <t> C01179 + C00025</t>
  </si>
  <si>
    <t>https://www.genome.jp/entry/2.7.1.2</t>
  </si>
  <si>
    <t>https://www.genome.jp/entry/R00299</t>
  </si>
  <si>
    <t>C00002 + C00031 </t>
  </si>
  <si>
    <t>C00008 + C00092</t>
  </si>
  <si>
    <t>https://www.genome.jp/entry/R01600</t>
  </si>
  <si>
    <t xml:space="preserve">	
C00002 + C00221</t>
  </si>
  <si>
    <t> C00008 + C01172</t>
  </si>
  <si>
    <t>https://www.genome.jp/entry/R01786</t>
  </si>
  <si>
    <t>C00002 + C00267 </t>
  </si>
  <si>
    <t>C00008 + C00668</t>
  </si>
  <si>
    <t>https://www.genome.jp/entry/2.7.1.148</t>
  </si>
  <si>
    <t>https://www.genome.jp/entry/R05634</t>
  </si>
  <si>
    <t xml:space="preserve">	
C11435 + C00002</t>
  </si>
  <si>
    <t> C11436 + C00008</t>
  </si>
  <si>
    <t>2.7.1.156</t>
  </si>
  <si>
    <t>https://www.genome.jp/entry/2.7.1.156</t>
  </si>
  <si>
    <t>https://www.genome.jp/entry/R05221</t>
  </si>
  <si>
    <t>C06508 + C00002</t>
  </si>
  <si>
    <t>C06509 + C00008</t>
  </si>
  <si>
    <t>https://www.genome.jp/entry/R06558</t>
  </si>
  <si>
    <t xml:space="preserve">	
C06508 + C00044 </t>
  </si>
  <si>
    <t>C06509 + C00035</t>
  </si>
  <si>
    <t>2.7.7.62</t>
  </si>
  <si>
    <t xml:space="preserve">2.7.1.156 </t>
  </si>
  <si>
    <t>https://www.genome.jp/entry/2.7.7.62</t>
  </si>
  <si>
    <t>https://www.genome.jp/entry/R05222</t>
  </si>
  <si>
    <t>C06509 + C00044 </t>
  </si>
  <si>
    <t>C06510 + C00013</t>
  </si>
  <si>
    <t>https://www.genome.jp/entry/2.7.1.17</t>
  </si>
  <si>
    <t>https://www.genome.jp/entry/R01639</t>
  </si>
  <si>
    <t>C00002 + C00310 </t>
  </si>
  <si>
    <t> C00008 + C00231</t>
  </si>
  <si>
    <t> C00008 + C00092</t>
  </si>
  <si>
    <t>C00002 + C00221 </t>
  </si>
  <si>
    <t xml:space="preserve">	
C00002 + C00267 </t>
  </si>
  <si>
    <t>https://www.genome.jp/entry/2.7.1.211</t>
  </si>
  <si>
    <t>https://www.genome.jp/entry/R00811</t>
  </si>
  <si>
    <t xml:space="preserve">	
C00089 + C04261</t>
  </si>
  <si>
    <t>C16688 + C00615</t>
  </si>
  <si>
    <t>https://www.genome.jp/entry/2.7.1.23</t>
  </si>
  <si>
    <t>https://www.genome.jp/entry/R00104</t>
  </si>
  <si>
    <t xml:space="preserve">	
C00002 + C00003 </t>
  </si>
  <si>
    <t> C00008 + C00006</t>
  </si>
  <si>
    <t>https://www.genome.jp/entry/2.7.1.24</t>
  </si>
  <si>
    <t>https://www.genome.jp/entry/R00130</t>
  </si>
  <si>
    <t xml:space="preserve">	
C00002 + C00882</t>
  </si>
  <si>
    <t> C00008 + C00010</t>
  </si>
  <si>
    <t>https://www.genome.jp/entry/2.7.1.26</t>
  </si>
  <si>
    <t>https://www.genome.jp/entry/R00549</t>
  </si>
  <si>
    <t xml:space="preserve">	
C00002 + C00255 </t>
  </si>
  <si>
    <t>C00008 + C00061</t>
  </si>
  <si>
    <t>2.7.7.2</t>
  </si>
  <si>
    <t xml:space="preserve">2.7.1.26 </t>
  </si>
  <si>
    <t>https://www.genome.jp/entry/2.7.7.2</t>
  </si>
  <si>
    <t>https://www.genome.jp/entry/R00161</t>
  </si>
  <si>
    <t xml:space="preserve">	
C00002 + C00061 </t>
  </si>
  <si>
    <t> C00013 + C00016</t>
  </si>
  <si>
    <t>https://www.genome.jp/entry/2.7.1.30</t>
  </si>
  <si>
    <t>https://www.genome.jp/entry/R00847</t>
  </si>
  <si>
    <t>C00002 + C00116</t>
  </si>
  <si>
    <t>C00008 + C00093</t>
  </si>
  <si>
    <t>https://www.genome.jp/entry/2.7.1.31</t>
  </si>
  <si>
    <t>https://www.genome.jp/entry/R01514</t>
  </si>
  <si>
    <t xml:space="preserve">	
C00002 + C00258</t>
  </si>
  <si>
    <t> C00008 + C00197</t>
  </si>
  <si>
    <t>https://www.genome.jp/entry/2.7.1.33</t>
  </si>
  <si>
    <t>https://www.genome.jp/entry/R03018</t>
  </si>
  <si>
    <t xml:space="preserve">	
C00002 + C00864</t>
  </si>
  <si>
    <t>C00008 + C03492</t>
  </si>
  <si>
    <t>https://www.genome.jp/entry/R02971</t>
  </si>
  <si>
    <t xml:space="preserve">	
C00002 + C00831</t>
  </si>
  <si>
    <t> C00008 + C01134</t>
  </si>
  <si>
    <t>https://www.genome.jp/entry/R04391</t>
  </si>
  <si>
    <t xml:space="preserve">	
C00002 + C04079</t>
  </si>
  <si>
    <t>C00008 + C04352</t>
  </si>
  <si>
    <t>https://www.genome.jp/entry/2.7.1.35</t>
  </si>
  <si>
    <t>https://www.genome.jp/entry/R00174</t>
  </si>
  <si>
    <t xml:space="preserve">	
C00002 + C00250 </t>
  </si>
  <si>
    <t xml:space="preserve"> C00008 + C00018</t>
  </si>
  <si>
    <t>https://www.genome.jp/entry/R01909</t>
  </si>
  <si>
    <t>C00002 + C00314</t>
  </si>
  <si>
    <t> C00008 + C00627</t>
  </si>
  <si>
    <t>https://www.genome.jp/entry/R02493</t>
  </si>
  <si>
    <t>C00002 + C00534</t>
  </si>
  <si>
    <t>C00008 + C00647</t>
  </si>
  <si>
    <t>https://www.genome.jp/entry/2.7.1.39</t>
  </si>
  <si>
    <t>https://www.genome.jp/entry/R01771</t>
  </si>
  <si>
    <t xml:space="preserve">	
C00002 + C00263</t>
  </si>
  <si>
    <t> C00008 + C01102</t>
  </si>
  <si>
    <t>https://www.genome.jp/entry/2.7.1.40</t>
  </si>
  <si>
    <t>https://www.genome.jp/entry/R00200</t>
  </si>
  <si>
    <t xml:space="preserve">	
C00002 + C00022</t>
  </si>
  <si>
    <t>C00008 + C00074</t>
  </si>
  <si>
    <t>https://www.genome.jp/entry/R00430</t>
  </si>
  <si>
    <t>C00044 + C00022</t>
  </si>
  <si>
    <t>C00035 + C00074</t>
  </si>
  <si>
    <t>https://www.genome.jp/entry/R00572</t>
  </si>
  <si>
    <t xml:space="preserve">	
C00063 + C00022</t>
  </si>
  <si>
    <t>C00112 + C00074</t>
  </si>
  <si>
    <t>https://www.genome.jp/entry/R00659</t>
  </si>
  <si>
    <t>C00075 + C00022</t>
  </si>
  <si>
    <t> C00015 + C00074</t>
  </si>
  <si>
    <t>https://www.genome.jp/entry/R00724</t>
  </si>
  <si>
    <t xml:space="preserve">	
C00081 + C00022 </t>
  </si>
  <si>
    <t>C00104 + C00074</t>
  </si>
  <si>
    <t>https://www.genome.jp/entry/R01138</t>
  </si>
  <si>
    <t xml:space="preserve">	
C00131 + C00022</t>
  </si>
  <si>
    <t>C00206 + C00074</t>
  </si>
  <si>
    <t>https://www.genome.jp/entry/R01858</t>
  </si>
  <si>
    <t xml:space="preserve">	
C00286 + C00022</t>
  </si>
  <si>
    <t>C00361 + C00074</t>
  </si>
  <si>
    <t>https://www.genome.jp/entry/R02320</t>
  </si>
  <si>
    <t>C00201 + C00022</t>
  </si>
  <si>
    <t> C00454 + C00074</t>
  </si>
  <si>
    <t>https://www.genome.jp/entry/2.7.1.49</t>
  </si>
  <si>
    <t>2.7.4.7</t>
  </si>
  <si>
    <t xml:space="preserve">2.7.1.49 </t>
  </si>
  <si>
    <t>https://www.genome.jp/entry/R03471</t>
  </si>
  <si>
    <t xml:space="preserve">	
C00002 + C01279</t>
  </si>
  <si>
    <t> C00008 + C04556</t>
  </si>
  <si>
    <t>https://www.genome.jp/entry/2.7.4.7</t>
  </si>
  <si>
    <t>https://www.genome.jp/entry/R04509</t>
  </si>
  <si>
    <t xml:space="preserve">C00002 + C04556 </t>
  </si>
  <si>
    <t> C00008 + C04752</t>
  </si>
  <si>
    <t>https://www.genome.jp/entry/2.7.1.50</t>
  </si>
  <si>
    <t>https://www.genome.jp/entry/R04448</t>
  </si>
  <si>
    <t xml:space="preserve">	
C00002 + C04294</t>
  </si>
  <si>
    <t> C00008 + C04327</t>
  </si>
  <si>
    <t>https://www.genome.jp/entry/2.7.1.56</t>
  </si>
  <si>
    <t>https://www.genome.jp/entry/R13203</t>
  </si>
  <si>
    <t xml:space="preserve">	
C00002 + C01094 </t>
  </si>
  <si>
    <t>C00008 + C00354</t>
  </si>
  <si>
    <t>https://www.genome.jp/entry/R02071</t>
  </si>
  <si>
    <t xml:space="preserve">C00002 + C01094 </t>
  </si>
  <si>
    <t>C00008 + C05378</t>
  </si>
  <si>
    <t>https://www.genome.jp/entry/R03236</t>
  </si>
  <si>
    <t xml:space="preserve">	
C01097 + C00002</t>
  </si>
  <si>
    <t>C03785 + C00008</t>
  </si>
  <si>
    <t>https://www.genome.jp/entry/2.7.1.63</t>
  </si>
  <si>
    <t>https://www.genome.jp/entry/R02185</t>
  </si>
  <si>
    <t xml:space="preserve">	
C00404 + C00031</t>
  </si>
  <si>
    <t> C00404 + C00092</t>
  </si>
  <si>
    <t>https://www.genome.jp/entry/R02187</t>
  </si>
  <si>
    <t xml:space="preserve">	
C00404 + C00221</t>
  </si>
  <si>
    <t>C00404 + C01172</t>
  </si>
  <si>
    <t>https://www.genome.jp/entry/R02189</t>
  </si>
  <si>
    <t>C00404 + C00267</t>
  </si>
  <si>
    <t> C00404 + C00668</t>
  </si>
  <si>
    <t>https://www.genome.jp/entry/2.7.1.71</t>
  </si>
  <si>
    <t>https://www.genome.jp/entry/R02412</t>
  </si>
  <si>
    <t>C00002 + C00493</t>
  </si>
  <si>
    <t> C00008 + C03175</t>
  </si>
  <si>
    <t>https://www.genome.jp/entry/2.7.1.92</t>
  </si>
  <si>
    <t>https://www.genome.jp/entry/R05661</t>
  </si>
  <si>
    <t>C06892 + C00002 </t>
  </si>
  <si>
    <t>C06893 + C00008</t>
  </si>
  <si>
    <t>https://www.genome.jp/entry/2.7.10.2</t>
  </si>
  <si>
    <t>https://www.genome.jp/entry/R02584</t>
  </si>
  <si>
    <t xml:space="preserve">	
C00002 + C00585</t>
  </si>
  <si>
    <t>C00008 + C01167</t>
  </si>
  <si>
    <t>https://www.genome.jp/entry/2.7.11.1</t>
  </si>
  <si>
    <t>https://www.genome.jp/entry/R00162</t>
  </si>
  <si>
    <t xml:space="preserve">	
C00002 + C00017</t>
  </si>
  <si>
    <t> C00008 + C00562</t>
  </si>
  <si>
    <t>https://www.genome.jp/entry/R03632</t>
  </si>
  <si>
    <t>C00002 + C01609</t>
  </si>
  <si>
    <t>C00008 + C02729</t>
  </si>
  <si>
    <t>https://www.genome.jp/entry/2.7.13.3</t>
  </si>
  <si>
    <t>C00002+C00615</t>
  </si>
  <si>
    <t>C00008</t>
  </si>
  <si>
    <t>https://www.genome.jp/entry/2.7.2.1</t>
  </si>
  <si>
    <t>https://www.genome.jp/entry/R00315</t>
  </si>
  <si>
    <t>C00002 + C00033 </t>
  </si>
  <si>
    <t>C00008 + C00227</t>
  </si>
  <si>
    <t>https://www.genome.jp/entry/R01353</t>
  </si>
  <si>
    <t xml:space="preserve">	
C00002 + C00163</t>
  </si>
  <si>
    <t>C00008 + C02876</t>
  </si>
  <si>
    <t>https://www.genome.jp/entry/2.7.2.11</t>
  </si>
  <si>
    <t>https://www.genome.jp/entry/R00239</t>
  </si>
  <si>
    <t xml:space="preserve">	
C00002 + C00025 </t>
  </si>
  <si>
    <t> C00008 + C03287</t>
  </si>
  <si>
    <t>https://www.genome.jp/entry/2.7.2.3</t>
  </si>
  <si>
    <t>https://www.genome.jp/entry/R01512</t>
  </si>
  <si>
    <t xml:space="preserve">	
C00002 + C00197</t>
  </si>
  <si>
    <t> C00008 + C00236</t>
  </si>
  <si>
    <t>https://www.genome.jp/entry/2.7.2.4</t>
  </si>
  <si>
    <t>https://www.genome.jp/entry/R00480</t>
  </si>
  <si>
    <t xml:space="preserve">	
C00002 + C00049 </t>
  </si>
  <si>
    <t> C00008 + C03082</t>
  </si>
  <si>
    <t>https://www.genome.jp/entry/2.7.2.8</t>
  </si>
  <si>
    <t>https://www.genome.jp/entry/R02649</t>
  </si>
  <si>
    <t xml:space="preserve">	
C00002 + C00624</t>
  </si>
  <si>
    <t>C00008 + C04133</t>
  </si>
  <si>
    <t>https://www.genome.jp/entry/2.7.3.9</t>
  </si>
  <si>
    <t>https://www.genome.jp/entry/R02628</t>
  </si>
  <si>
    <t xml:space="preserve">C00074 + C00615 </t>
  </si>
  <si>
    <t>C00022 + C04261</t>
  </si>
  <si>
    <t>https://www.genome.jp/entry/2.7.4.1</t>
  </si>
  <si>
    <t>https://www.genome.jp/entry/R02184</t>
  </si>
  <si>
    <t xml:space="preserve">	
C00002 + C00404 </t>
  </si>
  <si>
    <t> C00008 + C00404</t>
  </si>
  <si>
    <t>https://www.genome.jp/entry/2.7.4.16</t>
  </si>
  <si>
    <t>https://www.genome.jp/entry/R00617</t>
  </si>
  <si>
    <t xml:space="preserve">	
C00002 + C01081</t>
  </si>
  <si>
    <t> C00008 + C00068</t>
  </si>
  <si>
    <t>https://www.genome.jp/entry/2.7.4.22</t>
  </si>
  <si>
    <t>https://www.genome.jp/entry/R00158</t>
  </si>
  <si>
    <t xml:space="preserve">	
C00002 + C00105 </t>
  </si>
  <si>
    <t>C00008 + C00015</t>
  </si>
  <si>
    <t>https://www.genome.jp/entry/2.7.4.25</t>
  </si>
  <si>
    <t>https://www.genome.jp/entry/R00512</t>
  </si>
  <si>
    <t xml:space="preserve">C00002 + C00055 </t>
  </si>
  <si>
    <t> C00008 + C00112</t>
  </si>
  <si>
    <t>https://www.genome.jp/entry/R01665</t>
  </si>
  <si>
    <t xml:space="preserve">C00002 + C00239 </t>
  </si>
  <si>
    <t> C00008 + C00705</t>
  </si>
  <si>
    <t>https://www.genome.jp/entry/2.7.4.3</t>
  </si>
  <si>
    <t>https://www.genome.jp/entry/R00127</t>
  </si>
  <si>
    <t xml:space="preserve">	
C00002 + C00020</t>
  </si>
  <si>
    <t> 2 C00008</t>
  </si>
  <si>
    <t>https://www.genome.jp/entry/R01547</t>
  </si>
  <si>
    <t xml:space="preserve">	
C00002 + C00360 </t>
  </si>
  <si>
    <t> C00008 + C00206</t>
  </si>
  <si>
    <t>https://www.genome.jp/entry/R11319</t>
  </si>
  <si>
    <t>C00068 + C00008 </t>
  </si>
  <si>
    <t>C03028 + C00020</t>
  </si>
  <si>
    <t>https://www.genome.jp/entry/2.7.4.6</t>
  </si>
  <si>
    <t>https://www.genome.jp/entry/R00331</t>
  </si>
  <si>
    <t xml:space="preserve">	
C00002 + C00454</t>
  </si>
  <si>
    <t>C00008 + C00201</t>
  </si>
  <si>
    <t>https://www.genome.jp/entry/R00124</t>
  </si>
  <si>
    <t xml:space="preserve">	
C00002 + C00008 </t>
  </si>
  <si>
    <t>C00008 + C00002</t>
  </si>
  <si>
    <t>https://www.genome.jp/entry/R00139</t>
  </si>
  <si>
    <t>C11038 + C00002</t>
  </si>
  <si>
    <t> C11039 + C00008</t>
  </si>
  <si>
    <t>https://www.genome.jp/entry/R00156</t>
  </si>
  <si>
    <t xml:space="preserve">	
C00002 + C00015 </t>
  </si>
  <si>
    <t>C00008 + C00075</t>
  </si>
  <si>
    <t>https://www.genome.jp/entry/R00330</t>
  </si>
  <si>
    <t xml:space="preserve">	
C00002 + C00035 </t>
  </si>
  <si>
    <t> C00008 + C00044</t>
  </si>
  <si>
    <t>https://www.genome.jp/entry/R00570</t>
  </si>
  <si>
    <t xml:space="preserve">	
C00002 + C00112</t>
  </si>
  <si>
    <t xml:space="preserve"> C00008 + C00063</t>
  </si>
  <si>
    <t>https://www.genome.jp/entry/R00722</t>
  </si>
  <si>
    <t xml:space="preserve">	
C00002 + C00104</t>
  </si>
  <si>
    <t> C00008 + C00081</t>
  </si>
  <si>
    <t>https://www.genome.jp/entry/R01137</t>
  </si>
  <si>
    <t>C00002 + C00206</t>
  </si>
  <si>
    <t> C00008 + C00131</t>
  </si>
  <si>
    <t>https://www.genome.jp/entry/R01857</t>
  </si>
  <si>
    <t xml:space="preserve">	
C00002 + C00361</t>
  </si>
  <si>
    <t> C00008 + C00286</t>
  </si>
  <si>
    <t>https://www.genome.jp/entry/R02093</t>
  </si>
  <si>
    <t xml:space="preserve">	
C00002 + C00363</t>
  </si>
  <si>
    <t> C00008 + C00459</t>
  </si>
  <si>
    <t>https://www.genome.jp/entry/R02326</t>
  </si>
  <si>
    <t xml:space="preserve">	
C00002 + C00705</t>
  </si>
  <si>
    <t>C00008 + C00458</t>
  </si>
  <si>
    <t>https://www.genome.jp/entry/R02331</t>
  </si>
  <si>
    <t xml:space="preserve">	
C00002 + C01346 </t>
  </si>
  <si>
    <t> C00008 + C00460</t>
  </si>
  <si>
    <t>https://www.genome.jp/entry/R03530</t>
  </si>
  <si>
    <t xml:space="preserve">	
C00002 + C01344</t>
  </si>
  <si>
    <t> C00008 + C01345</t>
  </si>
  <si>
    <t>https://www.genome.jp/entry/R12853</t>
  </si>
  <si>
    <t xml:space="preserve">	
C22442 + C00002</t>
  </si>
  <si>
    <t>C22443 + C00008</t>
  </si>
  <si>
    <t>https://www.genome.jp/entry/R11894</t>
  </si>
  <si>
    <t xml:space="preserve">	
C00002 + C21748 </t>
  </si>
  <si>
    <t> C00008 + C21749</t>
  </si>
  <si>
    <t>https://www.genome.jp/entry/R11895</t>
  </si>
  <si>
    <t xml:space="preserve">	
C00002 + C21750</t>
  </si>
  <si>
    <t>C00008 + C21751</t>
  </si>
  <si>
    <t>https://www.genome.jp/entry/2.7.4.8</t>
  </si>
  <si>
    <t>https://www.genome.jp/entry/R00332</t>
  </si>
  <si>
    <t xml:space="preserve">C00002 + C00144 </t>
  </si>
  <si>
    <t> C00008 + C00035</t>
  </si>
  <si>
    <t>https://www.genome.jp/entry/R02090</t>
  </si>
  <si>
    <t xml:space="preserve">	
C00002 + C00362</t>
  </si>
  <si>
    <t>C00008 + C00361</t>
  </si>
  <si>
    <t>https://www.genome.jp/entry/R12852</t>
  </si>
  <si>
    <t xml:space="preserve">	
C22441 + C00002</t>
  </si>
  <si>
    <t> C22442 + C00008</t>
  </si>
  <si>
    <t>https://www.genome.jp/entry/2.7.4.9</t>
  </si>
  <si>
    <t>https://www.genome.jp/entry/R02094</t>
  </si>
  <si>
    <t xml:space="preserve">	
C00002 + C00364 </t>
  </si>
  <si>
    <t>C00008 + C00363</t>
  </si>
  <si>
    <t>https://www.genome.jp/entry/R02098</t>
  </si>
  <si>
    <t xml:space="preserve">	
C00002 + C00365</t>
  </si>
  <si>
    <t> C00008 + C01346</t>
  </si>
  <si>
    <t>https://www.genome.jp/entry/2.7.6.1</t>
  </si>
  <si>
    <t>https://www.genome.jp/entry/R01049</t>
  </si>
  <si>
    <t xml:space="preserve">	
C00002 + C00117</t>
  </si>
  <si>
    <t>C00020 + C00119</t>
  </si>
  <si>
    <t>https://www.genome.jp/entry/2.7.6.3</t>
  </si>
  <si>
    <t>https://www.genome.jp/entry/R03503</t>
  </si>
  <si>
    <t xml:space="preserve">	
C00002 + C01300</t>
  </si>
  <si>
    <t> C00020 + C04807</t>
  </si>
  <si>
    <t>https://www.genome.jp/entry/2.7.6.5</t>
  </si>
  <si>
    <t>https://www.genome.jp/entry/R00429</t>
  </si>
  <si>
    <t xml:space="preserve">	
C00002 + C00044 </t>
  </si>
  <si>
    <t>C00020 + C04494</t>
  </si>
  <si>
    <t>https://www.genome.jp/entry/2.7.7.108</t>
  </si>
  <si>
    <t>C00002+C02189</t>
  </si>
  <si>
    <t>C00002+C19803</t>
  </si>
  <si>
    <t>C00002+C00585</t>
  </si>
  <si>
    <t>C00013</t>
  </si>
  <si>
    <t>https://www.genome.jp/entry/2.7.7.18</t>
  </si>
  <si>
    <t>https://www.genome.jp/entry/R03005</t>
  </si>
  <si>
    <t xml:space="preserve">	
C00002 + C01185</t>
  </si>
  <si>
    <t>C00013 + C00857</t>
  </si>
  <si>
    <t>https://www.genome.jp/entry/R00137</t>
  </si>
  <si>
    <t xml:space="preserve">	
C00002 + C00455</t>
  </si>
  <si>
    <t> C00013 + C00003</t>
  </si>
  <si>
    <t>https://www.genome.jp/entry/2.7.7.23</t>
  </si>
  <si>
    <t>https://www.genome.jp/entry/R00416</t>
  </si>
  <si>
    <t xml:space="preserve">	
C00075 + C04501 </t>
  </si>
  <si>
    <t>C00013 + C00043</t>
  </si>
  <si>
    <t>https://www.genome.jp/entry/2.7.7.24</t>
  </si>
  <si>
    <t>https://www.genome.jp/entry/R02328</t>
  </si>
  <si>
    <t xml:space="preserve">	
C00459 + C00103 </t>
  </si>
  <si>
    <t> C00013 + C00842</t>
  </si>
  <si>
    <t>https://www.genome.jp/entry/2.7.7.27</t>
  </si>
  <si>
    <t>https://www.genome.jp/entry/R00948</t>
  </si>
  <si>
    <t xml:space="preserve">C00002 + C00103 </t>
  </si>
  <si>
    <t>C00013 + C00498</t>
  </si>
  <si>
    <t>https://www.genome.jp/entry/2.7.7.3</t>
  </si>
  <si>
    <t>https://www.genome.jp/entry/R03035</t>
  </si>
  <si>
    <t xml:space="preserve">C00002 + C01134 </t>
  </si>
  <si>
    <t xml:space="preserve"> C00013 + C00882</t>
  </si>
  <si>
    <t>https://www.genome.jp/entry/2.7.7.4</t>
  </si>
  <si>
    <t>https://www.genome.jp/entry/R00529</t>
  </si>
  <si>
    <t xml:space="preserve">	
C00002 + C00059 </t>
  </si>
  <si>
    <t>C00013 + C00224</t>
  </si>
  <si>
    <t>https://www.genome.jp/entry/R04929</t>
  </si>
  <si>
    <t xml:space="preserve">	
C00002 + C05697</t>
  </si>
  <si>
    <t>C00013 + C05686</t>
  </si>
  <si>
    <t>https://www.genome.jp/entry/2.7.7.41</t>
  </si>
  <si>
    <t>https://www.genome.jp/entry/R01799</t>
  </si>
  <si>
    <t xml:space="preserve">	
C00063 + C00416</t>
  </si>
  <si>
    <t>C00013 + C00269</t>
  </si>
  <si>
    <t>https://www.genome.jp/entry/2.7.7.42</t>
  </si>
  <si>
    <t>https://www.genome.jp/entry/R03473</t>
  </si>
  <si>
    <t xml:space="preserve">	
C00002 + C01281</t>
  </si>
  <si>
    <t> C00013 + C01299</t>
  </si>
  <si>
    <t>2.7.7.89</t>
  </si>
  <si>
    <t xml:space="preserve">2.7.7.42 </t>
  </si>
  <si>
    <t>https://www.genome.jp/entry/2.7.7.89</t>
  </si>
  <si>
    <t>https://www.genome.jp/entry/R03474</t>
  </si>
  <si>
    <t>C01299 + C00009</t>
  </si>
  <si>
    <t>C00008 + C01281</t>
  </si>
  <si>
    <t>https://www.genome.jp/entry/2.7.7.56</t>
  </si>
  <si>
    <t>https://www.genome.jp/entry/R07285</t>
  </si>
  <si>
    <t xml:space="preserve">	
C00066 + C00009 </t>
  </si>
  <si>
    <t>C00066 + C00454</t>
  </si>
  <si>
    <t>https://www.genome.jp/entry/2.7.7.59</t>
  </si>
  <si>
    <t>https://www.genome.jp/entry/R04733</t>
  </si>
  <si>
    <t xml:space="preserve">	
C00075 + C05250</t>
  </si>
  <si>
    <t>C00013 + C05326</t>
  </si>
  <si>
    <t>https://www.genome.jp/entry/2.7.7.6</t>
  </si>
  <si>
    <t>https://www.genome.jp/entry/R00444</t>
  </si>
  <si>
    <t xml:space="preserve">	
C00201 + C00046 </t>
  </si>
  <si>
    <t>C00013 + C00046</t>
  </si>
  <si>
    <t>https://www.genome.jp/entry/R00435</t>
  </si>
  <si>
    <t xml:space="preserve">	
C00002 + C00046</t>
  </si>
  <si>
    <t> C00013 + C00046</t>
  </si>
  <si>
    <t>https://www.genome.jp/entry/R00441</t>
  </si>
  <si>
    <t xml:space="preserve">	
C00044 + C00046</t>
  </si>
  <si>
    <t>https://www.genome.jp/entry/R00442</t>
  </si>
  <si>
    <t xml:space="preserve">	
C00063 + C00046</t>
  </si>
  <si>
    <t>https://www.genome.jp/entry/R00443</t>
  </si>
  <si>
    <t xml:space="preserve">	
C00075 + C00046</t>
  </si>
  <si>
    <t>https://www.genome.jp/entry/R10813</t>
  </si>
  <si>
    <t> C20864(n) + (n-1) C00013</t>
  </si>
  <si>
    <t>https://www.genome.jp/entry/2.7.7.60</t>
  </si>
  <si>
    <t>https://www.genome.jp/entry/R05633</t>
  </si>
  <si>
    <t xml:space="preserve">	
C11434 + C00063 </t>
  </si>
  <si>
    <t>C11435 + C00013</t>
  </si>
  <si>
    <t>https://www.genome.jp/entry/2.7.7.7</t>
  </si>
  <si>
    <t>https://www.genome.jp/entry/R00379</t>
  </si>
  <si>
    <t>C00013 + C00039(n+1)</t>
  </si>
  <si>
    <t>https://www.genome.jp/entry/R00375</t>
  </si>
  <si>
    <t>C00131 + C00039</t>
  </si>
  <si>
    <t> C00013 + C00039</t>
  </si>
  <si>
    <t>https://www.genome.jp/entry/R00376</t>
  </si>
  <si>
    <t xml:space="preserve">	
C00286 + C00039 </t>
  </si>
  <si>
    <t>https://www.genome.jp/entry/R00377</t>
  </si>
  <si>
    <t xml:space="preserve">	
C00458 + C00039 </t>
  </si>
  <si>
    <t>https://www.genome.jp/entry/R00378</t>
  </si>
  <si>
    <t xml:space="preserve">	
C00459 + C00039</t>
  </si>
  <si>
    <t>https://www.genome.jp/entry/R11029</t>
  </si>
  <si>
    <t xml:space="preserve">	
C11039 </t>
  </si>
  <si>
    <t>C21031</t>
  </si>
  <si>
    <t>https://www.genome.jp/entry/2.7.7.72</t>
  </si>
  <si>
    <t>https://www.genome.jp/entry/R09382</t>
  </si>
  <si>
    <t>C19085 + 3 C00013</t>
  </si>
  <si>
    <t>https://www.genome.jp/entry/R09383</t>
  </si>
  <si>
    <t xml:space="preserve">	
C02211 + C00063</t>
  </si>
  <si>
    <t> C19078 + C00013</t>
  </si>
  <si>
    <t>https://www.genome.jp/entry/R09384</t>
  </si>
  <si>
    <t xml:space="preserve">	
C19078 + C00063</t>
  </si>
  <si>
    <t>C19080 + C00013</t>
  </si>
  <si>
    <t>https://www.genome.jp/entry/R09386</t>
  </si>
  <si>
    <t xml:space="preserve">	
C19080 + C00002</t>
  </si>
  <si>
    <t>C19085 + C00013</t>
  </si>
  <si>
    <t>https://www.genome.jp/entry/2.7.7.77</t>
  </si>
  <si>
    <t>https://www.genome.jp/entry/R11581</t>
  </si>
  <si>
    <t xml:space="preserve">	
C18237 + C00044 </t>
  </si>
  <si>
    <t> C19871 + C00013</t>
  </si>
  <si>
    <t>https://www.genome.jp/entry/2.7.7.8</t>
  </si>
  <si>
    <t>https://www.genome.jp/entry/R07282</t>
  </si>
  <si>
    <t xml:space="preserve">	
C00046 + C00009</t>
  </si>
  <si>
    <t> C00046 + C00454</t>
  </si>
  <si>
    <t>https://www.genome.jp/entry/R00437</t>
  </si>
  <si>
    <t xml:space="preserve">	
C00046 + C00009 </t>
  </si>
  <si>
    <t> C00046 + C00008</t>
  </si>
  <si>
    <t>https://www.genome.jp/entry/R00438</t>
  </si>
  <si>
    <t> C00046 + C00015</t>
  </si>
  <si>
    <t>https://www.genome.jp/entry/R00439</t>
  </si>
  <si>
    <t xml:space="preserve"> C00046 + C00035</t>
  </si>
  <si>
    <t>https://www.genome.jp/entry/R00440</t>
  </si>
  <si>
    <t xml:space="preserve"> C00046 + C00112</t>
  </si>
  <si>
    <t>https://www.genome.jp/entry/2.7.7.85</t>
  </si>
  <si>
    <t>https://www.genome.jp/entry/R10342</t>
  </si>
  <si>
    <t> 2 C00013 + C20565</t>
  </si>
  <si>
    <t>https://www.genome.jp/entry/2.7.7.87</t>
  </si>
  <si>
    <t>https://www.genome.jp/entry/R10463</t>
  </si>
  <si>
    <t xml:space="preserve">	
C00188 + C00002 + C00288 + C00080</t>
  </si>
  <si>
    <t xml:space="preserve"> C20641 + C00013 + C00001</t>
  </si>
  <si>
    <t>https://www.genome.jp/entry/2.7.7.9</t>
  </si>
  <si>
    <t>https://www.genome.jp/entry/R00289</t>
  </si>
  <si>
    <t xml:space="preserve">	
C00075 + C00103 </t>
  </si>
  <si>
    <t>C00013 + C00029</t>
  </si>
  <si>
    <t>https://www.genome.jp/entry/2.7.8.13</t>
  </si>
  <si>
    <t>https://www.genome.jp/entry/R05629</t>
  </si>
  <si>
    <t xml:space="preserve">	
C04702 + C17556 </t>
  </si>
  <si>
    <t> C00105 + C04851</t>
  </si>
  <si>
    <t>https://www.genome.jp/entry/R05630</t>
  </si>
  <si>
    <t xml:space="preserve">	
C04882 + C17556</t>
  </si>
  <si>
    <t>C00105 + C05897</t>
  </si>
  <si>
    <t>https://www.genome.jp/entry/2.7.8.26</t>
  </si>
  <si>
    <t>https://www.genome.jp/entry/R05223</t>
  </si>
  <si>
    <t xml:space="preserve">	
C00194 + C00144</t>
  </si>
  <si>
    <t> C06510 + C05775</t>
  </si>
  <si>
    <t>https://www.genome.jp/entry/R11174</t>
  </si>
  <si>
    <t xml:space="preserve">	
C06510 + C04778</t>
  </si>
  <si>
    <t> C00144 + C21153</t>
  </si>
  <si>
    <t>https://www.genome.jp/entry/2.7.8.5</t>
  </si>
  <si>
    <t>https://www.genome.jp/entry/R01801</t>
  </si>
  <si>
    <t xml:space="preserve">	
C00269 + C00093 </t>
  </si>
  <si>
    <t>C00055 + C03892</t>
  </si>
  <si>
    <t>https://www.genome.jp/entry/2.7.8.7</t>
  </si>
  <si>
    <t>https://www.genome.jp/entry/R01625</t>
  </si>
  <si>
    <t xml:space="preserve">	
C00010 + C03688</t>
  </si>
  <si>
    <t>C00054 + C00229</t>
  </si>
  <si>
    <t>https://www.genome.jp/entry/2.8.1.10</t>
  </si>
  <si>
    <t>https://www.genome.jp/entry/R10247</t>
  </si>
  <si>
    <t xml:space="preserve">	
C11437 + C15809 + C15814</t>
  </si>
  <si>
    <t> C20246 + C15810 + 2 C00001</t>
  </si>
  <si>
    <t>https://www.genome.jp/entry/2.8.1.12</t>
  </si>
  <si>
    <t>https://www.genome.jp/entry/R09395</t>
  </si>
  <si>
    <t>C05924 + 2 C15810</t>
  </si>
  <si>
    <t>https://www.genome.jp/entry/2.8.1.13</t>
  </si>
  <si>
    <t>https://www.genome.jp/entry/R08700</t>
  </si>
  <si>
    <t>C00868 + C15812 + C00002</t>
  </si>
  <si>
    <t xml:space="preserve"> C17322 + C15811 + C00020 + C00013</t>
  </si>
  <si>
    <t>https://www.genome.jp/entry/2.8.1.6</t>
  </si>
  <si>
    <t>https://www.genome.jp/entry/R01078</t>
  </si>
  <si>
    <t>C00120 + 2 C00073 + 2 C05198</t>
  </si>
  <si>
    <t>https://www.genome.jp/entry/2.8.1.7</t>
  </si>
  <si>
    <t>https://www.genome.jp/entry/R07460</t>
  </si>
  <si>
    <t>C15811 + C00097</t>
  </si>
  <si>
    <t>C15812 + C00041</t>
  </si>
  <si>
    <t>https://www.genome.jp/entry/R11528</t>
  </si>
  <si>
    <t xml:space="preserve">	
C00097 + C02743</t>
  </si>
  <si>
    <t> C00041 + C21440</t>
  </si>
  <si>
    <t>https://www.genome.jp/entry/R11529</t>
  </si>
  <si>
    <t xml:space="preserve">	
C15812 + C02743 </t>
  </si>
  <si>
    <t> C15811 + C21440</t>
  </si>
  <si>
    <t>https://www.genome.jp/entry/2.8.1.8</t>
  </si>
  <si>
    <t>https://www.genome.jp/entry/R07767</t>
  </si>
  <si>
    <t>C16832 + C22155 + 2 C00283 + 4 C14818 + 2 C00073 + 2 C05198 + 2 C22151</t>
  </si>
  <si>
    <t>https://www.genome.jp/entry/R12423</t>
  </si>
  <si>
    <t>C15973 + C22155 + 2 C00283 + 4 C14818 + 2 C00073 + 2 C05198 + 2 C22151</t>
  </si>
  <si>
    <t>https://www.genome.jp/entry/R12424</t>
  </si>
  <si>
    <t>C02972 + C22155 + 2 C00283 + 4 C14818 + 2 C00073 + 2 C05198 + 2 C22151</t>
  </si>
  <si>
    <t>https://www.genome.jp/entry/2.8.4.2</t>
  </si>
  <si>
    <t>C11215+C06717</t>
  </si>
  <si>
    <t>C00001</t>
  </si>
  <si>
    <t>https://www.genome.jp/entry/2.8.4.3</t>
  </si>
  <si>
    <t>https://www.genome.jp/entry/R10645</t>
  </si>
  <si>
    <t> C20753 + C00021 + C00073 + C05198</t>
  </si>
  <si>
    <t>https://www.genome.jp/entry/R10646</t>
  </si>
  <si>
    <t xml:space="preserve">	
C04432 + C17023 + C00019</t>
  </si>
  <si>
    <t>C20755 + C00073 + C05198</t>
  </si>
  <si>
    <t>https://www.genome.jp/entry/R10647</t>
  </si>
  <si>
    <t>C20755 + C00019</t>
  </si>
  <si>
    <t>C20753 + C00021</t>
  </si>
  <si>
    <t>3.1.3.5</t>
  </si>
  <si>
    <t xml:space="preserve">3.1.-.- </t>
  </si>
  <si>
    <t>https://www.genome.jp/entry/3.1.3.5</t>
  </si>
  <si>
    <t>https://www.genome.jp/entry/R07297</t>
  </si>
  <si>
    <t xml:space="preserve">	
C02520 + C00001</t>
  </si>
  <si>
    <t>C00911 + C00009</t>
  </si>
  <si>
    <t>https://www.genome.jp/entry/R00183</t>
  </si>
  <si>
    <t xml:space="preserve">	
C00020 + C00001 </t>
  </si>
  <si>
    <t>C00212 + C00009</t>
  </si>
  <si>
    <t>https://www.genome.jp/entry/R00511</t>
  </si>
  <si>
    <t xml:space="preserve">	
C00055 + C00001 </t>
  </si>
  <si>
    <t xml:space="preserve"> C00475 + C00009</t>
  </si>
  <si>
    <t>https://www.genome.jp/entry/R00963</t>
  </si>
  <si>
    <t xml:space="preserve">	
C00105 + C00001</t>
  </si>
  <si>
    <t>C00299 + C00009</t>
  </si>
  <si>
    <t>https://www.genome.jp/entry/R01126</t>
  </si>
  <si>
    <t xml:space="preserve">	
C00130 + C00001</t>
  </si>
  <si>
    <t>C00294 + C00009</t>
  </si>
  <si>
    <t>https://www.genome.jp/entry/R01227</t>
  </si>
  <si>
    <t xml:space="preserve">	
C00144 + C00001</t>
  </si>
  <si>
    <t>C00387 + C00009</t>
  </si>
  <si>
    <t>https://www.genome.jp/entry/R02323</t>
  </si>
  <si>
    <t xml:space="preserve">	
C00455 + C00001</t>
  </si>
  <si>
    <t>C03150 + C00009</t>
  </si>
  <si>
    <t>https://www.genome.jp/entry/R02719</t>
  </si>
  <si>
    <t xml:space="preserve">	
C00655 + C00001</t>
  </si>
  <si>
    <t> C01762 + C00009</t>
  </si>
  <si>
    <t>https://www.genome.jp/entry/R03346</t>
  </si>
  <si>
    <t xml:space="preserve">	
C01185 + C00001</t>
  </si>
  <si>
    <t> C05841 + C00009</t>
  </si>
  <si>
    <t>https://www.genome.jp/entry/R01569</t>
  </si>
  <si>
    <t xml:space="preserve">	
C00364 + C00001</t>
  </si>
  <si>
    <t> C00214 + C00009</t>
  </si>
  <si>
    <t>https://www.genome.jp/entry/R01664</t>
  </si>
  <si>
    <t xml:space="preserve">	
C00239 + C00001</t>
  </si>
  <si>
    <t>C00881 + C00009</t>
  </si>
  <si>
    <t>https://www.genome.jp/entry/R01968</t>
  </si>
  <si>
    <t xml:space="preserve">	
C00362 + C00001</t>
  </si>
  <si>
    <t>C00330 + C00009</t>
  </si>
  <si>
    <t>https://www.genome.jp/entry/R02088</t>
  </si>
  <si>
    <t xml:space="preserve">	
C00360 + C00001 </t>
  </si>
  <si>
    <t>C00559 + C00009</t>
  </si>
  <si>
    <t>https://www.genome.jp/entry/R02102</t>
  </si>
  <si>
    <t>C00365 + C00001</t>
  </si>
  <si>
    <t>C00526 + C00009</t>
  </si>
  <si>
    <t>https://www.genome.jp/entry/R12958</t>
  </si>
  <si>
    <t xml:space="preserve">	
C06196 + C00001 </t>
  </si>
  <si>
    <t> C05512 + C00009</t>
  </si>
  <si>
    <t>https://www.genome.jp/entry/3.1.1.24</t>
  </si>
  <si>
    <t>https://www.genome.jp/entry/R02991</t>
  </si>
  <si>
    <t xml:space="preserve">	
C03586 + C00001 </t>
  </si>
  <si>
    <t>C00846</t>
  </si>
  <si>
    <t>https://www.genome.jp/entry/3.1.1.29</t>
  </si>
  <si>
    <t>https://www.genome.jp/entry/R04238</t>
  </si>
  <si>
    <t xml:space="preserve">	
C03880 + C00001</t>
  </si>
  <si>
    <t>C03523 + C00066</t>
  </si>
  <si>
    <t>https://www.genome.jp/entry/3.1.1.31</t>
  </si>
  <si>
    <t>https://www.genome.jp/entry/R02035</t>
  </si>
  <si>
    <t xml:space="preserve">	
C01236 + C00001 </t>
  </si>
  <si>
    <t> C00345</t>
  </si>
  <si>
    <t>https://www.genome.jp/entry/3.1.1.96</t>
  </si>
  <si>
    <t>C00405+ C00066</t>
  </si>
  <si>
    <t>C00037+C01635</t>
  </si>
  <si>
    <t>https://www.genome.jp/entry/3.1.11.2</t>
  </si>
  <si>
    <t>https://www.genome.jp/entry/3.1.11.6</t>
  </si>
  <si>
    <t>https://www.genome.jp/entry/3.1.13.5</t>
  </si>
  <si>
    <t>https://www.genome.jp/entry/3.1.21.10</t>
  </si>
  <si>
    <t>https://www.genome.jp/entry/3.1.26.3</t>
  </si>
  <si>
    <t>https://www.genome.jp/entry/3.1.26.4</t>
  </si>
  <si>
    <t>https://www.genome.jp/entry/3.1.26.5</t>
  </si>
  <si>
    <t>https://www.genome.jp/entry/3.1.3.1</t>
  </si>
  <si>
    <t>https://www.genome.jp/entry/R00626</t>
  </si>
  <si>
    <t xml:space="preserve">C01153 + C00001 </t>
  </si>
  <si>
    <t>C00069 + C00009</t>
  </si>
  <si>
    <t>https://www.genome.jp/entry/R02135</t>
  </si>
  <si>
    <t xml:space="preserve">C01081 + C00001 </t>
  </si>
  <si>
    <t>C00378 + C00009</t>
  </si>
  <si>
    <t>https://www.genome.jp/entry/R03024</t>
  </si>
  <si>
    <t xml:space="preserve">	
C03360 + C00001</t>
  </si>
  <si>
    <t> C00870 + C00009</t>
  </si>
  <si>
    <t>https://www.genome.jp/entry/R01010</t>
  </si>
  <si>
    <t xml:space="preserve">	
C00111 + C00001 </t>
  </si>
  <si>
    <t>C00184 + C00009</t>
  </si>
  <si>
    <t>https://www.genome.jp/entry/R04620</t>
  </si>
  <si>
    <t>C04874 + 3 C00009</t>
  </si>
  <si>
    <t>https://www.genome.jp/entry/3.1.3.11</t>
  </si>
  <si>
    <t>https://www.genome.jp/entry/R00762</t>
  </si>
  <si>
    <t xml:space="preserve">	
C00354 + C00001</t>
  </si>
  <si>
    <t>C00085 + C00009</t>
  </si>
  <si>
    <t>https://www.genome.jp/entry/R04780</t>
  </si>
  <si>
    <t xml:space="preserve">	
C05378 + C00001</t>
  </si>
  <si>
    <t>C05345 + C00009</t>
  </si>
  <si>
    <t>https://www.genome.jp/entry/R01845</t>
  </si>
  <si>
    <t xml:space="preserve">	
C00447 + C00001 </t>
  </si>
  <si>
    <t xml:space="preserve"> C05382 + C00009</t>
  </si>
  <si>
    <t>https://www.genome.jp/entry/3.1.3.12</t>
  </si>
  <si>
    <t>https://www.genome.jp/entry/R02778</t>
  </si>
  <si>
    <t xml:space="preserve">	
C00689 + C00001</t>
  </si>
  <si>
    <t> C01083 + C00009</t>
  </si>
  <si>
    <t>https://www.genome.jp/entry/R06228</t>
  </si>
  <si>
    <t xml:space="preserve">	
G09795 + C00001 </t>
  </si>
  <si>
    <t xml:space="preserve"> G00293 + C00009</t>
  </si>
  <si>
    <t>https://www.genome.jp/entry/3.1.3.15</t>
  </si>
  <si>
    <t>https://www.genome.jp/entry/R03013</t>
  </si>
  <si>
    <t>C01100 + C00001</t>
  </si>
  <si>
    <t xml:space="preserve"> C00860 + C00009</t>
  </si>
  <si>
    <t>https://www.genome.jp/entry/3.1.3.16</t>
  </si>
  <si>
    <t>https://www.genome.jp/entry/R00164</t>
  </si>
  <si>
    <t xml:space="preserve">	
C00562 + C00001 </t>
  </si>
  <si>
    <t xml:space="preserve"> C00017 + C00009</t>
  </si>
  <si>
    <t xml:space="preserve">3.1.3.16 </t>
  </si>
  <si>
    <t>https://www.genome.jp/entry/3.1.3.48</t>
  </si>
  <si>
    <t>https://www.genome.jp/entry/R02585</t>
  </si>
  <si>
    <t xml:space="preserve">	
C01167 + C00001</t>
  </si>
  <si>
    <t>C00585 + C00009</t>
  </si>
  <si>
    <t>https://www.genome.jp/entry/3.1.3.2</t>
  </si>
  <si>
    <t xml:space="preserve">	
C01153 + C00001</t>
  </si>
  <si>
    <t>C00069 + C00009</t>
  </si>
  <si>
    <t>https://www.genome.jp/entry/R00548</t>
  </si>
  <si>
    <t>C00061 + C00001</t>
  </si>
  <si>
    <t>C00255 + C00009</t>
  </si>
  <si>
    <t xml:space="preserve">	
C01081 + C00001</t>
  </si>
  <si>
    <t>C00870 + C00009</t>
  </si>
  <si>
    <t>https://www.genome.jp/entry/R11527</t>
  </si>
  <si>
    <t xml:space="preserve">	
C00681 + C00001</t>
  </si>
  <si>
    <t>C01885 + C00009</t>
  </si>
  <si>
    <t>C00111 + C00001</t>
  </si>
  <si>
    <t> C00184 + C00009</t>
  </si>
  <si>
    <t>https://www.genome.jp/entry/3.1.3.3</t>
  </si>
  <si>
    <t>https://www.genome.jp/entry/R00582</t>
  </si>
  <si>
    <t xml:space="preserve">	
C01005 + C00001</t>
  </si>
  <si>
    <t>C00065 + C00009</t>
  </si>
  <si>
    <t>https://www.genome.jp/entry/R02853</t>
  </si>
  <si>
    <t>C02532 + C00001</t>
  </si>
  <si>
    <t> C00740 + C00009</t>
  </si>
  <si>
    <t>https://www.genome.jp/entry/3.1.3.7</t>
  </si>
  <si>
    <t>https://www.genome.jp/entry/R00188</t>
  </si>
  <si>
    <t xml:space="preserve">	
C00054 + C00001 </t>
  </si>
  <si>
    <t> C00020 + C00009</t>
  </si>
  <si>
    <t>https://www.genome.jp/entry/R00508</t>
  </si>
  <si>
    <t xml:space="preserve">	
C00053 + C00001</t>
  </si>
  <si>
    <t>C00224 + C00009</t>
  </si>
  <si>
    <t>https://www.genome.jp/entry/3.13.2.1</t>
  </si>
  <si>
    <t>https://www.genome.jp/entry/R00192</t>
  </si>
  <si>
    <t xml:space="preserve">	
C00021 + C00001 </t>
  </si>
  <si>
    <t> C00212 + C00155</t>
  </si>
  <si>
    <t>https://www.genome.jp/entry/3.2.1.141</t>
  </si>
  <si>
    <t>https://www.genome.jp/entry/R11256</t>
  </si>
  <si>
    <t xml:space="preserve">	
C06400 + C00001</t>
  </si>
  <si>
    <t>C01083 + C01935</t>
  </si>
  <si>
    <t>https://www.genome.jp/entry/3.2.1.196</t>
  </si>
  <si>
    <t>https://www.genome.jp/entry/3.2.2.20</t>
  </si>
  <si>
    <t>https://www.genome.jp/entry/3.2.2.23</t>
  </si>
  <si>
    <t xml:space="preserve">3.2.2.23 </t>
  </si>
  <si>
    <t>https://www.genome.jp/entry/4.2.99.18</t>
  </si>
  <si>
    <t>https://www.genome.jp/entry/3.2.2.27</t>
  </si>
  <si>
    <t>https://www.genome.jp/entry/3.2.2.31</t>
  </si>
  <si>
    <t>https://www.genome.jp/entry/3.2.2.4</t>
  </si>
  <si>
    <t>https://www.genome.jp/entry/R00182</t>
  </si>
  <si>
    <t> C00147 + C00117</t>
  </si>
  <si>
    <t>https://www.genome.jp/entry/3.4.11.1</t>
  </si>
  <si>
    <t>https://www.genome.jp/entry/R00899</t>
  </si>
  <si>
    <t xml:space="preserve">	
C01419 + C00001 </t>
  </si>
  <si>
    <t>C00097 + C00037</t>
  </si>
  <si>
    <t>https://www.genome.jp/entry/R04951</t>
  </si>
  <si>
    <t xml:space="preserve">	
C05729 + C00001</t>
  </si>
  <si>
    <t>C05726 + C00037</t>
  </si>
  <si>
    <t>https://www.genome.jp/entry/3.4.11.18</t>
  </si>
  <si>
    <t>https://www.genome.jp/entry/3.4.11.2</t>
  </si>
  <si>
    <t>C01419 + C00001 </t>
  </si>
  <si>
    <t>C05729 + C00001</t>
  </si>
  <si>
    <t> C05726 + C00037</t>
  </si>
  <si>
    <t>https://www.genome.jp/entry/3.4.11.9</t>
  </si>
  <si>
    <t>https://www.genome.jp/entry/3.4.16.4</t>
  </si>
  <si>
    <t>3.4.21.105</t>
  </si>
  <si>
    <t xml:space="preserve">3.4.21.-  </t>
  </si>
  <si>
    <t>https://www.genome.jp/entry/3.4.21.105</t>
  </si>
  <si>
    <t xml:space="preserve">3.4.21.- </t>
  </si>
  <si>
    <t>https://www.genome.jp/entry/3.4.21.88</t>
  </si>
  <si>
    <t>https://www.genome.jp/entry/3.4.21.89</t>
  </si>
  <si>
    <t>https://www.genome.jp/entry/3.4.23.36</t>
  </si>
  <si>
    <t>https://www.genome.jp/entry/3.4.23.43</t>
  </si>
  <si>
    <t>https://www.genome.jp/entry/3.5.1.10</t>
  </si>
  <si>
    <t>https://www.genome.jp/entry/R00944</t>
  </si>
  <si>
    <t xml:space="preserve">	
C00234 + C00001</t>
  </si>
  <si>
    <t>C00058 + C00101</t>
  </si>
  <si>
    <t>https://www.genome.jp/entry/3.5.1.103</t>
  </si>
  <si>
    <t>https://www.genome.jp/entry/R09651</t>
  </si>
  <si>
    <t xml:space="preserve">	
C19784 + C00001 </t>
  </si>
  <si>
    <t>C19702 + C00033</t>
  </si>
  <si>
    <t>https://www.genome.jp/entry/3.5.1.119</t>
  </si>
  <si>
    <t>https://www.genome.jp/entry/R11209</t>
  </si>
  <si>
    <t xml:space="preserve">	
C21179 + C00001 </t>
  </si>
  <si>
    <t xml:space="preserve"> C21177 + C00014</t>
  </si>
  <si>
    <t>https://www.genome.jp/entry/R11208</t>
  </si>
  <si>
    <t xml:space="preserve">	
C21178 + C00001 </t>
  </si>
  <si>
    <t>C21177 + C02188</t>
  </si>
  <si>
    <t>https://www.genome.jp/entry/3.5.1.18</t>
  </si>
  <si>
    <t>https://www.genome.jp/entry/R02734</t>
  </si>
  <si>
    <t xml:space="preserve">	
C04421 + C00001 </t>
  </si>
  <si>
    <t>C00042 + C00666</t>
  </si>
  <si>
    <t>4.3.3.6</t>
  </si>
  <si>
    <t xml:space="preserve">3.5.1.2 </t>
  </si>
  <si>
    <t>https://www.genome.jp/entry/3.5.1.2</t>
  </si>
  <si>
    <t>C00025 + C00014</t>
  </si>
  <si>
    <t>https://www.genome.jp/entry/R01579</t>
  </si>
  <si>
    <t>C00819 + C00001</t>
  </si>
  <si>
    <t>C00217 + C00014</t>
  </si>
  <si>
    <t>https://www.genome.jp/entry/R06134</t>
  </si>
  <si>
    <t xml:space="preserve">	
C00241 + C00001</t>
  </si>
  <si>
    <t>C00060 + C00014</t>
  </si>
  <si>
    <t>https://www.genome.jp/entry/4.3.3.6</t>
  </si>
  <si>
    <t>https://www.genome.jp/entry/R10088</t>
  </si>
  <si>
    <t xml:space="preserve">C00117 + C00118 + C00014 </t>
  </si>
  <si>
    <t xml:space="preserve"> C00018 + 4 C00001 + C00009</t>
  </si>
  <si>
    <t>https://www.genome.jp/entry/R10089</t>
  </si>
  <si>
    <t xml:space="preserve">	
C00117 + C00118 + C00064</t>
  </si>
  <si>
    <t>C00018 + C00025 + 3 C00001 + C00009</t>
  </si>
  <si>
    <t>https://www.genome.jp/entry/R07456</t>
  </si>
  <si>
    <t xml:space="preserve">	
C00118 + C00199 + C00064 </t>
  </si>
  <si>
    <t>C00018 + C00025 + C00009 + 3 C00001</t>
  </si>
  <si>
    <t>https://www.genome.jp/entry/6.3.5.3</t>
  </si>
  <si>
    <t>https://www.genome.jp/entry/R04463</t>
  </si>
  <si>
    <t xml:space="preserve">	
C00002 + C04376 + C00064 + C00001</t>
  </si>
  <si>
    <t>C00008 + C00009 + C04640 + C00025</t>
  </si>
  <si>
    <t>https://www.genome.jp/entry/3.5.1.25</t>
  </si>
  <si>
    <t>https://www.genome.jp/entry/R02059</t>
  </si>
  <si>
    <t xml:space="preserve">	
C00357 + C00001 </t>
  </si>
  <si>
    <t>C00352 + C00033</t>
  </si>
  <si>
    <t>https://www.genome.jp/entry/3.5.1.5</t>
  </si>
  <si>
    <t>https://www.genome.jp/entry/R12185</t>
  </si>
  <si>
    <t>C00014 + C00288</t>
  </si>
  <si>
    <t> C01563 + C00001</t>
  </si>
  <si>
    <t>https://www.genome.jp/entry/R13420</t>
  </si>
  <si>
    <t>C00288 + 2 C00014</t>
  </si>
  <si>
    <t>https://www.genome.jp/entry/R13421</t>
  </si>
  <si>
    <t xml:space="preserve">C00086 + C00001 </t>
  </si>
  <si>
    <t> C01563 + C00014</t>
  </si>
  <si>
    <t>https://www.genome.jp/entry/R00131</t>
  </si>
  <si>
    <t>C00086 + C00001</t>
  </si>
  <si>
    <t xml:space="preserve"> C00011 + 2 C00014</t>
  </si>
  <si>
    <t> C00011 + 2 C00014</t>
  </si>
  <si>
    <t>https://www.genome.jp/entry/3.5.1.88</t>
  </si>
  <si>
    <t>https://www.genome.jp/entry/R05635</t>
  </si>
  <si>
    <t xml:space="preserve">	
C11439 + C00001</t>
  </si>
  <si>
    <t>C11440 + C00058</t>
  </si>
  <si>
    <t>https://www.genome.jp/entry/R04268</t>
  </si>
  <si>
    <t xml:space="preserve">	
C04258 + C00001</t>
  </si>
  <si>
    <t> C00058 + C03617</t>
  </si>
  <si>
    <t>https://www.genome.jp/entry/3.5.2.3</t>
  </si>
  <si>
    <t>https://www.genome.jp/entry/R01993</t>
  </si>
  <si>
    <t xml:space="preserve">	
C00337 + C00001 </t>
  </si>
  <si>
    <t> C00438</t>
  </si>
  <si>
    <t>https://www.genome.jp/entry/3.5.2.9</t>
  </si>
  <si>
    <t>https://www.genome.jp/entry/R00251</t>
  </si>
  <si>
    <t>C00008 + C00009 + C00025</t>
  </si>
  <si>
    <t>https://www.genome.jp/entry/3.5.4.13</t>
  </si>
  <si>
    <t>https://www.genome.jp/entry/R02325</t>
  </si>
  <si>
    <t>C00458 + C00001</t>
  </si>
  <si>
    <t>C00460 + C00014</t>
  </si>
  <si>
    <t>https://www.genome.jp/entry/3.5.4.16</t>
  </si>
  <si>
    <t>https://www.genome.jp/entry/R00424</t>
  </si>
  <si>
    <t xml:space="preserve">	
C00044 + C00001 </t>
  </si>
  <si>
    <t> C04895 + C00058</t>
  </si>
  <si>
    <t>https://www.genome.jp/entry/R00428</t>
  </si>
  <si>
    <t>C00044 + C00001</t>
  </si>
  <si>
    <t> C05922</t>
  </si>
  <si>
    <t>https://www.genome.jp/entry/R04639</t>
  </si>
  <si>
    <t xml:space="preserve">	
C04895 + C00001</t>
  </si>
  <si>
    <t> C06148</t>
  </si>
  <si>
    <t>https://www.genome.jp/entry/R05046</t>
  </si>
  <si>
    <t xml:space="preserve">	
C05922 + C00001</t>
  </si>
  <si>
    <t>C05923 + C00058</t>
  </si>
  <si>
    <t>https://www.genome.jp/entry/R05048</t>
  </si>
  <si>
    <t>C05923</t>
  </si>
  <si>
    <t>C06148</t>
  </si>
  <si>
    <t>https://www.genome.jp/entry/3.5.4.19</t>
  </si>
  <si>
    <t>https://www.genome.jp/entry/R04037</t>
  </si>
  <si>
    <t xml:space="preserve">	
C02741 + C00001</t>
  </si>
  <si>
    <t>C04896</t>
  </si>
  <si>
    <t>4.1.99.12</t>
  </si>
  <si>
    <t xml:space="preserve">3.5.4.25 </t>
  </si>
  <si>
    <t>https://www.genome.jp/entry/3.5.4.25</t>
  </si>
  <si>
    <t>https://www.genome.jp/entry/R00425</t>
  </si>
  <si>
    <t xml:space="preserve"> C00058 + C01304 + 2 C00009</t>
  </si>
  <si>
    <t>https://www.genome.jp/entry/4.1.99.12</t>
  </si>
  <si>
    <t>https://www.genome.jp/entry/R07281</t>
  </si>
  <si>
    <t xml:space="preserve">	
C00199</t>
  </si>
  <si>
    <t> C15556 + C00058</t>
  </si>
  <si>
    <t>https://www.genome.jp/entry/3.5.4.33</t>
  </si>
  <si>
    <t>https://www.genome.jp/entry/R10223</t>
  </si>
  <si>
    <t xml:space="preserve">C17324 + C00001 </t>
  </si>
  <si>
    <t>C20451 + C00014</t>
  </si>
  <si>
    <t>https://www.genome.jp/entry/3.5.99.6</t>
  </si>
  <si>
    <t>https://www.genome.jp/entry/R00765</t>
  </si>
  <si>
    <t xml:space="preserve">	
C00352 + C00001</t>
  </si>
  <si>
    <t>C00085 + C00014</t>
  </si>
  <si>
    <t>https://www.genome.jp/entry/3.6.1.1</t>
  </si>
  <si>
    <t>https://www.genome.jp/entry/R00004</t>
  </si>
  <si>
    <t>C00013 + C00001</t>
  </si>
  <si>
    <t> 2 C00009</t>
  </si>
  <si>
    <t>https://www.genome.jp/entry/3.6.1.23</t>
  </si>
  <si>
    <t>https://www.genome.jp/entry/R02100</t>
  </si>
  <si>
    <t xml:space="preserve">	
C00460 + C00001 </t>
  </si>
  <si>
    <t>C00365 + C00013</t>
  </si>
  <si>
    <t>https://www.genome.jp/entry/R11896</t>
  </si>
  <si>
    <t xml:space="preserve">	
C21751 + C00001 </t>
  </si>
  <si>
    <t> C04242 + C00013</t>
  </si>
  <si>
    <t>https://www.genome.jp/entry/3.6.1.25</t>
  </si>
  <si>
    <t>https://www.genome.jp/entry/R00138</t>
  </si>
  <si>
    <t xml:space="preserve">	
C00536 + C00001</t>
  </si>
  <si>
    <t>C00013 + C00009</t>
  </si>
  <si>
    <t>https://www.genome.jp/entry/3.6.1.27</t>
  </si>
  <si>
    <t>https://www.genome.jp/entry/R05627</t>
  </si>
  <si>
    <t>C04574 + C00001</t>
  </si>
  <si>
    <t>C17556 + C00009</t>
  </si>
  <si>
    <t>https://www.genome.jp/entry/3.6.1.31</t>
  </si>
  <si>
    <t>https://www.genome.jp/entry/R04035</t>
  </si>
  <si>
    <t xml:space="preserve">	
C02739 + C00001</t>
  </si>
  <si>
    <t>C02741 + C00013</t>
  </si>
  <si>
    <t>https://www.genome.jp/entry/3.6.1.66</t>
  </si>
  <si>
    <t>https://www.genome.jp/entry/R00720</t>
  </si>
  <si>
    <t xml:space="preserve">C00081 + C00001 </t>
  </si>
  <si>
    <t>https://www.genome.jp/entry/R02720</t>
  </si>
  <si>
    <t xml:space="preserve">	
C00700 + C00001</t>
  </si>
  <si>
    <t>C00655 + C00013</t>
  </si>
  <si>
    <t>https://www.genome.jp/entry/R03531</t>
  </si>
  <si>
    <t>C01345 + C00001</t>
  </si>
  <si>
    <t>C06196 + C00013</t>
  </si>
  <si>
    <t>https://www.genome.jp/entry/R08243</t>
  </si>
  <si>
    <t xml:space="preserve">	
C16617 + C00001</t>
  </si>
  <si>
    <t>C04646 + C00013</t>
  </si>
  <si>
    <t>https://www.genome.jp/entry/3.6.1.7</t>
  </si>
  <si>
    <t>https://www.genome.jp/entry/R00539</t>
  </si>
  <si>
    <t>C02133 + C00001</t>
  </si>
  <si>
    <t> C00060 + C00009</t>
  </si>
  <si>
    <t>https://www.genome.jp/entry/R00317</t>
  </si>
  <si>
    <t xml:space="preserve">	
C00227 + C00001</t>
  </si>
  <si>
    <t>C00033 + C00009</t>
  </si>
  <si>
    <t>https://www.genome.jp/entry/R01421</t>
  </si>
  <si>
    <t>C06206 + C00001</t>
  </si>
  <si>
    <t> C00180 + C00009</t>
  </si>
  <si>
    <t>https://www.genome.jp/entry/R01515</t>
  </si>
  <si>
    <t xml:space="preserve">	
C00236 + C00001 </t>
  </si>
  <si>
    <t> C00197 + C00009</t>
  </si>
  <si>
    <t>https://www.genome.jp/entry/R01532</t>
  </si>
  <si>
    <t xml:space="preserve">C00201 + C00001 </t>
  </si>
  <si>
    <t>C00215 + C00013</t>
  </si>
  <si>
    <t>https://www.genome.jp/entry/3.6.1.9</t>
  </si>
  <si>
    <t>https://www.genome.jp/entry/R00087</t>
  </si>
  <si>
    <t>C00002 + C00001</t>
  </si>
  <si>
    <t>C00020 + C00013</t>
  </si>
  <si>
    <t>https://www.genome.jp/entry/R00426</t>
  </si>
  <si>
    <t> C00144 + C00013</t>
  </si>
  <si>
    <t>https://www.genome.jp/entry/R00515</t>
  </si>
  <si>
    <t>C00063 + C00001</t>
  </si>
  <si>
    <t> C00055 + C00013</t>
  </si>
  <si>
    <t>https://www.genome.jp/entry/R00662</t>
  </si>
  <si>
    <t>C00075 + C00001 </t>
  </si>
  <si>
    <t>C00105 + C00013</t>
  </si>
  <si>
    <t>https://www.genome.jp/entry/R11323</t>
  </si>
  <si>
    <t xml:space="preserve">	
C00459 + C00001</t>
  </si>
  <si>
    <t> C00364 + C00013</t>
  </si>
  <si>
    <t>https://www.genome.jp/entry/R00103</t>
  </si>
  <si>
    <t xml:space="preserve">	
C00003 + C00001</t>
  </si>
  <si>
    <t> C00020 + C00455</t>
  </si>
  <si>
    <t>https://www.genome.jp/entry/R00160</t>
  </si>
  <si>
    <t>C00016 + C00001</t>
  </si>
  <si>
    <t>C00020 + C00061</t>
  </si>
  <si>
    <t>https://www.genome.jp/entry/R00287</t>
  </si>
  <si>
    <t>C00029 + C00001</t>
  </si>
  <si>
    <t> C00105 + C00103</t>
  </si>
  <si>
    <t>https://www.genome.jp/entry/R03004</t>
  </si>
  <si>
    <t xml:space="preserve">	
C00857 + C00001</t>
  </si>
  <si>
    <t>C00020 + C01185</t>
  </si>
  <si>
    <t>https://www.genome.jp/entry/R03036</t>
  </si>
  <si>
    <t xml:space="preserve">	
C00882 + C00001</t>
  </si>
  <si>
    <t>C01134 + C00020</t>
  </si>
  <si>
    <t xml:space="preserve">3.6.4.- </t>
  </si>
  <si>
    <t>https://www.genome.jp/entry/5.6.2.4</t>
  </si>
  <si>
    <t>https://www.genome.jp/entry/5.6.2.3</t>
  </si>
  <si>
    <t>5.6.2.5</t>
  </si>
  <si>
    <t>5.6.2.6</t>
  </si>
  <si>
    <t>5.6.2.7</t>
  </si>
  <si>
    <t>https://www.genome.jp/entry/5.6.2.5</t>
  </si>
  <si>
    <t>C00002 + C00001</t>
  </si>
  <si>
    <t>C00008 + C00009</t>
  </si>
  <si>
    <t>https://www.genome.jp/entry/5.6.2.7</t>
  </si>
  <si>
    <t>https://www.genome.jp/entry/5.6.2.6</t>
  </si>
  <si>
    <t>https://www.genome.jp/entry/3.7.1.22</t>
  </si>
  <si>
    <t>https://www.genome.jp/entry/R08603</t>
  </si>
  <si>
    <t xml:space="preserve">C04287 + C00001 </t>
  </si>
  <si>
    <t> C16737</t>
  </si>
  <si>
    <t>https://www.genome.jp/entry/4.1.1.11</t>
  </si>
  <si>
    <t>https://www.genome.jp/entry/R00489</t>
  </si>
  <si>
    <t xml:space="preserve">	
C00049 </t>
  </si>
  <si>
    <t>C00099 + C00011</t>
  </si>
  <si>
    <t>https://www.genome.jp/entry/4.1.1.20</t>
  </si>
  <si>
    <t>https://www.genome.jp/entry/R00451</t>
  </si>
  <si>
    <t>C00680</t>
  </si>
  <si>
    <t> C00047 + C00011</t>
  </si>
  <si>
    <t>5.4.99.18</t>
  </si>
  <si>
    <t xml:space="preserve">4.1.1.21 </t>
  </si>
  <si>
    <t>https://www.genome.jp/entry/4.1.1.21</t>
  </si>
  <si>
    <t>https://www.genome.jp/entry/R04209</t>
  </si>
  <si>
    <t>C04751 </t>
  </si>
  <si>
    <t>C03373 + C00011</t>
  </si>
  <si>
    <t>https://www.genome.jp/entry/5.4.99.18</t>
  </si>
  <si>
    <t>https://www.genome.jp/entry/R07405</t>
  </si>
  <si>
    <t xml:space="preserve">	
C15667 </t>
  </si>
  <si>
    <t>C04751</t>
  </si>
  <si>
    <t>https://www.genome.jp/entry/4.1.1.23</t>
  </si>
  <si>
    <t>https://www.genome.jp/entry/R00965</t>
  </si>
  <si>
    <t xml:space="preserve">	
C01103 </t>
  </si>
  <si>
    <t>C00105 + C00011</t>
  </si>
  <si>
    <t>https://www.genome.jp/entry/4.1.1.31</t>
  </si>
  <si>
    <t>https://www.genome.jp/entry/R00345</t>
  </si>
  <si>
    <t xml:space="preserve">C00009 + C00036 </t>
  </si>
  <si>
    <t>C00001 + C00074 + C00011</t>
  </si>
  <si>
    <t>https://www.genome.jp/entry/4.1.1.32</t>
  </si>
  <si>
    <t>https://www.genome.jp/entry/R00431</t>
  </si>
  <si>
    <t>C00044 + C00036 </t>
  </si>
  <si>
    <t> C00035 + C00074 + C00011</t>
  </si>
  <si>
    <t>https://www.genome.jp/entry/R00726</t>
  </si>
  <si>
    <t>C00081 + C00036</t>
  </si>
  <si>
    <t> C00104 + C00074 + C00011</t>
  </si>
  <si>
    <t>6.3.2.5</t>
  </si>
  <si>
    <t xml:space="preserve">4.1.1.36 </t>
  </si>
  <si>
    <t>https://www.genome.jp/entry/4.1.1.36</t>
  </si>
  <si>
    <t>https://www.genome.jp/entry/R03269</t>
  </si>
  <si>
    <t xml:space="preserve">	
C04352</t>
  </si>
  <si>
    <t> C01134 + C00011</t>
  </si>
  <si>
    <t>https://www.genome.jp/entry/6.3.2.5</t>
  </si>
  <si>
    <t>https://www.genome.jp/entry/R04231</t>
  </si>
  <si>
    <t>C00063 + C03492 + C00097</t>
  </si>
  <si>
    <t>C00055 + C00013 + C04352</t>
  </si>
  <si>
    <t>https://www.genome.jp/entry/4.1.1.37</t>
  </si>
  <si>
    <t>https://www.genome.jp/entry/R03197</t>
  </si>
  <si>
    <t xml:space="preserve">C01051 </t>
  </si>
  <si>
    <t> C03263 + 4 C00011</t>
  </si>
  <si>
    <t>https://www.genome.jp/entry/R04972</t>
  </si>
  <si>
    <t xml:space="preserve">	
C05766</t>
  </si>
  <si>
    <t>C05768 + 4 C00011</t>
  </si>
  <si>
    <t>https://www.genome.jp/entry/4.1.1.44</t>
  </si>
  <si>
    <t>https://www.genome.jp/entry/R03470</t>
  </si>
  <si>
    <t xml:space="preserve">	
C01278</t>
  </si>
  <si>
    <t>C03586 + C00011</t>
  </si>
  <si>
    <t>5.3.1.24</t>
  </si>
  <si>
    <t xml:space="preserve">4.1.1.48 </t>
  </si>
  <si>
    <t>https://www.genome.jp/entry/4.1.1.48</t>
  </si>
  <si>
    <t>https://www.genome.jp/entry/R03508</t>
  </si>
  <si>
    <t xml:space="preserve">C01302 </t>
  </si>
  <si>
    <t> C03506 + C00011 + C00001</t>
  </si>
  <si>
    <t>https://www.genome.jp/entry/5.3.1.24</t>
  </si>
  <si>
    <t>https://www.genome.jp/entry/R03509</t>
  </si>
  <si>
    <t xml:space="preserve">	
C04302</t>
  </si>
  <si>
    <t>C01302</t>
  </si>
  <si>
    <t>https://www.genome.jp/entry/4.1.1.71</t>
  </si>
  <si>
    <t>https://www.genome.jp/entry/R00272</t>
  </si>
  <si>
    <t xml:space="preserve">	
C00026</t>
  </si>
  <si>
    <t>C00232 + C00011</t>
  </si>
  <si>
    <t>https://www.genome.jp/entry/4.1.2.13</t>
  </si>
  <si>
    <t>https://www.genome.jp/entry/R01068</t>
  </si>
  <si>
    <t xml:space="preserve">	
C00354 </t>
  </si>
  <si>
    <t> C00111 + C00118</t>
  </si>
  <si>
    <t>https://www.genome.jp/entry/R01070</t>
  </si>
  <si>
    <t xml:space="preserve">	
C05378 </t>
  </si>
  <si>
    <t>C00111 + C00118</t>
  </si>
  <si>
    <t>https://www.genome.jp/entry/R01829</t>
  </si>
  <si>
    <t>C00447</t>
  </si>
  <si>
    <t>C00111 + C00279</t>
  </si>
  <si>
    <t>https://www.genome.jp/entry/R02568</t>
  </si>
  <si>
    <t xml:space="preserve">	
C01094</t>
  </si>
  <si>
    <t>C00111 + C00577</t>
  </si>
  <si>
    <t>https://www.genome.jp/entry/4.1.2.25</t>
  </si>
  <si>
    <t>https://www.genome.jp/entry/R03504</t>
  </si>
  <si>
    <t xml:space="preserve">	
C04874 </t>
  </si>
  <si>
    <t> C00266 + C01300</t>
  </si>
  <si>
    <t>https://www.genome.jp/entry/4.1.2.4</t>
  </si>
  <si>
    <t>https://www.genome.jp/entry/R01066</t>
  </si>
  <si>
    <t xml:space="preserve">	
C00673</t>
  </si>
  <si>
    <t>C00118 + C00084</t>
  </si>
  <si>
    <t>https://www.genome.jp/entry/4.1.3.1</t>
  </si>
  <si>
    <t>https://www.genome.jp/entry/R00479</t>
  </si>
  <si>
    <t>C00311</t>
  </si>
  <si>
    <t> C00042 + C00048</t>
  </si>
  <si>
    <t>https://www.genome.jp/entry/4.1.3.27</t>
  </si>
  <si>
    <t>https://www.genome.jp/entry/R00986</t>
  </si>
  <si>
    <t xml:space="preserve">	
C00251 + C00064</t>
  </si>
  <si>
    <t> C00108 + C00022 + C00025</t>
  </si>
  <si>
    <t>https://www.genome.jp/entry/R00985</t>
  </si>
  <si>
    <t xml:space="preserve">	
C00251 + C00014</t>
  </si>
  <si>
    <t>C00108 + C00022 + C00001</t>
  </si>
  <si>
    <t>https://www.genome.jp/entry/4.1.3.30</t>
  </si>
  <si>
    <t>https://www.genome.jp/entry/R00409</t>
  </si>
  <si>
    <t xml:space="preserve">	
C04593</t>
  </si>
  <si>
    <t>C00022 + C00042</t>
  </si>
  <si>
    <t>https://www.genome.jp/entry/4.1.3.36</t>
  </si>
  <si>
    <t>https://www.genome.jp/entry/R04150</t>
  </si>
  <si>
    <t xml:space="preserve">	
C03160</t>
  </si>
  <si>
    <t> C03657 + C00010</t>
  </si>
  <si>
    <t>https://www.genome.jp/entry/R07263</t>
  </si>
  <si>
    <t xml:space="preserve">	
C03160 </t>
  </si>
  <si>
    <t> C15547 + C00001</t>
  </si>
  <si>
    <t>https://www.genome.jp/entry/4.1.3.38</t>
  </si>
  <si>
    <t>https://www.genome.jp/entry/R05553</t>
  </si>
  <si>
    <t xml:space="preserve">	
C11355 </t>
  </si>
  <si>
    <t> C00568 + C00022</t>
  </si>
  <si>
    <t>https://www.genome.jp/entry/4.1.99.17</t>
  </si>
  <si>
    <t>https://www.genome.jp/entry/R03472</t>
  </si>
  <si>
    <t>C03373 + C00019</t>
  </si>
  <si>
    <t> C04556 + C05198 + C00073 + C00058 + C00237</t>
  </si>
  <si>
    <t>https://www.genome.jp/entry/4.1.99.22</t>
  </si>
  <si>
    <t>https://www.genome.jp/entry/R09394</t>
  </si>
  <si>
    <t xml:space="preserve">C00044 + C00019 + C00030 </t>
  </si>
  <si>
    <t> C21310 + C05198 + C00073 + C00028</t>
  </si>
  <si>
    <t>https://www.genome.jp/entry/4.2.1.10</t>
  </si>
  <si>
    <t>https://www.genome.jp/entry/R03084</t>
  </si>
  <si>
    <t xml:space="preserve">	
C00944</t>
  </si>
  <si>
    <t>C02637 + C00001</t>
  </si>
  <si>
    <t>https://www.genome.jp/entry/4.2.1.11</t>
  </si>
  <si>
    <t>https://www.genome.jp/entry/R00658</t>
  </si>
  <si>
    <t xml:space="preserve">	
C00631</t>
  </si>
  <si>
    <t>C00074 + C00001</t>
  </si>
  <si>
    <t>https://www.genome.jp/entry/R04206</t>
  </si>
  <si>
    <t xml:space="preserve">	
C03356</t>
  </si>
  <si>
    <t>C04309 + C00001</t>
  </si>
  <si>
    <t>https://www.genome.jp/entry/4.2.1.113</t>
  </si>
  <si>
    <t>https://www.genome.jp/entry/R04031</t>
  </si>
  <si>
    <t xml:space="preserve">C02730 + C00001 </t>
  </si>
  <si>
    <t> C05817</t>
  </si>
  <si>
    <t>https://www.genome.jp/entry/4.2.1.118</t>
  </si>
  <si>
    <t>https://www.genome.jp/entry/R01627</t>
  </si>
  <si>
    <t xml:space="preserve">	
C02637</t>
  </si>
  <si>
    <t>C00230 + C00001</t>
  </si>
  <si>
    <t>https://www.genome.jp/entry/4.2.1.19</t>
  </si>
  <si>
    <t>https://www.genome.jp/entry/R03457</t>
  </si>
  <si>
    <t xml:space="preserve">	
C04666 </t>
  </si>
  <si>
    <t>C01267 + C00001</t>
  </si>
  <si>
    <t>https://www.genome.jp/entry/4.2.1.2</t>
  </si>
  <si>
    <t>https://www.genome.jp/entry/R01082</t>
  </si>
  <si>
    <t xml:space="preserve">	
C00149</t>
  </si>
  <si>
    <t>C00122 + C00001</t>
  </si>
  <si>
    <t>https://www.genome.jp/entry/4.2.1.20</t>
  </si>
  <si>
    <t>https://www.genome.jp/entry/R00674</t>
  </si>
  <si>
    <t xml:space="preserve">	
C00065 + C00463</t>
  </si>
  <si>
    <t>C00078 + C00001</t>
  </si>
  <si>
    <t>https://www.genome.jp/entry/R02340</t>
  </si>
  <si>
    <t xml:space="preserve">	
C03506 </t>
  </si>
  <si>
    <t> C00463 + C00118</t>
  </si>
  <si>
    <t>https://www.genome.jp/entry/R02722</t>
  </si>
  <si>
    <t xml:space="preserve">	
C00065 + C03506</t>
  </si>
  <si>
    <t> C00078 + C00118 + C00001</t>
  </si>
  <si>
    <t>https://www.genome.jp/entry/4.2.1.24</t>
  </si>
  <si>
    <t>https://www.genome.jp/entry/R00036</t>
  </si>
  <si>
    <t>C00931 + 2 C00001</t>
  </si>
  <si>
    <t>4.2.1.79</t>
  </si>
  <si>
    <t xml:space="preserve">4.2.1.3 </t>
  </si>
  <si>
    <t>https://www.genome.jp/entry/4.2.1.3</t>
  </si>
  <si>
    <t>https://www.genome.jp/entry/R01324</t>
  </si>
  <si>
    <t xml:space="preserve">	
C00158</t>
  </si>
  <si>
    <t> C00311</t>
  </si>
  <si>
    <t>https://www.genome.jp/entry/R01325</t>
  </si>
  <si>
    <t xml:space="preserve">	
C00158 </t>
  </si>
  <si>
    <t> C00417 + C00001</t>
  </si>
  <si>
    <t>https://www.genome.jp/entry/R01900</t>
  </si>
  <si>
    <t>C00311 </t>
  </si>
  <si>
    <t>C00417 + C00001</t>
  </si>
  <si>
    <t>https://www.genome.jp/entry/4.2.1.79</t>
  </si>
  <si>
    <t>https://www.genome.jp/entry/R04424</t>
  </si>
  <si>
    <t xml:space="preserve">	
C02225</t>
  </si>
  <si>
    <t>C04225 + C00001</t>
  </si>
  <si>
    <t>https://www.genome.jp/entry/4.2.1.33</t>
  </si>
  <si>
    <t>https://www.genome.jp/entry/R03968</t>
  </si>
  <si>
    <t>C02504</t>
  </si>
  <si>
    <t> C02631 + C00001</t>
  </si>
  <si>
    <t>https://www.genome.jp/entry/R04001</t>
  </si>
  <si>
    <t xml:space="preserve">	
C04411</t>
  </si>
  <si>
    <t>C02631 + C00001</t>
  </si>
  <si>
    <t>https://www.genome.jp/entry/R10170</t>
  </si>
  <si>
    <t> C02504</t>
  </si>
  <si>
    <t>https://www.genome.jp/entry/4.2.1.46</t>
  </si>
  <si>
    <t>https://www.genome.jp/entry/R06513</t>
  </si>
  <si>
    <t xml:space="preserve">	
C00842</t>
  </si>
  <si>
    <t> C11907 + C00001</t>
  </si>
  <si>
    <t>https://www.genome.jp/entry/4.2.1.47</t>
  </si>
  <si>
    <t>https://www.genome.jp/entry/R00888</t>
  </si>
  <si>
    <t xml:space="preserve">	
C00096</t>
  </si>
  <si>
    <t>C01222 + C00001</t>
  </si>
  <si>
    <t>https://www.genome.jp/entry/4.2.1.51</t>
  </si>
  <si>
    <t>https://www.genome.jp/entry/R01373</t>
  </si>
  <si>
    <t xml:space="preserve">	
C00254 </t>
  </si>
  <si>
    <t> C00166 + C00001 + C00011</t>
  </si>
  <si>
    <t>https://www.genome.jp/entry/R00691</t>
  </si>
  <si>
    <t xml:space="preserve">	
C00826 </t>
  </si>
  <si>
    <t> C00079 + C00001 + C00011</t>
  </si>
  <si>
    <t>https://www.genome.jp/entry/4.2.1.9</t>
  </si>
  <si>
    <t>https://www.genome.jp/entry/R01209</t>
  </si>
  <si>
    <t>C04039</t>
  </si>
  <si>
    <t>C00141 + C00001</t>
  </si>
  <si>
    <t>https://www.genome.jp/entry/R04441</t>
  </si>
  <si>
    <t xml:space="preserve">	
C04272</t>
  </si>
  <si>
    <t>C00141 + C00001</t>
  </si>
  <si>
    <t>https://www.genome.jp/entry/R05070</t>
  </si>
  <si>
    <t>C06007</t>
  </si>
  <si>
    <t>C00671 + C00001</t>
  </si>
  <si>
    <t>https://www.genome.jp/entry/4.2.1.96</t>
  </si>
  <si>
    <t>https://www.genome.jp/entry/R04734</t>
  </si>
  <si>
    <t xml:space="preserve">	
C15522</t>
  </si>
  <si>
    <t> C00268 + C00001</t>
  </si>
  <si>
    <t>https://www.genome.jp/entry/4.2.3.1</t>
  </si>
  <si>
    <t>https://www.genome.jp/entry/R01466</t>
  </si>
  <si>
    <t xml:space="preserve">	
C01102 + C00001 </t>
  </si>
  <si>
    <t>C00188 + C00009</t>
  </si>
  <si>
    <t>https://www.genome.jp/entry/R05086</t>
  </si>
  <si>
    <t xml:space="preserve">	
C06055 + C00001 </t>
  </si>
  <si>
    <t> C06056 + C00009</t>
  </si>
  <si>
    <t>https://www.genome.jp/entry/4.2.3.4</t>
  </si>
  <si>
    <t>https://www.genome.jp/entry/R03083</t>
  </si>
  <si>
    <t xml:space="preserve">	
C04691</t>
  </si>
  <si>
    <t> C00944 + C00009</t>
  </si>
  <si>
    <t>https://www.genome.jp/entry/4.2.3.5</t>
  </si>
  <si>
    <t>https://www.genome.jp/entry/R01714</t>
  </si>
  <si>
    <t xml:space="preserve">	
C01269 </t>
  </si>
  <si>
    <t>C00251 + C00009</t>
  </si>
  <si>
    <t>https://www.genome.jp/entry/4.3.1.1</t>
  </si>
  <si>
    <t>https://www.genome.jp/entry/R00490</t>
  </si>
  <si>
    <t>C00122 + C00014</t>
  </si>
  <si>
    <t>https://www.genome.jp/entry/4.3.1.17</t>
  </si>
  <si>
    <t>https://www.genome.jp/entry/R00220</t>
  </si>
  <si>
    <t xml:space="preserve">	
C00065 </t>
  </si>
  <si>
    <t>C00022 + C00014</t>
  </si>
  <si>
    <t>https://www.genome.jp/entry/R00590</t>
  </si>
  <si>
    <t>C02218 + C00001</t>
  </si>
  <si>
    <t>https://www.genome.jp/entry/R11099</t>
  </si>
  <si>
    <t xml:space="preserve">	
C20904 + C00001 </t>
  </si>
  <si>
    <t> C00022 + C00014</t>
  </si>
  <si>
    <t>https://www.genome.jp/entry/R11100</t>
  </si>
  <si>
    <t xml:space="preserve">	
C02218 </t>
  </si>
  <si>
    <t xml:space="preserve"> C20904</t>
  </si>
  <si>
    <t>https://www.genome.jp/entry/R06131</t>
  </si>
  <si>
    <t xml:space="preserve">	
C05167</t>
  </si>
  <si>
    <t>C00161 + C00014</t>
  </si>
  <si>
    <t>https://www.genome.jp/entry/4.3.1.19</t>
  </si>
  <si>
    <t>https://www.genome.jp/entry/R00996</t>
  </si>
  <si>
    <t xml:space="preserve">	
C00188 </t>
  </si>
  <si>
    <t>C00109 + C00014</t>
  </si>
  <si>
    <t>https://www.genome.jp/entry/R11098</t>
  </si>
  <si>
    <t xml:space="preserve">	
C20905 + C00001 </t>
  </si>
  <si>
    <t> C00109 + C00014</t>
  </si>
  <si>
    <t>https://www.genome.jp/entry/R11101</t>
  </si>
  <si>
    <t xml:space="preserve">	
C17234</t>
  </si>
  <si>
    <t>C20905</t>
  </si>
  <si>
    <t xml:space="preserve">C00065 </t>
  </si>
  <si>
    <t>C00022 + C00014</t>
  </si>
  <si>
    <t xml:space="preserve">	
C05167 </t>
  </si>
  <si>
    <t> C00161 + C00014</t>
  </si>
  <si>
    <t>https://www.genome.jp/entry/4.3.2.1</t>
  </si>
  <si>
    <t>https://www.genome.jp/entry/R01086</t>
  </si>
  <si>
    <t xml:space="preserve">	
C03406</t>
  </si>
  <si>
    <t> C00122 + C00062</t>
  </si>
  <si>
    <t xml:space="preserve">C00064 + C00001 </t>
  </si>
  <si>
    <t>https://www.genome.jp/entry/R04558</t>
  </si>
  <si>
    <t xml:space="preserve">	
C04916 + C00064 </t>
  </si>
  <si>
    <t>C04666 + C04677 + C00025</t>
  </si>
  <si>
    <t>https://www.genome.jp/entry/R12152</t>
  </si>
  <si>
    <t xml:space="preserve">	
C04916 + C00014 </t>
  </si>
  <si>
    <t> C04677 + C04666 + C00001</t>
  </si>
  <si>
    <t>https://www.genome.jp/entry/4.3.2.10</t>
  </si>
  <si>
    <t>https://www.genome.jp/entry/4.3.2.2</t>
  </si>
  <si>
    <t>https://www.genome.jp/entry/R01083</t>
  </si>
  <si>
    <t xml:space="preserve">	
C03794 </t>
  </si>
  <si>
    <t>C00122 + C00020</t>
  </si>
  <si>
    <t>https://www.genome.jp/entry/R04559</t>
  </si>
  <si>
    <t xml:space="preserve">	
C04823 </t>
  </si>
  <si>
    <t> C00122 + C04677</t>
  </si>
  <si>
    <t>https://www.genome.jp/entry/R12851</t>
  </si>
  <si>
    <t xml:space="preserve">	
C22395 </t>
  </si>
  <si>
    <t xml:space="preserve"> C22441 + C00122</t>
  </si>
  <si>
    <t>https://www.genome.jp/entry/4.3.3.7</t>
  </si>
  <si>
    <t>https://www.genome.jp/entry/R10147</t>
  </si>
  <si>
    <t>C00441 + C00022</t>
  </si>
  <si>
    <t xml:space="preserve"> C20258 + C00001</t>
  </si>
  <si>
    <t>https://www.genome.jp/entry/4.4.1.13</t>
  </si>
  <si>
    <t>https://www.genome.jp/entry/R12188</t>
  </si>
  <si>
    <t xml:space="preserve">	
C02882 + C00001</t>
  </si>
  <si>
    <t>C00145 + C00014 + C00022</t>
  </si>
  <si>
    <t>https://www.genome.jp/entry/R01286</t>
  </si>
  <si>
    <t xml:space="preserve">	
C02291 + C00001</t>
  </si>
  <si>
    <t>C00155 + C00014 + C00022</t>
  </si>
  <si>
    <t>https://www.genome.jp/entry/R02408</t>
  </si>
  <si>
    <t xml:space="preserve">	
C00491 + C00001</t>
  </si>
  <si>
    <t> C00022 + C00014 + C01962</t>
  </si>
  <si>
    <t>https://www.genome.jp/entry/R02953</t>
  </si>
  <si>
    <t xml:space="preserve">	
C02749 + C00001 </t>
  </si>
  <si>
    <t> C00812 + C00014 + C00022</t>
  </si>
  <si>
    <t>https://www.genome.jp/entry/R03528</t>
  </si>
  <si>
    <t>C01336 + C00014 + C00022</t>
  </si>
  <si>
    <t>https://www.genome.jp/entry/R00782</t>
  </si>
  <si>
    <t xml:space="preserve">	
C00097 + C00001 </t>
  </si>
  <si>
    <t>C00283 + C00022 + C00014</t>
  </si>
  <si>
    <t>https://www.genome.jp/entry/R04941</t>
  </si>
  <si>
    <t xml:space="preserve">	
C05699 + C00001</t>
  </si>
  <si>
    <t>C05698 + C00014 + C00022</t>
  </si>
  <si>
    <t>https://www.genome.jp/entry/R09366</t>
  </si>
  <si>
    <t xml:space="preserve">	
C05689 + C00001 </t>
  </si>
  <si>
    <t> C00022 + C00014 + C05703</t>
  </si>
  <si>
    <t>https://www.genome.jp/entry/4.6.1.12</t>
  </si>
  <si>
    <t>https://www.genome.jp/entry/R05637</t>
  </si>
  <si>
    <t xml:space="preserve">	
C11436</t>
  </si>
  <si>
    <t>C11453 + C00055</t>
  </si>
  <si>
    <t>https://www.genome.jp/entry/4.6.1.17</t>
  </si>
  <si>
    <t>https://www.genome.jp/entry/R11372</t>
  </si>
  <si>
    <t xml:space="preserve">	
C21310 + C00001 </t>
  </si>
  <si>
    <t>C18239 + C00013</t>
  </si>
  <si>
    <t>https://www.genome.jp/entry/4.98.1.1</t>
  </si>
  <si>
    <t>https://www.genome.jp/entry/R00310</t>
  </si>
  <si>
    <t xml:space="preserve">	
C02191 + C14818 </t>
  </si>
  <si>
    <t> C00032 + 2 C00080</t>
  </si>
  <si>
    <t>https://www.genome.jp/entry/4.99.1.12</t>
  </si>
  <si>
    <t>https://www.genome.jp/entry/R11921</t>
  </si>
  <si>
    <t xml:space="preserve">	
C21769</t>
  </si>
  <si>
    <t> C21767 + C19609</t>
  </si>
  <si>
    <t>https://www.genome.jp/entry/5.1.1.1</t>
  </si>
  <si>
    <t>https://www.genome.jp/entry/R00401</t>
  </si>
  <si>
    <t xml:space="preserve">	
C00041</t>
  </si>
  <si>
    <t>C00133</t>
  </si>
  <si>
    <t>https://www.genome.jp/entry/5.1.1.3</t>
  </si>
  <si>
    <t>https://www.genome.jp/entry/R00260</t>
  </si>
  <si>
    <t xml:space="preserve">	
C00025 </t>
  </si>
  <si>
    <t>C00217</t>
  </si>
  <si>
    <t>https://www.genome.jp/entry/5.1.1.7</t>
  </si>
  <si>
    <t>https://www.genome.jp/entry/R02735</t>
  </si>
  <si>
    <t xml:space="preserve">	
C00666</t>
  </si>
  <si>
    <t> C00680</t>
  </si>
  <si>
    <t>https://www.genome.jp/entry/5.1.3.1</t>
  </si>
  <si>
    <t>https://www.genome.jp/entry/R01529</t>
  </si>
  <si>
    <t> C00231</t>
  </si>
  <si>
    <t>https://www.genome.jp/entry/5.1.3.15</t>
  </si>
  <si>
    <t>https://www.genome.jp/entry/R02739</t>
  </si>
  <si>
    <t>C00668 </t>
  </si>
  <si>
    <t> C01172</t>
  </si>
  <si>
    <t>https://www.genome.jp/entry/5.1.3.2</t>
  </si>
  <si>
    <t>https://www.genome.jp/entry/R00291</t>
  </si>
  <si>
    <t xml:space="preserve">	
C00029 </t>
  </si>
  <si>
    <t> C00052</t>
  </si>
  <si>
    <t>https://www.genome.jp/entry/R00418</t>
  </si>
  <si>
    <t xml:space="preserve">	
C00043 </t>
  </si>
  <si>
    <t> C00203</t>
  </si>
  <si>
    <t>https://www.genome.jp/entry/R02984</t>
  </si>
  <si>
    <t> C02097</t>
  </si>
  <si>
    <t>https://www.genome.jp/entry/5.1.3.9</t>
  </si>
  <si>
    <t>https://www.genome.jp/entry/R02770</t>
  </si>
  <si>
    <t xml:space="preserve">	
C00686</t>
  </si>
  <si>
    <t> C04136</t>
  </si>
  <si>
    <t>https://www.genome.jp/entry/R02087</t>
  </si>
  <si>
    <t xml:space="preserve">	
C00357 </t>
  </si>
  <si>
    <t> C04257</t>
  </si>
  <si>
    <t>https://www.genome.jp/entry/5.1.99.1</t>
  </si>
  <si>
    <t>https://www.genome.jp/entry/R02765</t>
  </si>
  <si>
    <t xml:space="preserve">	
C01213</t>
  </si>
  <si>
    <t> C00683</t>
  </si>
  <si>
    <t>https://www.genome.jp/entry/R09979</t>
  </si>
  <si>
    <t xml:space="preserve">	
C18026</t>
  </si>
  <si>
    <t xml:space="preserve"> C20238</t>
  </si>
  <si>
    <t>https://www.genome.jp/entry/5.2.1.4</t>
  </si>
  <si>
    <t>https://www.genome.jp/entry/R03868</t>
  </si>
  <si>
    <t xml:space="preserve">	
C02167 </t>
  </si>
  <si>
    <t>C02514</t>
  </si>
  <si>
    <t>https://www.genome.jp/entry/5.2.1.8</t>
  </si>
  <si>
    <t>https://www.genome.jp/entry/R04273</t>
  </si>
  <si>
    <t>C03798 </t>
  </si>
  <si>
    <t xml:space="preserve">	
C03798 </t>
  </si>
  <si>
    <t>C03633</t>
  </si>
  <si>
    <t>https://www.genome.jp/entry/5.3.1.1</t>
  </si>
  <si>
    <t>https://www.genome.jp/entry/R01015</t>
  </si>
  <si>
    <t>C00118</t>
  </si>
  <si>
    <t> C00111</t>
  </si>
  <si>
    <t>https://www.genome.jp/entry/5.3.1.12</t>
  </si>
  <si>
    <t>https://www.genome.jp/entry/R01482</t>
  </si>
  <si>
    <t xml:space="preserve">	
C00191 </t>
  </si>
  <si>
    <t> C00905</t>
  </si>
  <si>
    <t>https://www.genome.jp/entry/R01983</t>
  </si>
  <si>
    <t xml:space="preserve">	
C00333</t>
  </si>
  <si>
    <t> C00558</t>
  </si>
  <si>
    <t xml:space="preserve">5.3.1.16 </t>
  </si>
  <si>
    <t>https://www.genome.jp/entry/5.3.1.16</t>
  </si>
  <si>
    <t>https://www.genome.jp/entry/R04640</t>
  </si>
  <si>
    <t>C04916</t>
  </si>
  <si>
    <t> C01302</t>
  </si>
  <si>
    <t>https://www.genome.jp/entry/5.3.1.30</t>
  </si>
  <si>
    <t>https://www.genome.jp/entry/R08503</t>
  </si>
  <si>
    <t xml:space="preserve">	
C16737</t>
  </si>
  <si>
    <t xml:space="preserve"> C06892</t>
  </si>
  <si>
    <t>https://www.genome.jp/entry/5.3.1.6</t>
  </si>
  <si>
    <t>https://www.genome.jp/entry/R01056</t>
  </si>
  <si>
    <t xml:space="preserve">	
C00117 </t>
  </si>
  <si>
    <t>C00199</t>
  </si>
  <si>
    <t>https://www.genome.jp/entry/R09030</t>
  </si>
  <si>
    <t xml:space="preserve">	
C02962 </t>
  </si>
  <si>
    <t>C18096</t>
  </si>
  <si>
    <t>https://www.genome.jp/entry/5.3.1.8</t>
  </si>
  <si>
    <t>https://www.genome.jp/entry/R00772</t>
  </si>
  <si>
    <t xml:space="preserve">	
C00275</t>
  </si>
  <si>
    <t xml:space="preserve"> C00085</t>
  </si>
  <si>
    <t>https://www.genome.jp/entry/R01819</t>
  </si>
  <si>
    <t xml:space="preserve">	
C00275 </t>
  </si>
  <si>
    <t>C05345</t>
  </si>
  <si>
    <t>https://www.genome.jp/entry/5.3.1.9</t>
  </si>
  <si>
    <t>https://www.genome.jp/entry/R02740</t>
  </si>
  <si>
    <t xml:space="preserve">	
C00668 </t>
  </si>
  <si>
    <t>https://www.genome.jp/entry/R00771</t>
  </si>
  <si>
    <t xml:space="preserve">	
C00092</t>
  </si>
  <si>
    <t>C00085</t>
  </si>
  <si>
    <t>C01172</t>
  </si>
  <si>
    <t>https://www.genome.jp/entry/R03321</t>
  </si>
  <si>
    <t xml:space="preserve">	
C01172 </t>
  </si>
  <si>
    <t>https://www.genome.jp/entry/R13199</t>
  </si>
  <si>
    <t xml:space="preserve">	
C00668</t>
  </si>
  <si>
    <t>https://www.genome.jp/entry/5.3.3.2</t>
  </si>
  <si>
    <t>https://www.genome.jp/entry/R01123</t>
  </si>
  <si>
    <t xml:space="preserve">	
C00129 </t>
  </si>
  <si>
    <t>C00235</t>
  </si>
  <si>
    <t>https://www.genome.jp/entry/5.3.3.4</t>
  </si>
  <si>
    <t>https://www.genome.jp/entry/R06990</t>
  </si>
  <si>
    <t xml:space="preserve">	
C14610</t>
  </si>
  <si>
    <t>C03586</t>
  </si>
  <si>
    <t>https://www.genome.jp/entry/R04260</t>
  </si>
  <si>
    <t xml:space="preserve">	
C04105</t>
  </si>
  <si>
    <t>https://www.genome.jp/entry/5.4.2.10</t>
  </si>
  <si>
    <t>https://www.genome.jp/entry/R02060</t>
  </si>
  <si>
    <t xml:space="preserve">	
C06156 </t>
  </si>
  <si>
    <t> C00352</t>
  </si>
  <si>
    <t>https://www.genome.jp/entry/R01516</t>
  </si>
  <si>
    <t xml:space="preserve">	
C01159 + C00615 </t>
  </si>
  <si>
    <t> C00197 + C04262</t>
  </si>
  <si>
    <t>https://www.genome.jp/entry/R01518</t>
  </si>
  <si>
    <t> C00197</t>
  </si>
  <si>
    <t>https://www.genome.jp/entry/5.4.2.11</t>
  </si>
  <si>
    <t>https://www.genome.jp/entry/5.4.2.2</t>
  </si>
  <si>
    <t>https://www.genome.jp/entry/R08639</t>
  </si>
  <si>
    <t xml:space="preserve">	
C00103 </t>
  </si>
  <si>
    <t> C00092</t>
  </si>
  <si>
    <t>https://www.genome.jp/entry/R00959</t>
  </si>
  <si>
    <t> C00668</t>
  </si>
  <si>
    <t>https://www.genome.jp/entry/R01057</t>
  </si>
  <si>
    <t xml:space="preserve">	
C00620 </t>
  </si>
  <si>
    <t>C00117</t>
  </si>
  <si>
    <t>https://www.genome.jp/entry/R03319</t>
  </si>
  <si>
    <t>C01171</t>
  </si>
  <si>
    <t>C03735</t>
  </si>
  <si>
    <t>https://www.genome.jp/entry/5.4.3.8</t>
  </si>
  <si>
    <t>https://www.genome.jp/entry/R02272</t>
  </si>
  <si>
    <t xml:space="preserve">	
C00430 </t>
  </si>
  <si>
    <t>C03741</t>
  </si>
  <si>
    <t>https://www.genome.jp/entry/5.4.4.2</t>
  </si>
  <si>
    <t>https://www.genome.jp/entry/R01717</t>
  </si>
  <si>
    <t xml:space="preserve">	
C00251</t>
  </si>
  <si>
    <t xml:space="preserve"> C00885</t>
  </si>
  <si>
    <t>https://www.genome.jp/entry/5.4.99.12</t>
  </si>
  <si>
    <t>https://www.genome.jp/entry/R03020</t>
  </si>
  <si>
    <t xml:space="preserve">	
C00868 </t>
  </si>
  <si>
    <t> C02764</t>
  </si>
  <si>
    <t>https://www.genome.jp/entry/5.4.99.15</t>
  </si>
  <si>
    <t>https://www.genome.jp/entry/R01824</t>
  </si>
  <si>
    <t xml:space="preserve">	
C01935</t>
  </si>
  <si>
    <t> C06400</t>
  </si>
  <si>
    <t>https://www.genome.jp/entry/R06243</t>
  </si>
  <si>
    <t>G10589(n)</t>
  </si>
  <si>
    <t>https://www.genome.jp/entry/5.4.99.16</t>
  </si>
  <si>
    <t>https://www.genome.jp/entry/R01557</t>
  </si>
  <si>
    <t xml:space="preserve">	
C00208</t>
  </si>
  <si>
    <t>C01083</t>
  </si>
  <si>
    <t>https://www.genome.jp/entry/R06218</t>
  </si>
  <si>
    <t xml:space="preserve">	
G00275 </t>
  </si>
  <si>
    <t>G00293</t>
  </si>
  <si>
    <t>https://www.genome.jp/entry/5.4.99.2</t>
  </si>
  <si>
    <t>https://www.genome.jp/entry/R00833</t>
  </si>
  <si>
    <t xml:space="preserve">	
C01213 </t>
  </si>
  <si>
    <t> C00091</t>
  </si>
  <si>
    <t>https://www.genome.jp/entry/5.4.99.25</t>
  </si>
  <si>
    <t>https://www.genome.jp/entry/5.4.99.5</t>
  </si>
  <si>
    <t>https://www.genome.jp/entry/R01715</t>
  </si>
  <si>
    <t xml:space="preserve">	
C00251 </t>
  </si>
  <si>
    <t> C00254</t>
  </si>
  <si>
    <t>https://www.genome.jp/entry/5.4.99.62</t>
  </si>
  <si>
    <t>https://www.genome.jp/entry/R08247</t>
  </si>
  <si>
    <t>C08353</t>
  </si>
  <si>
    <t xml:space="preserve">	
C08353</t>
  </si>
  <si>
    <t> C16639</t>
  </si>
  <si>
    <t>https://www.genome.jp/entry/5.4.99.9</t>
  </si>
  <si>
    <t>https://www.genome.jp/entry/R00505</t>
  </si>
  <si>
    <t xml:space="preserve">	
C00052</t>
  </si>
  <si>
    <t> C03733</t>
  </si>
  <si>
    <t>https://www.genome.jp/entry/R09009</t>
  </si>
  <si>
    <t xml:space="preserve">	
C00935</t>
  </si>
  <si>
    <t> C18094</t>
  </si>
  <si>
    <t>https://www.genome.jp/entry/5.5.1.2</t>
  </si>
  <si>
    <t>https://www.genome.jp/entry/R03307</t>
  </si>
  <si>
    <t xml:space="preserve">	
C01278 </t>
  </si>
  <si>
    <t>https://www.genome.jp/entry/5.5.1.4</t>
  </si>
  <si>
    <t>https://www.genome.jp/entry/R07324</t>
  </si>
  <si>
    <t> C04006</t>
  </si>
  <si>
    <t>https://www.genome.jp/entry/5.6.1.5</t>
  </si>
  <si>
    <t>C00002 + C00001 + C00403</t>
  </si>
  <si>
    <t>https://www.genome.jp/entry/5.6.2.1</t>
  </si>
  <si>
    <t>https://www.genome.jp/entry/5.6.2.2</t>
  </si>
  <si>
    <t>https://www.genome.jp/entry/6.1.1.1</t>
  </si>
  <si>
    <t>https://www.genome.jp/entry/R02918</t>
  </si>
  <si>
    <t xml:space="preserve">	
C00002 + C00082 + C00787</t>
  </si>
  <si>
    <t>C00020 + C00013 + C02839</t>
  </si>
  <si>
    <t>https://www.genome.jp/entry/6.1.1.10</t>
  </si>
  <si>
    <t>https://www.genome.jp/entry/R03659</t>
  </si>
  <si>
    <t xml:space="preserve">	
C00002 + C00073 + C01647</t>
  </si>
  <si>
    <t>C00020 + C00013 + C02430</t>
  </si>
  <si>
    <t>https://www.genome.jp/entry/R04773</t>
  </si>
  <si>
    <t xml:space="preserve">C00002 + C05335 + C01647 </t>
  </si>
  <si>
    <t>C00020 + C00013 + C05336</t>
  </si>
  <si>
    <t>https://www.genome.jp/entry/6.1.1.11</t>
  </si>
  <si>
    <t>https://www.genome.jp/entry/R03662</t>
  </si>
  <si>
    <t xml:space="preserve">C00002 + C00065 + C01650 </t>
  </si>
  <si>
    <t>C00020 + C00013 + C02553</t>
  </si>
  <si>
    <t>https://www.genome.jp/entry/R08218</t>
  </si>
  <si>
    <t xml:space="preserve">C00002 + C00065 + C16636 </t>
  </si>
  <si>
    <t>C00020 + C00013 + C06481</t>
  </si>
  <si>
    <t>https://www.genome.jp/entry/6.1.1.12</t>
  </si>
  <si>
    <t>https://www.genome.jp/entry/R05577</t>
  </si>
  <si>
    <t>C01638 + C00049 + C00002</t>
  </si>
  <si>
    <t>C02984 + C00013 + C00020</t>
  </si>
  <si>
    <t>https://www.genome.jp/entry/6.1.1.14</t>
  </si>
  <si>
    <t>https://www.genome.jp/entry/R03654</t>
  </si>
  <si>
    <t xml:space="preserve">	
C00002 + C00037 + C01642</t>
  </si>
  <si>
    <t> C00020 + C00013 + C02412</t>
  </si>
  <si>
    <t>https://www.genome.jp/entry/6.1.1.15</t>
  </si>
  <si>
    <t>https://www.genome.jp/entry/R03661</t>
  </si>
  <si>
    <t>C00002 + C00148 + C01649</t>
  </si>
  <si>
    <t>C00020 + C00013 + C02702</t>
  </si>
  <si>
    <t>https://www.genome.jp/entry/6.1.1.16</t>
  </si>
  <si>
    <t>https://www.genome.jp/entry/R03650</t>
  </si>
  <si>
    <t xml:space="preserve">C00002 + C00097 + C01639 </t>
  </si>
  <si>
    <t> C00020 + C00013 + C03125</t>
  </si>
  <si>
    <t>https://www.genome.jp/entry/6.1.1.17</t>
  </si>
  <si>
    <t>https://www.genome.jp/entry/R05578</t>
  </si>
  <si>
    <t>C01641 + C00025 + C00002</t>
  </si>
  <si>
    <t>C02987 + C00013 + C00020</t>
  </si>
  <si>
    <t>https://www.genome.jp/entry/6.1.1.19</t>
  </si>
  <si>
    <t>https://www.genome.jp/entry/R03646</t>
  </si>
  <si>
    <t>C00002 + C00062 + C01636</t>
  </si>
  <si>
    <t>C00020 + C00013 + C02163</t>
  </si>
  <si>
    <t>https://www.genome.jp/entry/6.1.1.2</t>
  </si>
  <si>
    <t>https://www.genome.jp/entry/R03664</t>
  </si>
  <si>
    <t>C00002 + C00078 + C01652</t>
  </si>
  <si>
    <t>C00020 + C00013 + C03512</t>
  </si>
  <si>
    <t>https://www.genome.jp/entry/6.1.1.20</t>
  </si>
  <si>
    <t>https://www.genome.jp/entry/R03660</t>
  </si>
  <si>
    <t xml:space="preserve">	
C00002 + C00079 + C01648</t>
  </si>
  <si>
    <t>C00020 + C00013 + C03511</t>
  </si>
  <si>
    <t>https://www.genome.jp/entry/6.1.1.21</t>
  </si>
  <si>
    <t>https://www.genome.jp/entry/R03655</t>
  </si>
  <si>
    <t xml:space="preserve">	
C00002 + C00135 + C01643</t>
  </si>
  <si>
    <t>C00020 + C00013 + C02988</t>
  </si>
  <si>
    <t>https://www.genome.jp/entry/6.1.1.3</t>
  </si>
  <si>
    <t>https://www.genome.jp/entry/R03663</t>
  </si>
  <si>
    <t xml:space="preserve">	
C00002 + C00188 + C01651 </t>
  </si>
  <si>
    <t>C00020 + C00013 + C02992</t>
  </si>
  <si>
    <t>https://www.genome.jp/entry/6.1.1.4</t>
  </si>
  <si>
    <t>https://www.genome.jp/entry/R03657</t>
  </si>
  <si>
    <t>C00002 + C00123 + C01645</t>
  </si>
  <si>
    <t> C00020 + C00013 + C02047</t>
  </si>
  <si>
    <t>https://www.genome.jp/entry/6.1.1.5</t>
  </si>
  <si>
    <t>https://www.genome.jp/entry/R03656</t>
  </si>
  <si>
    <t xml:space="preserve">	
C00002 + C00407 + C01644</t>
  </si>
  <si>
    <t>C00020 + C00013 + C03127</t>
  </si>
  <si>
    <t>https://www.genome.jp/entry/6.1.1.6</t>
  </si>
  <si>
    <t>https://www.genome.jp/entry/R03658</t>
  </si>
  <si>
    <t xml:space="preserve">	
C00002 + C00047 + C01646 </t>
  </si>
  <si>
    <t> C00020 + C00013 + C01931</t>
  </si>
  <si>
    <t>https://www.genome.jp/entry/6.1.1.7</t>
  </si>
  <si>
    <t>https://www.genome.jp/entry/R03038</t>
  </si>
  <si>
    <t xml:space="preserve">	
C00002 + C00041 + C01635</t>
  </si>
  <si>
    <t> C00020 + C00013 + C00886</t>
  </si>
  <si>
    <t>https://www.genome.jp/entry/6.1.1.9</t>
  </si>
  <si>
    <t>https://www.genome.jp/entry/R03665</t>
  </si>
  <si>
    <t xml:space="preserve">	
C00002 + C00183 + C01653</t>
  </si>
  <si>
    <t>C00020 + C00013 + C02554</t>
  </si>
  <si>
    <t>https://www.genome.jp/entry/6.2.1.26</t>
  </si>
  <si>
    <t>https://www.genome.jp/entry/R04030</t>
  </si>
  <si>
    <t>C00002 + C02730 + C00010</t>
  </si>
  <si>
    <t>C00020 + C00013 + C03160</t>
  </si>
  <si>
    <t>https://www.genome.jp/entry/6.2.1.5</t>
  </si>
  <si>
    <t>https://www.genome.jp/entry/R00405</t>
  </si>
  <si>
    <t xml:space="preserve">	
C00002 + C00042 + C00010 </t>
  </si>
  <si>
    <t> C00008 + C00009 + C00091</t>
  </si>
  <si>
    <t>https://www.genome.jp/entry/R02404</t>
  </si>
  <si>
    <t xml:space="preserve">	
C00002 + C00490 + C00010 </t>
  </si>
  <si>
    <t>C00008 + C00009 + C00531</t>
  </si>
  <si>
    <t>https://www.genome.jp/entry/6.3.1.13</t>
  </si>
  <si>
    <t>https://www.genome.jp/entry/R09591</t>
  </si>
  <si>
    <t xml:space="preserve">C19702 + C00097 + C00002 </t>
  </si>
  <si>
    <t> C19703 + C00020 + C00013</t>
  </si>
  <si>
    <t>https://www.genome.jp/entry/6.3.1.19</t>
  </si>
  <si>
    <t>https://www.genome.jp/entry/R11207</t>
  </si>
  <si>
    <t xml:space="preserve">C00002 + C21177 + C02188 </t>
  </si>
  <si>
    <t xml:space="preserve"> C00008 + C00009 + C21178</t>
  </si>
  <si>
    <t>https://www.genome.jp/entry/6.3.1.2</t>
  </si>
  <si>
    <t>https://www.genome.jp/entry/R00253</t>
  </si>
  <si>
    <t xml:space="preserve">	
C00002 + C00025 + C00014</t>
  </si>
  <si>
    <t> C00008 + C00009 + C00064</t>
  </si>
  <si>
    <t>https://www.genome.jp/entry/6.3.1.5</t>
  </si>
  <si>
    <t>https://www.genome.jp/entry/R00189</t>
  </si>
  <si>
    <t xml:space="preserve">C00002 + C00857 + C00014 </t>
  </si>
  <si>
    <t>C00020 + C00013 + C00003</t>
  </si>
  <si>
    <t>https://www.genome.jp/entry/6.3.2.1</t>
  </si>
  <si>
    <t>https://www.genome.jp/entry/R02473</t>
  </si>
  <si>
    <t xml:space="preserve">	
C00002 + C00522 + C00099</t>
  </si>
  <si>
    <t> C00020 + C00013 + C00864</t>
  </si>
  <si>
    <t>https://www.genome.jp/entry/6.3.2.10</t>
  </si>
  <si>
    <t>https://www.genome.jp/entry/R04573</t>
  </si>
  <si>
    <t xml:space="preserve">	
C00002 + C05892 + C00993</t>
  </si>
  <si>
    <t> C00008 + C00009 + C04702</t>
  </si>
  <si>
    <t>https://www.genome.jp/entry/R04617</t>
  </si>
  <si>
    <t xml:space="preserve">	
C00002 + C04877 + C00993</t>
  </si>
  <si>
    <t xml:space="preserve"> C00008 + C00009 + C04882</t>
  </si>
  <si>
    <t>6.3.2.17</t>
  </si>
  <si>
    <t xml:space="preserve">6.3.2.12 </t>
  </si>
  <si>
    <t>https://www.genome.jp/entry/6.3.2.12</t>
  </si>
  <si>
    <t>https://www.genome.jp/entry/R02237</t>
  </si>
  <si>
    <t xml:space="preserve">	
C00002 + C00921 + C00025 </t>
  </si>
  <si>
    <t> C00008 + C00009 + C00415</t>
  </si>
  <si>
    <t>https://www.genome.jp/entry/R01654</t>
  </si>
  <si>
    <t xml:space="preserve">	
C00002 + C00234 + C00025</t>
  </si>
  <si>
    <t> C00008 + C00009 + C05928</t>
  </si>
  <si>
    <t>https://www.genome.jp/entry/6.3.2.17</t>
  </si>
  <si>
    <t>https://www.genome.jp/entry/R04241</t>
  </si>
  <si>
    <t xml:space="preserve"> C00008 + C00009 + C03541(n+1)</t>
  </si>
  <si>
    <t>https://www.genome.jp/entry/R00942</t>
  </si>
  <si>
    <t xml:space="preserve">	
C00002 + C00101 + C00025 </t>
  </si>
  <si>
    <t>C00008 + C00009 + C09332</t>
  </si>
  <si>
    <t>C00002 + C00921 + C00025</t>
  </si>
  <si>
    <t xml:space="preserve"> C00008 + C00009 + C00415</t>
  </si>
  <si>
    <t>https://www.genome.jp/entry/R05197</t>
  </si>
  <si>
    <t> n-1 C00008 + n-1 C00009 + C05929</t>
  </si>
  <si>
    <t>https://www.genome.jp/entry/6.3.2.13</t>
  </si>
  <si>
    <t>https://www.genome.jp/entry/R02788</t>
  </si>
  <si>
    <t xml:space="preserve">C00002 + C00692 + C00680 </t>
  </si>
  <si>
    <t> C00008 + C00009 + C04877</t>
  </si>
  <si>
    <t>https://www.genome.jp/entry/6.3.2.2</t>
  </si>
  <si>
    <t>https://www.genome.jp/entry/R00894</t>
  </si>
  <si>
    <t xml:space="preserve">C00002 + C00025 + C00097 </t>
  </si>
  <si>
    <t>C00008 + C00009 + C00669</t>
  </si>
  <si>
    <t>https://www.genome.jp/entry/R10993</t>
  </si>
  <si>
    <t>C00002 + C00025 + C02356</t>
  </si>
  <si>
    <t xml:space="preserve"> C00008 + C00009 + C21015</t>
  </si>
  <si>
    <t>https://www.genome.jp/entry/6.3.2.6</t>
  </si>
  <si>
    <t>https://www.genome.jp/entry/R04591</t>
  </si>
  <si>
    <t>C00002 + C04751 + C00049 </t>
  </si>
  <si>
    <t>C00008 + C00009 + C04823</t>
  </si>
  <si>
    <t>https://www.genome.jp/entry/6.3.2.8</t>
  </si>
  <si>
    <t>https://www.genome.jp/entry/R03193</t>
  </si>
  <si>
    <t xml:space="preserve">	
C00002 + C01050 + C00041 </t>
  </si>
  <si>
    <t>C00008 + C00009 + C01212</t>
  </si>
  <si>
    <t>https://www.genome.jp/entry/6.3.2.9</t>
  </si>
  <si>
    <t>https://www.genome.jp/entry/R02783</t>
  </si>
  <si>
    <t xml:space="preserve">C00002 + C01212 + C00217 </t>
  </si>
  <si>
    <t> C00008 + C00009 + C00692</t>
  </si>
  <si>
    <t>https://www.genome.jp/entry/6.3.3.1</t>
  </si>
  <si>
    <t>https://www.genome.jp/entry/R04208</t>
  </si>
  <si>
    <t xml:space="preserve">	
C00002 + C04640 </t>
  </si>
  <si>
    <t xml:space="preserve"> C00008 + C00009 + C03373</t>
  </si>
  <si>
    <t>https://www.genome.jp/entry/6.3.3.2</t>
  </si>
  <si>
    <t>https://www.genome.jp/entry/R02301</t>
  </si>
  <si>
    <t xml:space="preserve">	
C00002 + C03479 + C00080</t>
  </si>
  <si>
    <t>C00008 + C00009 + C00445</t>
  </si>
  <si>
    <t>https://www.genome.jp/entry/R03182</t>
  </si>
  <si>
    <t xml:space="preserve">	
C00002 + C01037 + C00011</t>
  </si>
  <si>
    <t>C00008 + C00009 + C01909</t>
  </si>
  <si>
    <t>https://www.genome.jp/entry/R12933</t>
  </si>
  <si>
    <t>C01037 + C00011</t>
  </si>
  <si>
    <t> C22458</t>
  </si>
  <si>
    <t>https://www.genome.jp/entry/R12934</t>
  </si>
  <si>
    <t xml:space="preserve">	
C22458 + C00002 </t>
  </si>
  <si>
    <t> C01909 + C00008 + C00009</t>
  </si>
  <si>
    <t>https://www.genome.jp/entry/6.3.3.3</t>
  </si>
  <si>
    <t>https://www.genome.jp/entry/6.3.4.13</t>
  </si>
  <si>
    <t>https://www.genome.jp/entry/R04144</t>
  </si>
  <si>
    <t xml:space="preserve">	
C00002 + C03090 + C00037</t>
  </si>
  <si>
    <t> C00008 + C00009 + C03838</t>
  </si>
  <si>
    <t>https://www.genome.jp/entry/6.3.4.15</t>
  </si>
  <si>
    <t>https://www.genome.jp/entry/R04562</t>
  </si>
  <si>
    <t xml:space="preserve">	
C00002 + C00120 + C04735</t>
  </si>
  <si>
    <t>C00020 + C00013 + C04681</t>
  </si>
  <si>
    <t>https://www.genome.jp/entry/R01074</t>
  </si>
  <si>
    <t xml:space="preserve">	
C00002 + C00120</t>
  </si>
  <si>
    <t>C00013 + C05921</t>
  </si>
  <si>
    <t>https://www.genome.jp/entry/R05145</t>
  </si>
  <si>
    <t xml:space="preserve">	
C05921 + C06249</t>
  </si>
  <si>
    <t> C00020 + C06250</t>
  </si>
  <si>
    <t>https://www.genome.jp/entry/6.3.4.18</t>
  </si>
  <si>
    <t>https://www.genome.jp/entry/R07404</t>
  </si>
  <si>
    <t xml:space="preserve">	
C00002 + C03373 + C00288 </t>
  </si>
  <si>
    <t> C00008 + C00009 + C15667</t>
  </si>
  <si>
    <t>https://www.genome.jp/entry/6.3.4.19</t>
  </si>
  <si>
    <t>https://www.genome.jp/entry/R09597</t>
  </si>
  <si>
    <t>C19722 + C00047 + C00002</t>
  </si>
  <si>
    <t> C19723 + C00020 + C00013 + C00001</t>
  </si>
  <si>
    <t>https://www.genome.jp/entry/6.3.4.2</t>
  </si>
  <si>
    <t>https://www.genome.jp/entry/R00571</t>
  </si>
  <si>
    <t xml:space="preserve">	
C00002 + C00075 + C00014 </t>
  </si>
  <si>
    <t> C00008 + C00009 + C00063</t>
  </si>
  <si>
    <t>https://www.genome.jp/entry/R00573</t>
  </si>
  <si>
    <t xml:space="preserve">	
C00002 + C00075 + C00064 + C00001</t>
  </si>
  <si>
    <t> C00008 + C00009 + C00063 + C00025</t>
  </si>
  <si>
    <t>https://www.genome.jp/entry/6.3.4.21</t>
  </si>
  <si>
    <t>https://www.genome.jp/entry/R01724</t>
  </si>
  <si>
    <t xml:space="preserve">C01185 + C00013 + C00008 + C00009 </t>
  </si>
  <si>
    <t> C00253 + C00119 + C00002 + C00001 + C00080</t>
  </si>
  <si>
    <t>https://www.genome.jp/entry/6.3.4.4</t>
  </si>
  <si>
    <t>https://www.genome.jp/entry/R01135</t>
  </si>
  <si>
    <t xml:space="preserve">	
C00044 + C00130 + C00049</t>
  </si>
  <si>
    <t> C00035 + C00009 + C03794</t>
  </si>
  <si>
    <t>https://www.genome.jp/entry/6.3.4.5</t>
  </si>
  <si>
    <t>https://www.genome.jp/entry/R01954</t>
  </si>
  <si>
    <t xml:space="preserve">	
C00002 + C00327 + C00049 </t>
  </si>
  <si>
    <t> C00020 + C00013 + C03406</t>
  </si>
  <si>
    <t>https://www.genome.jp/entry/6.3.5.2</t>
  </si>
  <si>
    <t>https://www.genome.jp/entry/R01230</t>
  </si>
  <si>
    <t xml:space="preserve">C00002 + C00655 + C00014 </t>
  </si>
  <si>
    <t>C00020 + C00013 + C00144</t>
  </si>
  <si>
    <t>https://www.genome.jp/entry/R01231</t>
  </si>
  <si>
    <t xml:space="preserve">	
C00002 + C00655 + C00064 + C00001 </t>
  </si>
  <si>
    <t> C00020 + C00013 + C00144 + C00025</t>
  </si>
  <si>
    <t>https://www.genome.jp/entry/R08244</t>
  </si>
  <si>
    <t>C16618 + C00002 + C00064 + C00001</t>
  </si>
  <si>
    <t> C16619 + C00020 + C00013 + C00025</t>
  </si>
  <si>
    <t xml:space="preserve">	
C00002 + C04376 + C00064 + C00001 </t>
  </si>
  <si>
    <t> C00008 + C00009 + C04640 + C00025</t>
  </si>
  <si>
    <t>https://www.genome.jp/entry/6.3.5.4</t>
  </si>
  <si>
    <t>https://www.genome.jp/entry/R00483</t>
  </si>
  <si>
    <t xml:space="preserve">	
C00002 + C00049 + C00014 </t>
  </si>
  <si>
    <t xml:space="preserve"> C00020 + C00013 + C00152</t>
  </si>
  <si>
    <t>https://www.genome.jp/entry/R00578</t>
  </si>
  <si>
    <t xml:space="preserve">	
C00002 + C00049 + C00064 + C00001</t>
  </si>
  <si>
    <t>C00020 + C00013 + C00152 + C00025</t>
  </si>
  <si>
    <t>https://www.genome.jp/entry/6.3.5.5</t>
  </si>
  <si>
    <t>https://www.genome.jp/entry/R00575</t>
  </si>
  <si>
    <t>2 C00008 + C00009 + C00025 + C00169</t>
  </si>
  <si>
    <t>https://www.genome.jp/entry/R01395</t>
  </si>
  <si>
    <t xml:space="preserve">	
C00002 + C01563</t>
  </si>
  <si>
    <t>C00008 + C00169</t>
  </si>
  <si>
    <t>https://www.genome.jp/entry/R10948</t>
  </si>
  <si>
    <t xml:space="preserve">	
C00002 + C00288</t>
  </si>
  <si>
    <t>C00008 + C20969</t>
  </si>
  <si>
    <t>https://www.genome.jp/entry/R10949</t>
  </si>
  <si>
    <t xml:space="preserve">	
C00014 + C20969</t>
  </si>
  <si>
    <t>C01563 + C00009</t>
  </si>
  <si>
    <t>https://www.genome.jp/entry/R07641</t>
  </si>
  <si>
    <t>2 C00008 + C00009 + C00169</t>
  </si>
  <si>
    <t>https://www.genome.jp/entry/6.4.1.1</t>
  </si>
  <si>
    <t>https://www.genome.jp/entry/R00344</t>
  </si>
  <si>
    <t xml:space="preserve">	
C00002 + C00022 + C00288 </t>
  </si>
  <si>
    <t>C00008 + C00009 + C00036</t>
  </si>
  <si>
    <t>https://www.genome.jp/entry/6.5.1.2</t>
  </si>
  <si>
    <t>https://www.genome.jp/entry/R00382</t>
  </si>
  <si>
    <t> C00020 + C00455 + C00039(n+m)</t>
  </si>
  <si>
    <t>https://www.genome.jp/entry/6.5.1.8</t>
  </si>
  <si>
    <t>C00046 + C00144 + C00013</t>
  </si>
  <si>
    <t>https://www.genome.jp/entry/7.1.1.8</t>
  </si>
  <si>
    <t>https://www.genome.jp/entry/R13224</t>
  </si>
  <si>
    <t>C15602 + 2 C00126 + 2 C00080</t>
  </si>
  <si>
    <t>https://www.genome.jp/entry/R02161</t>
  </si>
  <si>
    <t xml:space="preserve">	
C00390 + 2 C00125 </t>
  </si>
  <si>
    <t> C00399 + 2 C00126 + 2 C00080</t>
  </si>
  <si>
    <t>https://www.genome.jp/entry/7.1.2.2</t>
  </si>
  <si>
    <t>https://www.genome.jp/entry/R00086</t>
  </si>
  <si>
    <t xml:space="preserve">C00002 + C00001 </t>
  </si>
  <si>
    <t> C00008 + C00009</t>
  </si>
  <si>
    <t>https://www.genome.jp/entry/7.3.2.1</t>
  </si>
  <si>
    <t>https://www.genome.jp/entry/7.3.2.2</t>
  </si>
  <si>
    <t>https://www.genome.jp/entry/7.4.2.11</t>
  </si>
  <si>
    <t>https://www.genome.jp/entry/1.1.1.1</t>
  </si>
  <si>
    <t>https://www.genome.jp/entry/R00623</t>
  </si>
  <si>
    <t xml:space="preserve">C00226 + C00003 </t>
  </si>
  <si>
    <t> C00071 + C00004 + C00080</t>
  </si>
  <si>
    <t>https://www.genome.jp/entry/R00754</t>
  </si>
  <si>
    <t> C00084 + C00004 + C00080</t>
  </si>
  <si>
    <t>https://www.genome.jp/entry/R02124</t>
  </si>
  <si>
    <t xml:space="preserve">	
C00473 + C00003</t>
  </si>
  <si>
    <t xml:space="preserve"> C00376 + C00004 + C00080</t>
  </si>
  <si>
    <t>https://www.genome.jp/entry/R02878</t>
  </si>
  <si>
    <t> C01545 + C00004 + C00080</t>
  </si>
  <si>
    <t>https://www.genome.jp/entry/R04805</t>
  </si>
  <si>
    <t xml:space="preserve">	
C05444 + C00003 </t>
  </si>
  <si>
    <t>C05445 + C00004 + C00080</t>
  </si>
  <si>
    <t>https://www.genome.jp/entry/R04880</t>
  </si>
  <si>
    <t xml:space="preserve">	
C05576 + C00003</t>
  </si>
  <si>
    <t>https://www.genome.jp/entry/R05233</t>
  </si>
  <si>
    <t xml:space="preserve">	
C06611 + C00003 </t>
  </si>
  <si>
    <t>C06613 + C00004 + C00080</t>
  </si>
  <si>
    <t>https://www.genome.jp/entry/R05234</t>
  </si>
  <si>
    <t>C06612 + C00003</t>
  </si>
  <si>
    <t> C16348 + C00004 + C00080</t>
  </si>
  <si>
    <t>https://www.genome.jp/entry/R06917</t>
  </si>
  <si>
    <t xml:space="preserve">	
C14089 + C00003</t>
  </si>
  <si>
    <t>https://www.genome.jp/entry/R06927</t>
  </si>
  <si>
    <t xml:space="preserve">C02909 + C00003 </t>
  </si>
  <si>
    <t> C14099 + C00004 + C00080</t>
  </si>
  <si>
    <t>https://www.genome.jp/entry/R08281</t>
  </si>
  <si>
    <t xml:space="preserve">	
C07645 + C00004 + C00080</t>
  </si>
  <si>
    <t> C16551 + C00003</t>
  </si>
  <si>
    <t>https://www.genome.jp/entry/R08306</t>
  </si>
  <si>
    <t xml:space="preserve">	
C16586 + C00003 </t>
  </si>
  <si>
    <t> C16587 + C00004 + C00080</t>
  </si>
  <si>
    <t>https://www.genome.jp/entry/R08557</t>
  </si>
  <si>
    <t>C00576 + C00004 + C00080</t>
  </si>
  <si>
    <t>https://www.genome.jp/entry/R08558</t>
  </si>
  <si>
    <t xml:space="preserve">	
C00114 + C00006</t>
  </si>
  <si>
    <t> C00576 + C00005 + C00080</t>
  </si>
  <si>
    <t>https://www.genome.jp/entry/R10783</t>
  </si>
  <si>
    <t xml:space="preserve">	
C16310 + C00004 + C00080</t>
  </si>
  <si>
    <t> C08492 + C00003</t>
  </si>
  <si>
    <t>https://www.genome.jp/entry/R00624</t>
  </si>
  <si>
    <t xml:space="preserve">	
C01612 + C00003</t>
  </si>
  <si>
    <t>https://www.genome.jp/entry/R08310</t>
  </si>
  <si>
    <t xml:space="preserve">	
C16595 + C00003</t>
  </si>
  <si>
    <t>https://www.genome.jp/entry/R02246</t>
  </si>
  <si>
    <t xml:space="preserve">	
C00418 + C00003</t>
  </si>
  <si>
    <t>https://www.genome.jp/entry/R07105</t>
  </si>
  <si>
    <t xml:space="preserve">	
C06899 + C00004 + C00080</t>
  </si>
  <si>
    <t> C07490 + C00003 + C00001</t>
  </si>
  <si>
    <t>https://www.genome.jp/entry/1.1.1.100</t>
  </si>
  <si>
    <t>https://www.genome.jp/entry/R02767</t>
  </si>
  <si>
    <t>C01271 + C00006</t>
  </si>
  <si>
    <t xml:space="preserve">	
C04618 + C00006 </t>
  </si>
  <si>
    <t xml:space="preserve">	
C04619 + C00006</t>
  </si>
  <si>
    <t xml:space="preserve">	
C04633 + C00006</t>
  </si>
  <si>
    <t xml:space="preserve">	
C04688 + C00006</t>
  </si>
  <si>
    <t xml:space="preserve">C05757 + C00006 </t>
  </si>
  <si>
    <t>https://www.genome.jp/entry/R07763</t>
  </si>
  <si>
    <t xml:space="preserve">C16219 + C00005 + C00080 </t>
  </si>
  <si>
    <t> C16220 + C00006</t>
  </si>
  <si>
    <t>https://www.genome.jp/entry/R10116</t>
  </si>
  <si>
    <t xml:space="preserve">	
C20372 + C00005 + C00080 </t>
  </si>
  <si>
    <t> C20373 + C00006</t>
  </si>
  <si>
    <t>https://www.genome.jp/entry/R10120</t>
  </si>
  <si>
    <t xml:space="preserve">	
C20376 + C00005 + C00080 </t>
  </si>
  <si>
    <t> C20377 + C00006</t>
  </si>
  <si>
    <t>https://www.genome.jp/entry/1.1.1.169</t>
  </si>
  <si>
    <t>https://www.genome.jp/entry/R02472</t>
  </si>
  <si>
    <t xml:space="preserve">	
C00522 + C00006</t>
  </si>
  <si>
    <t>https://www.genome.jp/entry/1.1.1.18</t>
  </si>
  <si>
    <t>https://www.genome.jp/entry/R01183</t>
  </si>
  <si>
    <t xml:space="preserve">	
C00137 + C00003</t>
  </si>
  <si>
    <t> C00691 + C00004 + C00080</t>
  </si>
  <si>
    <t>https://www.genome.jp/entry/1.1.1.193</t>
  </si>
  <si>
    <t>https://www.genome.jp/entry/R03458</t>
  </si>
  <si>
    <t xml:space="preserve">	
C04454 + C00006</t>
  </si>
  <si>
    <t> C01268 + C00005 + C00080</t>
  </si>
  <si>
    <t>https://www.genome.jp/entry/3.5.4.26</t>
  </si>
  <si>
    <t>https://www.genome.jp/entry/R03459</t>
  </si>
  <si>
    <t xml:space="preserve">C01304 + C00001 </t>
  </si>
  <si>
    <t>C01268 + C00014</t>
  </si>
  <si>
    <t>https://www.genome.jp/entry/1.1.1.205</t>
  </si>
  <si>
    <t>https://www.genome.jp/entry/R01130</t>
  </si>
  <si>
    <t>C00130 + C00003 + C00001</t>
  </si>
  <si>
    <t>C00655 + C00004 + C00080</t>
  </si>
  <si>
    <t>https://www.genome.jp/entry/R08240</t>
  </si>
  <si>
    <t xml:space="preserve">C04646 + C00003 + C00001 </t>
  </si>
  <si>
    <t>https://www.genome.jp/entry/1.1.1.23</t>
  </si>
  <si>
    <t>https://www.genome.jp/entry/R01158</t>
  </si>
  <si>
    <t>https://www.genome.jp/entry/R01163</t>
  </si>
  <si>
    <t xml:space="preserve">	
C01929 + C00001 + C00003</t>
  </si>
  <si>
    <t>C00135 + C00004 + C00080</t>
  </si>
  <si>
    <t>https://www.genome.jp/entry/R03012</t>
  </si>
  <si>
    <t xml:space="preserve">	
C00860 + C00003</t>
  </si>
  <si>
    <t>https://www.genome.jp/entry/1.1.1.25</t>
  </si>
  <si>
    <t>https://www.genome.jp/entry/R02413</t>
  </si>
  <si>
    <t xml:space="preserve">	
C00493 + C00006</t>
  </si>
  <si>
    <t>https://www.genome.jp/entry/R12885</t>
  </si>
  <si>
    <t xml:space="preserve">	
C02637 + C00006 </t>
  </si>
  <si>
    <t>https://www.genome.jp/entry/1.1.1.267</t>
  </si>
  <si>
    <t>https://www.genome.jp/entry/R05688</t>
  </si>
  <si>
    <t xml:space="preserve">	
C11434 + C00006</t>
  </si>
  <si>
    <t>https://www.genome.jp/entry/1.1.1.27</t>
  </si>
  <si>
    <t>https://www.genome.jp/entry/R00703</t>
  </si>
  <si>
    <t xml:space="preserve">	
C00186 + C00003 </t>
  </si>
  <si>
    <t>https://www.genome.jp/entry/R01000</t>
  </si>
  <si>
    <t xml:space="preserve">	
C05984 + C00003 </t>
  </si>
  <si>
    <t xml:space="preserve"> C00109 + C00004 + C00080</t>
  </si>
  <si>
    <t>https://www.genome.jp/entry/R03104</t>
  </si>
  <si>
    <t xml:space="preserve">	
C05823 + C00003 </t>
  </si>
  <si>
    <t>https://www.genome.jp/entry/1.1.1.28</t>
  </si>
  <si>
    <t>https://www.genome.jp/entry/R00704</t>
  </si>
  <si>
    <t xml:space="preserve">	
C00256 + C00003</t>
  </si>
  <si>
    <t>https://www.genome.jp/entry/1.1.1.298</t>
  </si>
  <si>
    <t>https://www.genome.jp/entry/R09289</t>
  </si>
  <si>
    <t xml:space="preserve">	
C01013 + C00006 </t>
  </si>
  <si>
    <t>https://www.genome.jp/entry/1.1.1.3</t>
  </si>
  <si>
    <t>https://www.genome.jp/entry/R01773</t>
  </si>
  <si>
    <t xml:space="preserve">	
C00263 + C00003</t>
  </si>
  <si>
    <t> C00441 + C00004 + C00080</t>
  </si>
  <si>
    <t>https://www.genome.jp/entry/R01775</t>
  </si>
  <si>
    <t xml:space="preserve">	
C00263 + C00006 </t>
  </si>
  <si>
    <t>https://www.genome.jp/entry/1.1.1.306</t>
  </si>
  <si>
    <t>https://www.genome.jp/entry/R09129</t>
  </si>
  <si>
    <t>C18235 + C00003</t>
  </si>
  <si>
    <t> C06718 + C00004 + C00080</t>
  </si>
  <si>
    <t>https://www.genome.jp/entry/R10301</t>
  </si>
  <si>
    <t xml:space="preserve">	
C18235 + C00003 + C00001</t>
  </si>
  <si>
    <t> C00058 + C06717 + C00004 + C00080</t>
  </si>
  <si>
    <t>https://www.genome.jp/entry/1.1.1.333</t>
  </si>
  <si>
    <t>https://www.genome.jp/entry/R10113</t>
  </si>
  <si>
    <t xml:space="preserve">	
C20370 + C00003 </t>
  </si>
  <si>
    <t> C20369 + C00004 + C00080</t>
  </si>
  <si>
    <t>https://www.genome.jp/entry/1.1.1.37</t>
  </si>
  <si>
    <t>https://www.genome.jp/entry/R00342</t>
  </si>
  <si>
    <t xml:space="preserve">	
C00149 + C00003 </t>
  </si>
  <si>
    <t xml:space="preserve"> C00036 + C00004 + C00080</t>
  </si>
  <si>
    <t>https://www.genome.jp/entry/R03431</t>
  </si>
  <si>
    <t xml:space="preserve">	
C04367 + C00003</t>
  </si>
  <si>
    <t>C01244 + C00004 + C00080</t>
  </si>
  <si>
    <t>https://www.genome.jp/entry/R07136</t>
  </si>
  <si>
    <t xml:space="preserve">	
C11537 + C00003</t>
  </si>
  <si>
    <t>https://www.genome.jp/entry/1.1.1.40</t>
  </si>
  <si>
    <t>https://www.genome.jp/entry/R00216</t>
  </si>
  <si>
    <t>C00149 + C00006</t>
  </si>
  <si>
    <t> C00022 + C00011 + C00005 + C00080</t>
  </si>
  <si>
    <t>https://www.genome.jp/entry/R00217</t>
  </si>
  <si>
    <t xml:space="preserve">	
C00036 </t>
  </si>
  <si>
    <t>C00022 + C00011</t>
  </si>
  <si>
    <t>https://www.genome.jp/entry/1.1.1.42</t>
  </si>
  <si>
    <t>https://www.genome.jp/entry/R00267</t>
  </si>
  <si>
    <t>C00311 + C00006</t>
  </si>
  <si>
    <t>https://www.genome.jp/entry/R00268</t>
  </si>
  <si>
    <t xml:space="preserve">	
C05379 </t>
  </si>
  <si>
    <t>C00026 + C00011</t>
  </si>
  <si>
    <t>https://www.genome.jp/entry/R01899</t>
  </si>
  <si>
    <t xml:space="preserve">C00311 + C00006 </t>
  </si>
  <si>
    <t xml:space="preserve"> C05379 + C00005 + C00080</t>
  </si>
  <si>
    <t>https://www.genome.jp/entry/1.1.1.44</t>
  </si>
  <si>
    <t>https://www.genome.jp/entry/R01528</t>
  </si>
  <si>
    <t>C00345 + C00006</t>
  </si>
  <si>
    <t>C00199 + C00011 + C00005 + C00080</t>
  </si>
  <si>
    <t>https://www.genome.jp/entry/1.1.1.49</t>
  </si>
  <si>
    <t>https://www.genome.jp/entry/R00835</t>
  </si>
  <si>
    <t xml:space="preserve">C00092 + C00006 </t>
  </si>
  <si>
    <t xml:space="preserve"> C01236 + C00005 + C00080</t>
  </si>
  <si>
    <t>https://www.genome.jp/entry/R02736</t>
  </si>
  <si>
    <t xml:space="preserve">	
C01172 + C00006</t>
  </si>
  <si>
    <t> C01236 + C00005 + C00080</t>
  </si>
  <si>
    <t>https://www.genome.jp/entry/1.1.1.85</t>
  </si>
  <si>
    <t>https://www.genome.jp/entry/R01652</t>
  </si>
  <si>
    <t xml:space="preserve">	
C00233 + C00011</t>
  </si>
  <si>
    <t> C04236</t>
  </si>
  <si>
    <t>https://www.genome.jp/entry/R04426</t>
  </si>
  <si>
    <t xml:space="preserve">	
C04411 + C00003</t>
  </si>
  <si>
    <t> C04236 + C00004 + C00080</t>
  </si>
  <si>
    <t>https://www.genome.jp/entry/R10052</t>
  </si>
  <si>
    <t xml:space="preserve">	
C04411 + C00003 </t>
  </si>
  <si>
    <t> C00233 + C00011 + C00004 + C00080</t>
  </si>
  <si>
    <t>https://www.genome.jp/entry/R00994</t>
  </si>
  <si>
    <t xml:space="preserve">	
C00109 + C00011 + C00004 + C00080 </t>
  </si>
  <si>
    <t>https://www.genome.jp/entry/1.1.1.86</t>
  </si>
  <si>
    <t>https://www.genome.jp/entry/R04439</t>
  </si>
  <si>
    <t xml:space="preserve">	
C04272 + C00006</t>
  </si>
  <si>
    <t>C06010 + C00005 + C00080</t>
  </si>
  <si>
    <t>https://www.genome.jp/entry/R03051</t>
  </si>
  <si>
    <t>C00900 + C00005 + C00080</t>
  </si>
  <si>
    <t>C04039 + C00006</t>
  </si>
  <si>
    <t>https://www.genome.jp/entry/R04440</t>
  </si>
  <si>
    <t xml:space="preserve">	
C04272 + C00006 </t>
  </si>
  <si>
    <t>https://www.genome.jp/entry/R05068</t>
  </si>
  <si>
    <t xml:space="preserve">	
C06007 + C00006</t>
  </si>
  <si>
    <t> C14463 + C00005 + C00080</t>
  </si>
  <si>
    <t>https://www.genome.jp/entry/R05069</t>
  </si>
  <si>
    <t xml:space="preserve">	
C06006</t>
  </si>
  <si>
    <t>C14463</t>
  </si>
  <si>
    <t>https://www.genome.jp/entry/R05071</t>
  </si>
  <si>
    <t xml:space="preserve">	
C06010</t>
  </si>
  <si>
    <t>C04181</t>
  </si>
  <si>
    <t>https://www.genome.jp/entry/1.1.1.94</t>
  </si>
  <si>
    <t>https://www.genome.jp/entry/R00842</t>
  </si>
  <si>
    <t xml:space="preserve">	
C00093 + C00003 </t>
  </si>
  <si>
    <t>C00111 + C00004 + C00080</t>
  </si>
  <si>
    <t>https://www.genome.jp/entry/R00844</t>
  </si>
  <si>
    <t xml:space="preserve">	
C00093 + C00006</t>
  </si>
  <si>
    <t>https://www.genome.jp/entry/1.1.1.95</t>
  </si>
  <si>
    <t>https://www.genome.jp/entry/R01513</t>
  </si>
  <si>
    <t xml:space="preserve">	
C00197 + C00003 </t>
  </si>
  <si>
    <t>C03232 + C00004 + C00080</t>
  </si>
  <si>
    <t>https://www.genome.jp/entry/R08198</t>
  </si>
  <si>
    <t>C02630 + C00003 </t>
  </si>
  <si>
    <t>https://www.genome.jp/entry/1.1.5.4</t>
  </si>
  <si>
    <t>https://www.genome.jp/entry/R00361</t>
  </si>
  <si>
    <t xml:space="preserve">	
C00149 + C15602</t>
  </si>
  <si>
    <t>C00036 + C15603</t>
  </si>
  <si>
    <t>https://www.genome.jp/entry/R00360</t>
  </si>
  <si>
    <t xml:space="preserve">	
C00149 + C00007 </t>
  </si>
  <si>
    <t>https://www.genome.jp/entry/R01257</t>
  </si>
  <si>
    <t xml:space="preserve">	
C00149 + C00016 </t>
  </si>
  <si>
    <t>C00036 + C01352</t>
  </si>
  <si>
    <t>https://www.genome.jp/entry/1.11.1.24</t>
  </si>
  <si>
    <t>https://www.genome.jp/entry/R12570</t>
  </si>
  <si>
    <t>C00342 + C15498</t>
  </si>
  <si>
    <t>C00343 + C00001 + C01335</t>
  </si>
  <si>
    <t>https://www.genome.jp/entry/1.11.1.6</t>
  </si>
  <si>
    <t>https://www.genome.jp/entry/R00009</t>
  </si>
  <si>
    <t>C00007 + 2 C00001</t>
  </si>
  <si>
    <t>https://www.genome.jp/entry/R00602</t>
  </si>
  <si>
    <t xml:space="preserve">	
C00132 + C00027 </t>
  </si>
  <si>
    <t>C00067 + 2 C00001</t>
  </si>
  <si>
    <t>https://www.genome.jp/entry/R02670</t>
  </si>
  <si>
    <t>https://www.genome.jp/entry/1.13.11.1</t>
  </si>
  <si>
    <t>https://www.genome.jp/entry/R00817</t>
  </si>
  <si>
    <t xml:space="preserve">	
C00090 + C00007 </t>
  </si>
  <si>
    <t>https://www.genome.jp/entry/R04258</t>
  </si>
  <si>
    <t xml:space="preserve">	
C02375 + C00007 </t>
  </si>
  <si>
    <t>https://www.genome.jp/entry/R05299</t>
  </si>
  <si>
    <t xml:space="preserve">	
C06730 + C00007 </t>
  </si>
  <si>
    <t>https://www.genome.jp/entry/R08114</t>
  </si>
  <si>
    <t xml:space="preserve">	
C16472 + C00007</t>
  </si>
  <si>
    <t> C16475</t>
  </si>
  <si>
    <t>https://www.genome.jp/entry/R08115</t>
  </si>
  <si>
    <t xml:space="preserve">	
C16473 + C00007</t>
  </si>
  <si>
    <t>https://www.genome.jp/entry/R09134</t>
  </si>
  <si>
    <t xml:space="preserve">	
C18240 + C00007</t>
  </si>
  <si>
    <t>https://www.genome.jp/entry/1.13.11.3</t>
  </si>
  <si>
    <t>https://www.genome.jp/entry/R01631</t>
  </si>
  <si>
    <t xml:space="preserve">C00230 + C00007 </t>
  </si>
  <si>
    <t>C01163</t>
  </si>
  <si>
    <t>https://www.genome.jp/entry/R03549</t>
  </si>
  <si>
    <t xml:space="preserve">	
C01424 + C00007</t>
  </si>
  <si>
    <t>https://www.genome.jp/entry/1.13.12.16</t>
  </si>
  <si>
    <t>https://www.genome.jp/entry/R00025</t>
  </si>
  <si>
    <t xml:space="preserve">	
C18091 + C00007 + C01847 </t>
  </si>
  <si>
    <t> C00084 + C00088 + C00061 + C00001</t>
  </si>
  <si>
    <t>https://www.genome.jp/entry/1.14.12.10</t>
  </si>
  <si>
    <t>https://www.genome.jp/entry/R07188</t>
  </si>
  <si>
    <t>C00180 + C00004 + C00080 + C00007</t>
  </si>
  <si>
    <t>C04634 + C00003</t>
  </si>
  <si>
    <t>https://www.genome.jp/entry/R05621</t>
  </si>
  <si>
    <t xml:space="preserve">	
C00180 + C00004 + C00080 + C00007 </t>
  </si>
  <si>
    <t> C06321 + C00003</t>
  </si>
  <si>
    <t>https://www.genome.jp/entry/R05622</t>
  </si>
  <si>
    <t xml:space="preserve">	
C00180 + C00005 + C00080 + C00007 </t>
  </si>
  <si>
    <t>C06321 + C00006</t>
  </si>
  <si>
    <t>https://www.genome.jp/entry/R08100</t>
  </si>
  <si>
    <t>C02359 + C00004 + C00080 + C00007</t>
  </si>
  <si>
    <t>C16482 + C00003</t>
  </si>
  <si>
    <t>https://www.genome.jp/entry/R08101</t>
  </si>
  <si>
    <t xml:space="preserve">	
C02359 + C00004 + C00080 + C00007</t>
  </si>
  <si>
    <t>https://www.genome.jp/entry/R08108</t>
  </si>
  <si>
    <t xml:space="preserve">C02364 + C00004 + C00007 + C00080 </t>
  </si>
  <si>
    <t>https://www.genome.jp/entry/R08109</t>
  </si>
  <si>
    <t xml:space="preserve">	
C02364 + C00004 + C00080 + C00007</t>
  </si>
  <si>
    <t>https://www.genome.jp/entry/R08110</t>
  </si>
  <si>
    <t xml:space="preserve">	
C02371 + C00004 + C00080 + C00007</t>
  </si>
  <si>
    <t>https://www.genome.jp/entry/1.14.13.127</t>
  </si>
  <si>
    <t>https://www.genome.jp/entry/R06786</t>
  </si>
  <si>
    <t xml:space="preserve">C11457 + C00007 + C00004 + C00080 </t>
  </si>
  <si>
    <t>C04044 + C00001 + C00003</t>
  </si>
  <si>
    <t>https://www.genome.jp/entry/R06787</t>
  </si>
  <si>
    <t xml:space="preserve">	
C12621 + C00007 + C00004 + C00080</t>
  </si>
  <si>
    <t>https://www.genome.jp/entry/1.14.13.24</t>
  </si>
  <si>
    <t>https://www.genome.jp/entry/R02589</t>
  </si>
  <si>
    <t xml:space="preserve">	
C00587 + C00007 + C00004 + C00080 </t>
  </si>
  <si>
    <t>C00628 + C00003 + C00001</t>
  </si>
  <si>
    <t>https://www.genome.jp/entry/1.15.1.1</t>
  </si>
  <si>
    <t>https://www.genome.jp/entry/R00275</t>
  </si>
  <si>
    <t> C00027 + C00007</t>
  </si>
  <si>
    <t>https://www.genome.jp/entry/1.17.1.8</t>
  </si>
  <si>
    <t>https://www.genome.jp/entry/R04198</t>
  </si>
  <si>
    <t xml:space="preserve">	
C03972 + C00003 + C00001 </t>
  </si>
  <si>
    <t>https://www.genome.jp/entry/R04199</t>
  </si>
  <si>
    <t xml:space="preserve">	
C03972 + C00006 + C00001</t>
  </si>
  <si>
    <t>C04232 + C00343 + C00001</t>
  </si>
  <si>
    <t>C04232 + C00343 + C00001</t>
  </si>
  <si>
    <t> C03723 + C00342</t>
  </si>
  <si>
    <t xml:space="preserve">	
C00206 + C00343 + C00001 </t>
  </si>
  <si>
    <t> C00342 + C00008</t>
  </si>
  <si>
    <t xml:space="preserve">	
C01346 + C00343 + C00001 </t>
  </si>
  <si>
    <t>C00342 + C00015</t>
  </si>
  <si>
    <t xml:space="preserve">	
C00361 + C00343 + C00001</t>
  </si>
  <si>
    <t>C00035 + C00342</t>
  </si>
  <si>
    <t xml:space="preserve">	
C00705 + C00343 + C00001</t>
  </si>
  <si>
    <t>C00342 + C00112</t>
  </si>
  <si>
    <t xml:space="preserve">	
C04232 + C16664 + C00001</t>
  </si>
  <si>
    <t>C03723 + C16663</t>
  </si>
  <si>
    <t xml:space="preserve">	
C04232 + C03170 + C00001</t>
  </si>
  <si>
    <t>C03723 + C02090</t>
  </si>
  <si>
    <t xml:space="preserve">	
C21750 + C00343 + C00001</t>
  </si>
  <si>
    <t>C21748 + C00342</t>
  </si>
  <si>
    <t> C11811 + C00001 + 2 C00139</t>
  </si>
  <si>
    <t>C00129 + 2 C00139 + C00001</t>
  </si>
  <si>
    <t>C11811 + 2 C00138 + 2 C00080</t>
  </si>
  <si>
    <t> C15670 + 2 C00030</t>
  </si>
  <si>
    <t xml:space="preserve">	
C22328 + C00028 + C00001 </t>
  </si>
  <si>
    <t>C22329 + C00030</t>
  </si>
  <si>
    <t xml:space="preserve">	
C22329</t>
  </si>
  <si>
    <t>C15670 + C00001</t>
  </si>
  <si>
    <t xml:space="preserve">C00441 + C00009 + C00006 </t>
  </si>
  <si>
    <t>C03082 + C00005 + C00080</t>
  </si>
  <si>
    <t xml:space="preserve">	
C00118 + C00009 + C00003 </t>
  </si>
  <si>
    <t>C00236 + C00004 + C00080</t>
  </si>
  <si>
    <t xml:space="preserve">	
C01250 + C00009 + C00006</t>
  </si>
  <si>
    <t>C04133 + C00005 + C00080</t>
  </si>
  <si>
    <t xml:space="preserve">	
C01165 + C00009 + C00006 </t>
  </si>
  <si>
    <t>C03287 + C00005 + C00080</t>
  </si>
  <si>
    <t xml:space="preserve">	
C02987 + C00005 + C00080 </t>
  </si>
  <si>
    <t>C03741 + C01641 + C00006</t>
  </si>
  <si>
    <t xml:space="preserve">	
C00232 + C00006 + C00001</t>
  </si>
  <si>
    <t>C00042 + C00005 + C00080</t>
  </si>
  <si>
    <t xml:space="preserve">	
C00022 + C15972</t>
  </si>
  <si>
    <t>C16255 + C00011</t>
  </si>
  <si>
    <t>C05125 + C00011</t>
  </si>
  <si>
    <t>C05125 + C15972</t>
  </si>
  <si>
    <t> C16255 + C00068</t>
  </si>
  <si>
    <t xml:space="preserve">C11215 + C07292 </t>
  </si>
  <si>
    <t>C06697 + C07293</t>
  </si>
  <si>
    <t xml:space="preserve">	
C11215 + C00342 </t>
  </si>
  <si>
    <t>C06697 + C00343 + C00001</t>
  </si>
  <si>
    <t>C00254 + C00003</t>
  </si>
  <si>
    <t>C01179 + C00011 + C00004 + C00080</t>
  </si>
  <si>
    <t xml:space="preserve">	
C06321 + C00003</t>
  </si>
  <si>
    <t>C00090 + C00004 + C00011 + C00080</t>
  </si>
  <si>
    <t xml:space="preserve">	
C16478 + C00003 </t>
  </si>
  <si>
    <t> C16472 + C00004 + C00011 + C00080</t>
  </si>
  <si>
    <t xml:space="preserve">	
C16479 + C00003</t>
  </si>
  <si>
    <t>C16473 + C00004 + C00011 + C00080</t>
  </si>
  <si>
    <t xml:space="preserve">	
C16480 + C00003</t>
  </si>
  <si>
    <t>C00846 + C00003</t>
  </si>
  <si>
    <t>C02222 + C00004 + C00080</t>
  </si>
  <si>
    <t xml:space="preserve">	
C00846 + C00006</t>
  </si>
  <si>
    <t> C02222 + C00005 + C00080</t>
  </si>
  <si>
    <t>C06329 + C00004</t>
  </si>
  <si>
    <t> C02222 + C00003 + C00698</t>
  </si>
  <si>
    <t> C12836 + C01327 + 2 C00003</t>
  </si>
  <si>
    <t xml:space="preserve">	
C16249 + C00004 + C00080 </t>
  </si>
  <si>
    <t>C02222 + C00003 + C01324</t>
  </si>
  <si>
    <t>C18244 + 2 C00003 + C01327</t>
  </si>
  <si>
    <t>C18244 + 2 C00006 + C01327</t>
  </si>
  <si>
    <t xml:space="preserve">	
C18305 + C00004 + C00080</t>
  </si>
  <si>
    <t>C18306 + C00003 + C01327</t>
  </si>
  <si>
    <t xml:space="preserve">	
C18306 + C00004 + C00080</t>
  </si>
  <si>
    <t>C18307 + C00003</t>
  </si>
  <si>
    <t>C05427 + 3 C00006</t>
  </si>
  <si>
    <t xml:space="preserve">	
C01050 + C00006</t>
  </si>
  <si>
    <t> C04631 + C00005 + C00080</t>
  </si>
  <si>
    <t xml:space="preserve">	
C01050 + C00003</t>
  </si>
  <si>
    <t> C04631 + C00004 + C00080</t>
  </si>
  <si>
    <t>C02191 + 3 C00027</t>
  </si>
  <si>
    <t xml:space="preserve">C00337 + C15602 </t>
  </si>
  <si>
    <t>C00295 + C15603</t>
  </si>
  <si>
    <t> C00032 + 2 C00011 + 4 C00001</t>
  </si>
  <si>
    <t xml:space="preserve">	
C21284 + C00027 </t>
  </si>
  <si>
    <t>C22173 + C00011 + 2 C00001</t>
  </si>
  <si>
    <t>C22173 + C00027</t>
  </si>
  <si>
    <t>C00032 + C00011 + 2 C00001</t>
  </si>
  <si>
    <t>C00064 + C00026 + C00005 + C00080</t>
  </si>
  <si>
    <t xml:space="preserve">C00025 + C00006 + C00001 </t>
  </si>
  <si>
    <t>C00026 + C00014 + C00005 + C00080</t>
  </si>
  <si>
    <t xml:space="preserve">	
C00064 + C00001 </t>
  </si>
  <si>
    <t>C00025 + C00014</t>
  </si>
  <si>
    <t>C00680 + C00006 + C00001</t>
  </si>
  <si>
    <t>C03871 + C00014 + C00005 + C00080</t>
  </si>
  <si>
    <t>Metabolites</t>
  </si>
  <si>
    <t>Initial Concentration (mM)</t>
  </si>
  <si>
    <t>Object</t>
  </si>
  <si>
    <t>C00006</t>
  </si>
  <si>
    <t>C00010</t>
  </si>
  <si>
    <t>C00011</t>
  </si>
  <si>
    <t>C00014</t>
  </si>
  <si>
    <t>C00016</t>
  </si>
  <si>
    <t>C00018</t>
  </si>
  <si>
    <t>C00026</t>
  </si>
  <si>
    <t>C00027</t>
  </si>
  <si>
    <t>C00030</t>
  </si>
  <si>
    <t>C00033</t>
  </si>
  <si>
    <t>C00041</t>
  </si>
  <si>
    <t>C00049</t>
  </si>
  <si>
    <t>C00052</t>
  </si>
  <si>
    <t>C00054</t>
  </si>
  <si>
    <t>C00065</t>
  </si>
  <si>
    <t>C00066</t>
  </si>
  <si>
    <t>C00068</t>
  </si>
  <si>
    <t>C00071</t>
  </si>
  <si>
    <t>C00074</t>
  </si>
  <si>
    <t>C00075</t>
  </si>
  <si>
    <t>C00078</t>
  </si>
  <si>
    <t>C00079</t>
  </si>
  <si>
    <t>C00080</t>
  </si>
  <si>
    <t>C00081</t>
  </si>
  <si>
    <t>C00082</t>
  </si>
  <si>
    <t>C00089</t>
  </si>
  <si>
    <t>C00092</t>
  </si>
  <si>
    <t>C00093</t>
  </si>
  <si>
    <t>C00097</t>
  </si>
  <si>
    <t>C00100</t>
  </si>
  <si>
    <t>C00105</t>
  </si>
  <si>
    <t>C00109</t>
  </si>
  <si>
    <t>C00112</t>
  </si>
  <si>
    <t>C00116</t>
  </si>
  <si>
    <t>C00123</t>
  </si>
  <si>
    <t>C00130</t>
  </si>
  <si>
    <t>C00144</t>
  </si>
  <si>
    <t>C00149</t>
  </si>
  <si>
    <t>C00155</t>
  </si>
  <si>
    <t>C00158</t>
  </si>
  <si>
    <t>C00163</t>
  </si>
  <si>
    <t>C00183</t>
  </si>
  <si>
    <t>C00184</t>
  </si>
  <si>
    <t>C00186</t>
  </si>
  <si>
    <t>C00188</t>
  </si>
  <si>
    <t>C00197</t>
  </si>
  <si>
    <t>C00203</t>
  </si>
  <si>
    <t>C00224</t>
  </si>
  <si>
    <t>C00226</t>
  </si>
  <si>
    <t>C00231</t>
  </si>
  <si>
    <t>C00233</t>
  </si>
  <si>
    <t>C00241</t>
  </si>
  <si>
    <t>C00242</t>
  </si>
  <si>
    <t>C00256</t>
  </si>
  <si>
    <t>C00263</t>
  </si>
  <si>
    <t>C00269</t>
  </si>
  <si>
    <t>C00337</t>
  </si>
  <si>
    <t>C00342</t>
  </si>
  <si>
    <t>C00343</t>
  </si>
  <si>
    <t>C00345</t>
  </si>
  <si>
    <t>C00354</t>
  </si>
  <si>
    <t>C00357</t>
  </si>
  <si>
    <t>C00361</t>
  </si>
  <si>
    <t>C00376</t>
  </si>
  <si>
    <t>C00387</t>
  </si>
  <si>
    <t>C00405</t>
  </si>
  <si>
    <t>C00416</t>
  </si>
  <si>
    <t>C00418</t>
  </si>
  <si>
    <t>C00438</t>
  </si>
  <si>
    <t>C00469</t>
  </si>
  <si>
    <t>C00473</t>
  </si>
  <si>
    <t>C00498</t>
  </si>
  <si>
    <t>C00585</t>
  </si>
  <si>
    <t>C00631</t>
  </si>
  <si>
    <t>C00655</t>
  </si>
  <si>
    <t>C00673</t>
  </si>
  <si>
    <t>C00681</t>
  </si>
  <si>
    <t>C00705</t>
  </si>
  <si>
    <t>C00718</t>
  </si>
  <si>
    <t>C00756</t>
  </si>
  <si>
    <t>C00787</t>
  </si>
  <si>
    <t>C00819</t>
  </si>
  <si>
    <t>C00842</t>
  </si>
  <si>
    <t>C00864</t>
  </si>
  <si>
    <t>C00882</t>
  </si>
  <si>
    <t>C00886</t>
  </si>
  <si>
    <t>C00979</t>
  </si>
  <si>
    <t>C01005</t>
  </si>
  <si>
    <t>C01050</t>
  </si>
  <si>
    <t>C01097</t>
  </si>
  <si>
    <t>C01103</t>
  </si>
  <si>
    <t>C01167</t>
  </si>
  <si>
    <t>C01185</t>
  </si>
  <si>
    <t>C01212</t>
  </si>
  <si>
    <t>C01236</t>
  </si>
  <si>
    <t>C01346</t>
  </si>
  <si>
    <t>C01450</t>
  </si>
  <si>
    <t>C01612</t>
  </si>
  <si>
    <t>C01635</t>
  </si>
  <si>
    <t>C01639</t>
  </si>
  <si>
    <t>C01642</t>
  </si>
  <si>
    <t>C01647</t>
  </si>
  <si>
    <t>C01648</t>
  </si>
  <si>
    <t>C01649</t>
  </si>
  <si>
    <t>C01650</t>
  </si>
  <si>
    <t>C01651</t>
  </si>
  <si>
    <t>C01652</t>
  </si>
  <si>
    <t>C01653</t>
  </si>
  <si>
    <t>C02090</t>
  </si>
  <si>
    <t>C02133</t>
  </si>
  <si>
    <t>C02163</t>
  </si>
  <si>
    <t>C02356</t>
  </si>
  <si>
    <t>C02412</t>
  </si>
  <si>
    <t>C02520</t>
  </si>
  <si>
    <t>C02554</t>
  </si>
  <si>
    <t>C02702</t>
  </si>
  <si>
    <t>C02764</t>
  </si>
  <si>
    <t>C02909</t>
  </si>
  <si>
    <t>C02962</t>
  </si>
  <si>
    <t>C02987</t>
  </si>
  <si>
    <t>C03090</t>
  </si>
  <si>
    <t>C03125</t>
  </si>
  <si>
    <t>C03150</t>
  </si>
  <si>
    <t>C03294</t>
  </si>
  <si>
    <t>C03356</t>
  </si>
  <si>
    <t>C03511</t>
  </si>
  <si>
    <t>C03523</t>
  </si>
  <si>
    <t>C03617</t>
  </si>
  <si>
    <t>C03688</t>
  </si>
  <si>
    <t>C03785</t>
  </si>
  <si>
    <t>C03794</t>
  </si>
  <si>
    <t>C03798</t>
  </si>
  <si>
    <t>C03803</t>
  </si>
  <si>
    <t>C03838</t>
  </si>
  <si>
    <t>C03880</t>
  </si>
  <si>
    <t>C03972</t>
  </si>
  <si>
    <t>C04144</t>
  </si>
  <si>
    <t>C04153</t>
  </si>
  <si>
    <t>C04157</t>
  </si>
  <si>
    <t>C04160</t>
  </si>
  <si>
    <t>C04232</t>
  </si>
  <si>
    <t>C04250</t>
  </si>
  <si>
    <t>C04489</t>
  </si>
  <si>
    <t>C04501</t>
  </si>
  <si>
    <t>C04556</t>
  </si>
  <si>
    <t>C04574</t>
  </si>
  <si>
    <t>C04646</t>
  </si>
  <si>
    <t>C04677</t>
  </si>
  <si>
    <t>C04702</t>
  </si>
  <si>
    <t>C04752</t>
  </si>
  <si>
    <t>C04823</t>
  </si>
  <si>
    <t>C04851</t>
  </si>
  <si>
    <t>C05198</t>
  </si>
  <si>
    <t>C05336</t>
  </si>
  <si>
    <t>C05444</t>
  </si>
  <si>
    <t>C05576</t>
  </si>
  <si>
    <t>C05577</t>
  </si>
  <si>
    <t>C05684</t>
  </si>
  <si>
    <t>C05691</t>
  </si>
  <si>
    <t>C05823</t>
  </si>
  <si>
    <t>C05984</t>
  </si>
  <si>
    <t>C06156</t>
  </si>
  <si>
    <t>C06196</t>
  </si>
  <si>
    <t>C06611</t>
  </si>
  <si>
    <t>C06612</t>
  </si>
  <si>
    <t>C06899</t>
  </si>
  <si>
    <t>C07645</t>
  </si>
  <si>
    <t>C07648</t>
  </si>
  <si>
    <t>C11437</t>
  </si>
  <si>
    <t>C11439</t>
  </si>
  <si>
    <t>C14089</t>
  </si>
  <si>
    <t>C14099</t>
  </si>
  <si>
    <t>C15653</t>
  </si>
  <si>
    <t>C15667</t>
  </si>
  <si>
    <t>C15811</t>
  </si>
  <si>
    <t>C16310</t>
  </si>
  <si>
    <t>C16586</t>
  </si>
  <si>
    <t>C16595</t>
  </si>
  <si>
    <t>C16619</t>
  </si>
  <si>
    <t>C16636</t>
  </si>
  <si>
    <t>C16663</t>
  </si>
  <si>
    <t>C16664</t>
  </si>
  <si>
    <t>C16688</t>
  </si>
  <si>
    <t>C19085</t>
  </si>
  <si>
    <t>C19722</t>
  </si>
  <si>
    <t>C20751</t>
  </si>
  <si>
    <t>C20796</t>
  </si>
  <si>
    <t>C20864</t>
  </si>
  <si>
    <t>C21750</t>
  </si>
  <si>
    <t>C22441</t>
  </si>
  <si>
    <t>G10495</t>
  </si>
  <si>
    <t>G10551</t>
  </si>
  <si>
    <t>G10552</t>
  </si>
  <si>
    <t>G11113</t>
  </si>
  <si>
    <t>C00114 </t>
  </si>
  <si>
    <t>C01271</t>
  </si>
  <si>
    <t>C00003  </t>
  </si>
  <si>
    <t>C00004 </t>
  </si>
  <si>
    <t>C00084 </t>
  </si>
  <si>
    <t> C01545</t>
  </si>
  <si>
    <t xml:space="preserve"> C05445 </t>
  </si>
  <si>
    <t>C06613 </t>
  </si>
  <si>
    <t> C16348 </t>
  </si>
  <si>
    <t>C14090 </t>
  </si>
  <si>
    <t>C16551 </t>
  </si>
  <si>
    <t>C16587  </t>
  </si>
  <si>
    <t>C00576 </t>
  </si>
  <si>
    <t>C00005 </t>
  </si>
  <si>
    <t>C08492 </t>
  </si>
  <si>
    <t>C16596 </t>
  </si>
  <si>
    <t>C00772 </t>
  </si>
  <si>
    <t>C07490 </t>
  </si>
  <si>
    <t>C00685 </t>
  </si>
  <si>
    <t>C04618</t>
  </si>
  <si>
    <t>C05744 </t>
  </si>
  <si>
    <t>C04619</t>
  </si>
  <si>
    <t>C05753</t>
  </si>
  <si>
    <t>C04620</t>
  </si>
  <si>
    <t>C05750 </t>
  </si>
  <si>
    <t>C04633</t>
  </si>
  <si>
    <t>C05762 </t>
  </si>
  <si>
    <t>C05759 </t>
  </si>
  <si>
    <t>C05746 </t>
  </si>
  <si>
    <t>C05757</t>
  </si>
  <si>
    <t>C05756 </t>
  </si>
  <si>
    <t>C16219</t>
  </si>
  <si>
    <t>C16220 </t>
  </si>
  <si>
    <t>C20372</t>
  </si>
  <si>
    <t>C20373</t>
  </si>
  <si>
    <t>C20376</t>
  </si>
  <si>
    <t xml:space="preserve"> C20377 </t>
  </si>
  <si>
    <t>C00522</t>
  </si>
  <si>
    <t>C00966 </t>
  </si>
  <si>
    <t>C00137</t>
  </si>
  <si>
    <t>C00691 </t>
  </si>
  <si>
    <t>C04454</t>
  </si>
  <si>
    <t>C01268 </t>
  </si>
  <si>
    <t>C01304</t>
  </si>
  <si>
    <t>C16618 </t>
  </si>
  <si>
    <t xml:space="preserve">C00860   </t>
  </si>
  <si>
    <t>C00135 </t>
  </si>
  <si>
    <t>C01929</t>
  </si>
  <si>
    <t>C00493</t>
  </si>
  <si>
    <t>C02637 </t>
  </si>
  <si>
    <t>C22438 </t>
  </si>
  <si>
    <t>C11434</t>
  </si>
  <si>
    <t>C00022 </t>
  </si>
  <si>
    <t> C00957 </t>
  </si>
  <si>
    <t>C01013</t>
  </si>
  <si>
    <t>C00222 </t>
  </si>
  <si>
    <t>C00441 </t>
  </si>
  <si>
    <t>C18235</t>
  </si>
  <si>
    <t>C06718 </t>
  </si>
  <si>
    <t>C00058 </t>
  </si>
  <si>
    <t>C06717 </t>
  </si>
  <si>
    <t>C20370</t>
  </si>
  <si>
    <t> C20369 </t>
  </si>
  <si>
    <t>C04367</t>
  </si>
  <si>
    <t>C01244 </t>
  </si>
  <si>
    <t>C11537</t>
  </si>
  <si>
    <t>C05528 </t>
  </si>
  <si>
    <t>C00199 </t>
  </si>
  <si>
    <t>C04411</t>
  </si>
  <si>
    <t>C06032 </t>
  </si>
  <si>
    <t>C04272</t>
  </si>
  <si>
    <t xml:space="preserve">C06010  </t>
  </si>
  <si>
    <t>C00900</t>
  </si>
  <si>
    <t xml:space="preserve">C06007  </t>
  </si>
  <si>
    <t>C00111  </t>
  </si>
  <si>
    <t>C03232</t>
  </si>
  <si>
    <t>C02630 </t>
  </si>
  <si>
    <t xml:space="preserve"> C15602</t>
  </si>
  <si>
    <t xml:space="preserve"> C15603</t>
  </si>
  <si>
    <t>C01352</t>
  </si>
  <si>
    <t xml:space="preserve"> C15498</t>
  </si>
  <si>
    <t>C01335</t>
  </si>
  <si>
    <t>C00132</t>
  </si>
  <si>
    <t>C00067 </t>
  </si>
  <si>
    <t xml:space="preserve"> C00632   </t>
  </si>
  <si>
    <t>C05640 </t>
  </si>
  <si>
    <t>C00704  </t>
  </si>
  <si>
    <t xml:space="preserve">C00090  </t>
  </si>
  <si>
    <t xml:space="preserve">C02375  </t>
  </si>
  <si>
    <t xml:space="preserve">C06730  </t>
  </si>
  <si>
    <t>C16472</t>
  </si>
  <si>
    <t>C16473</t>
  </si>
  <si>
    <t>C18240</t>
  </si>
  <si>
    <t xml:space="preserve">C00230  </t>
  </si>
  <si>
    <t xml:space="preserve">C01424  </t>
  </si>
  <si>
    <t>C03671 </t>
  </si>
  <si>
    <t>C18091</t>
  </si>
  <si>
    <t>C01847  </t>
  </si>
  <si>
    <t> C00088  </t>
  </si>
  <si>
    <t>C00061 </t>
  </si>
  <si>
    <t>C00180</t>
  </si>
  <si>
    <t>C04634 </t>
  </si>
  <si>
    <t>C06321</t>
  </si>
  <si>
    <t>C02359</t>
  </si>
  <si>
    <t>C16482 </t>
  </si>
  <si>
    <t>C16481 </t>
  </si>
  <si>
    <t>C02364</t>
  </si>
  <si>
    <t>C16478 </t>
  </si>
  <si>
    <t>C16479 </t>
  </si>
  <si>
    <t xml:space="preserve">C02371  </t>
  </si>
  <si>
    <t>C16480 </t>
  </si>
  <si>
    <t>C11457</t>
  </si>
  <si>
    <t xml:space="preserve"> C04044</t>
  </si>
  <si>
    <t xml:space="preserve">C12621  </t>
  </si>
  <si>
    <t>C12623 </t>
  </si>
  <si>
    <t>C00587</t>
  </si>
  <si>
    <t xml:space="preserve"> C00628 </t>
  </si>
  <si>
    <t>C20258 </t>
  </si>
  <si>
    <t>C03723  </t>
  </si>
  <si>
    <t xml:space="preserve">C00206  </t>
  </si>
  <si>
    <t> C00015</t>
  </si>
  <si>
    <t>C00035  </t>
  </si>
  <si>
    <t xml:space="preserve"> C03170</t>
  </si>
  <si>
    <t>C21748  </t>
  </si>
  <si>
    <t>C11453</t>
  </si>
  <si>
    <t xml:space="preserve">   C00138 </t>
  </si>
  <si>
    <t>C11811  </t>
  </si>
  <si>
    <t> C00139</t>
  </si>
  <si>
    <t>C00129  </t>
  </si>
  <si>
    <t>C15672</t>
  </si>
  <si>
    <t xml:space="preserve"> C00028</t>
  </si>
  <si>
    <t> C15670 </t>
  </si>
  <si>
    <t>C22328</t>
  </si>
  <si>
    <t>C22329</t>
  </si>
  <si>
    <t xml:space="preserve"> C00009</t>
  </si>
  <si>
    <t>C03082  </t>
  </si>
  <si>
    <t xml:space="preserve"> C00236 </t>
  </si>
  <si>
    <t xml:space="preserve">C01250  </t>
  </si>
  <si>
    <t>C04133</t>
  </si>
  <si>
    <t>C01165</t>
  </si>
  <si>
    <t>C03287  </t>
  </si>
  <si>
    <t>C03741  </t>
  </si>
  <si>
    <t>C01641  </t>
  </si>
  <si>
    <t>C00232</t>
  </si>
  <si>
    <t>C00042 </t>
  </si>
  <si>
    <t xml:space="preserve"> C15972</t>
  </si>
  <si>
    <t>C16255  </t>
  </si>
  <si>
    <t>C05125</t>
  </si>
  <si>
    <t xml:space="preserve">C11215  </t>
  </si>
  <si>
    <t>C07292</t>
  </si>
  <si>
    <t>C06697</t>
  </si>
  <si>
    <t xml:space="preserve">  C07293</t>
  </si>
  <si>
    <t>C00254</t>
  </si>
  <si>
    <t xml:space="preserve">C01179  </t>
  </si>
  <si>
    <t>C02222  </t>
  </si>
  <si>
    <t>C06329</t>
  </si>
  <si>
    <t>C00698</t>
  </si>
  <si>
    <t xml:space="preserve">C12835  </t>
  </si>
  <si>
    <t>C12836 </t>
  </si>
  <si>
    <t>C01327 </t>
  </si>
  <si>
    <t>C16249</t>
  </si>
  <si>
    <t>C01324</t>
  </si>
  <si>
    <t>C18243</t>
  </si>
  <si>
    <t>C18244</t>
  </si>
  <si>
    <t>C18305</t>
  </si>
  <si>
    <t>C18306  </t>
  </si>
  <si>
    <t>C18307  </t>
  </si>
  <si>
    <t xml:space="preserve">C00353   </t>
  </si>
  <si>
    <t>C05427 </t>
  </si>
  <si>
    <t>C04631  </t>
  </si>
  <si>
    <t>C01079</t>
  </si>
  <si>
    <t>C02191</t>
  </si>
  <si>
    <t>C00295 </t>
  </si>
  <si>
    <t xml:space="preserve">C21284  </t>
  </si>
  <si>
    <t>C00032 </t>
  </si>
  <si>
    <t>C22173</t>
  </si>
  <si>
    <t xml:space="preserve"> C00025</t>
  </si>
  <si>
    <t>C00064 </t>
  </si>
  <si>
    <t>C03871</t>
  </si>
  <si>
    <t>C05167</t>
  </si>
  <si>
    <t>C00161  </t>
  </si>
  <si>
    <t>C00037 </t>
  </si>
  <si>
    <t>C00048 </t>
  </si>
  <si>
    <t>C15809  </t>
  </si>
  <si>
    <t> C00007 </t>
  </si>
  <si>
    <t>C00213 </t>
  </si>
  <si>
    <t>C00218  </t>
  </si>
  <si>
    <t>C11735 </t>
  </si>
  <si>
    <t>C00797  </t>
  </si>
  <si>
    <t>C00148  </t>
  </si>
  <si>
    <t>C03912</t>
  </si>
  <si>
    <t>C01157 </t>
  </si>
  <si>
    <t>C04281 </t>
  </si>
  <si>
    <t>C00440 </t>
  </si>
  <si>
    <t>C00143  </t>
  </si>
  <si>
    <t>C00101  </t>
  </si>
  <si>
    <t>C00415  </t>
  </si>
  <si>
    <t> C00504  </t>
  </si>
  <si>
    <t>C00272  </t>
  </si>
  <si>
    <t>C02953 </t>
  </si>
  <si>
    <t>C00828  </t>
  </si>
  <si>
    <t>C05819  </t>
  </si>
  <si>
    <t>C01628  </t>
  </si>
  <si>
    <t>C05850 </t>
  </si>
  <si>
    <t>C02059  </t>
  </si>
  <si>
    <t>C03313  </t>
  </si>
  <si>
    <t>C05309  </t>
  </si>
  <si>
    <t>C11502 </t>
  </si>
  <si>
    <t>C16832  </t>
  </si>
  <si>
    <t>C16237 </t>
  </si>
  <si>
    <t>C02972 </t>
  </si>
  <si>
    <t> C02051  </t>
  </si>
  <si>
    <t>C15973 </t>
  </si>
  <si>
    <t>C00579</t>
  </si>
  <si>
    <t>C00248  </t>
  </si>
  <si>
    <t> C00051</t>
  </si>
  <si>
    <t>C05526 </t>
  </si>
  <si>
    <t>C01528 </t>
  </si>
  <si>
    <t> C05703</t>
  </si>
  <si>
    <t>C03023 </t>
  </si>
  <si>
    <t>C03895 </t>
  </si>
  <si>
    <t>C00073  </t>
  </si>
  <si>
    <t>C15999  </t>
  </si>
  <si>
    <t>  C00053</t>
  </si>
  <si>
    <t>C00094  </t>
  </si>
  <si>
    <t>C00283   </t>
  </si>
  <si>
    <t>C00019 </t>
  </si>
  <si>
    <t> C00021 </t>
  </si>
  <si>
    <t>C02463</t>
  </si>
  <si>
    <t>C01051</t>
  </si>
  <si>
    <t>  C15527</t>
  </si>
  <si>
    <t>C02469 </t>
  </si>
  <si>
    <t> C05778</t>
  </si>
  <si>
    <t>C05698 </t>
  </si>
  <si>
    <t>C05335  </t>
  </si>
  <si>
    <t>  C00365  </t>
  </si>
  <si>
    <t>C00364  </t>
  </si>
  <si>
    <t>C19847  </t>
  </si>
  <si>
    <t>C00240 </t>
  </si>
  <si>
    <t>  C20648</t>
  </si>
  <si>
    <t xml:space="preserve"> C22150</t>
  </si>
  <si>
    <t>C22151</t>
  </si>
  <si>
    <t>  C01977  </t>
  </si>
  <si>
    <t>C02583 </t>
  </si>
  <si>
    <t>C20858 </t>
  </si>
  <si>
    <t>C00039 </t>
  </si>
  <si>
    <t>C02967</t>
  </si>
  <si>
    <t>C00856  </t>
  </si>
  <si>
    <t xml:space="preserve"> C02743</t>
  </si>
  <si>
    <t xml:space="preserve"> C03800</t>
  </si>
  <si>
    <t xml:space="preserve"> C11475</t>
  </si>
  <si>
    <t xml:space="preserve">  C01217</t>
  </si>
  <si>
    <t>C04377  </t>
  </si>
  <si>
    <t xml:space="preserve">C00141  </t>
  </si>
  <si>
    <t>C00234 </t>
  </si>
  <si>
    <t> C04376</t>
  </si>
  <si>
    <t>  C00445</t>
  </si>
  <si>
    <t>C02430 </t>
  </si>
  <si>
    <t>C00024 </t>
  </si>
  <si>
    <t> C04419 </t>
  </si>
  <si>
    <t>C00083  </t>
  </si>
  <si>
    <t>C06250</t>
  </si>
  <si>
    <t>C00169 </t>
  </si>
  <si>
    <t> C00077 </t>
  </si>
  <si>
    <t>C00327</t>
  </si>
  <si>
    <t>C05382 </t>
  </si>
  <si>
    <t> C00117 </t>
  </si>
  <si>
    <t>C00085 </t>
  </si>
  <si>
    <t>C00279  </t>
  </si>
  <si>
    <t>C05345  </t>
  </si>
  <si>
    <t>C12214  </t>
  </si>
  <si>
    <t> C12215 </t>
  </si>
  <si>
    <t> C13378 </t>
  </si>
  <si>
    <t>C00885 </t>
  </si>
  <si>
    <t>C16519 </t>
  </si>
  <si>
    <t>  C00624</t>
  </si>
  <si>
    <t>C00437  </t>
  </si>
  <si>
    <t>C00091 </t>
  </si>
  <si>
    <t>C04462</t>
  </si>
  <si>
    <t>C05752</t>
  </si>
  <si>
    <t>  C16240</t>
  </si>
  <si>
    <t> C16236 </t>
  </si>
  <si>
    <t> C00229</t>
  </si>
  <si>
    <t>C22158 </t>
  </si>
  <si>
    <t> C22157  </t>
  </si>
  <si>
    <t>C16239</t>
  </si>
  <si>
    <t>C19703</t>
  </si>
  <si>
    <t>C20641 </t>
  </si>
  <si>
    <t> C17324 </t>
  </si>
  <si>
    <t> C00020 </t>
  </si>
  <si>
    <t>  C04341</t>
  </si>
  <si>
    <t> C20743</t>
  </si>
  <si>
    <t> C00153 </t>
  </si>
  <si>
    <t> C02188  </t>
  </si>
  <si>
    <t>C20658 </t>
  </si>
  <si>
    <t> C01997 </t>
  </si>
  <si>
    <t>C02415 </t>
  </si>
  <si>
    <t> C01077</t>
  </si>
  <si>
    <t> C00227</t>
  </si>
  <si>
    <t> C02876  </t>
  </si>
  <si>
    <t>C00638</t>
  </si>
  <si>
    <t>C03939</t>
  </si>
  <si>
    <t>  C01209</t>
  </si>
  <si>
    <t>C05764  </t>
  </si>
  <si>
    <t>C00249</t>
  </si>
  <si>
    <t xml:space="preserve"> C04246 </t>
  </si>
  <si>
    <t>C05745</t>
  </si>
  <si>
    <t>C05754  </t>
  </si>
  <si>
    <t>C05751 </t>
  </si>
  <si>
    <t xml:space="preserve">  C05763  </t>
  </si>
  <si>
    <t>C05760</t>
  </si>
  <si>
    <t xml:space="preserve">C05223  </t>
  </si>
  <si>
    <t>C05758  </t>
  </si>
  <si>
    <t> C05748 </t>
  </si>
  <si>
    <t xml:space="preserve">C05749  </t>
  </si>
  <si>
    <t xml:space="preserve">C05755  </t>
  </si>
  <si>
    <t>C05761</t>
  </si>
  <si>
    <t>  C00332</t>
  </si>
  <si>
    <t> C03344</t>
  </si>
  <si>
    <t xml:space="preserve"> C00136</t>
  </si>
  <si>
    <t> C05269</t>
  </si>
  <si>
    <t>C03193 </t>
  </si>
  <si>
    <t>C00045 </t>
  </si>
  <si>
    <t>C00012 </t>
  </si>
  <si>
    <t>C03363</t>
  </si>
  <si>
    <t xml:space="preserve">  C00151</t>
  </si>
  <si>
    <t>C01419  </t>
  </si>
  <si>
    <t>C03740</t>
  </si>
  <si>
    <t xml:space="preserve"> C00245</t>
  </si>
  <si>
    <t>C05844</t>
  </si>
  <si>
    <t>C02166</t>
  </si>
  <si>
    <t>C05951 </t>
  </si>
  <si>
    <t>C05689 </t>
  </si>
  <si>
    <t> C05695</t>
  </si>
  <si>
    <t>C02320</t>
  </si>
  <si>
    <t>C05729</t>
  </si>
  <si>
    <t>C02512</t>
  </si>
  <si>
    <t>C05711</t>
  </si>
  <si>
    <t>C05670</t>
  </si>
  <si>
    <t>C06114  </t>
  </si>
  <si>
    <t>C02504  </t>
  </si>
  <si>
    <t xml:space="preserve">C02225  </t>
  </si>
  <si>
    <t>C03862</t>
  </si>
  <si>
    <t>  C02189 </t>
  </si>
  <si>
    <t> C00110 </t>
  </si>
  <si>
    <t> C02863</t>
  </si>
  <si>
    <t xml:space="preserve">  C19803</t>
  </si>
  <si>
    <t>  C20722</t>
  </si>
  <si>
    <t> C00002 </t>
  </si>
  <si>
    <t>C00008 </t>
  </si>
  <si>
    <t xml:space="preserve">  C00013</t>
  </si>
  <si>
    <t>C00017 </t>
  </si>
  <si>
    <t xml:space="preserve">C00029  </t>
  </si>
  <si>
    <t>C00031 </t>
  </si>
  <si>
    <t xml:space="preserve"> C00043  </t>
  </si>
  <si>
    <t xml:space="preserve"> C00044</t>
  </si>
  <si>
    <t xml:space="preserve"> C00046</t>
  </si>
  <si>
    <t> C00047</t>
  </si>
  <si>
    <t xml:space="preserve"> C00055  </t>
  </si>
  <si>
    <t>C00059</t>
  </si>
  <si>
    <t>C00060 </t>
  </si>
  <si>
    <t> C00062</t>
  </si>
  <si>
    <t xml:space="preserve">C00063  </t>
  </si>
  <si>
    <t>C00069</t>
  </si>
  <si>
    <t>C00086</t>
  </si>
  <si>
    <t xml:space="preserve">C00096  </t>
  </si>
  <si>
    <t>C00099 </t>
  </si>
  <si>
    <t>C00103  </t>
  </si>
  <si>
    <t xml:space="preserve"> C00104  </t>
  </si>
  <si>
    <t>C00106  </t>
  </si>
  <si>
    <t>C00108  </t>
  </si>
  <si>
    <t> C00119</t>
  </si>
  <si>
    <t>C00120  </t>
  </si>
  <si>
    <t>C00122 </t>
  </si>
  <si>
    <t xml:space="preserve">  C00125</t>
  </si>
  <si>
    <t xml:space="preserve"> C00126</t>
  </si>
  <si>
    <t xml:space="preserve">C00131  </t>
  </si>
  <si>
    <t>C00134</t>
  </si>
  <si>
    <t>C00145  </t>
  </si>
  <si>
    <t>C00147 </t>
  </si>
  <si>
    <t xml:space="preserve"> C00152</t>
  </si>
  <si>
    <t xml:space="preserve"> C00166</t>
  </si>
  <si>
    <t>C00170  </t>
  </si>
  <si>
    <t>C00191  </t>
  </si>
  <si>
    <t>C00194 </t>
  </si>
  <si>
    <t>C00201 </t>
  </si>
  <si>
    <t> C00208</t>
  </si>
  <si>
    <t xml:space="preserve"> C00212 </t>
  </si>
  <si>
    <t> C00214 </t>
  </si>
  <si>
    <t>C00215 </t>
  </si>
  <si>
    <t>C00217  </t>
  </si>
  <si>
    <t xml:space="preserve">  C00221</t>
  </si>
  <si>
    <t> C00237</t>
  </si>
  <si>
    <t xml:space="preserve"> C00239</t>
  </si>
  <si>
    <t xml:space="preserve">  C00250</t>
  </si>
  <si>
    <t>C00251</t>
  </si>
  <si>
    <t xml:space="preserve"> C00253  </t>
  </si>
  <si>
    <t>C00255 </t>
  </si>
  <si>
    <t xml:space="preserve"> C00258</t>
  </si>
  <si>
    <t>C00262  </t>
  </si>
  <si>
    <t>C00266  </t>
  </si>
  <si>
    <t>  C00267 </t>
  </si>
  <si>
    <t> C00268 </t>
  </si>
  <si>
    <t>C00275</t>
  </si>
  <si>
    <t xml:space="preserve">C00286  </t>
  </si>
  <si>
    <t xml:space="preserve"> C00288</t>
  </si>
  <si>
    <t>C00294  </t>
  </si>
  <si>
    <t>C00299  </t>
  </si>
  <si>
    <t>C00310</t>
  </si>
  <si>
    <t xml:space="preserve"> C00314</t>
  </si>
  <si>
    <t>C00315</t>
  </si>
  <si>
    <t> C00320 </t>
  </si>
  <si>
    <t>C00330 </t>
  </si>
  <si>
    <t>C00333 </t>
  </si>
  <si>
    <t xml:space="preserve">C00334  </t>
  </si>
  <si>
    <t xml:space="preserve"> C00360</t>
  </si>
  <si>
    <t xml:space="preserve">  C00362</t>
  </si>
  <si>
    <t xml:space="preserve">  C00363</t>
  </si>
  <si>
    <t>C00378 </t>
  </si>
  <si>
    <t>C00385  </t>
  </si>
  <si>
    <t xml:space="preserve">C00390  </t>
  </si>
  <si>
    <t> C00399  </t>
  </si>
  <si>
    <t>C00403</t>
  </si>
  <si>
    <t xml:space="preserve">C00404  </t>
  </si>
  <si>
    <t xml:space="preserve">C00407  </t>
  </si>
  <si>
    <t>C00417</t>
  </si>
  <si>
    <t xml:space="preserve"> C00430</t>
  </si>
  <si>
    <t>C00448</t>
  </si>
  <si>
    <t> C00454  </t>
  </si>
  <si>
    <t xml:space="preserve">  C00455 </t>
  </si>
  <si>
    <t> C00458</t>
  </si>
  <si>
    <t>  C00459</t>
  </si>
  <si>
    <t> C00460</t>
  </si>
  <si>
    <t xml:space="preserve"> C00463</t>
  </si>
  <si>
    <t xml:space="preserve">C00475  </t>
  </si>
  <si>
    <t xml:space="preserve">C00490  </t>
  </si>
  <si>
    <t>C00491</t>
  </si>
  <si>
    <t>C00526 </t>
  </si>
  <si>
    <t>C00531</t>
  </si>
  <si>
    <t> C00534</t>
  </si>
  <si>
    <t>C00536  </t>
  </si>
  <si>
    <t xml:space="preserve"> C00541</t>
  </si>
  <si>
    <t>C00542</t>
  </si>
  <si>
    <t>C00558</t>
  </si>
  <si>
    <t xml:space="preserve"> C00559</t>
  </si>
  <si>
    <t>C00562</t>
  </si>
  <si>
    <t xml:space="preserve"> C00568</t>
  </si>
  <si>
    <t>C00577</t>
  </si>
  <si>
    <t xml:space="preserve"> C00615</t>
  </si>
  <si>
    <t>C00620</t>
  </si>
  <si>
    <t> C00627</t>
  </si>
  <si>
    <t>  C00647</t>
  </si>
  <si>
    <t>  C00666</t>
  </si>
  <si>
    <t xml:space="preserve"> C00668</t>
  </si>
  <si>
    <t>  C00669</t>
  </si>
  <si>
    <t xml:space="preserve">  C00671</t>
  </si>
  <si>
    <t xml:space="preserve">C00677  </t>
  </si>
  <si>
    <t>C00683</t>
  </si>
  <si>
    <t>C00686</t>
  </si>
  <si>
    <t>C00689</t>
  </si>
  <si>
    <t xml:space="preserve">C00692  </t>
  </si>
  <si>
    <t xml:space="preserve">C00700  </t>
  </si>
  <si>
    <t> C00740 </t>
  </si>
  <si>
    <t>C00812  </t>
  </si>
  <si>
    <t>C00826</t>
  </si>
  <si>
    <t>C00831 </t>
  </si>
  <si>
    <t>C00853</t>
  </si>
  <si>
    <t> C00857</t>
  </si>
  <si>
    <t xml:space="preserve">C00868  </t>
  </si>
  <si>
    <t>C00870  </t>
  </si>
  <si>
    <t>C00881  </t>
  </si>
  <si>
    <t>C00905</t>
  </si>
  <si>
    <t>C00911 </t>
  </si>
  <si>
    <t>C00921</t>
  </si>
  <si>
    <t>C00931  </t>
  </si>
  <si>
    <t>C00935</t>
  </si>
  <si>
    <t>C00944</t>
  </si>
  <si>
    <t xml:space="preserve"> C00993 </t>
  </si>
  <si>
    <t>C01024 </t>
  </si>
  <si>
    <t>C01037</t>
  </si>
  <si>
    <t>C01081</t>
  </si>
  <si>
    <t>C01083 </t>
  </si>
  <si>
    <t xml:space="preserve"> C01092  </t>
  </si>
  <si>
    <t xml:space="preserve"> C01094</t>
  </si>
  <si>
    <t>C01100 </t>
  </si>
  <si>
    <t>  C01102</t>
  </si>
  <si>
    <t>C01118</t>
  </si>
  <si>
    <t> C01134</t>
  </si>
  <si>
    <t xml:space="preserve">C01137  </t>
  </si>
  <si>
    <t xml:space="preserve">C01153  </t>
  </si>
  <si>
    <t>C01159</t>
  </si>
  <si>
    <t>C01213 </t>
  </si>
  <si>
    <t>C01222  </t>
  </si>
  <si>
    <t> C01267</t>
  </si>
  <si>
    <t>C01269</t>
  </si>
  <si>
    <t>C01278</t>
  </si>
  <si>
    <t xml:space="preserve"> C01279 </t>
  </si>
  <si>
    <t xml:space="preserve">  C01281 </t>
  </si>
  <si>
    <t> C01299</t>
  </si>
  <si>
    <t>C01300</t>
  </si>
  <si>
    <t>C01336</t>
  </si>
  <si>
    <t xml:space="preserve"> C01344 </t>
  </si>
  <si>
    <t>  C01345</t>
  </si>
  <si>
    <t> C01563 </t>
  </si>
  <si>
    <t>C01609</t>
  </si>
  <si>
    <t> C01636</t>
  </si>
  <si>
    <t xml:space="preserve">C01638  </t>
  </si>
  <si>
    <t>C01643</t>
  </si>
  <si>
    <t xml:space="preserve">  C01644</t>
  </si>
  <si>
    <t xml:space="preserve"> C01645 </t>
  </si>
  <si>
    <t xml:space="preserve">  C01646</t>
  </si>
  <si>
    <t>C01672 </t>
  </si>
  <si>
    <t>C01762  </t>
  </si>
  <si>
    <t xml:space="preserve"> C01879</t>
  </si>
  <si>
    <t>C01885  </t>
  </si>
  <si>
    <t>C01909</t>
  </si>
  <si>
    <t>  C01931</t>
  </si>
  <si>
    <t>C01935</t>
  </si>
  <si>
    <t>C01962</t>
  </si>
  <si>
    <t> C02047</t>
  </si>
  <si>
    <t xml:space="preserve"> C02128</t>
  </si>
  <si>
    <t>C02167</t>
  </si>
  <si>
    <t xml:space="preserve">C02211  </t>
  </si>
  <si>
    <t>C02218 </t>
  </si>
  <si>
    <t>C02291</t>
  </si>
  <si>
    <t>C02380 </t>
  </si>
  <si>
    <t xml:space="preserve"> C02514</t>
  </si>
  <si>
    <t>C02532</t>
  </si>
  <si>
    <t xml:space="preserve"> C02553</t>
  </si>
  <si>
    <t>C02631 </t>
  </si>
  <si>
    <t>C02729</t>
  </si>
  <si>
    <t>C02730</t>
  </si>
  <si>
    <t>C02739</t>
  </si>
  <si>
    <t>C02741</t>
  </si>
  <si>
    <t>C02749</t>
  </si>
  <si>
    <t> C02839</t>
  </si>
  <si>
    <t>C02882</t>
  </si>
  <si>
    <t>C02970 </t>
  </si>
  <si>
    <t>C02984  </t>
  </si>
  <si>
    <t> C02988</t>
  </si>
  <si>
    <t> C02992</t>
  </si>
  <si>
    <t xml:space="preserve">  C03024 </t>
  </si>
  <si>
    <t>C03028  </t>
  </si>
  <si>
    <t>C03114</t>
  </si>
  <si>
    <t> C03127</t>
  </si>
  <si>
    <t>C03160 </t>
  </si>
  <si>
    <t> C03161</t>
  </si>
  <si>
    <t xml:space="preserve">  C03175</t>
  </si>
  <si>
    <t xml:space="preserve">  C03263 </t>
  </si>
  <si>
    <t>C03360</t>
  </si>
  <si>
    <t> C03373 </t>
  </si>
  <si>
    <t>C03406 </t>
  </si>
  <si>
    <t xml:space="preserve"> C03479</t>
  </si>
  <si>
    <t> C03492</t>
  </si>
  <si>
    <t> C03506 </t>
  </si>
  <si>
    <t>  C03512</t>
  </si>
  <si>
    <t>C03541</t>
  </si>
  <si>
    <t xml:space="preserve">C03586  </t>
  </si>
  <si>
    <t xml:space="preserve"> C03633</t>
  </si>
  <si>
    <t xml:space="preserve">  C03657</t>
  </si>
  <si>
    <t>C03722  </t>
  </si>
  <si>
    <t> C03892</t>
  </si>
  <si>
    <t xml:space="preserve">  C04006 </t>
  </si>
  <si>
    <t> C04051 </t>
  </si>
  <si>
    <t xml:space="preserve"> C04079</t>
  </si>
  <si>
    <t>C04105</t>
  </si>
  <si>
    <t>C04225  </t>
  </si>
  <si>
    <t> C04242</t>
  </si>
  <si>
    <t xml:space="preserve">C04258  </t>
  </si>
  <si>
    <t xml:space="preserve">  C04261</t>
  </si>
  <si>
    <t> C04262</t>
  </si>
  <si>
    <t xml:space="preserve">C04287  </t>
  </si>
  <si>
    <t>C04294 </t>
  </si>
  <si>
    <t>C04302</t>
  </si>
  <si>
    <t>C04309  </t>
  </si>
  <si>
    <t xml:space="preserve">  C04327</t>
  </si>
  <si>
    <t>C04332</t>
  </si>
  <si>
    <t> C04352</t>
  </si>
  <si>
    <t>C04421</t>
  </si>
  <si>
    <t>C04425  </t>
  </si>
  <si>
    <t> C04432</t>
  </si>
  <si>
    <t> C04494</t>
  </si>
  <si>
    <t>C04593</t>
  </si>
  <si>
    <t>C04640 </t>
  </si>
  <si>
    <t>C04666</t>
  </si>
  <si>
    <t xml:space="preserve"> C04681</t>
  </si>
  <si>
    <t>C04691  </t>
  </si>
  <si>
    <t>C04732</t>
  </si>
  <si>
    <t>C04735</t>
  </si>
  <si>
    <t>C04778  </t>
  </si>
  <si>
    <t>C04807</t>
  </si>
  <si>
    <t>C04874 </t>
  </si>
  <si>
    <t xml:space="preserve"> C04877</t>
  </si>
  <si>
    <t xml:space="preserve">C04882  </t>
  </si>
  <si>
    <t xml:space="preserve">C04895  </t>
  </si>
  <si>
    <t>C05250</t>
  </si>
  <si>
    <t xml:space="preserve"> C05326</t>
  </si>
  <si>
    <t>C05359</t>
  </si>
  <si>
    <t> C05378</t>
  </si>
  <si>
    <t>C05512 </t>
  </si>
  <si>
    <t>C05686</t>
  </si>
  <si>
    <t>  C05688 </t>
  </si>
  <si>
    <t>C05697</t>
  </si>
  <si>
    <t xml:space="preserve">  C05699  </t>
  </si>
  <si>
    <t>C05702</t>
  </si>
  <si>
    <t>C05726</t>
  </si>
  <si>
    <t>C05766</t>
  </si>
  <si>
    <t>C05768 </t>
  </si>
  <si>
    <t xml:space="preserve"> C05774</t>
  </si>
  <si>
    <t>C05775</t>
  </si>
  <si>
    <t xml:space="preserve">  C05817</t>
  </si>
  <si>
    <t>C05840 </t>
  </si>
  <si>
    <t>C05841  </t>
  </si>
  <si>
    <t>C05847</t>
  </si>
  <si>
    <t xml:space="preserve"> C05892</t>
  </si>
  <si>
    <t>C05893 </t>
  </si>
  <si>
    <t xml:space="preserve">C05897  </t>
  </si>
  <si>
    <t>C05898  </t>
  </si>
  <si>
    <t>  C05921</t>
  </si>
  <si>
    <t>C05922</t>
  </si>
  <si>
    <t>C05923 </t>
  </si>
  <si>
    <t>C05924  </t>
  </si>
  <si>
    <t>C05928</t>
  </si>
  <si>
    <t>  C05929</t>
  </si>
  <si>
    <t>C06054 </t>
  </si>
  <si>
    <t>C06055 </t>
  </si>
  <si>
    <t> C06056 </t>
  </si>
  <si>
    <t>C06206 </t>
  </si>
  <si>
    <t>C06249 </t>
  </si>
  <si>
    <t>C06400</t>
  </si>
  <si>
    <t>  C06481</t>
  </si>
  <si>
    <t>C06504</t>
  </si>
  <si>
    <t>C06505</t>
  </si>
  <si>
    <t>  C06506 </t>
  </si>
  <si>
    <t>C06508</t>
  </si>
  <si>
    <t>C06509 </t>
  </si>
  <si>
    <t> C06510</t>
  </si>
  <si>
    <t>C06892  </t>
  </si>
  <si>
    <t> C06893 </t>
  </si>
  <si>
    <t>C07649 </t>
  </si>
  <si>
    <t>C09332</t>
  </si>
  <si>
    <t xml:space="preserve">C11038  </t>
  </si>
  <si>
    <t> C11039 </t>
  </si>
  <si>
    <t>C11355 </t>
  </si>
  <si>
    <t>C11435</t>
  </si>
  <si>
    <t>C11436 </t>
  </si>
  <si>
    <t>C11440  </t>
  </si>
  <si>
    <t xml:space="preserve"> C11826</t>
  </si>
  <si>
    <t xml:space="preserve"> C11827 </t>
  </si>
  <si>
    <t> C11907 </t>
  </si>
  <si>
    <t>C14610</t>
  </si>
  <si>
    <t xml:space="preserve"> C14818</t>
  </si>
  <si>
    <t>C15522</t>
  </si>
  <si>
    <t>C15541</t>
  </si>
  <si>
    <t>C15547</t>
  </si>
  <si>
    <t>  C15556</t>
  </si>
  <si>
    <t>C15810 </t>
  </si>
  <si>
    <t xml:space="preserve">C15812  </t>
  </si>
  <si>
    <t>C15814 </t>
  </si>
  <si>
    <t>C16565</t>
  </si>
  <si>
    <t>C16614  </t>
  </si>
  <si>
    <t> C16615 </t>
  </si>
  <si>
    <t>C16617</t>
  </si>
  <si>
    <t>C16634  </t>
  </si>
  <si>
    <t>C16675</t>
  </si>
  <si>
    <t xml:space="preserve"> C17023  </t>
  </si>
  <si>
    <t>C17234</t>
  </si>
  <si>
    <t xml:space="preserve">C17322  </t>
  </si>
  <si>
    <t>C17556  </t>
  </si>
  <si>
    <t>C18026</t>
  </si>
  <si>
    <t xml:space="preserve"> C18096</t>
  </si>
  <si>
    <t>C18237</t>
  </si>
  <si>
    <t>C18239</t>
  </si>
  <si>
    <t> C19078 </t>
  </si>
  <si>
    <t>C19080  </t>
  </si>
  <si>
    <t> C19609</t>
  </si>
  <si>
    <t xml:space="preserve"> C19702 </t>
  </si>
  <si>
    <t>C19723  </t>
  </si>
  <si>
    <t>C19761</t>
  </si>
  <si>
    <t>C19784</t>
  </si>
  <si>
    <t>C19791</t>
  </si>
  <si>
    <t> C19871 </t>
  </si>
  <si>
    <t>C20237</t>
  </si>
  <si>
    <t xml:space="preserve">  C20246</t>
  </si>
  <si>
    <t>C20247</t>
  </si>
  <si>
    <t> C20352 </t>
  </si>
  <si>
    <t>C20446 </t>
  </si>
  <si>
    <t>C20451 </t>
  </si>
  <si>
    <t> C20565</t>
  </si>
  <si>
    <t>C20753 </t>
  </si>
  <si>
    <t>C20755 </t>
  </si>
  <si>
    <t xml:space="preserve">C20904  </t>
  </si>
  <si>
    <t> C20969</t>
  </si>
  <si>
    <t xml:space="preserve"> C21015</t>
  </si>
  <si>
    <t> C21153</t>
  </si>
  <si>
    <t xml:space="preserve">  C21177  </t>
  </si>
  <si>
    <t xml:space="preserve">C21178  </t>
  </si>
  <si>
    <t>C21179</t>
  </si>
  <si>
    <t>C21310  </t>
  </si>
  <si>
    <t> C21440</t>
  </si>
  <si>
    <t>C21606  </t>
  </si>
  <si>
    <t> C21607</t>
  </si>
  <si>
    <t>  C21608</t>
  </si>
  <si>
    <t>C21609  </t>
  </si>
  <si>
    <t>C21749</t>
  </si>
  <si>
    <t> C21751</t>
  </si>
  <si>
    <t>C21767</t>
  </si>
  <si>
    <t>C21769 </t>
  </si>
  <si>
    <t>C22154</t>
  </si>
  <si>
    <t xml:space="preserve"> C22155</t>
  </si>
  <si>
    <t xml:space="preserve">C22159  </t>
  </si>
  <si>
    <t>C22160</t>
  </si>
  <si>
    <t xml:space="preserve">C22395  </t>
  </si>
  <si>
    <t> C22442  </t>
  </si>
  <si>
    <t>C22443</t>
  </si>
  <si>
    <t>C22458</t>
  </si>
  <si>
    <t>G00275</t>
  </si>
  <si>
    <t xml:space="preserve">G09795  </t>
  </si>
  <si>
    <t>G10550  </t>
  </si>
  <si>
    <t>G10553  </t>
  </si>
  <si>
    <t>G10554 </t>
  </si>
  <si>
    <t xml:space="preserve">G10555  </t>
  </si>
  <si>
    <t xml:space="preserve">G10556  </t>
  </si>
  <si>
    <t> G10557</t>
  </si>
  <si>
    <t>G10589</t>
  </si>
  <si>
    <t>G10608</t>
  </si>
  <si>
    <t xml:space="preserve">G10610 </t>
  </si>
  <si>
    <t xml:space="preserve">G10614  </t>
  </si>
  <si>
    <t>G10617  </t>
  </si>
  <si>
    <t>G10619  </t>
  </si>
  <si>
    <t> G10620</t>
  </si>
  <si>
    <t> G10622  </t>
  </si>
  <si>
    <t xml:space="preserve"> G11109 </t>
  </si>
  <si>
    <t xml:space="preserve"> G11291</t>
  </si>
  <si>
    <t>G13027</t>
  </si>
  <si>
    <t>  G13102</t>
  </si>
  <si>
    <t>G13107</t>
  </si>
  <si>
    <t>  G13108</t>
  </si>
  <si>
    <t xml:space="preserve">  G13119</t>
  </si>
  <si>
    <t xml:space="preserve">  G13120 </t>
  </si>
  <si>
    <t>G13121</t>
  </si>
  <si>
    <t>G13125</t>
  </si>
  <si>
    <t> C18902</t>
  </si>
  <si>
    <t>Water</t>
  </si>
  <si>
    <t>ATP</t>
  </si>
  <si>
    <t>NAD+</t>
  </si>
  <si>
    <t>NADH</t>
  </si>
  <si>
    <t>NADPH</t>
  </si>
  <si>
    <t>NADP+</t>
  </si>
  <si>
    <t>Oxygen</t>
  </si>
  <si>
    <t>ADP</t>
  </si>
  <si>
    <t xml:space="preserve">Phosphoric Acid </t>
  </si>
  <si>
    <t>CoA</t>
  </si>
  <si>
    <t xml:space="preserve">Carbon Dioxide </t>
  </si>
  <si>
    <t>peptide</t>
  </si>
  <si>
    <t xml:space="preserve">Diphosphoric Acid </t>
  </si>
  <si>
    <t>Ammonia</t>
  </si>
  <si>
    <t>UDP</t>
  </si>
  <si>
    <t>FAD</t>
  </si>
  <si>
    <t>Pyridoxal Phosphate(PLP)</t>
  </si>
  <si>
    <t>SAM</t>
  </si>
  <si>
    <t>AMP</t>
  </si>
  <si>
    <t>S-Adenosyl-L-Homocysteine(SAH)</t>
  </si>
  <si>
    <t xml:space="preserve">Pyruvate </t>
  </si>
  <si>
    <t>Acetyl-CoA</t>
  </si>
  <si>
    <t>L-Glutamate</t>
  </si>
  <si>
    <t xml:space="preserve">2-Oxoglutarate </t>
  </si>
  <si>
    <t xml:space="preserve">Hydrogen Peroxide </t>
  </si>
  <si>
    <t>Acceptor</t>
  </si>
  <si>
    <t>UDP-glucose</t>
  </si>
  <si>
    <t xml:space="preserve">Reduced Acceptor </t>
  </si>
  <si>
    <t>D-Glucose</t>
  </si>
  <si>
    <t>Acetate</t>
  </si>
  <si>
    <t>GDP</t>
  </si>
  <si>
    <t>Oxaloacetate</t>
  </si>
  <si>
    <t>Glycine</t>
  </si>
  <si>
    <t>DNA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</si>
  <si>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</si>
  <si>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</si>
  <si>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</si>
  <si>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</si>
  <si>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</si>
  <si>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</si>
  <si>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</si>
  <si>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</si>
  <si>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</si>
  <si>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</si>
  <si>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</si>
  <si>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</si>
  <si>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</si>
  <si>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</si>
  <si>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</si>
  <si>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</si>
  <si>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</si>
  <si>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</si>
  <si>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</si>
  <si>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 xml:space="preserve">Thiamin Diphosphate </t>
  </si>
  <si>
    <t xml:space="preserve">Aldehyde 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</si>
  <si>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</si>
  <si>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</si>
  <si>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</si>
  <si>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</si>
  <si>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</si>
  <si>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</si>
  <si>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</si>
  <si>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</si>
  <si>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</si>
  <si>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</si>
  <si>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Sucrose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</si>
  <si>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</si>
  <si>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</si>
  <si>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</si>
  <si>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</si>
  <si>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</si>
  <si>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</si>
  <si>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</si>
  <si>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</si>
  <si>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</si>
  <si>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</si>
  <si>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</si>
  <si>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</si>
  <si>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 xml:space="preserve">Choline 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</si>
  <si>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</si>
  <si>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</si>
  <si>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</si>
  <si>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</si>
  <si>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Fumarate</t>
  </si>
  <si>
    <t>L-Leucine</t>
  </si>
  <si>
    <t xml:space="preserve">Isopentenyl Diphosphate </t>
  </si>
  <si>
    <t>IMP</t>
  </si>
  <si>
    <t>dATP</t>
  </si>
  <si>
    <t>D-Alanine</t>
  </si>
  <si>
    <t>Butanoyl-CoA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</si>
  <si>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</si>
  <si>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</si>
  <si>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</si>
  <si>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</si>
  <si>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</si>
  <si>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</si>
  <si>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</si>
  <si>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Nicotinamide</t>
  </si>
  <si>
    <t>L-Homocysteine</t>
  </si>
  <si>
    <t>Citrate</t>
  </si>
  <si>
    <t>2-Oxo acid</t>
  </si>
  <si>
    <t>Propanoate</t>
  </si>
  <si>
    <t>Phenylpyruvate</t>
  </si>
  <si>
    <t xml:space="preserve">Carbamoyl Phosphate </t>
  </si>
  <si>
    <t xml:space="preserve">5'-Methylthioadenosine </t>
  </si>
  <si>
    <t>L-Valine</t>
  </si>
  <si>
    <t>Glycerone</t>
  </si>
  <si>
    <t>(S)-Lactate</t>
  </si>
  <si>
    <t>L-Threonine</t>
  </si>
  <si>
    <t xml:space="preserve">3-Phospho-D-glycerate </t>
  </si>
  <si>
    <t xml:space="preserve">D-Ribulose 5-phosphate </t>
  </si>
  <si>
    <t>NTP</t>
  </si>
  <si>
    <t>UDP-N-acetyl-D-galactosamine</t>
  </si>
  <si>
    <t>dADP</t>
  </si>
  <si>
    <t xml:space="preserve">Adenosine </t>
  </si>
  <si>
    <t xml:space="preserve">Thymidine </t>
  </si>
  <si>
    <t xml:space="preserve">D-Glutamate </t>
  </si>
  <si>
    <t xml:space="preserve">Adenylyl Sulfate </t>
  </si>
  <si>
    <t>Primary Alcohol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</si>
  <si>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</si>
  <si>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</si>
  <si>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</si>
  <si>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</si>
  <si>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</si>
  <si>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</si>
  <si>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</si>
  <si>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</si>
  <si>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</si>
  <si>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</si>
  <si>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Taurine</t>
  </si>
  <si>
    <t>Pyridoxal</t>
  </si>
  <si>
    <t>Nicotinate</t>
  </si>
  <si>
    <t>Riboflavin</t>
  </si>
  <si>
    <t>(R)-Lactate</t>
  </si>
  <si>
    <t>D-Glycerate</t>
  </si>
  <si>
    <t>Hypoxanthine</t>
  </si>
  <si>
    <t>L-Homoserine</t>
  </si>
  <si>
    <t xml:space="preserve">alpha-D-Glucose </t>
  </si>
  <si>
    <t>CDP-diacylglycerol</t>
  </si>
  <si>
    <t>Tetrahydrobiopterin</t>
  </si>
  <si>
    <t xml:space="preserve">Hydrogen Sulfide </t>
  </si>
  <si>
    <t>dGTP</t>
  </si>
  <si>
    <t>HCO3-</t>
  </si>
  <si>
    <t>Inosine</t>
  </si>
  <si>
    <t>Orotate</t>
  </si>
  <si>
    <t>Uridine</t>
  </si>
  <si>
    <t>Pyridoxine</t>
  </si>
  <si>
    <t>Thiosulfate</t>
  </si>
  <si>
    <t>Deoxyguanosine</t>
  </si>
  <si>
    <t>Acetoacetyl-CoA</t>
  </si>
  <si>
    <t>(S)-Dihydroorotate</t>
  </si>
  <si>
    <t>Thioredoxin</t>
  </si>
  <si>
    <t xml:space="preserve">Thioredoxin disulfide </t>
  </si>
  <si>
    <t>6-Phospho-D-gluconate</t>
  </si>
  <si>
    <t>D-Glucosamine 6-phosphate</t>
  </si>
  <si>
    <t>D-Fructose 1,6-bisphosphate</t>
  </si>
  <si>
    <t>N-Acetyl-D-glucosamine 6-phosphate</t>
  </si>
  <si>
    <t>dAMP</t>
  </si>
  <si>
    <t>dGDP</t>
  </si>
  <si>
    <t>dGMP</t>
  </si>
  <si>
    <t>dTMP</t>
  </si>
  <si>
    <t>dUMP</t>
  </si>
  <si>
    <t>Starch</t>
  </si>
  <si>
    <t>Retinal</t>
  </si>
  <si>
    <t>Thiamine</t>
  </si>
  <si>
    <t>Xanthine</t>
  </si>
  <si>
    <t xml:space="preserve">Guanosine </t>
  </si>
  <si>
    <t>D-Amino acid</t>
  </si>
  <si>
    <t>L-Isoleucine</t>
  </si>
  <si>
    <t>Dihydrofolate</t>
  </si>
  <si>
    <t>Phosphatidate</t>
  </si>
  <si>
    <t>( R )-Mevalonate</t>
  </si>
  <si>
    <t>N-Carbamoyl-L-aspartate</t>
  </si>
  <si>
    <t>L-Aspartate 4-semialdehyde</t>
  </si>
  <si>
    <t>5,10-Methenyltetrahydrofolate</t>
  </si>
  <si>
    <t>Sedoheptulose 1,7-bisphosphate</t>
  </si>
  <si>
    <t>NDP</t>
  </si>
  <si>
    <t>Nicotinamide-D-ribonucleotide</t>
  </si>
  <si>
    <t>dCTP</t>
  </si>
  <si>
    <t>dTTP</t>
  </si>
  <si>
    <t>dUTP</t>
  </si>
  <si>
    <t>Ethanol</t>
  </si>
  <si>
    <t>Retinol</t>
  </si>
  <si>
    <t>Cytidine</t>
  </si>
  <si>
    <t>ADP-glucose</t>
  </si>
  <si>
    <t>Folate</t>
  </si>
  <si>
    <t>Deoxyuridine</t>
  </si>
  <si>
    <t>Pyridoxamine</t>
  </si>
  <si>
    <t>Deoxyadenosine</t>
  </si>
  <si>
    <t xml:space="preserve">Betaine aldehyde </t>
  </si>
  <si>
    <t>Protein tyrosine</t>
  </si>
  <si>
    <t>Protein histidine</t>
  </si>
  <si>
    <t>Pyridoxine phosphate</t>
  </si>
  <si>
    <t>2-Phospho-D-glycerate</t>
  </si>
  <si>
    <t>Pyridoxamine phosphate</t>
  </si>
  <si>
    <t>Xanthosine 5'-phosphate</t>
  </si>
  <si>
    <t>LL-2,6-Diaminoheptanedioate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</si>
  <si>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</si>
  <si>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</si>
  <si>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</si>
  <si>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</si>
  <si>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</si>
  <si>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1-Acyl-sn-glycerol 3-phosphate</t>
  </si>
  <si>
    <t>UDP-N-acetylmuramoyl-L-alanyl-D-glutamate</t>
  </si>
  <si>
    <t>dCDP</t>
  </si>
  <si>
    <t>Amylose</t>
  </si>
  <si>
    <t>1-Octanol</t>
  </si>
  <si>
    <t>Mevaldate</t>
  </si>
  <si>
    <t>tRNA(Tyr)</t>
  </si>
  <si>
    <t>D-Glutamine</t>
  </si>
  <si>
    <t xml:space="preserve">Pantethiene </t>
  </si>
  <si>
    <t>dTDP-glucose</t>
  </si>
  <si>
    <t>Deamino-NAD+</t>
  </si>
  <si>
    <t>Pantothenate</t>
  </si>
  <si>
    <t>tRNA uridine</t>
  </si>
  <si>
    <t>Deoxycytidine</t>
  </si>
  <si>
    <t>Dephospho-CoA</t>
  </si>
  <si>
    <t>L-Alanyl-tRNA</t>
  </si>
  <si>
    <t>Ribonucleoside</t>
  </si>
  <si>
    <t>Mercaptopyruvate</t>
  </si>
  <si>
    <t>O-Acetyl-L-serine</t>
  </si>
  <si>
    <t>D-Alanyl-D-alanine</t>
  </si>
  <si>
    <t>O-Phospho-L-serine</t>
  </si>
  <si>
    <t>UDP-N-acetylmuramate</t>
  </si>
  <si>
    <t>D-Fructose 1-phosphate</t>
  </si>
  <si>
    <t>D-Tagatose 6-phosphate</t>
  </si>
  <si>
    <t>O-Phospho-L-homoserine</t>
  </si>
  <si>
    <t xml:space="preserve">Orotidine 5'-phosphate </t>
  </si>
  <si>
    <t>Pantetheine 4'-phosphate</t>
  </si>
  <si>
    <t>Protein tyrosine phosphate</t>
  </si>
  <si>
    <t>beta-D-Glucose 6-phosphate</t>
  </si>
  <si>
    <t>3-(4-Hydroxyphenyl)pyruvate</t>
  </si>
  <si>
    <t>Nicotinate D-ribonucleotide</t>
  </si>
  <si>
    <t>UDP-N-acetylmuramoyl-L-alanine</t>
  </si>
  <si>
    <t>5,6,7,8-Tetrahydromethanopterin</t>
  </si>
  <si>
    <t>D-Glucono-1,5-lactone 6-phosphate</t>
  </si>
  <si>
    <t>4-Amino-5-hydroxymethyl-2-methylpyrimidine</t>
  </si>
  <si>
    <t>dUDP</t>
  </si>
  <si>
    <t>Ketone</t>
  </si>
  <si>
    <t>Hydrogen Selenide</t>
  </si>
  <si>
    <t>Octanal</t>
  </si>
  <si>
    <t>Carbamate</t>
  </si>
  <si>
    <t>Secondary alcohol</t>
  </si>
  <si>
    <t>tRNA(Ala)</t>
  </si>
  <si>
    <t>tRNA(Arg)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</si>
  <si>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</si>
  <si>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</si>
  <si>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</si>
  <si>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</si>
  <si>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</si>
  <si>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</si>
  <si>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</si>
  <si>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</si>
  <si>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</si>
  <si>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</si>
  <si>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</si>
  <si>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</si>
  <si>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</si>
  <si>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</si>
  <si>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L-Lysyl-tRNA</t>
  </si>
  <si>
    <t>tRNA guanine</t>
  </si>
  <si>
    <t>Histone N6-acetyl-L-lysine</t>
  </si>
  <si>
    <t>L-Leucyl-tRNA</t>
  </si>
  <si>
    <t>Trypanothione</t>
  </si>
  <si>
    <t>dTDP-galactose</t>
  </si>
  <si>
    <t>5'-Phospho-DNA</t>
  </si>
  <si>
    <t xml:space="preserve">Acyl phosphate </t>
  </si>
  <si>
    <t>L-Arginyl-tRNA(Arg)</t>
  </si>
  <si>
    <t>Protein lysine</t>
  </si>
  <si>
    <t>tRNA precursor</t>
  </si>
  <si>
    <t>(S)-2-Aminobutanoate</t>
  </si>
  <si>
    <t>6-Mercaptopurine</t>
  </si>
  <si>
    <t>Glycyl-tRNA(Gly)</t>
  </si>
  <si>
    <t>Histone-L-lysine</t>
  </si>
  <si>
    <t>L-Methionyl-tRNA</t>
  </si>
  <si>
    <t>5'-Ribonucleotide</t>
  </si>
  <si>
    <t>L-Seryl-tRNA(Ser)</t>
  </si>
  <si>
    <t xml:space="preserve">L-Valyl-tRNA(Val) </t>
  </si>
  <si>
    <t>Protein glutamine</t>
  </si>
  <si>
    <t>L-Prolyl-tRNA(Pro)</t>
  </si>
  <si>
    <t>[Protein]-L-cysteine </t>
  </si>
  <si>
    <t>tRNA pseudouridine</t>
  </si>
  <si>
    <t>L-Tyrosyl-tRNA(Tyr)</t>
  </si>
  <si>
    <t>Propanoyl phosphate</t>
  </si>
  <si>
    <t>(2-Naphthyl)methanol</t>
  </si>
  <si>
    <t>7,8-Dihydrobiopterin</t>
  </si>
  <si>
    <t>D-Allose 6-phosphate</t>
  </si>
  <si>
    <t>L-Aspartyl-tRNA(Asp)</t>
  </si>
  <si>
    <t>L-Glutamyl-tRNA(Glu)</t>
  </si>
  <si>
    <t>L-Threonyl-tRNA(Thr)</t>
  </si>
  <si>
    <t xml:space="preserve">Peptide-L-methionine </t>
  </si>
  <si>
    <t xml:space="preserve">Thiamine Triphosphate </t>
  </si>
  <si>
    <t>4-Phospho-L-aspartate</t>
  </si>
  <si>
    <t>5-Phosphoribosylamine</t>
  </si>
  <si>
    <t>L-Cysteinyl-tRNA(Cys)</t>
  </si>
  <si>
    <t>L-Isoleucyl-tRNA(Ile)</t>
  </si>
  <si>
    <t>Nicotinamide-beta-riboside</t>
  </si>
  <si>
    <t>Trypanothione disulfide</t>
  </si>
  <si>
    <t>N-Formylmethionyl-tRNA</t>
  </si>
  <si>
    <t>3-Phospho-D-erythronate</t>
  </si>
  <si>
    <t>Aminoimidazole Ribotide</t>
  </si>
  <si>
    <t>Folinic Acid</t>
  </si>
  <si>
    <t>D-4'-Phosphopantothenate</t>
  </si>
  <si>
    <t>L-Phenylalanyl-tRNA(Phe)</t>
  </si>
  <si>
    <t>L-Tryptophanyl-tRNA(Trp)</t>
  </si>
  <si>
    <t xml:space="preserve">N-Substituted amino acid </t>
  </si>
  <si>
    <t>L-Methionylaminoacyl-tRNA</t>
  </si>
  <si>
    <t>Peptidylproline (omega=0)</t>
  </si>
  <si>
    <t>Apo-[acyl-carrier protein]</t>
  </si>
  <si>
    <t>Ribonucleoside diphosphate</t>
  </si>
  <si>
    <t>D-Tagatose 1,6-bisphosphate</t>
  </si>
  <si>
    <t>N6-(1,2-Dicarboxyethyl)-AMP</t>
  </si>
  <si>
    <t>Peptidylproline (omega=180)</t>
  </si>
  <si>
    <t>Protein S-methyl-L-cysteine</t>
  </si>
  <si>
    <t>Ribosomal-protein L-alanine</t>
  </si>
  <si>
    <t>5'-Phosphoribosylglycinamide</t>
  </si>
  <si>
    <t>N-Substituted aminoacyl-tRNA</t>
  </si>
  <si>
    <t>Phosphatidylglycerophosphate</t>
  </si>
  <si>
    <t>Peptide-L-methionine (S)-S-oxide</t>
  </si>
  <si>
    <t>2,3,4,5-Tetrahydrodipicolinate</t>
  </si>
  <si>
    <t>5-Amino-4-imidazolecarboxyamide</t>
  </si>
  <si>
    <t>N-((R)-Pantothenoyl)-L-cysteine</t>
  </si>
  <si>
    <t>Tetrahydropteroyltri-L-glutamate</t>
  </si>
  <si>
    <t>rRNA containing N2-methylguanine</t>
  </si>
  <si>
    <t>tRNA containing N1-methylguanine</t>
  </si>
  <si>
    <t>tRNA containing N7-methylguanine</t>
  </si>
  <si>
    <t>2'-Deoxyribonucleoside diphosphate</t>
  </si>
  <si>
    <t>5-Fluorodeoxyuridine monophosphate</t>
  </si>
  <si>
    <t>DNA containing 6-O-methylguanine</t>
  </si>
  <si>
    <t>N-Formyl-L-methionylaminoacyl-tRNA</t>
  </si>
  <si>
    <t>Protein N(pi)-phospho-L-histidine</t>
  </si>
  <si>
    <t>5-Methyltetrahydropteroyltri-L-glutamate</t>
  </si>
  <si>
    <t>N-Acetyl-alpha-D-glucosamine 1-phosphate</t>
  </si>
  <si>
    <t>4-Amino-2-methyl-5-(phosphooxymethyl)pyrimidine</t>
  </si>
  <si>
    <t>di-trans,poly-cis-Undecaprenyl diphosphate</t>
  </si>
  <si>
    <t>UDP-N-acetyl-3-(1-carboxyvinyl)-D-glucosamine</t>
  </si>
  <si>
    <t>2-(Formamido)-N1-(5'-phosphoribosyl)acetamidine</t>
  </si>
  <si>
    <t>6-Thioinosine-5'-monophosphate</t>
  </si>
  <si>
    <t>1-(5'-Phosphoribosyl)-5-amino-4-imidazolecarboxamide</t>
  </si>
  <si>
    <t>UDPMurNAc(oyl-L-Ala-D-gamma-Glu-L-Lys-D-Ala-D-Ala)</t>
  </si>
  <si>
    <t>1-(5'-Phosphoribosyl)-5-formamido-4-imidazolecarboxamide</t>
  </si>
  <si>
    <t>1-(5-Phospho-D-ribosyl)-5-amino-4-imidazolecarboxylate</t>
  </si>
  <si>
    <t>4-Amino-5-hydroxymethyl-2-methylpyrimidine diphosphate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</si>
  <si>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</si>
  <si>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</si>
  <si>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</si>
  <si>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</si>
  <si>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5'-Deoxyadenosine</t>
  </si>
  <si>
    <t>L-Selenomethionine</t>
  </si>
  <si>
    <t>Selenomethionyl-tRNA(Met)</t>
  </si>
  <si>
    <t>beta-D-Fructose 6-phosphate</t>
  </si>
  <si>
    <t>beta-D-Fructose 1,6-bisphosphate</t>
  </si>
  <si>
    <t>Sedoheptulose 7-phosphate</t>
  </si>
  <si>
    <t>3alpha,7alpha,26-Trihydroxy-5beta-cholestane</t>
  </si>
  <si>
    <t>3alpha,7alpha-Dihydroxy-5beta-cholestan-26-al</t>
  </si>
  <si>
    <t>Deoxyinosine</t>
  </si>
  <si>
    <t>S-Glutathionyl-L-cysteine</t>
  </si>
  <si>
    <t>3-Sulfopyruvate</t>
  </si>
  <si>
    <t>3,4-Dihydroxyphenylethyleneglycol</t>
  </si>
  <si>
    <t>3,4-Dihydroxymandelaldehyde</t>
  </si>
  <si>
    <t>Selenite</t>
  </si>
  <si>
    <t>Se-Adenosylselenomethionine</t>
  </si>
  <si>
    <t>Selenohomocysteine</t>
  </si>
  <si>
    <t>Methaneselenol</t>
  </si>
  <si>
    <t>3-Mercaptolactate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</si>
  <si>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</si>
  <si>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</si>
  <si>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</si>
  <si>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</si>
  <si>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</si>
  <si>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O-Phospho-4-hydroxy-L-threonine</t>
  </si>
  <si>
    <t>4-Hydroxy-L-threonine</t>
  </si>
  <si>
    <t>alpha-D-Glucosamine 1-phosphate</t>
  </si>
  <si>
    <t>2'-Deoxyinosine 5'-phosphate</t>
  </si>
  <si>
    <t>trans-3-Chloro-2-propene-1-ol</t>
  </si>
  <si>
    <t>cis-3-Chloro-2-propene-1-ol</t>
  </si>
  <si>
    <t>trans-3-Chloroallyl aldehyde</t>
  </si>
  <si>
    <t>Chloral hydrate</t>
  </si>
  <si>
    <t>Trichloroethanol</t>
  </si>
  <si>
    <t>Aldophosphamide</t>
  </si>
  <si>
    <t>Thioguanine</t>
  </si>
  <si>
    <t>5-FU</t>
  </si>
  <si>
    <t>beta-D-Ribopyranose</t>
  </si>
  <si>
    <t>3-Hexenol</t>
  </si>
  <si>
    <t>2'-Deoxy-5-hydroxymethylcytidine-5'-triphosphate</t>
  </si>
  <si>
    <t>1-Deoxy-D-xylulose 5-phosphate</t>
  </si>
  <si>
    <t>Formyl-L-methionyl peptide</t>
  </si>
  <si>
    <t>Methionyl peptide</t>
  </si>
  <si>
    <t>[GlcNAc-(1-&gt;4)-Mur2Ac(oyl-L-Ala-g-D-Glu-L-Lys-D-Ala-D-Ala)]n-diphosphoundecaprenol</t>
  </si>
  <si>
    <t>[GlcNAc-(1-&gt;4)-Mur2Ac(oyl-L-Ala-g-D-Glu-A2pm-D-Ala-D-Ala)]n-diphosphoundecaprenol</t>
  </si>
  <si>
    <t>1-Hydroxymethylnaphthalene</t>
  </si>
  <si>
    <t>1-Naphthaldehyde</t>
  </si>
  <si>
    <t>2-Naphthaldehyde</t>
  </si>
  <si>
    <t>Peptide-L-methionine (R)-S-oxide</t>
  </si>
  <si>
    <t>5-Carboxyamino-1-(5-phospho-D-ribosyl)imidazole</t>
  </si>
  <si>
    <t>[Enzyme]-cysteine</t>
  </si>
  <si>
    <t>[Enzyme]-S-sulfanylcysteine</t>
  </si>
  <si>
    <t>Thiocarboxy-[sulfur-carrier protein]</t>
  </si>
  <si>
    <t>3-Hexenal</t>
  </si>
  <si>
    <t>cis-3-Chloroallyl aldehyde</t>
  </si>
  <si>
    <t>Alcophosphamide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</si>
  <si>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</si>
  <si>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</si>
  <si>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</si>
  <si>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</si>
  <si>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</si>
  <si>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 xml:space="preserve">	
6-Methylthiopurine 5'-monophosphate ribonucleotide</t>
  </si>
  <si>
    <t xml:space="preserve">	
6-Mercaptopurine ribonucleoside triphosphate</t>
  </si>
  <si>
    <t xml:space="preserve">	
6-Thioxanthine 5'-monophosphate</t>
  </si>
  <si>
    <t xml:space="preserve">	
6-Thioguanosine monophosphate</t>
  </si>
  <si>
    <t xml:space="preserve">	
5-Fluorouridine monophosphate</t>
  </si>
  <si>
    <t xml:space="preserve">	
tRNA(Sec)</t>
  </si>
  <si>
    <t>beta-D-Ribofuranose</t>
  </si>
  <si>
    <t>Tryparedoxin</t>
  </si>
  <si>
    <t xml:space="preserve">	
Tryparedoxin disulfide</t>
  </si>
  <si>
    <t>7-Aminomethyl-7-carbaguanine</t>
  </si>
  <si>
    <t xml:space="preserve">	
Sucrose 6-phosphate</t>
  </si>
  <si>
    <t>5-Deoxy-D-glucuronate</t>
  </si>
  <si>
    <t>[Protein]-N6-[(R)-dihydrolipoyl]-L-lysine</t>
  </si>
  <si>
    <t xml:space="preserve">	
Sulfur donor</t>
  </si>
  <si>
    <t>2-Aminobut-2-enoate</t>
  </si>
  <si>
    <t xml:space="preserve">	
tRNA containing 2-thiouridine</t>
  </si>
  <si>
    <t>tRNA adenine</t>
  </si>
  <si>
    <t>di-trans,poly-cis-Undecaprenyl phosphate</t>
  </si>
  <si>
    <t>(2S)-Ethylmalonyl-CoA</t>
  </si>
  <si>
    <t xml:space="preserve">	
Ethylnitronate</t>
  </si>
  <si>
    <t>UDP-L-arabinofuranose</t>
  </si>
  <si>
    <t xml:space="preserve">	
D-Allulose 6-phosphate</t>
  </si>
  <si>
    <t>S-(Hydroxymethyl)mycothiol</t>
  </si>
  <si>
    <t xml:space="preserve">	
Molybdoenzyme molybdenum cofactor</t>
  </si>
  <si>
    <t>Cyclic pyranopterin monophosphate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</si>
  <si>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</si>
  <si>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</si>
  <si>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</si>
  <si>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</si>
  <si>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</si>
  <si>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 xml:space="preserve">	
5-Methylmaleylacetate</t>
  </si>
  <si>
    <t xml:space="preserve">	
2-Methyl-3-oxoadipate</t>
  </si>
  <si>
    <t xml:space="preserve">	
Methylselenic acid</t>
  </si>
  <si>
    <t>tRNA with a 3' cytidine</t>
  </si>
  <si>
    <t>tRNA with a 3' CC end</t>
  </si>
  <si>
    <t>tRNA with a 3' CCA end</t>
  </si>
  <si>
    <t xml:space="preserve">	
Nickel(2+)</t>
  </si>
  <si>
    <t xml:space="preserve">	
1-O-(2-Amino-2-deoxy-alpha-D-glucopyranosyl)-1D-myo-inositol</t>
  </si>
  <si>
    <t xml:space="preserve">	
1-O-[2-(L-Cysteinamido)-2-deoxy-alpha-D-glucopyranosyl]-1D-myo-inositol</t>
  </si>
  <si>
    <t>[tRNA(Ile2)]-cytidine34</t>
  </si>
  <si>
    <t xml:space="preserve">	
[tRNA(Ile2)]-lysidine34</t>
  </si>
  <si>
    <t xml:space="preserve">	
1-O-(2-Acetamido-2-deoxy-alpha-D-glucopyranosyl)-1D-myo-inositol 3-phosphate</t>
  </si>
  <si>
    <t xml:space="preserve">	
1-O-(2-Acetamido-2-deoxy-alpha-D-glucopyranosyl)-1D-myo-inositol</t>
  </si>
  <si>
    <t xml:space="preserve">	
2-O-(alpha-D-Glucopyranosyl)-3-phospho-D-glycerate</t>
  </si>
  <si>
    <t xml:space="preserve">	
[Protein]-L-threonine</t>
  </si>
  <si>
    <t xml:space="preserve">	
Demethylmenaquinol</t>
  </si>
  <si>
    <t xml:space="preserve">	
Guanylyl molybdenum cofactor</t>
  </si>
  <si>
    <t xml:space="preserve">	
alpha-Maltose 1-phosphate</t>
  </si>
  <si>
    <t xml:space="preserve">	
(2R)-Ethylmalonyl-CoA</t>
  </si>
  <si>
    <t xml:space="preserve">	
2-[(2R,5Z)-2-Carboxy-4-methylthiazol-5(2H)-ylidene]ethyl phosphate</t>
  </si>
  <si>
    <t xml:space="preserve">	
2-(2-Carboxy-4-methylthiazol-5-yl)ethyl phosphate</t>
  </si>
  <si>
    <t>(2S,4S)-4-Hydroxy-2,3,4,5-tetrahydrodipicolinate</t>
  </si>
  <si>
    <t>trans,octacis-Decaprenylphospho-beta-D-ribofuranose 5-phosphate</t>
  </si>
  <si>
    <t xml:space="preserve">	
trans,octacis-Decaprenylphospho-beta-D-erythro-pentofuranosid-2-ulose</t>
  </si>
  <si>
    <t xml:space="preserve">	
trans,octacis-Decaprenylphospho-beta-D-arabinofuranose</t>
  </si>
  <si>
    <t xml:space="preserve">	
3-Ketoglutaryl-[acp] methyl ester</t>
  </si>
  <si>
    <t xml:space="preserve">	
3-Hydroxyglutaryl-[acp] methyl ester</t>
  </si>
  <si>
    <t xml:space="preserve">	
3-Ketopimeloyl-[acp] methyl ester</t>
  </si>
  <si>
    <t>3-Hydroxypimeloyl-[acp] methyl ester</t>
  </si>
  <si>
    <t>tRNA 7-aminomethyl-7-carbaguanine</t>
  </si>
  <si>
    <t>tRNA hypoxanthine</t>
  </si>
  <si>
    <t xml:space="preserve">	
Cyclic di-3',5'-adenylate</t>
  </si>
  <si>
    <t xml:space="preserve">	
L-Threonylcarbamoyladenylate</t>
  </si>
  <si>
    <t xml:space="preserve">	
Adenine in Rrna</t>
  </si>
  <si>
    <t xml:space="preserve">	
O-Acetyl-ADP-ribose</t>
  </si>
  <si>
    <t xml:space="preserve">	
3-O-(alpha-D-Mannosyl)-L-threonyl-[protein]</t>
  </si>
  <si>
    <t>Protein N6-acetyl-L-lysine</t>
  </si>
  <si>
    <t xml:space="preserve">	
N6-L-Threonylcarbamoyladenine in tRNA</t>
  </si>
  <si>
    <t>2-Methylthio-N6-dimethylallyladenine in tRNA</t>
  </si>
  <si>
    <t xml:space="preserve">	
2-Thio-N6-dimethylallyladenine in tRNA</t>
  </si>
  <si>
    <t xml:space="preserve">	
N6-Dimethyladenine in rRNA</t>
  </si>
  <si>
    <t>Protein N5-methyl-L-glutamine</t>
  </si>
  <si>
    <t>5'-Triphospho-[mRNA]</t>
  </si>
  <si>
    <t>2-Iminopropanoate</t>
  </si>
  <si>
    <t xml:space="preserve">	
2-Iminobutanoate</t>
  </si>
  <si>
    <t xml:space="preserve">	
Carboxyphosphate</t>
  </si>
  <si>
    <t>gamma-L-Glutamyl-L-2-aminobutyrate</t>
  </si>
  <si>
    <t xml:space="preserve">	
5-Hydroxymethylcytosine in DNA</t>
  </si>
  <si>
    <t>Adenosylcobalamin 5'-phosphate</t>
  </si>
  <si>
    <t xml:space="preserve">	
Prokaryotic ubiquitin-like protein</t>
  </si>
  <si>
    <t xml:space="preserve">	
Pupylated protein</t>
  </si>
  <si>
    <t xml:space="preserve">	
[Prokaryotic ubiquitin-like protein]-L-glutamine</t>
  </si>
  <si>
    <t>Fe-coproporphyrin III</t>
  </si>
  <si>
    <t>(8S)-3',8-Cyclo-7,8-dihydroguanosine 5'-triphosphate</t>
  </si>
  <si>
    <t xml:space="preserve">	
[Protein]-S-sulfanyl-L-cysteine</t>
  </si>
  <si>
    <t xml:space="preserve">	
2-O-(alpha-D-Mannosyl)-1-phosphatidyl-1D-myo-inositol</t>
  </si>
  <si>
    <t>2,6-Di-O-alpha-D-mannosyl-1-phosphatidyl-1D-myo-inositol</t>
  </si>
  <si>
    <t xml:space="preserve">	
2-O-(6-O-Acyl-alpha-D-mannosyl)-6-O-alpha-D-mannosyl-1-phosphatidyl-1D-myo-inositol</t>
  </si>
  <si>
    <t xml:space="preserve">	
2-O-(6-O-Acyl-alpha-D-mannosyl)-1-phosphatidyl-1D-myo-inositol</t>
  </si>
  <si>
    <t xml:space="preserve">	
5-Fluorouridine diphosphate</t>
  </si>
  <si>
    <t xml:space="preserve">	
5-Fluorouridine triphosphate</t>
  </si>
  <si>
    <t xml:space="preserve">	
5-Fluorodeoxyuridine diphosphate</t>
  </si>
  <si>
    <t xml:space="preserve">	
5-Fluorodeoxyuridine triphosphate</t>
  </si>
  <si>
    <t xml:space="preserve">	
Pyridinium-3,5-bisthiocarboxylate mononucleotide</t>
  </si>
  <si>
    <t xml:space="preserve">	
Ni(II)-pyridinium-3,5-bisthiocarboxylate mononucleotide</t>
  </si>
  <si>
    <t xml:space="preserve">	
Reduced [2Fe-2S] ferredoxin</t>
  </si>
  <si>
    <t>Oxidized [2Fe-2S] ferredoxin</t>
  </si>
  <si>
    <t>[Fe-S] cluster scaffold protein carrying a [4Fe-4S]2+ cluster</t>
  </si>
  <si>
    <t>[Fe-S] cluster scaffold protein</t>
  </si>
  <si>
    <t>[GcvH]-L-lysine</t>
  </si>
  <si>
    <t xml:space="preserve">	
Lipoyl-carrier protein E2</t>
  </si>
  <si>
    <t xml:space="preserve">	
[Glycine cleavage system H]-N6-octanoyl-L-lysine</t>
  </si>
  <si>
    <t xml:space="preserve">	
[Lipoyl-carrier protein E2]-N6-octanoyl-L-lysine</t>
  </si>
  <si>
    <t xml:space="preserve">	
Harderoheme III</t>
  </si>
  <si>
    <t>Heme I</t>
  </si>
  <si>
    <t xml:space="preserve">	
Hydroxyheme I</t>
  </si>
  <si>
    <t>N6-Succino-2-amino-2'-deoxyadenylate</t>
  </si>
  <si>
    <t xml:space="preserve">	
3,5-Dehydroshikimate</t>
  </si>
  <si>
    <t xml:space="preserve">	
8-Amino-7-(carboxyamino)nonanoate</t>
  </si>
  <si>
    <t xml:space="preserve">	
Maltose</t>
  </si>
  <si>
    <t xml:space="preserve">	
Trehalose</t>
  </si>
  <si>
    <t>Trehalose 6-phosphate</t>
  </si>
  <si>
    <t xml:space="preserve">	
1,4-alpha-D-Glucan</t>
  </si>
  <si>
    <t>(GlcNAc)1 (MurNAc)1 (D-Ala-D-Ala-Lys-D-Glu-Ala)1 (PP-Und)1</t>
  </si>
  <si>
    <t xml:space="preserve">	
(MurNAc)1 (D-Ala-D-Ala-Lys-D-Glu-Ala)1 (PP-Und)1</t>
  </si>
  <si>
    <t>(MurNAc)1 (D-Ala-D-Ala-Lys-gamma-D-Glu-Ala)1 (PP-Und)1</t>
  </si>
  <si>
    <t>(GlcNAc)1 (MurNAc)1 (D-Ala-D-Ala-Lys-gamma-D-Glu-Ala)1 (PP-Und)1</t>
  </si>
  <si>
    <t>(GlcNAc)1 (MurNAc)1 (*)1 (D-Ala-D-Ala-Lys-gamma-D-Glu-Ala)1 (PP-Und)1</t>
  </si>
  <si>
    <t xml:space="preserve">	
(GlcNAc)1 (MurNAc)1 (D-Ala-D-Ala-A2pm-gamma-D-Glu-Ala)1 (PP-Und)1</t>
  </si>
  <si>
    <t xml:space="preserve">	
(MurNAc)1 (D-Ala-D-Ala-A2pm-gamma-D-Glu-Ala)1 (PP-Und)1</t>
  </si>
  <si>
    <t xml:space="preserve">	
(GlcNAc)1 (MurNAc)1 (*)1 (D-Ala-D-Ala-A2pm-gamma-D-Glu-Ala)1 (PP-Und)1</t>
  </si>
  <si>
    <t>(Glc)3 (*)1</t>
  </si>
  <si>
    <t>UDP-D-glucose</t>
  </si>
  <si>
    <t xml:space="preserve">	
UDP-N-acetyl-D-glucosamine</t>
  </si>
  <si>
    <t>GDP-D-mannose</t>
  </si>
  <si>
    <t>Dolichyl phosphate D-mannose</t>
  </si>
  <si>
    <t xml:space="preserve">	
UDP</t>
  </si>
  <si>
    <t xml:space="preserve">	
GDP</t>
  </si>
  <si>
    <t xml:space="preserve">	
Dolichyl phosphate</t>
  </si>
  <si>
    <t xml:space="preserve">	
ADP-glucose</t>
  </si>
  <si>
    <t xml:space="preserve">	
Phosphatidyl-myo-inositol monomannoside</t>
  </si>
  <si>
    <t>(Man)1 (Ser/Thr)1</t>
  </si>
  <si>
    <t>Phosphatidyl-myo-inositol dimannoside</t>
  </si>
  <si>
    <t xml:space="preserve">	
Triacylated phosphatidyl-myo-inositol monomannoside</t>
  </si>
  <si>
    <t xml:space="preserve">	
Triacylated phosphatidyl-myo-inositol dimannoside</t>
  </si>
  <si>
    <t xml:space="preserve">	
Rhamnosyl-N-acetyl-glucosaminyl-decaprenyl diphosphate</t>
  </si>
  <si>
    <t>Glycolipid 3</t>
  </si>
  <si>
    <t xml:space="preserve">	
Glycolipid 4</t>
  </si>
  <si>
    <t xml:space="preserve">	
UDP-alpha-D-galactofuranose</t>
  </si>
  <si>
    <t>Protein</t>
  </si>
  <si>
    <t xml:space="preserve">	
Heme</t>
  </si>
  <si>
    <t xml:space="preserve">	
Succinate</t>
  </si>
  <si>
    <t xml:space="preserve">	
Amino acid</t>
  </si>
  <si>
    <t xml:space="preserve">	
Sulfate</t>
  </si>
  <si>
    <t xml:space="preserve">	
Formaldehyde</t>
  </si>
  <si>
    <t>Alcohol</t>
  </si>
  <si>
    <t xml:space="preserve">	
L-Ornithine</t>
  </si>
  <si>
    <t xml:space="preserve">	
Malonyl-CoA</t>
  </si>
  <si>
    <t xml:space="preserve">	
Urea</t>
  </si>
  <si>
    <t xml:space="preserve">	
Nitrite</t>
  </si>
  <si>
    <t>Catechol</t>
  </si>
  <si>
    <t>Succinyl-CoA</t>
  </si>
  <si>
    <t>GDP-mannose</t>
  </si>
  <si>
    <t>beta-Alanine</t>
  </si>
  <si>
    <t xml:space="preserve">	
Anthranilate</t>
  </si>
  <si>
    <t xml:space="preserve">	
Biotin</t>
  </si>
  <si>
    <t xml:space="preserve">	
Ferricytochrome c</t>
  </si>
  <si>
    <t>Ferrocytochrome c</t>
  </si>
  <si>
    <t xml:space="preserve">	
Methanol</t>
  </si>
  <si>
    <t>Putrescine</t>
  </si>
  <si>
    <t>L-Histidine</t>
  </si>
  <si>
    <t xml:space="preserve">	
myo-Inositol</t>
  </si>
  <si>
    <t xml:space="preserve">	
Reduced ferredoxin</t>
  </si>
  <si>
    <t>Oxidized ferredoxin</t>
  </si>
  <si>
    <t>Thiol</t>
  </si>
  <si>
    <t xml:space="preserve">	
L-Amino acid</t>
  </si>
  <si>
    <t>Benzoate</t>
  </si>
  <si>
    <t xml:space="preserve">	
D-Glucuronate</t>
  </si>
  <si>
    <t xml:space="preserve">	
Cobamide coenzyme</t>
  </si>
  <si>
    <t>Sarcosine</t>
  </si>
  <si>
    <t>Nucleotide</t>
  </si>
  <si>
    <t xml:space="preserve">	
Methylamine</t>
  </si>
  <si>
    <t>beta-D-Glucose</t>
  </si>
  <si>
    <t xml:space="preserve">	
3-Oxopropanoat</t>
  </si>
  <si>
    <t xml:space="preserve">	
3,4-Dihydroxybenzoate</t>
  </si>
  <si>
    <t xml:space="preserve">	
Succinate semialdehyde</t>
  </si>
  <si>
    <t>Carbon monoxide</t>
  </si>
  <si>
    <t xml:space="preserve">	
Lipoamide</t>
  </si>
  <si>
    <t>Hexadecanoic acid</t>
  </si>
  <si>
    <t>Chorismate</t>
  </si>
  <si>
    <t xml:space="preserve">	
Prephenate</t>
  </si>
  <si>
    <t xml:space="preserve">	
Glycolaldehyde</t>
  </si>
  <si>
    <t>Dihydrobiopterin</t>
  </si>
  <si>
    <t>D-Mannose 6-phosphate</t>
  </si>
  <si>
    <t>D-Erythrose 4-phosphate</t>
  </si>
  <si>
    <t>D-Xylulose</t>
  </si>
  <si>
    <t>Isocitrate</t>
  </si>
  <si>
    <t xml:space="preserve">	
Spermidine</t>
  </si>
  <si>
    <t>L-Citrulline</t>
  </si>
  <si>
    <t xml:space="preserve">	
D-Galacturonate</t>
  </si>
  <si>
    <t>4-Aminobutanoate</t>
  </si>
  <si>
    <t xml:space="preserve">	
Geranylgeranyl diphosphate</t>
  </si>
  <si>
    <t>dTDP</t>
  </si>
  <si>
    <t>Ubiquinol</t>
  </si>
  <si>
    <t xml:space="preserve">	
Ubiquinone</t>
  </si>
  <si>
    <t xml:space="preserve">	
Polypeptide</t>
  </si>
  <si>
    <t xml:space="preserve">	
Polyphosphate</t>
  </si>
  <si>
    <t xml:space="preserve">	
cis-Aconitate</t>
  </si>
  <si>
    <t xml:space="preserve">	
5-Aminolevulinate</t>
  </si>
  <si>
    <t xml:space="preserve">	
N-Acetylornithine</t>
  </si>
  <si>
    <t>5-Methyltetrahydrofolate</t>
  </si>
  <si>
    <t>trans,trans-Farnesyl diphosphate</t>
  </si>
  <si>
    <t xml:space="preserve">	
Indole</t>
  </si>
  <si>
    <t xml:space="preserve">	
Itaconate</t>
  </si>
  <si>
    <t>L-Cystine</t>
  </si>
  <si>
    <t>Shikimate</t>
  </si>
  <si>
    <t xml:space="preserve">	
(R)-Pantoate</t>
  </si>
  <si>
    <t xml:space="preserve">	
Itaconyl-CoA</t>
  </si>
  <si>
    <t xml:space="preserve">	
Triphosphate</t>
  </si>
  <si>
    <t xml:space="preserve">	
Cob(II)alamin</t>
  </si>
  <si>
    <t xml:space="preserve">	
Cystathionine</t>
  </si>
  <si>
    <t xml:space="preserve">	
D-Tagaturonate</t>
  </si>
  <si>
    <t xml:space="preserve">	
Phosphoprotein</t>
  </si>
  <si>
    <t xml:space="preserve">	
4-Aminobenzoate</t>
  </si>
  <si>
    <t xml:space="preserve">	
D-Glyceraldehyde</t>
  </si>
  <si>
    <t xml:space="preserve">	
Dihydrolipoamide</t>
  </si>
  <si>
    <t xml:space="preserve">	
3-Hydroxybenzoate</t>
  </si>
  <si>
    <t>alpha-D-Ribose 1-phosphate</t>
  </si>
  <si>
    <t xml:space="preserve">	
sn-Glycerol 1-phosphate</t>
  </si>
  <si>
    <t xml:space="preserve">	
N-Acetyl-L-glutamate</t>
  </si>
  <si>
    <t xml:space="preserve">	
2,5-Dihydroxybenzoate</t>
  </si>
  <si>
    <t xml:space="preserve">	
3-Hydroxyanthranilate</t>
  </si>
  <si>
    <t>Long-chain fatty acid</t>
  </si>
  <si>
    <t xml:space="preserve">	
gamma-L-Glutamyl-L-cysteine</t>
  </si>
  <si>
    <t xml:space="preserve">	
(S)-Methylmalonyl-CoA</t>
  </si>
  <si>
    <t>3-Oxoacyl-[acyl-carrier protein]</t>
  </si>
  <si>
    <t xml:space="preserve">	
N-Acyl-D-mannosamine 6-phosphate</t>
  </si>
  <si>
    <t>alpha,alpha'-Trehalose 6-phosphate</t>
  </si>
  <si>
    <t xml:space="preserve">	
2,4,6/3,5-Pentahydroxycyclohexanone</t>
  </si>
  <si>
    <t>Chloride</t>
  </si>
  <si>
    <t xml:space="preserve">	
XTP</t>
  </si>
  <si>
    <t xml:space="preserve">	
Superoxide</t>
  </si>
  <si>
    <t xml:space="preserve">	
D-Serine</t>
  </si>
  <si>
    <t>Ethylamine</t>
  </si>
  <si>
    <t xml:space="preserve">	
Alkyl thiol</t>
  </si>
  <si>
    <t xml:space="preserve">	
L-Arogenate</t>
  </si>
  <si>
    <t xml:space="preserve">	
Menaquinone</t>
  </si>
  <si>
    <t xml:space="preserve">	
3-Oxoadipate</t>
  </si>
  <si>
    <t xml:space="preserve">	
Cob(I)alamin</t>
  </si>
  <si>
    <t xml:space="preserve">	
DNA cytosine</t>
  </si>
  <si>
    <t>L-Histidinol</t>
  </si>
  <si>
    <t xml:space="preserve">	
4-Nitrophenol</t>
  </si>
  <si>
    <t xml:space="preserve">	
Isochorismate</t>
  </si>
  <si>
    <t xml:space="preserve">	
2-Acetolactate</t>
  </si>
  <si>
    <t>D-Fructuronate</t>
  </si>
  <si>
    <t xml:space="preserve">	
Dihydropteroate</t>
  </si>
  <si>
    <t>Porphobilinogen</t>
  </si>
  <si>
    <t xml:space="preserve">	
UDP-L-arabinose</t>
  </si>
  <si>
    <t>3-Dehydroquinate</t>
  </si>
  <si>
    <t>2-Dehydropantoate</t>
  </si>
  <si>
    <t xml:space="preserve">	
3-Hydroxypropanoate</t>
  </si>
  <si>
    <t>Hydroxymethylbilane</t>
  </si>
  <si>
    <t xml:space="preserve">	
7,8-Diaminononanoate</t>
  </si>
  <si>
    <t>Uroporphyrinogen III</t>
  </si>
  <si>
    <t xml:space="preserve">	
O-Acetyl-L-homoserine</t>
  </si>
  <si>
    <t>Protoporphyrinogen IX</t>
  </si>
  <si>
    <t xml:space="preserve">	
Thiamin monophosphate</t>
  </si>
  <si>
    <t>alpha,alpha-Trehalose</t>
  </si>
  <si>
    <t xml:space="preserve">	
8-Amino-7-oxononanoate</t>
  </si>
  <si>
    <t xml:space="preserve">	
L-Histidinol phosphate</t>
  </si>
  <si>
    <t xml:space="preserve">	
O-Succinyl-L-homoserine</t>
  </si>
  <si>
    <t xml:space="preserve">	
S-Adenosylmethioninamine</t>
  </si>
  <si>
    <t xml:space="preserve">	
Orthophosphoric monoester</t>
  </si>
  <si>
    <t xml:space="preserve">	
Hydroxyproline</t>
  </si>
  <si>
    <t xml:space="preserve">	
2,3-Bisphospho-D-glycerate</t>
  </si>
  <si>
    <t xml:space="preserve">	
3-Carboxy-cis,cis-muconate</t>
  </si>
  <si>
    <t xml:space="preserve">	
L-Glutamate 5-semialdehyde</t>
  </si>
  <si>
    <t xml:space="preserve">	
alpha-D-Hexose 1-phosphate</t>
  </si>
  <si>
    <t xml:space="preserve">	
Malonyl-[acyl-carrier protein]</t>
  </si>
  <si>
    <t xml:space="preserve">	
(R)-Methylmalonyl-CoA</t>
  </si>
  <si>
    <t xml:space="preserve">	
GDP-4-dehydro-6-deoxy-D-mannose</t>
  </si>
  <si>
    <t>3,5-Diiodo-4-hydroxyphenylpyruvate</t>
  </si>
  <si>
    <t xml:space="preserve">	
N-Acetyl-L-glutamate 5-semialdehyde</t>
  </si>
  <si>
    <t>3-(Imidazol-4-yl)-2-oxopropyl phosphate</t>
  </si>
  <si>
    <t xml:space="preserve">	
5-Amino-6-(5'-phosphoribosylamino)uracil</t>
  </si>
  <si>
    <t>5-O-(1-Carboxyvinyl)-3-phosphoshikimate</t>
  </si>
  <si>
    <t xml:space="preserve">	
(3R)-3-Hydroxyacyl-[acyl-carrier protein]</t>
  </si>
  <si>
    <t xml:space="preserve">	
2-Carboxy-2,5-dihydro-5-oxofuran-2-acetate</t>
  </si>
  <si>
    <t xml:space="preserve">	
[L-Glutamate:ammonia ligase (ADP-forming)]</t>
  </si>
  <si>
    <t xml:space="preserve">	
Adenylyl-[L-glutamate:ammonia ligase (ADP-forming)]</t>
  </si>
  <si>
    <t xml:space="preserve">	
6-(Hydroxymethyl)-7,8-dihydropterin</t>
  </si>
  <si>
    <t>1-(2-Carboxyphenylamino)-1-deoxy-D-ribulose 5-phosphate</t>
  </si>
  <si>
    <t xml:space="preserve">	
2,5-Diamino-6-(5-phospho-D-ribosylamino)pyrimidin-4(3H)-one</t>
  </si>
  <si>
    <t xml:space="preserve">	
Bromide</t>
  </si>
  <si>
    <t xml:space="preserve">	
Hydrochloric acid</t>
  </si>
  <si>
    <t>ROH</t>
  </si>
  <si>
    <t xml:space="preserve">	
Aryl thiol</t>
  </si>
  <si>
    <t>dIDP</t>
  </si>
  <si>
    <t xml:space="preserve">	
dITP</t>
  </si>
  <si>
    <t>FADH2</t>
  </si>
  <si>
    <t xml:space="preserve">	
Gallate</t>
  </si>
  <si>
    <t>Protamine</t>
  </si>
  <si>
    <t xml:space="preserve">	
Vitamin K</t>
  </si>
  <si>
    <t xml:space="preserve">	
tRNA(Asp)</t>
  </si>
  <si>
    <t>tRNA(His)</t>
  </si>
  <si>
    <t xml:space="preserve">	
Cadaverine</t>
  </si>
  <si>
    <t xml:space="preserve">	
Reduced FMN</t>
  </si>
  <si>
    <t xml:space="preserve">	
5-Oxoproline</t>
  </si>
  <si>
    <t xml:space="preserve">	
1-Acylglycerol</t>
  </si>
  <si>
    <t>Dethiobiotin</t>
  </si>
  <si>
    <t>L-Histidinal</t>
  </si>
  <si>
    <t xml:space="preserve">	
Maltodextrin</t>
  </si>
  <si>
    <t xml:space="preserve">	
Thiocysteine</t>
  </si>
  <si>
    <t xml:space="preserve">	
Lipoylprotein</t>
  </si>
  <si>
    <t xml:space="preserve">	
Phylloquinone</t>
  </si>
  <si>
    <t xml:space="preserve">	
Leukotriene C4</t>
  </si>
  <si>
    <t xml:space="preserve">	
Maleylpyruvate</t>
  </si>
  <si>
    <t xml:space="preserve">	
[Protein]-L-serine</t>
  </si>
  <si>
    <t xml:space="preserve">	
Protoporphyrin</t>
  </si>
  <si>
    <t xml:space="preserve">	
Dehydroalanine</t>
  </si>
  <si>
    <t xml:space="preserve">	
2-Maleylacetate</t>
  </si>
  <si>
    <t>2-Methylcitrate</t>
  </si>
  <si>
    <t>L-Cystathionine</t>
  </si>
  <si>
    <t>R-S-Glutathione</t>
  </si>
  <si>
    <t xml:space="preserve">	
2-Fluorobenzoate</t>
  </si>
  <si>
    <t xml:space="preserve">	
3-Fluorobenzoate</t>
  </si>
  <si>
    <t>4-Fluorobenzoate</t>
  </si>
  <si>
    <t xml:space="preserve">	
4-Chlorocatechol</t>
  </si>
  <si>
    <t xml:space="preserve">	
Precorrin 2</t>
  </si>
  <si>
    <t xml:space="preserve">	
Uroporphyrin III</t>
  </si>
  <si>
    <t xml:space="preserve">	
cis,cis-Muconate</t>
  </si>
  <si>
    <t>alpha-Isopropylmalate</t>
  </si>
  <si>
    <t xml:space="preserve">	
3-Cyano-L-alanine</t>
  </si>
  <si>
    <t xml:space="preserve">	
3-Fumarylpyruvate</t>
  </si>
  <si>
    <t xml:space="preserve">	
O-Phospho-D-serine</t>
  </si>
  <si>
    <t xml:space="preserve">	
2-Hydroxyglutarate</t>
  </si>
  <si>
    <t xml:space="preserve">	
2-Isopropylmaleate</t>
  </si>
  <si>
    <t xml:space="preserve">	
3-Dehydroshikimate</t>
  </si>
  <si>
    <t xml:space="preserve">	
O-Phosphoprotamine</t>
  </si>
  <si>
    <t xml:space="preserve">	
2-Succinylbenzoate</t>
  </si>
  <si>
    <t>1-(5-Phospho-D-ribosyl)-ATP</t>
  </si>
  <si>
    <t>Phosphoribosyl-AMP</t>
  </si>
  <si>
    <t xml:space="preserve">	
S-Alkyl-L-cysteine</t>
  </si>
  <si>
    <t xml:space="preserve">	
3-O-(alpha-D-Mannosyl)-L-serinyl-[protein]</t>
  </si>
  <si>
    <t xml:space="preserve">	
L-Cysteine-S-conjugate</t>
  </si>
  <si>
    <t xml:space="preserve">	
5-Methylcytosine in DNA</t>
  </si>
  <si>
    <t xml:space="preserve">	
Decaprenol phosphate</t>
  </si>
  <si>
    <t xml:space="preserve">	
Dihydrolipoylprotein</t>
  </si>
  <si>
    <t xml:space="preserve">	
L-Histidyl-tRNA(His)</t>
  </si>
  <si>
    <t xml:space="preserve">	
[Reduced NADPH---hemoprotein reductase]</t>
  </si>
  <si>
    <t xml:space="preserve">	
Dimethylbenzimidazole</t>
  </si>
  <si>
    <t xml:space="preserve">	
2-Succinylbenzoyl-CoA</t>
  </si>
  <si>
    <t xml:space="preserve">	
[Oxidized NADPH---hemoprotein reductase]</t>
  </si>
  <si>
    <t>Shikimate 3-phosphate</t>
  </si>
  <si>
    <t xml:space="preserve">	
(5-L-Glutamyl)-peptide</t>
  </si>
  <si>
    <t>3-Phosphonooxypyruvate</t>
  </si>
  <si>
    <t xml:space="preserve">	
Coproporphyrinogen III</t>
  </si>
  <si>
    <t xml:space="preserve">	
L-Glutamyl 5-phosphate</t>
  </si>
  <si>
    <t>Phylloquinol</t>
  </si>
  <si>
    <t xml:space="preserve">	
2-Methylacetoacetyl-CoA</t>
  </si>
  <si>
    <t xml:space="preserve">	
4-Nitrophenyl phosphate</t>
  </si>
  <si>
    <t xml:space="preserve">	
5-L-Glutamyl amino acid</t>
  </si>
  <si>
    <t xml:space="preserve">	
N-(L-Arginino)succinate</t>
  </si>
  <si>
    <t xml:space="preserve">	
Indoleglycerol phosphate</t>
  </si>
  <si>
    <t xml:space="preserve">	
THF-polyglutamate</t>
  </si>
  <si>
    <t xml:space="preserve">	
3-Chloro-cis,cis-muconate</t>
  </si>
  <si>
    <t xml:space="preserve">	
2-Oxo-2,3-dihydrofuran-5-acetate</t>
  </si>
  <si>
    <t xml:space="preserve">	
1,4-Dihydroxy-2-naphthoate</t>
  </si>
  <si>
    <t xml:space="preserve">	
2-Pyrone-4,6-dicarboxylate</t>
  </si>
  <si>
    <t xml:space="preserve">	
Quinolinate</t>
  </si>
  <si>
    <t xml:space="preserve">	
alpha-D-Hexose 6-phosphate</t>
  </si>
  <si>
    <t xml:space="preserve">	
(5-L-Glutamyl)-L-amino acid</t>
  </si>
  <si>
    <t xml:space="preserve">	
(S)-4-Amino-5-oxopentanoate</t>
  </si>
  <si>
    <t xml:space="preserve">	
Dolichyl phosphate D-mannose</t>
  </si>
  <si>
    <t xml:space="preserve">	
L-2-Amino-6-oxoheptanedioate</t>
  </si>
  <si>
    <t>(S)-1-Pyrroline-5-carboxylate</t>
  </si>
  <si>
    <t>Acetyl-[acyl-carrier protein]</t>
  </si>
  <si>
    <t xml:space="preserve">	
1D-myo-Inositol 3-phosphate</t>
  </si>
  <si>
    <t>2,3-Dihydroxy-3-methylbutanoate</t>
  </si>
  <si>
    <t xml:space="preserve">	
3-(2,3-Dihydroxyphenyl)propanoate</t>
  </si>
  <si>
    <t xml:space="preserve">	
2,5-Dihydro-5-oxofuran-2-acetate</t>
  </si>
  <si>
    <t xml:space="preserve">	
3-Methyl-cis,cis-hexadienedioate</t>
  </si>
  <si>
    <t xml:space="preserve">	
N-Acetyl-L-glutamate 5-phosphate</t>
  </si>
  <si>
    <t>N-Acyl-D-glucosamine 6-phosphate</t>
  </si>
  <si>
    <t xml:space="preserve">	
3-Hydroxy-3-methyl-2-oxobutanoic acid</t>
  </si>
  <si>
    <t xml:space="preserve">	
(Z)-But-2-ene-1,2,3-tricarboxylate</t>
  </si>
  <si>
    <t xml:space="preserve">	
(2S)-2-Isopropyl-3-oxosuccinate</t>
  </si>
  <si>
    <t xml:space="preserve">	
But-2-enoyl-[acyl-carrier protein]</t>
  </si>
  <si>
    <t xml:space="preserve">	
N-Acetyl-D-mannosamine 6-phosphate</t>
  </si>
  <si>
    <t xml:space="preserve">	
Protein N(tau)-phospho-L-histidine</t>
  </si>
  <si>
    <t xml:space="preserve">	
(R)-2,3-Dihydroxy-3-methylbutanoate</t>
  </si>
  <si>
    <t xml:space="preserve">	
L-1-Pyrroline-3-hydroxy-5-carboxylate</t>
  </si>
  <si>
    <t>3D-3,5/4-Trihydroxycyclohexane-1,2-dione</t>
  </si>
  <si>
    <t xml:space="preserve">	
5-(2-Hydroxyethyl)-4-methylthiazole</t>
  </si>
  <si>
    <t xml:space="preserve">	
N-(5-Phospho-D-ribosyl)anthranilate</t>
  </si>
  <si>
    <t xml:space="preserve">	
Phosphoenol-4-deoxy-3-tetrulosonate</t>
  </si>
  <si>
    <t xml:space="preserve">	
4-Methyl-5-(2-phosphooxyethyl)thiazole</t>
  </si>
  <si>
    <t xml:space="preserve">	
6,7-Dimethyl-8-(D-ribityl)lumazine</t>
  </si>
  <si>
    <t xml:space="preserve">	
Ribosomal-protein N-acetyl-L-alanine</t>
  </si>
  <si>
    <t xml:space="preserve">	
(R)-4'-Phosphopantothenoyl-L-cysteine</t>
  </si>
  <si>
    <t xml:space="preserve">	
3-(3,5-Diiodo-4-hydroxyphenyl)lactate</t>
  </si>
  <si>
    <t xml:space="preserve">	
5'-Phosphoribosyl-N-formylglycinamide</t>
  </si>
  <si>
    <t xml:space="preserve">	
5,10-Methylenetetrahydromethanopterin</t>
  </si>
  <si>
    <t>(2R,3S)-3-Isopropylmalate</t>
  </si>
  <si>
    <t xml:space="preserve">	
Carboxybiotin-carboxyl-carrier protein</t>
  </si>
  <si>
    <t>N-Succinyl-LL-2,6-diaminoheptanedioate</t>
  </si>
  <si>
    <t xml:space="preserve">	
S-Adenosyl-4-methylthio-2-oxobutanoate</t>
  </si>
  <si>
    <t xml:space="preserve">	
tRNA containing 6-isopentenyladenosine</t>
  </si>
  <si>
    <t xml:space="preserve">	
5-Amino-6-(5'-phospho-D-ribitylamino)uracil</t>
  </si>
  <si>
    <t>N-Succinyl-2-L-amino-6-oxoheptanedioate</t>
  </si>
  <si>
    <t xml:space="preserve">	
Guanosine 3'-diphosphate 5'-triphosphate</t>
  </si>
  <si>
    <t>(2S,3R)-3-Hydroxybutane-1,2,3-tricarboxylate</t>
  </si>
  <si>
    <t xml:space="preserve">	
(3R)-3-Hydroxybutanoyl-[acyl-carrier protein]</t>
  </si>
  <si>
    <t>(3R)-3-Hydroxydecanoyl-[acyl-carrier protein]</t>
  </si>
  <si>
    <t xml:space="preserve">	
(3R)-3-Hydroxyoctanoyl-[acyl-carrier protein]</t>
  </si>
  <si>
    <t xml:space="preserve">	
(3R)-3-Hydroxypalmitoyl-[acyl-carrier protein]</t>
  </si>
  <si>
    <t xml:space="preserve">	
1,6-Dihydroxycyclohexa-2,4-diene-1-carboxylate</t>
  </si>
  <si>
    <t xml:space="preserve">	
D-erythro-1-(Imidazol-4-yl)glycerol 3-phosphate</t>
  </si>
  <si>
    <t>[Acetyl-CoA:carbon-dioxide ligase (ADP-forming)]</t>
  </si>
  <si>
    <t xml:space="preserve">	
(3R)-3-Hydroxytetradecanoyl-[acyl-carrier protein]</t>
  </si>
  <si>
    <t>2-Dehydro-3-deoxy-D-arabino-heptonate 7-phosphate</t>
  </si>
  <si>
    <t xml:space="preserve">	
5-Amino-6-(1-D-ribitylamino)uracil</t>
  </si>
  <si>
    <t xml:space="preserve">	
Apo-[acetyl-CoA:carbon-dioxide ligase (ADP-forming)]</t>
  </si>
  <si>
    <t xml:space="preserve">	
N1-(5-Phospho-alpha-D-ribosyl)-5,6-dimethylbenzimidazole</t>
  </si>
  <si>
    <t xml:space="preserve">	
6-Hydroxymethyl-7,8-dihydropterin diphosphate</t>
  </si>
  <si>
    <t xml:space="preserve">	
7,8-Dihydroneopterin</t>
  </si>
  <si>
    <t>7,8-Dihydroneopterin 3'-triphosphate</t>
  </si>
  <si>
    <t xml:space="preserve">	
5-(5-Phospho-D-ribosylaminoformimino)-1-(5-phosphoribosyl)-imidazole-4-carboxamide</t>
  </si>
  <si>
    <t xml:space="preserve">	
N-(5'-Phospho-D-1'-ribulosylformimino)-5-amino-1-(5''-phospho-D-ribosyl)-4-imidazolecarboxamide</t>
  </si>
  <si>
    <t xml:space="preserve">	
2-(alpha-Hydroxyethyl)thiamine diphosphate</t>
  </si>
  <si>
    <t xml:space="preserve">	
alpha-Amino acid</t>
  </si>
  <si>
    <t>Dodecanoyl-[acyl-carrier protein]</t>
  </si>
  <si>
    <t xml:space="preserve">	
[Protein-PII]</t>
  </si>
  <si>
    <t xml:space="preserve">	
3-Oxohexanoyl-CoA</t>
  </si>
  <si>
    <t xml:space="preserve">	
Semiquinone</t>
  </si>
  <si>
    <t xml:space="preserve">	
Uridylyl-[protein-PII]</t>
  </si>
  <si>
    <t>Electron</t>
  </si>
  <si>
    <t xml:space="preserve">	
Oxalosuccinate</t>
  </si>
  <si>
    <t xml:space="preserve">	
Phytyl diphosphate</t>
  </si>
  <si>
    <t xml:space="preserve">	
Cinnavalininate</t>
  </si>
  <si>
    <t xml:space="preserve">	
3-Aminopropiononitrile</t>
  </si>
  <si>
    <t xml:space="preserve">	
Adenylyl selenate</t>
  </si>
  <si>
    <t xml:space="preserve">	
L-Selenocysteine</t>
  </si>
  <si>
    <t>Se-Methyl-L-selenocysteine</t>
  </si>
  <si>
    <t xml:space="preserve">	
gamma-Glutamyl-Se-methylselenocysteine</t>
  </si>
  <si>
    <t xml:space="preserve">	
Selenate</t>
  </si>
  <si>
    <t>L-Selenocystathionine</t>
  </si>
  <si>
    <t xml:space="preserve">	
O-Phosphorylhomoserine</t>
  </si>
  <si>
    <t xml:space="preserve">	
gamma-Glutamyl-beta-cyanoalanine</t>
  </si>
  <si>
    <t xml:space="preserve">	
S-Substituted L-cysteine</t>
  </si>
  <si>
    <t>R-S-Cysteinylglycine</t>
  </si>
  <si>
    <t xml:space="preserve">	
Acetoacetyl-[acp]</t>
  </si>
  <si>
    <t xml:space="preserve">	
Butyryl-[acp]</t>
  </si>
  <si>
    <t xml:space="preserve">	
3-Oxohexanoyl-[acp]</t>
  </si>
  <si>
    <t>(3R)-3-Hydroxyhexanoyl-[acyl-carrier protein]</t>
  </si>
  <si>
    <t>trans-Hex-2-enoyl-[acp]</t>
  </si>
  <si>
    <t>Hexanoyl-[acp]</t>
  </si>
  <si>
    <t xml:space="preserve">	
3-Oxooctanoyl-[acp]</t>
  </si>
  <si>
    <t xml:space="preserve">	
trans-Oct-2-enoyl-[acp]</t>
  </si>
  <si>
    <t xml:space="preserve">	
Octanoyl-[acp]</t>
  </si>
  <si>
    <t xml:space="preserve">	
3-Oxodecanoyl-[acp]</t>
  </si>
  <si>
    <t xml:space="preserve">	
trans-Dec-2-enoyl-[acp]</t>
  </si>
  <si>
    <t xml:space="preserve">	
Decanoyl-[acp]</t>
  </si>
  <si>
    <t xml:space="preserve">	
3-Oxododecanoyl-[acp]</t>
  </si>
  <si>
    <t xml:space="preserve">	
(3R)-3-Hydroxydodecanoyl-[acyl-carrier protein]</t>
  </si>
  <si>
    <t>trans-Dodec-2-enoyl-[acp]</t>
  </si>
  <si>
    <t xml:space="preserve">	
3-Oxotetradecanoyl-[acp]</t>
  </si>
  <si>
    <t xml:space="preserve">	
trans-Tetradec-2-enoyl-[acp]</t>
  </si>
  <si>
    <t xml:space="preserve">	
Tetradecanoyl-[acp]</t>
  </si>
  <si>
    <t>3-Oxohexadecanoyl-[acp]</t>
  </si>
  <si>
    <t xml:space="preserve">	
trans-Hexadec-2-enoyl-[acp]</t>
  </si>
  <si>
    <t xml:space="preserve">	
Hexadecanoyl-[acp]</t>
  </si>
  <si>
    <t xml:space="preserve">	
Uroporphyrinogen I</t>
  </si>
  <si>
    <t>Coproporphyrinogen I</t>
  </si>
  <si>
    <t xml:space="preserve">	
Cobinamide</t>
  </si>
  <si>
    <t xml:space="preserve">	
alpha-Ribazole</t>
  </si>
  <si>
    <t xml:space="preserve">	
Sirohydrochlorin</t>
  </si>
  <si>
    <t xml:space="preserve">	
(1R,6R)-6-Hydroxy-2-succinylcyclohexa-2,4-diene-1-carboxylate</t>
  </si>
  <si>
    <t xml:space="preserve">	
Menaquinol</t>
  </si>
  <si>
    <t xml:space="preserve">	
Iminoaspartate</t>
  </si>
  <si>
    <t xml:space="preserve">	
5-L-Glutamyl-taurine</t>
  </si>
  <si>
    <t xml:space="preserve">	
all-trans-Polyprenyl diphosphate</t>
  </si>
  <si>
    <t xml:space="preserve">	
Reduced Vitamin K</t>
  </si>
  <si>
    <t>Biotinyl-5'-AMP</t>
  </si>
  <si>
    <t xml:space="preserve">	
Formamidopyrimidine nucleoside triphosphate</t>
  </si>
  <si>
    <t xml:space="preserve">	
2,5-Diaminopyrimidine nucleoside triphosphate</t>
  </si>
  <si>
    <t xml:space="preserve">	
Molybdopterin</t>
  </si>
  <si>
    <t xml:space="preserve">	
(6R)-10-Formyltetrahydropteroyldiglutamate</t>
  </si>
  <si>
    <t xml:space="preserve">	
10-Formyltetrahydrofolylpolyglutamate</t>
  </si>
  <si>
    <t xml:space="preserve">	
Leukotriene D4</t>
  </si>
  <si>
    <t xml:space="preserve">	
2-Hydroxybutanoic acid</t>
  </si>
  <si>
    <t>(S)-2-Aceto-2-hydroxybutanoate</t>
  </si>
  <si>
    <t xml:space="preserve">	
(R)-2,3-Dihydroxy-3-methylpentanoate</t>
  </si>
  <si>
    <t xml:space="preserve">	
(S)-2-Acetolactate</t>
  </si>
  <si>
    <t xml:space="preserve">	
D-erythro-3-Methylmalate</t>
  </si>
  <si>
    <t xml:space="preserve">	
2-Oxo-3-hydroxy-4-phosphobutanoate</t>
  </si>
  <si>
    <t>gamma-Glutamyl-beta-aminopropiononitrile</t>
  </si>
  <si>
    <t xml:space="preserve">	
2,5-Diamino-6-(5'-triphosphoryl-3',4'-trihydroxy-2'-oxopentyl)-amino-4-oxopyrimidine</t>
  </si>
  <si>
    <t xml:space="preserve">	
Benzoyl phosphate</t>
  </si>
  <si>
    <t xml:space="preserve">	
Apo-[carboxylase]</t>
  </si>
  <si>
    <t xml:space="preserve">	
Holo-[carboxylase]</t>
  </si>
  <si>
    <t xml:space="preserve">	
(1R,6S)-1,6-Dihydroxycyclohexa-2,4-diene-1-carboxylate</t>
  </si>
  <si>
    <t xml:space="preserve">	
2-Chloromaleylacetate</t>
  </si>
  <si>
    <t xml:space="preserve">	
1-alpha-D-[(1-&gt;4)-alpha-D-Glucosyl](n-1)-alpha-D-glucopyranoside</t>
  </si>
  <si>
    <t xml:space="preserve">	
L-Seryl-tRNA(Sec)</t>
  </si>
  <si>
    <t>Cob(II)yrinate a,c diamide</t>
  </si>
  <si>
    <t xml:space="preserve">	
Cob(I)yrinate a,c diamide</t>
  </si>
  <si>
    <t xml:space="preserve">	
Adenosyl cobyrinate a,c diamide</t>
  </si>
  <si>
    <t xml:space="preserve">	
Adenosyl cobinamide</t>
  </si>
  <si>
    <t xml:space="preserve">	
Adenosyl cobinamide phosphate</t>
  </si>
  <si>
    <t xml:space="preserve">	
Adenosine-GDP-cobinamide</t>
  </si>
  <si>
    <t xml:space="preserve">	
Arsenite</t>
  </si>
  <si>
    <t xml:space="preserve">	
Mycothiol</t>
  </si>
  <si>
    <t>S-Formylmycothiol</t>
  </si>
  <si>
    <t xml:space="preserve">	
2-Deoxy-5-keto-D-gluconic acid</t>
  </si>
  <si>
    <t xml:space="preserve">	
2-Deoxy-5-keto-D-gluconic acid 6-phosphate</t>
  </si>
  <si>
    <t xml:space="preserve">	
Glutaredoxin</t>
  </si>
  <si>
    <t xml:space="preserve">	
Glutaredoxin disulfide</t>
  </si>
  <si>
    <t xml:space="preserve">	
THF-L-glutamate</t>
  </si>
  <si>
    <t xml:space="preserve">	
2'-Deoxy-5-hydroxymethylcytidine-5'-diphosphate</t>
  </si>
  <si>
    <t xml:space="preserve">	
Arsenate ion</t>
  </si>
  <si>
    <t xml:space="preserve">	
4-Amino-4-deoxychorismate</t>
  </si>
  <si>
    <t xml:space="preserve">	
2-C-Methyl-D-erythritol 4-phosphate</t>
  </si>
  <si>
    <t>4-(Cytidine 5'-diphospho)-2-C-methyl-D-erythritol</t>
  </si>
  <si>
    <t xml:space="preserve">	
2-Phospho-4-(cytidine 5'-diphospho)-2-C-methyl-D-erythritol</t>
  </si>
  <si>
    <t xml:space="preserve">	
2-C-Methyl-D-erythritol 2,4-cyclodiphosphate</t>
  </si>
  <si>
    <t xml:space="preserve">	
3-(3-Hydroxyphenyl)propanoic acid</t>
  </si>
  <si>
    <t xml:space="preserve">	
DNA containing guanine</t>
  </si>
  <si>
    <t xml:space="preserve">	
Mycothione</t>
  </si>
  <si>
    <t xml:space="preserve">	
(2R)-3-Sulfolactate</t>
  </si>
  <si>
    <t xml:space="preserve">	
N-Ethylglycine</t>
  </si>
  <si>
    <t xml:space="preserve">	
1-Hydroxy-2-methyl-2-butenyl 4-diphosphate</t>
  </si>
  <si>
    <t xml:space="preserve">	
dTDP-4-oxo-6-deoxy-D-glucose</t>
  </si>
  <si>
    <t xml:space="preserve">	
Aminofructose 6-phosphate</t>
  </si>
  <si>
    <t xml:space="preserve">	
Iminoerythrose 4-phosphate</t>
  </si>
  <si>
    <t xml:space="preserve">	
trans-3-Hydroxycinnamate</t>
  </si>
  <si>
    <t>trans-2,3-Dihydroxycinnamate</t>
  </si>
  <si>
    <t xml:space="preserve">	
2,5-Dichloro-4-oxohex-2-enedioate</t>
  </si>
  <si>
    <t xml:space="preserve">	
2-Chloro-3-oxoadipate</t>
  </si>
  <si>
    <t xml:space="preserve">	
alpha,beta-Dihydroxyethyl-TPP</t>
  </si>
  <si>
    <t xml:space="preserve">	
(R)-3-Hydroxy-3-methyl-2-oxopentanoate</t>
  </si>
  <si>
    <t xml:space="preserve">	
(S)-5-Oxo-2,5-dihydrofuran-2-acetate</t>
  </si>
  <si>
    <t xml:space="preserve">	
Fe2+</t>
  </si>
  <si>
    <t xml:space="preserve">	
4a-Hydroxytetrahydrobiopterin</t>
  </si>
  <si>
    <t xml:space="preserve">	
Precorrin 1</t>
  </si>
  <si>
    <t>NDP-glucose</t>
  </si>
  <si>
    <t xml:space="preserve">	
1,4-Dihydroxy-2-naphthoyl-CoA</t>
  </si>
  <si>
    <t xml:space="preserve">	
L-3,4-Dihydroxybutan-2-one 4-phosphate</t>
  </si>
  <si>
    <t xml:space="preserve">	
Quinone</t>
  </si>
  <si>
    <t xml:space="preserve">	
Hydroquinone</t>
  </si>
  <si>
    <t xml:space="preserve">	
Heme A</t>
  </si>
  <si>
    <t>Heme O</t>
  </si>
  <si>
    <t xml:space="preserve">	
Iminoglycine</t>
  </si>
  <si>
    <t>Sulfur-carrier protein</t>
  </si>
  <si>
    <t xml:space="preserve">	
Enzyme N6-(lipoyl)lysine</t>
  </si>
  <si>
    <t xml:space="preserve">	
Enzyme N6-(dihydrolipoyl)lysine</t>
  </si>
  <si>
    <t>L-Methionine (S)-S-oxide</t>
  </si>
  <si>
    <t xml:space="preserve">	
3-Oxostearoyl-[acp]</t>
  </si>
  <si>
    <t>(3R)-3-Hydroxyoctadecanoyl-[acyl-carrier protein]</t>
  </si>
  <si>
    <t xml:space="preserve">	
[Protein]-N6-(octanoyl)-L-lysine</t>
  </si>
  <si>
    <t xml:space="preserve">	
Protein N6-(lipoyl)lysine</t>
  </si>
  <si>
    <t xml:space="preserve">	
Lipoyl-[acp]</t>
  </si>
  <si>
    <t xml:space="preserve">	
[Lipoyl-carrier protein]-L-lysine</t>
  </si>
  <si>
    <t xml:space="preserve">	
2-Bromomaleylacetate</t>
  </si>
  <si>
    <t>3-Fluorocatechol</t>
  </si>
  <si>
    <t>4-Fluorocatechol</t>
  </si>
  <si>
    <t xml:space="preserve">	
3-Fluoro-cis,cis-muconate</t>
  </si>
  <si>
    <t xml:space="preserve">	
2-Fluoro-cis,cis-muconate</t>
  </si>
  <si>
    <t xml:space="preserve">	
3-Fluorocyclohexadiene-cis,cis-1,2-diol-1-carboxylate</t>
  </si>
  <si>
    <t xml:space="preserve">	
5-Fluorocyclohexadiene-cis,cis-1,2-diol-1-carboxylate</t>
  </si>
  <si>
    <t xml:space="preserve">	
4-Fluorocyclohexadiene-cis,cis-1,2-diol-1-carboxylate</t>
  </si>
  <si>
    <t xml:space="preserve">	
6-Fluorocyclohexadiene-cis,cis-1,2-diol-1-carboxylate</t>
  </si>
  <si>
    <t xml:space="preserve">	
2-Fluorocyclohexadiene-cis,cis-1,2-diol-1-carboxylate</t>
  </si>
  <si>
    <t xml:space="preserve">	
2-Succinyl-5-enolpyruvyl-6-hydroxy-3-cyclohexene-1-carboxylate</t>
  </si>
  <si>
    <t xml:space="preserve">	
Aminopropylcadaverine</t>
  </si>
  <si>
    <t>No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</si>
  <si>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</si>
  <si>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</si>
  <si>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</si>
  <si>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</si>
  <si>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</si>
  <si>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</si>
  <si>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</si>
  <si>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</si>
  <si>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</si>
  <si>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</si>
  <si>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</si>
  <si>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</si>
  <si>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EC Number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</si>
  <si>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</si>
  <si>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</si>
  <si>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</si>
  <si>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</si>
  <si>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</si>
  <si>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</si>
  <si>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 xml:space="preserve">Rate Law </t>
  </si>
  <si>
    <t xml:space="preserve"> Equation </t>
  </si>
  <si>
    <t xml:space="preserve">	
C00860 + C00003 + C00001</t>
  </si>
  <si>
    <t xml:space="preserve">	
C00027 </t>
  </si>
  <si>
    <t>C00632 +  C00007</t>
  </si>
  <si>
    <t xml:space="preserve">	
C00704 + C00080</t>
  </si>
  <si>
    <t xml:space="preserve">	
C11453 + C00138</t>
  </si>
  <si>
    <t xml:space="preserve">	
 C00704 + C00080</t>
  </si>
  <si>
    <t xml:space="preserve">	
C11453 +  C00138</t>
  </si>
  <si>
    <t xml:space="preserve">	
C11811 +  C00138 +  C00080 </t>
  </si>
  <si>
    <t xml:space="preserve">	
C00235 + C00139 + C00001</t>
  </si>
  <si>
    <t xml:space="preserve">	
C15672 + C00001 + C00028 </t>
  </si>
  <si>
    <t>C12835 + C00004 +  C00080</t>
  </si>
  <si>
    <t>C18243 +  C00004 +  C00080</t>
  </si>
  <si>
    <t xml:space="preserve">	
C18243 + C00005 + C00080</t>
  </si>
  <si>
    <t>C18243 + C00004 + C00080</t>
  </si>
  <si>
    <t xml:space="preserve">	
C18243 + C00005 +  C00080</t>
  </si>
  <si>
    <t xml:space="preserve">	
C00353 + C00080 +  C00005 </t>
  </si>
  <si>
    <t xml:space="preserve">	
C01079 + C00007</t>
  </si>
  <si>
    <t xml:space="preserve">	
C21284 +  C00027</t>
  </si>
  <si>
    <t xml:space="preserve">C00025 + C00006 </t>
  </si>
  <si>
    <t>C00101 + C00003 </t>
  </si>
  <si>
    <t>C00101 + C00006</t>
  </si>
  <si>
    <t>C15602 + C00005 + C00080 </t>
  </si>
  <si>
    <t>C06717 + C00003</t>
  </si>
  <si>
    <t>C06717 + C00006</t>
  </si>
  <si>
    <t>C01528 +  C00006 + C00001</t>
  </si>
  <si>
    <t>C00005 + C00080 + C18902</t>
  </si>
  <si>
    <t>C00283 + C00139 + C00001 </t>
  </si>
  <si>
    <t>C01528 +  C00139 +  C00001 </t>
  </si>
  <si>
    <t>C01528 + C00139 + C00001 </t>
  </si>
  <si>
    <t> C00019 + C01051</t>
  </si>
  <si>
    <t>C00019 + C02469</t>
  </si>
  <si>
    <t> C00019 + C02469</t>
  </si>
  <si>
    <t>C00019 + C20648</t>
  </si>
  <si>
    <t>C00019+ C22150</t>
  </si>
  <si>
    <t>C00024 +  C00083 + C00005 + C00080 </t>
  </si>
  <si>
    <t>C00024 + C00083 + C00005 + C00080 </t>
  </si>
  <si>
    <t>C00024</t>
  </si>
  <si>
    <t xml:space="preserve">	
G10495 + G11109 </t>
  </si>
  <si>
    <t xml:space="preserve">	
C00718 +  C00031</t>
  </si>
  <si>
    <t>G10495 + C00031</t>
  </si>
  <si>
    <t xml:space="preserve">	
C20237 + C00718</t>
  </si>
  <si>
    <t>G10553 + G10554</t>
  </si>
  <si>
    <t xml:space="preserve">	
G10555 + G10557</t>
  </si>
  <si>
    <t xml:space="preserve">	
C00002 + C00541 + C03024</t>
  </si>
  <si>
    <t xml:space="preserve">	
C00002 + C06504 + C03024</t>
  </si>
  <si>
    <t>C00931 + C00001</t>
  </si>
  <si>
    <t>C03722 + C00001 + C00009 </t>
  </si>
  <si>
    <t xml:space="preserve">	
C04332</t>
  </si>
  <si>
    <t> C00201</t>
  </si>
  <si>
    <t>C00201</t>
  </si>
  <si>
    <t xml:space="preserve"> C00201</t>
  </si>
  <si>
    <t xml:space="preserve">	
C00677 + C00039</t>
  </si>
  <si>
    <t xml:space="preserve">	
C02211 +  C00063 + C00002</t>
  </si>
  <si>
    <t xml:space="preserve">	
C00002 </t>
  </si>
  <si>
    <t xml:space="preserve">	
C18239 + C15814</t>
  </si>
  <si>
    <t xml:space="preserve">	
C01909 + C17023 +  C00019 +  C05359 + C00080</t>
  </si>
  <si>
    <t xml:space="preserve">	
C16236 + C22154 + C00019 + C22150 + C00080</t>
  </si>
  <si>
    <t>C22160 + C22154 + C00019 +  C22150 + C00080</t>
  </si>
  <si>
    <t xml:space="preserve">	
C22159 + C22154 + C00019 + C22150 +  C00080 </t>
  </si>
  <si>
    <t xml:space="preserve">C00086 +  C00001 </t>
  </si>
  <si>
    <t xml:space="preserve">	
C00002 + C01879 + C00001 </t>
  </si>
  <si>
    <t xml:space="preserve">	
C00044 + C00001</t>
  </si>
  <si>
    <t xml:space="preserve">	
C00430</t>
  </si>
  <si>
    <t xml:space="preserve">C00002 + C03541 + C00025 </t>
  </si>
  <si>
    <t xml:space="preserve">C00002 + C05928 +  C00025 </t>
  </si>
  <si>
    <t xml:space="preserve">C00002 + C00064 + C00288 + C00001 </t>
  </si>
  <si>
    <t xml:space="preserve">	
C00002 + C00288 + C00014 </t>
  </si>
  <si>
    <t xml:space="preserve"> C00002 + C00064 + C00288 + C00001 </t>
  </si>
  <si>
    <t xml:space="preserve">	
C00003 + C00039+ C02128</t>
  </si>
  <si>
    <t xml:space="preserve">C15603 +  C00125 </t>
  </si>
  <si>
    <t xml:space="preserve">	
C00390 +  C00125 </t>
  </si>
  <si>
    <t>1_1_1_1</t>
  </si>
  <si>
    <t>1_1_1_100</t>
  </si>
  <si>
    <t>1_1_1_169</t>
  </si>
  <si>
    <t>1_1_1_18</t>
  </si>
  <si>
    <t xml:space="preserve">1_1_1_193 </t>
  </si>
  <si>
    <t>3_5_4_26</t>
  </si>
  <si>
    <t>1_1_1_205</t>
  </si>
  <si>
    <t>1_1_1_23</t>
  </si>
  <si>
    <t>1_1_1_25</t>
  </si>
  <si>
    <t>1_1_1_267</t>
  </si>
  <si>
    <t>1_1_1_27</t>
  </si>
  <si>
    <t>1_1_1_28</t>
  </si>
  <si>
    <t>1_1_1_298</t>
  </si>
  <si>
    <t>1_1_1_3</t>
  </si>
  <si>
    <t>1_1_1_306</t>
  </si>
  <si>
    <t>1_1_1_333</t>
  </si>
  <si>
    <t>1_1_1_37</t>
  </si>
  <si>
    <t>1_1_1_40</t>
  </si>
  <si>
    <t>1_1_1_42</t>
  </si>
  <si>
    <t>1_1_1_44</t>
  </si>
  <si>
    <t>1_1_1_49</t>
  </si>
  <si>
    <t>1_1_1_85</t>
  </si>
  <si>
    <t>1_1_1_86</t>
  </si>
  <si>
    <t>1_1_1_94</t>
  </si>
  <si>
    <t>1_1_1_95</t>
  </si>
  <si>
    <t>1_1_5_4</t>
  </si>
  <si>
    <t>1_11_1_24</t>
  </si>
  <si>
    <t>1_11_1_6</t>
  </si>
  <si>
    <t>1_13_11_1</t>
  </si>
  <si>
    <t>1_13_11_3</t>
  </si>
  <si>
    <t>1_13_12_16</t>
  </si>
  <si>
    <t>1_14_12_10</t>
  </si>
  <si>
    <t>1_14_13_127</t>
  </si>
  <si>
    <t>1_14_13_24</t>
  </si>
  <si>
    <t>1_15_1_1</t>
  </si>
  <si>
    <t>1_17_1_8</t>
  </si>
  <si>
    <t>1_17_4_1</t>
  </si>
  <si>
    <t>1_17_7_1</t>
  </si>
  <si>
    <t>1_17_7_4</t>
  </si>
  <si>
    <t>1_17_99_9</t>
  </si>
  <si>
    <t>1_2_1_11</t>
  </si>
  <si>
    <t>1_2_1_12</t>
  </si>
  <si>
    <t>1_2_1_38</t>
  </si>
  <si>
    <t>1_2_1_41</t>
  </si>
  <si>
    <t>1_2_1_70</t>
  </si>
  <si>
    <t>1_2_1_79</t>
  </si>
  <si>
    <t>1_2_4_1</t>
  </si>
  <si>
    <t>1_20_4_1</t>
  </si>
  <si>
    <t>1_20_4_4</t>
  </si>
  <si>
    <t>1_3_1_12</t>
  </si>
  <si>
    <t>1_3_1_25</t>
  </si>
  <si>
    <t>1_3_1_32</t>
  </si>
  <si>
    <t>1_3_1_83</t>
  </si>
  <si>
    <t>1_3_1_98</t>
  </si>
  <si>
    <t>1_3_3_4</t>
  </si>
  <si>
    <t>1_3_5_2</t>
  </si>
  <si>
    <t>1_3_98_5</t>
  </si>
  <si>
    <t>1_4_1_13</t>
  </si>
  <si>
    <t>1_4_1_16</t>
  </si>
  <si>
    <t>1_4_1_4</t>
  </si>
  <si>
    <t>1_4_3_19</t>
  </si>
  <si>
    <t>1_5_1_2</t>
  </si>
  <si>
    <t>1_5_1_20</t>
  </si>
  <si>
    <t>1_5_1_3</t>
  </si>
  <si>
    <t>1_6_5_2</t>
  </si>
  <si>
    <t>1_6_5_5</t>
  </si>
  <si>
    <t>1_8_1_15</t>
  </si>
  <si>
    <t>1_8_1_4</t>
  </si>
  <si>
    <t>1_8_1_9</t>
  </si>
  <si>
    <t>1_8_4_11</t>
  </si>
  <si>
    <t>1_8_4_12</t>
  </si>
  <si>
    <t>1_8_4_8</t>
  </si>
  <si>
    <t>1_8_7_1</t>
  </si>
  <si>
    <t>2_1_1_107</t>
  </si>
  <si>
    <t>2_1_1_13</t>
  </si>
  <si>
    <t>2_1_1_14</t>
  </si>
  <si>
    <t>2_1_1_148</t>
  </si>
  <si>
    <t>2_1_1_163</t>
  </si>
  <si>
    <t>2_1_1_170</t>
  </si>
  <si>
    <t>2_1_1_171</t>
  </si>
  <si>
    <t>2_1_1_182</t>
  </si>
  <si>
    <t>2_1_1_192</t>
  </si>
  <si>
    <t>2_1_1_193</t>
  </si>
  <si>
    <t>2_1_1_198</t>
  </si>
  <si>
    <t>2_1_1_199</t>
  </si>
  <si>
    <t>2_1_1_207</t>
  </si>
  <si>
    <t>2_1_1_228</t>
  </si>
  <si>
    <t>2_1_1_297</t>
  </si>
  <si>
    <t>2_1_1_33</t>
  </si>
  <si>
    <t>2_1_1_37</t>
  </si>
  <si>
    <t>2_1_1_45</t>
  </si>
  <si>
    <t>2_1_1_63</t>
  </si>
  <si>
    <t>2_1_2_1</t>
  </si>
  <si>
    <t>2_1_2_11</t>
  </si>
  <si>
    <t>2_1_2_2</t>
  </si>
  <si>
    <t xml:space="preserve">2_1_2_3 </t>
  </si>
  <si>
    <t>3_5_4_10</t>
  </si>
  <si>
    <t>2_1_2_9</t>
  </si>
  <si>
    <t>2_1_3_15</t>
  </si>
  <si>
    <t>2_1_3_2</t>
  </si>
  <si>
    <t>2_1_3_3</t>
  </si>
  <si>
    <t>2_2_1_1</t>
  </si>
  <si>
    <t>2_2_1_2</t>
  </si>
  <si>
    <t>2_2_1_6</t>
  </si>
  <si>
    <t>2_2_1_7</t>
  </si>
  <si>
    <t>2_2_1_9</t>
  </si>
  <si>
    <t>2_3_1_1</t>
  </si>
  <si>
    <t xml:space="preserve">2_3_1_1 </t>
  </si>
  <si>
    <t>2_3_1_35</t>
  </si>
  <si>
    <t>2_3_1_117</t>
  </si>
  <si>
    <t>2_3_1_181</t>
  </si>
  <si>
    <t>2_3_1_189</t>
  </si>
  <si>
    <t>2_3_1_234</t>
  </si>
  <si>
    <t>2_3_1_266</t>
  </si>
  <si>
    <t>2_3_1_286</t>
  </si>
  <si>
    <t>2_3_1_31</t>
  </si>
  <si>
    <t>2_3_1_8</t>
  </si>
  <si>
    <t>2_3_1_85</t>
  </si>
  <si>
    <t>2_3_1_9</t>
  </si>
  <si>
    <t>2_3_2_2</t>
  </si>
  <si>
    <t>2_3_3_13</t>
  </si>
  <si>
    <t>2_3_3_16</t>
  </si>
  <si>
    <t xml:space="preserve">2_3_3_16 </t>
  </si>
  <si>
    <t>2_3_3_5</t>
  </si>
  <si>
    <t>2_3_3_9</t>
  </si>
  <si>
    <t>2_4_1_109</t>
  </si>
  <si>
    <t>2_4_1_15</t>
  </si>
  <si>
    <t>2_4_1_18</t>
  </si>
  <si>
    <t>2_4_1_21</t>
  </si>
  <si>
    <t>2_4_1_227</t>
  </si>
  <si>
    <t>2_4_1_25</t>
  </si>
  <si>
    <t>2_4_1_250</t>
  </si>
  <si>
    <t>2_4_1_266</t>
  </si>
  <si>
    <t>2_4_1_287</t>
  </si>
  <si>
    <t>2_4_1_346</t>
  </si>
  <si>
    <t>2_4_2_10</t>
  </si>
  <si>
    <t>2_4_2_14</t>
  </si>
  <si>
    <t>2_4_2_17</t>
  </si>
  <si>
    <t>2_4_2_18</t>
  </si>
  <si>
    <t>2_4_2_19</t>
  </si>
  <si>
    <t>2_4_2_21</t>
  </si>
  <si>
    <t>2_4_2_29</t>
  </si>
  <si>
    <t>2_4_2_45</t>
  </si>
  <si>
    <t>2_4_2_7</t>
  </si>
  <si>
    <t>2_4_2_8</t>
  </si>
  <si>
    <t>2_4_2_9</t>
  </si>
  <si>
    <t>2_4_99_16</t>
  </si>
  <si>
    <t>2_4_99_28</t>
  </si>
  <si>
    <t>2_5_1_141</t>
  </si>
  <si>
    <t>2_5_1_15</t>
  </si>
  <si>
    <t>2_5_1_16</t>
  </si>
  <si>
    <t>2_5_1_17</t>
  </si>
  <si>
    <t>2_5_1_19</t>
  </si>
  <si>
    <t>2_5_1_3</t>
  </si>
  <si>
    <t>2_5_1_47</t>
  </si>
  <si>
    <t>2_5_1_48</t>
  </si>
  <si>
    <t>2_5_1_54</t>
  </si>
  <si>
    <t>2_5_1_6</t>
  </si>
  <si>
    <t>2_5_1_61</t>
  </si>
  <si>
    <t>2_5_1_7</t>
  </si>
  <si>
    <t>2_5_1_72</t>
  </si>
  <si>
    <t>2_5_1_74</t>
  </si>
  <si>
    <t>2_5_1_75</t>
  </si>
  <si>
    <t>2_5_1_78</t>
  </si>
  <si>
    <t>2_5_1_9</t>
  </si>
  <si>
    <t>2_6_1_11</t>
  </si>
  <si>
    <t>2_6_1_16</t>
  </si>
  <si>
    <t>2_6_1_17</t>
  </si>
  <si>
    <t>2_6_1_19</t>
  </si>
  <si>
    <t>2_6_1_42</t>
  </si>
  <si>
    <t>2_6_1_52</t>
  </si>
  <si>
    <t>2_6_1_62</t>
  </si>
  <si>
    <t>2_6_1_85</t>
  </si>
  <si>
    <t>2_6_1_9</t>
  </si>
  <si>
    <t>2_7_1_12</t>
  </si>
  <si>
    <t>2_7_1_148</t>
  </si>
  <si>
    <t xml:space="preserve">2_7_1_156 </t>
  </si>
  <si>
    <t>2_7_1_156</t>
  </si>
  <si>
    <t>2_7_7_62</t>
  </si>
  <si>
    <t>2_7_1_17</t>
  </si>
  <si>
    <t>2_7_1_2</t>
  </si>
  <si>
    <t>2_7_1_211</t>
  </si>
  <si>
    <t>2_7_1_23</t>
  </si>
  <si>
    <t>2_7_1_24</t>
  </si>
  <si>
    <t xml:space="preserve">2_7_1_26 </t>
  </si>
  <si>
    <t>2_7_7_2</t>
  </si>
  <si>
    <t>2_7_1_30</t>
  </si>
  <si>
    <t>2_7_1_31</t>
  </si>
  <si>
    <t>2_7_1_33</t>
  </si>
  <si>
    <t>2_7_1_35</t>
  </si>
  <si>
    <t>2_7_1_39</t>
  </si>
  <si>
    <t>2_7_1_40</t>
  </si>
  <si>
    <t xml:space="preserve">2_7_1_49 </t>
  </si>
  <si>
    <t>2_7_4_7</t>
  </si>
  <si>
    <t>2_7_1_50</t>
  </si>
  <si>
    <t>2_7_1_56</t>
  </si>
  <si>
    <t>2_7_1_63</t>
  </si>
  <si>
    <t>2_7_1_71</t>
  </si>
  <si>
    <t>2_7_1_92</t>
  </si>
  <si>
    <t>2_7_10_2</t>
  </si>
  <si>
    <t>2_7_11_1</t>
  </si>
  <si>
    <t>2_7_13_3</t>
  </si>
  <si>
    <t>2_7_2_1</t>
  </si>
  <si>
    <t>2_7_2_11</t>
  </si>
  <si>
    <t>2_7_2_3</t>
  </si>
  <si>
    <t>2_7_2_4</t>
  </si>
  <si>
    <t>2_7_2_8</t>
  </si>
  <si>
    <t>2_7_3_9</t>
  </si>
  <si>
    <t>2_7_4_1</t>
  </si>
  <si>
    <t>2_7_4_16</t>
  </si>
  <si>
    <t>2_7_4_22</t>
  </si>
  <si>
    <t>2_7_4_25</t>
  </si>
  <si>
    <t>2_7_4_3</t>
  </si>
  <si>
    <t>2_7_4_6</t>
  </si>
  <si>
    <t>2_7_4_8</t>
  </si>
  <si>
    <t>2_7_4_9</t>
  </si>
  <si>
    <t>2_7_6_1</t>
  </si>
  <si>
    <t>2_7_6_3</t>
  </si>
  <si>
    <t>2_7_6_5</t>
  </si>
  <si>
    <t>2_7_7_108</t>
  </si>
  <si>
    <t>2_7_7_18</t>
  </si>
  <si>
    <t>2_7_7_23</t>
  </si>
  <si>
    <t>2_7_7_24</t>
  </si>
  <si>
    <t>2_7_7_27</t>
  </si>
  <si>
    <t>2_7_7_3</t>
  </si>
  <si>
    <t>2_7_7_4</t>
  </si>
  <si>
    <t>2_7_7_41</t>
  </si>
  <si>
    <t xml:space="preserve">2_7_7_42 </t>
  </si>
  <si>
    <t>2_7_7_89</t>
  </si>
  <si>
    <t>2_7_7_56</t>
  </si>
  <si>
    <t>2_7_7_59</t>
  </si>
  <si>
    <t>2_7_7_6</t>
  </si>
  <si>
    <t>2_7_7_60</t>
  </si>
  <si>
    <t>2_7_7_7</t>
  </si>
  <si>
    <t>2_7_7_72</t>
  </si>
  <si>
    <t>2_7_7_77</t>
  </si>
  <si>
    <t>2_7_7_8</t>
  </si>
  <si>
    <t>2_7_7_85</t>
  </si>
  <si>
    <t>2_7_7_87</t>
  </si>
  <si>
    <t>2_7_7_9</t>
  </si>
  <si>
    <t>2_7_8_13</t>
  </si>
  <si>
    <t>2_7_8_26</t>
  </si>
  <si>
    <t>2_7_8_5</t>
  </si>
  <si>
    <t>2_7_8_7</t>
  </si>
  <si>
    <t>2_8_1_10</t>
  </si>
  <si>
    <t>2_8_1_12</t>
  </si>
  <si>
    <t>2_8_1_13</t>
  </si>
  <si>
    <t>2_8_1_6</t>
  </si>
  <si>
    <t>2_8_1_7</t>
  </si>
  <si>
    <t>2_8_1_8</t>
  </si>
  <si>
    <t>2_8_4_2</t>
  </si>
  <si>
    <t>2_8_4_3</t>
  </si>
  <si>
    <t>3_1_3_5</t>
  </si>
  <si>
    <t>3_1_1_24</t>
  </si>
  <si>
    <t>3_1_1_29</t>
  </si>
  <si>
    <t>3_1_1_31</t>
  </si>
  <si>
    <t>3_1_1_96</t>
  </si>
  <si>
    <t>3_1_3_1</t>
  </si>
  <si>
    <t>3_1_3_11</t>
  </si>
  <si>
    <t>3_1_3_12</t>
  </si>
  <si>
    <t>3_1_3_15</t>
  </si>
  <si>
    <t>3_1_3_16</t>
  </si>
  <si>
    <t xml:space="preserve">3_1_3_16 </t>
  </si>
  <si>
    <t>3_1_3_48</t>
  </si>
  <si>
    <t>3_1_3_2</t>
  </si>
  <si>
    <t>3_1_3_3</t>
  </si>
  <si>
    <t>3_1_3_7</t>
  </si>
  <si>
    <t>3_13_2_1</t>
  </si>
  <si>
    <t>3_2_1_141</t>
  </si>
  <si>
    <t>3_2_2_4</t>
  </si>
  <si>
    <t>3_4_11_1</t>
  </si>
  <si>
    <t>3_4_11_2</t>
  </si>
  <si>
    <t>3_5_1_10</t>
  </si>
  <si>
    <t>3_5_1_103</t>
  </si>
  <si>
    <t>3_5_1_119</t>
  </si>
  <si>
    <t>3_5_1_18</t>
  </si>
  <si>
    <t>3_5_1_2</t>
  </si>
  <si>
    <t>4_3_3_6</t>
  </si>
  <si>
    <t xml:space="preserve">3_5_1_2 </t>
  </si>
  <si>
    <t>6_3_5_3</t>
  </si>
  <si>
    <t>3_5_1_25</t>
  </si>
  <si>
    <t>3_5_1_5</t>
  </si>
  <si>
    <t>3_5_1_88</t>
  </si>
  <si>
    <t>3_5_2_3</t>
  </si>
  <si>
    <t>3_5_2_9</t>
  </si>
  <si>
    <t>3_5_4_13</t>
  </si>
  <si>
    <t>3_5_4_16</t>
  </si>
  <si>
    <t>3_5_4_19</t>
  </si>
  <si>
    <t xml:space="preserve">3_5_4_25 </t>
  </si>
  <si>
    <t>4_1_99_12</t>
  </si>
  <si>
    <t>3_5_4_33</t>
  </si>
  <si>
    <t>3_5_99_6</t>
  </si>
  <si>
    <t>3_6_1_1</t>
  </si>
  <si>
    <t>3_6_1_23</t>
  </si>
  <si>
    <t>3_6_1_25</t>
  </si>
  <si>
    <t>3_6_1_27</t>
  </si>
  <si>
    <t>3_6_1_31</t>
  </si>
  <si>
    <t>3_6_1_66</t>
  </si>
  <si>
    <t>3_6_1_7</t>
  </si>
  <si>
    <t>3_6_1_9</t>
  </si>
  <si>
    <t>5_6_2_5</t>
  </si>
  <si>
    <t>5_6_2_6</t>
  </si>
  <si>
    <t>5_6_2_7</t>
  </si>
  <si>
    <t>3_7_1_22</t>
  </si>
  <si>
    <t>4_1_1_11</t>
  </si>
  <si>
    <t>4_1_1_20</t>
  </si>
  <si>
    <t xml:space="preserve">4_1_1_21 </t>
  </si>
  <si>
    <t>5_4_99_18</t>
  </si>
  <si>
    <t>4_1_1_23</t>
  </si>
  <si>
    <t>4_1_1_31</t>
  </si>
  <si>
    <t>4_1_1_32</t>
  </si>
  <si>
    <t xml:space="preserve">4_1_1_36 </t>
  </si>
  <si>
    <t>6_3_2_5</t>
  </si>
  <si>
    <t>4_1_1_37</t>
  </si>
  <si>
    <t>4_1_1_44</t>
  </si>
  <si>
    <t xml:space="preserve">4_1_1_48 </t>
  </si>
  <si>
    <t>5_3_1_24</t>
  </si>
  <si>
    <t>4_1_1_71</t>
  </si>
  <si>
    <t>4_1_2_13</t>
  </si>
  <si>
    <t>4_1_2_25</t>
  </si>
  <si>
    <t>4_1_2_4</t>
  </si>
  <si>
    <t>4_1_3_1</t>
  </si>
  <si>
    <t>4_1_3_27</t>
  </si>
  <si>
    <t>4_1_3_30</t>
  </si>
  <si>
    <t>4_1_3_36</t>
  </si>
  <si>
    <t>4_1_3_38</t>
  </si>
  <si>
    <t>4_1_99_17</t>
  </si>
  <si>
    <t>4_1_99_22</t>
  </si>
  <si>
    <t>4_2_1_10</t>
  </si>
  <si>
    <t>4_2_1_11</t>
  </si>
  <si>
    <t>4_2_1_113</t>
  </si>
  <si>
    <t>4_2_1_118</t>
  </si>
  <si>
    <t>4_2_1_19</t>
  </si>
  <si>
    <t>4_2_1_2</t>
  </si>
  <si>
    <t>4_2_1_20</t>
  </si>
  <si>
    <t>4_2_1_24</t>
  </si>
  <si>
    <t xml:space="preserve">4_2_1_3 </t>
  </si>
  <si>
    <t>4_2_1_79</t>
  </si>
  <si>
    <t>4_2_1_33</t>
  </si>
  <si>
    <t>4_2_1_46</t>
  </si>
  <si>
    <t>4_2_1_47</t>
  </si>
  <si>
    <t>4_2_1_51</t>
  </si>
  <si>
    <t>4_2_1_9</t>
  </si>
  <si>
    <t>4_2_1_96</t>
  </si>
  <si>
    <t>4_2_3_1</t>
  </si>
  <si>
    <t>4_2_3_4</t>
  </si>
  <si>
    <t>4_2_3_5</t>
  </si>
  <si>
    <t>4_3_1_1</t>
  </si>
  <si>
    <t>4_3_1_17</t>
  </si>
  <si>
    <t>4_3_1_19</t>
  </si>
  <si>
    <t>4_3_2_1</t>
  </si>
  <si>
    <t>4_3_2_10</t>
  </si>
  <si>
    <t>4_3_2_2</t>
  </si>
  <si>
    <t>4_3_3_7</t>
  </si>
  <si>
    <t>4_4_1_13</t>
  </si>
  <si>
    <t>4_6_1_12</t>
  </si>
  <si>
    <t>4_6_1_17</t>
  </si>
  <si>
    <t>4_98_1_1</t>
  </si>
  <si>
    <t>4_99_1_12</t>
  </si>
  <si>
    <t>5_1_1_1</t>
  </si>
  <si>
    <t>5_1_1_3</t>
  </si>
  <si>
    <t>5_1_1_7</t>
  </si>
  <si>
    <t>5_1_3_1</t>
  </si>
  <si>
    <t>5_1_3_15</t>
  </si>
  <si>
    <t>5_1_3_2</t>
  </si>
  <si>
    <t>5_1_3_9</t>
  </si>
  <si>
    <t>5_1_99_1</t>
  </si>
  <si>
    <t>5_2_1_4</t>
  </si>
  <si>
    <t>5_2_1_8</t>
  </si>
  <si>
    <t>5_3_1_1</t>
  </si>
  <si>
    <t>5_3_1_12</t>
  </si>
  <si>
    <t xml:space="preserve">5_3_1_16 </t>
  </si>
  <si>
    <t>5_3_1_30</t>
  </si>
  <si>
    <t>5_3_1_6</t>
  </si>
  <si>
    <t>5_3_1_8</t>
  </si>
  <si>
    <t>5_3_1_9</t>
  </si>
  <si>
    <t>5_3_3_2</t>
  </si>
  <si>
    <t>5_3_3_4</t>
  </si>
  <si>
    <t>5_4_2_10</t>
  </si>
  <si>
    <t>5_4_2_11</t>
  </si>
  <si>
    <t>5_4_2_2</t>
  </si>
  <si>
    <t>5_4_3_8</t>
  </si>
  <si>
    <t>5_4_4_2</t>
  </si>
  <si>
    <t>5_4_99_12</t>
  </si>
  <si>
    <t>5_4_99_15</t>
  </si>
  <si>
    <t>5_4_99_16</t>
  </si>
  <si>
    <t>5_4_99_2</t>
  </si>
  <si>
    <t>5_4_99_5</t>
  </si>
  <si>
    <t>5_4_99_62</t>
  </si>
  <si>
    <t>5_4_99_9</t>
  </si>
  <si>
    <t>5_5_1_2</t>
  </si>
  <si>
    <t>5_5_1_4</t>
  </si>
  <si>
    <t>5_6_1_5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</si>
  <si>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</si>
  <si>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</si>
  <si>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</si>
  <si>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</si>
  <si>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</si>
  <si>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</si>
  <si>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</si>
  <si>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</si>
  <si>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</si>
  <si>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</si>
  <si>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</si>
  <si>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</si>
  <si>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6_1_1_3</t>
  </si>
  <si>
    <t>6_1_1_4</t>
  </si>
  <si>
    <t>6_1_1_5</t>
  </si>
  <si>
    <t>6_1_1_6</t>
  </si>
  <si>
    <t>6_1_1_7</t>
  </si>
  <si>
    <t>6_1_1_9</t>
  </si>
  <si>
    <t>6_2_1_26</t>
  </si>
  <si>
    <t>6_2_1_5</t>
  </si>
  <si>
    <t>6_3_1_13</t>
  </si>
  <si>
    <t>6_3_1_19</t>
  </si>
  <si>
    <t>6_3_1_2</t>
  </si>
  <si>
    <t>6_3_1_5</t>
  </si>
  <si>
    <t>6_3_2_1</t>
  </si>
  <si>
    <t>6_3_2_10</t>
  </si>
  <si>
    <t xml:space="preserve">6_3_2_12 </t>
  </si>
  <si>
    <t>6_3_2_17</t>
  </si>
  <si>
    <t>6_3_2_13</t>
  </si>
  <si>
    <t>6_3_2_2</t>
  </si>
  <si>
    <t>6_3_2_6</t>
  </si>
  <si>
    <t>6_3_2_8</t>
  </si>
  <si>
    <t>6_3_2_9</t>
  </si>
  <si>
    <t>6_3_3_1</t>
  </si>
  <si>
    <t>6_3_3_2</t>
  </si>
  <si>
    <t>6_3_3_3</t>
  </si>
  <si>
    <t>6_3_4_13</t>
  </si>
  <si>
    <t>6_3_4_15</t>
  </si>
  <si>
    <t>6_3_4_18</t>
  </si>
  <si>
    <t>6_3_4_19</t>
  </si>
  <si>
    <t>6_3_4_2</t>
  </si>
  <si>
    <t>6_3_4_21</t>
  </si>
  <si>
    <t>6_3_4_4</t>
  </si>
  <si>
    <t>6_3_4_5</t>
  </si>
  <si>
    <t>6_3_5_2</t>
  </si>
  <si>
    <t>6_3_5_4</t>
  </si>
  <si>
    <t>6_3_5_5</t>
  </si>
  <si>
    <t>6_4_1_1</t>
  </si>
  <si>
    <t>6_5_1_2</t>
  </si>
  <si>
    <t>6_5_1_8</t>
  </si>
  <si>
    <t>7_1_1_8</t>
  </si>
  <si>
    <t>7_1_2_2</t>
  </si>
  <si>
    <t>7_3_2_1</t>
  </si>
  <si>
    <t>7_3_2_2</t>
  </si>
  <si>
    <t>7_4_2_11</t>
  </si>
  <si>
    <t>C00632 + C00007</t>
  </si>
  <si>
    <t xml:space="preserve">	
C11811 +  C00138 + C00080 </t>
  </si>
  <si>
    <t xml:space="preserve">	
C15672 + C00001 +  C00028 </t>
  </si>
  <si>
    <t>C12835 + C00004 + C00080</t>
  </si>
  <si>
    <t xml:space="preserve">	
C18243 +  C00005 + C00080</t>
  </si>
  <si>
    <t>C18243 +  C00004 + C00080</t>
  </si>
  <si>
    <t xml:space="preserve">	
C18243 +  C00005 +  C00080</t>
  </si>
  <si>
    <t xml:space="preserve">	
C01079 +  C00007</t>
  </si>
  <si>
    <t>C00101 +  C00003 </t>
  </si>
  <si>
    <t>C00101 +  C00006</t>
  </si>
  <si>
    <t> C06717 + C00006</t>
  </si>
  <si>
    <t> C00005 + C00080 + C18902</t>
  </si>
  <si>
    <t>C00283 + C00139 +  C00001 </t>
  </si>
  <si>
    <t xml:space="preserve"> C00019+ C22150</t>
  </si>
  <si>
    <t>C00024 + C00083 +  C00005 +  C00080 </t>
  </si>
  <si>
    <t>C00024 +  C00083 +  C00005 +  C00080 </t>
  </si>
  <si>
    <t> C00024</t>
  </si>
  <si>
    <t xml:space="preserve">	
C00718 + C00031</t>
  </si>
  <si>
    <t>G10495 +  C00031</t>
  </si>
  <si>
    <t>C03722 +  C00001 + C00009 </t>
  </si>
  <si>
    <t xml:space="preserve">	
 C04332</t>
  </si>
  <si>
    <t xml:space="preserve">	
C02211 + C00063 + C00002</t>
  </si>
  <si>
    <t xml:space="preserve">	
C01909 + C17023 + C00019 + C05359 +  C00080</t>
  </si>
  <si>
    <t xml:space="preserve">	
C16236 + C22154 + C00019 +  C22150 +  C00080</t>
  </si>
  <si>
    <t>C22160 + C22154 +  C00019 +  C22150 +  C00080</t>
  </si>
  <si>
    <t xml:space="preserve">	
C22159 + C22154 + C00019 + C22150 + C00080 </t>
  </si>
  <si>
    <t xml:space="preserve">	
 C00430</t>
  </si>
  <si>
    <t xml:space="preserve"> C00002 + C05928 + C00025 </t>
  </si>
  <si>
    <t xml:space="preserve">C15603 + C00125 </t>
  </si>
  <si>
    <t>C00135 + C00004 + C00080</t>
  </si>
  <si>
    <t>C00007 + C00001</t>
  </si>
  <si>
    <t>C00067 +  C00001</t>
  </si>
  <si>
    <t>C05640 +  C00704 +  C00027 +  C00080</t>
  </si>
  <si>
    <t> C11811 + C00001 + C00139</t>
  </si>
  <si>
    <t>C00129 +  C00139 + C00001</t>
  </si>
  <si>
    <t>C11811 + C00138 +  C00080</t>
  </si>
  <si>
    <t> C15670 + C00030</t>
  </si>
  <si>
    <t> C12836 + C01327 + C00003</t>
  </si>
  <si>
    <t>C18244 + C00003 + C01327</t>
  </si>
  <si>
    <t>C18244 +  C00006 + C01327</t>
  </si>
  <si>
    <t>C18244 + C00006 + C01327</t>
  </si>
  <si>
    <t>C05427 +  C00006</t>
  </si>
  <si>
    <t>C02191 + C00027</t>
  </si>
  <si>
    <t> C00032 +  C00011 + C00001</t>
  </si>
  <si>
    <t>C22173 + C00011 + C00001</t>
  </si>
  <si>
    <t>C00032 + C00011 + C00001</t>
  </si>
  <si>
    <t>C00504 +  C00004 +  C00080</t>
  </si>
  <si>
    <t> C00504 +  C00005 + C00080</t>
  </si>
  <si>
    <t>C00504 + C00004 +  C00080</t>
  </si>
  <si>
    <t> C00504 +  C00005 +  C00080</t>
  </si>
  <si>
    <t>  C05309 + C00006</t>
  </si>
  <si>
    <t>C05684 + C00005 +  C00080</t>
  </si>
  <si>
    <t> C00006 +  C00001 + C05703</t>
  </si>
  <si>
    <t> C00094 + C00138 + C00080</t>
  </si>
  <si>
    <t>C05684 + C00138 + C00080</t>
  </si>
  <si>
    <t>C00021 + C02463</t>
  </si>
  <si>
    <t> C00021 + C05778</t>
  </si>
  <si>
    <t> C00021 + C20796</t>
  </si>
  <si>
    <t>C00021+ C00073 + C05198 + C22151</t>
  </si>
  <si>
    <t> C00022</t>
  </si>
  <si>
    <t>C00638 + C00011 +  C00006 + C00010 + C00001</t>
  </si>
  <si>
    <t>G10495 + G11113</t>
  </si>
  <si>
    <t>C00638 + C00011 + C00006 + C00010 + C00001</t>
  </si>
  <si>
    <t>C00638 * C00011 * C00006 * C00010 * C00001</t>
  </si>
  <si>
    <t>C00638 * C00011 *C00006 * C00010 * C00001</t>
  </si>
  <si>
    <t>G10495 * G11113</t>
  </si>
  <si>
    <t> C00009 + C00718</t>
  </si>
  <si>
    <t>C00106 * C00119</t>
  </si>
  <si>
    <t>C04574 * C11826</t>
  </si>
  <si>
    <t>C04574 + G10554</t>
  </si>
  <si>
    <t> C04574 * G10554</t>
  </si>
  <si>
    <t>C04574 *C11827</t>
  </si>
  <si>
    <t>C04574 + G10557</t>
  </si>
  <si>
    <t> C00536 + C00194 + C03161</t>
  </si>
  <si>
    <t> C00536 + C06506 + C03161</t>
  </si>
  <si>
    <t>C04332 + C00001 + C00009</t>
  </si>
  <si>
    <t> C00008</t>
  </si>
  <si>
    <t> C20864+ C00013</t>
  </si>
  <si>
    <t> C20864 + C00013</t>
  </si>
  <si>
    <t> C20864 + C00013</t>
  </si>
  <si>
    <t>C00013 + C00039</t>
  </si>
  <si>
    <t>C00013 * C00039</t>
  </si>
  <si>
    <t>C00013 *  C00039</t>
  </si>
  <si>
    <t>C19085 + C00013</t>
  </si>
  <si>
    <t> C00013 + C20565</t>
  </si>
  <si>
    <t> C20246 + C15810 + C00001</t>
  </si>
  <si>
    <t>C05924 +  C15810</t>
  </si>
  <si>
    <t>C00120 + C00073 + C05198</t>
  </si>
  <si>
    <t>C16832 + C22155 +  C00283 + C14818 +  C00073 + C05198 + C22151</t>
  </si>
  <si>
    <t>C15973 + C22155 +  C00283 +  C14818 +  C00073 +  C05198 +  C22151</t>
  </si>
  <si>
    <t>C02972 + C22155 +  C00283 +  C14818 +  C00073 +  C05198 + C22151</t>
  </si>
  <si>
    <t>C04874 + C00009</t>
  </si>
  <si>
    <t>C00740 + C00009</t>
  </si>
  <si>
    <t xml:space="preserve"> C00018 + C00001 + C00009</t>
  </si>
  <si>
    <t>C00018 + C00025 + C00001 + C00009</t>
  </si>
  <si>
    <t>C00018 + C00025 + C00009 + C00001</t>
  </si>
  <si>
    <t>C00288 + C00014</t>
  </si>
  <si>
    <t xml:space="preserve"> C00011 +  C00014</t>
  </si>
  <si>
    <t> C00011 + C00014</t>
  </si>
  <si>
    <t>C00288 + C00014</t>
  </si>
  <si>
    <t xml:space="preserve"> C00058 + C01304 +C00009</t>
  </si>
  <si>
    <t>C00009</t>
  </si>
  <si>
    <t> C03263 + C00011</t>
  </si>
  <si>
    <t>C05768 + C00011</t>
  </si>
  <si>
    <t>C00931 + C00001</t>
  </si>
  <si>
    <t> C00032 + C00080</t>
  </si>
  <si>
    <t xml:space="preserve"> C00008 + C00009 + C03541</t>
  </si>
  <si>
    <t xml:space="preserve"> C00008 * C00009 * C03541</t>
  </si>
  <si>
    <t> C00008 + C00009 + C05929</t>
  </si>
  <si>
    <t>C00008 + C00009 + C00025 + C00169</t>
  </si>
  <si>
    <t> C00008 + C00009 + C00169</t>
  </si>
  <si>
    <t> C00008 + C00009 + C00025 + C00169</t>
  </si>
  <si>
    <t> C00020 + C00455 + C00039</t>
  </si>
  <si>
    <t>C15602 + C00126 +  C00080</t>
  </si>
  <si>
    <t> C00020 * C00455 *  C00039</t>
  </si>
  <si>
    <t> C00399 + C00126 + C00080</t>
  </si>
  <si>
    <t xml:space="preserve">	
 L-Cysteinylglycine</t>
  </si>
  <si>
    <t xml:space="preserve">	
4-Methylcatechol</t>
  </si>
  <si>
    <t xml:space="preserve">	
Hydroperoxide</t>
  </si>
  <si>
    <t xml:space="preserve">	
S-Acetyldihydrolipoamide-E</t>
  </si>
  <si>
    <t>dZMP</t>
  </si>
  <si>
    <t>dZDP</t>
  </si>
  <si>
    <t>Dztp</t>
  </si>
  <si>
    <t xml:space="preserve">	
C04895 +  C00001</t>
  </si>
  <si>
    <t> C01024 +  C00014</t>
  </si>
  <si>
    <t>https://www.ncbi.nlm.nih.gov/datasets/genome/GCF_000011325.1/</t>
  </si>
  <si>
    <t>NCBI RefSeq assembly</t>
  </si>
  <si>
    <t>GCF_000011325.1</t>
  </si>
  <si>
    <t>Submitted GenBank assembly</t>
  </si>
  <si>
    <t>GCA_000011325.1</t>
  </si>
  <si>
    <t>Taxon</t>
  </si>
  <si>
    <t xml:space="preserve">Corynebacterium glutamicum ATCC 13032 </t>
  </si>
  <si>
    <t>Strain</t>
  </si>
  <si>
    <t>ATCC 13032</t>
  </si>
  <si>
    <t>Kitasato Univ.</t>
  </si>
  <si>
    <t>Date</t>
  </si>
  <si>
    <t>RefSeq</t>
  </si>
  <si>
    <t>GenBank</t>
  </si>
  <si>
    <t>Provider</t>
  </si>
  <si>
    <t>NCBI RefSeq</t>
  </si>
  <si>
    <t>GCF_000011325.1-RS_2024_12_11</t>
  </si>
  <si>
    <t>Annotation submitted by Kitasato Univ.</t>
  </si>
  <si>
    <t>Dec 11, 2024</t>
  </si>
  <si>
    <t>Oct 7, 2016</t>
  </si>
  <si>
    <t>Genes</t>
  </si>
  <si>
    <t>Protein-coding</t>
  </si>
  <si>
    <t>chromosome</t>
  </si>
  <si>
    <t>BA000036.3</t>
  </si>
  <si>
    <t>2_7_1_1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</si>
</sst>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33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9" fillId="0" borderId="0" xfId="42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0" fillId="33" borderId="0" xfId="0" applyFill="1"/>
    <xf numFmtId="0" fontId="0" fillId="0" borderId="0" xfId="0" applyAlignment="1">
      <alignment vertical="center" wrapText="1"/>
    </xf>
    <xf numFmtId="0" fontId="19" fillId="0" borderId="0" xfId="42" applyAlignmen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9" fillId="0" borderId="0" xfId="42" applyAlignment="1">
      <alignment vertical="center" wrapText="1"/>
    </xf>
    <xf numFmtId="0" fontId="16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20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6" fillId="35" borderId="10" xfId="0" applyFont="1" applyFill="1" applyBorder="1" applyAlignment="1">
      <alignment wrapText="1"/>
    </xf>
    <xf numFmtId="0" fontId="20" fillId="0" borderId="10" xfId="0" quotePrefix="1" applyFont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0" fillId="37" borderId="10" xfId="0" applyFill="1" applyBorder="1" applyAlignment="1">
      <alignment wrapText="1"/>
    </xf>
    <xf numFmtId="0" fontId="0" fillId="38" borderId="10" xfId="0" applyFill="1" applyBorder="1" applyAlignment="1">
      <alignment wrapText="1"/>
    </xf>
    <xf numFmtId="0" fontId="0" fillId="39" borderId="10" xfId="0" applyFill="1" applyBorder="1" applyAlignment="1">
      <alignment wrapText="1"/>
    </xf>
    <xf numFmtId="0" fontId="14" fillId="0" borderId="10" xfId="0" applyFont="1" applyBorder="1" applyAlignment="1">
      <alignment wrapText="1"/>
    </xf>
    <xf numFmtId="0" fontId="0" fillId="0" borderId="10" xfId="0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NC_003450.3/" TargetMode="External"/><Relationship Id="rId2" Type="http://schemas.openxmlformats.org/officeDocument/2006/relationships/hyperlink" Target="https://www.ncbi.nlm.nih.gov/nuccore/BA000036.3/" TargetMode="External"/><Relationship Id="rId1" Type="http://schemas.openxmlformats.org/officeDocument/2006/relationships/hyperlink" Target="https://www.ncbi.nlm.nih.gov/datasets/taxonomy/19662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nome.jp/entry/2.7.8.7" TargetMode="External"/><Relationship Id="rId18" Type="http://schemas.openxmlformats.org/officeDocument/2006/relationships/hyperlink" Target="https://www.genome.jp/entry/R02135" TargetMode="External"/><Relationship Id="rId26" Type="http://schemas.openxmlformats.org/officeDocument/2006/relationships/hyperlink" Target="https://www.genome.jp/entry/5.6.2.4" TargetMode="External"/><Relationship Id="rId21" Type="http://schemas.openxmlformats.org/officeDocument/2006/relationships/hyperlink" Target="https://www.genome.jp/entry/4.6.1.17" TargetMode="External"/><Relationship Id="rId34" Type="http://schemas.openxmlformats.org/officeDocument/2006/relationships/hyperlink" Target="https://www.genome.jp/entry/R00360" TargetMode="External"/><Relationship Id="rId7" Type="http://schemas.openxmlformats.org/officeDocument/2006/relationships/hyperlink" Target="https://www.genome.jp/entry/1.17.4.1" TargetMode="External"/><Relationship Id="rId12" Type="http://schemas.openxmlformats.org/officeDocument/2006/relationships/hyperlink" Target="https://www.genome.jp/entry/2.7.8.7" TargetMode="External"/><Relationship Id="rId17" Type="http://schemas.openxmlformats.org/officeDocument/2006/relationships/hyperlink" Target="https://www.genome.jp/entry/R02719" TargetMode="External"/><Relationship Id="rId25" Type="http://schemas.openxmlformats.org/officeDocument/2006/relationships/hyperlink" Target="https://www.genome.jp/entry/5.6.2.3" TargetMode="External"/><Relationship Id="rId33" Type="http://schemas.openxmlformats.org/officeDocument/2006/relationships/hyperlink" Target="https://www.genome.jp/entry/R01899" TargetMode="External"/><Relationship Id="rId2" Type="http://schemas.openxmlformats.org/officeDocument/2006/relationships/hyperlink" Target="https://www.genome.jp/entry/1.17.4.1" TargetMode="External"/><Relationship Id="rId16" Type="http://schemas.openxmlformats.org/officeDocument/2006/relationships/hyperlink" Target="https://www.genome.jp/entry/2.8.4.2" TargetMode="External"/><Relationship Id="rId20" Type="http://schemas.openxmlformats.org/officeDocument/2006/relationships/hyperlink" Target="https://www.genome.jp/entry/R07405" TargetMode="External"/><Relationship Id="rId29" Type="http://schemas.openxmlformats.org/officeDocument/2006/relationships/hyperlink" Target="https://www.genome.jp/entry/R02918" TargetMode="External"/><Relationship Id="rId1" Type="http://schemas.openxmlformats.org/officeDocument/2006/relationships/hyperlink" Target="https://www.genome.jp/entry/1.17.4.1" TargetMode="External"/><Relationship Id="rId6" Type="http://schemas.openxmlformats.org/officeDocument/2006/relationships/hyperlink" Target="https://www.genome.jp/entry/1.17.4.1" TargetMode="External"/><Relationship Id="rId11" Type="http://schemas.openxmlformats.org/officeDocument/2006/relationships/hyperlink" Target="https://www.genome.jp/entry/2.7.7.60" TargetMode="External"/><Relationship Id="rId24" Type="http://schemas.openxmlformats.org/officeDocument/2006/relationships/hyperlink" Target="https://www.genome.jp/entry/5.6.2.2" TargetMode="External"/><Relationship Id="rId32" Type="http://schemas.openxmlformats.org/officeDocument/2006/relationships/hyperlink" Target="https://www.genome.jp/entry/R10783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genome.jp/entry/1.17.4.1" TargetMode="External"/><Relationship Id="rId15" Type="http://schemas.openxmlformats.org/officeDocument/2006/relationships/hyperlink" Target="https://www.genome.jp/entry/2.8.4.2" TargetMode="External"/><Relationship Id="rId23" Type="http://schemas.openxmlformats.org/officeDocument/2006/relationships/hyperlink" Target="https://www.genome.jp/entry/5.6.2.2" TargetMode="External"/><Relationship Id="rId28" Type="http://schemas.openxmlformats.org/officeDocument/2006/relationships/hyperlink" Target="https://www.genome.jp/entry/6.1.1.1" TargetMode="External"/><Relationship Id="rId36" Type="http://schemas.openxmlformats.org/officeDocument/2006/relationships/hyperlink" Target="https://www.genome.jp/entry/6.3.5.5" TargetMode="External"/><Relationship Id="rId10" Type="http://schemas.openxmlformats.org/officeDocument/2006/relationships/hyperlink" Target="https://www.genome.jp/entry/R00948" TargetMode="External"/><Relationship Id="rId19" Type="http://schemas.openxmlformats.org/officeDocument/2006/relationships/hyperlink" Target="https://www.genome.jp/entry/3.7.1.22" TargetMode="External"/><Relationship Id="rId31" Type="http://schemas.openxmlformats.org/officeDocument/2006/relationships/hyperlink" Target="https://www.genome.jp/entry/R04573" TargetMode="External"/><Relationship Id="rId4" Type="http://schemas.openxmlformats.org/officeDocument/2006/relationships/hyperlink" Target="https://www.genome.jp/entry/1.17.4.1" TargetMode="External"/><Relationship Id="rId9" Type="http://schemas.openxmlformats.org/officeDocument/2006/relationships/hyperlink" Target="https://www.genome.jp/entry/1.8.4.12" TargetMode="External"/><Relationship Id="rId14" Type="http://schemas.openxmlformats.org/officeDocument/2006/relationships/hyperlink" Target="https://www.genome.jp/entry/2.8.1.8" TargetMode="External"/><Relationship Id="rId22" Type="http://schemas.openxmlformats.org/officeDocument/2006/relationships/hyperlink" Target="https://www.genome.jp/entry/5.6.2.1" TargetMode="External"/><Relationship Id="rId27" Type="http://schemas.openxmlformats.org/officeDocument/2006/relationships/hyperlink" Target="https://www.genome.jp/entry/5.6.2.4" TargetMode="External"/><Relationship Id="rId30" Type="http://schemas.openxmlformats.org/officeDocument/2006/relationships/hyperlink" Target="https://www.genome.jp/entry/6.1.1.11" TargetMode="External"/><Relationship Id="rId35" Type="http://schemas.openxmlformats.org/officeDocument/2006/relationships/hyperlink" Target="https://www.genome.jp/entry/7.1.1.8" TargetMode="External"/><Relationship Id="rId8" Type="http://schemas.openxmlformats.org/officeDocument/2006/relationships/hyperlink" Target="https://www.genome.jp/entry/1.17.4.1" TargetMode="External"/><Relationship Id="rId3" Type="http://schemas.openxmlformats.org/officeDocument/2006/relationships/hyperlink" Target="https://www.genome.jp/entry/1.17.4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249-EF57-4F9A-B328-9DD64315864B}">
  <dimension ref="A1:C13"/>
  <sheetViews>
    <sheetView workbookViewId="0">
      <selection activeCell="B1" sqref="B1"/>
    </sheetView>
  </sheetViews>
  <sheetFormatPr defaultRowHeight="14.5" x14ac:dyDescent="0.35"/>
  <cols>
    <col min="1" max="1" width="28.54296875" customWidth="1"/>
    <col min="2" max="3" width="18.36328125" customWidth="1"/>
  </cols>
  <sheetData>
    <row r="1" spans="1:3" x14ac:dyDescent="0.35">
      <c r="B1" t="s">
        <v>14500</v>
      </c>
    </row>
    <row r="2" spans="1:3" x14ac:dyDescent="0.35">
      <c r="A2" t="s">
        <v>14501</v>
      </c>
      <c r="B2" t="s">
        <v>14502</v>
      </c>
    </row>
    <row r="3" spans="1:3" x14ac:dyDescent="0.35">
      <c r="A3" t="s">
        <v>14503</v>
      </c>
      <c r="B3" t="s">
        <v>14504</v>
      </c>
    </row>
    <row r="4" spans="1:3" x14ac:dyDescent="0.35">
      <c r="A4" t="s">
        <v>14505</v>
      </c>
      <c r="B4" s="25" t="s">
        <v>14506</v>
      </c>
    </row>
    <row r="5" spans="1:3" x14ac:dyDescent="0.35">
      <c r="A5" t="s">
        <v>14507</v>
      </c>
      <c r="B5" t="s">
        <v>14508</v>
      </c>
    </row>
    <row r="7" spans="1:3" x14ac:dyDescent="0.35">
      <c r="A7" s="26"/>
      <c r="B7" s="26" t="s">
        <v>14511</v>
      </c>
      <c r="C7" s="26" t="s">
        <v>14512</v>
      </c>
    </row>
    <row r="8" spans="1:3" x14ac:dyDescent="0.35">
      <c r="A8" s="27" t="s">
        <v>14513</v>
      </c>
      <c r="B8" s="27" t="s">
        <v>14514</v>
      </c>
      <c r="C8" s="27" t="s">
        <v>14509</v>
      </c>
    </row>
    <row r="9" spans="1:3" x14ac:dyDescent="0.35">
      <c r="A9" s="27" t="s">
        <v>5</v>
      </c>
      <c r="B9" s="27" t="s">
        <v>14515</v>
      </c>
      <c r="C9" s="27" t="s">
        <v>14516</v>
      </c>
    </row>
    <row r="10" spans="1:3" x14ac:dyDescent="0.35">
      <c r="A10" s="27" t="s">
        <v>14510</v>
      </c>
      <c r="B10" s="27" t="s">
        <v>14517</v>
      </c>
      <c r="C10" s="27" t="s">
        <v>14518</v>
      </c>
    </row>
    <row r="11" spans="1:3" x14ac:dyDescent="0.35">
      <c r="A11" s="27" t="s">
        <v>14519</v>
      </c>
      <c r="B11" s="28">
        <v>3079</v>
      </c>
      <c r="C11" s="28">
        <v>3099</v>
      </c>
    </row>
    <row r="12" spans="1:3" x14ac:dyDescent="0.35">
      <c r="A12" s="27" t="s">
        <v>14520</v>
      </c>
      <c r="B12" s="28">
        <v>2948</v>
      </c>
      <c r="C12" s="28">
        <v>3099</v>
      </c>
    </row>
    <row r="13" spans="1:3" x14ac:dyDescent="0.35">
      <c r="A13" s="24" t="s">
        <v>14521</v>
      </c>
      <c r="B13" s="29" t="s">
        <v>13</v>
      </c>
      <c r="C13" s="29" t="s">
        <v>14522</v>
      </c>
    </row>
  </sheetData>
  <hyperlinks>
    <hyperlink ref="B4" r:id="rId1" display="https://www.ncbi.nlm.nih.gov/datasets/taxonomy/196627" xr:uid="{FF9143D1-C0C2-4ABB-812C-2A8303181976}"/>
    <hyperlink ref="C13" r:id="rId2" display="https://www.ncbi.nlm.nih.gov/nuccore/BA000036.3/" xr:uid="{9E365BF1-20D1-4954-AA76-11190543F4A1}"/>
    <hyperlink ref="B13" r:id="rId3" display="https://www.ncbi.nlm.nih.gov/nuccore/NC_003450.3/" xr:uid="{59001630-5B69-4516-9992-E89458F6B1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585C-6F9A-4B28-8C0D-C818D57F015D}">
  <dimension ref="A1:N3080"/>
  <sheetViews>
    <sheetView workbookViewId="0">
      <selection activeCell="I169" sqref="I169"/>
    </sheetView>
  </sheetViews>
  <sheetFormatPr defaultRowHeight="14.5" x14ac:dyDescent="0.35"/>
  <cols>
    <col min="1" max="1" width="14.26953125" customWidth="1"/>
    <col min="6" max="6" width="27.36328125" customWidth="1"/>
    <col min="11" max="11" width="15.36328125" bestFit="1" customWidth="1"/>
    <col min="12" max="12" width="12" bestFit="1" customWidth="1"/>
    <col min="13" max="13" width="12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5">
      <c r="A2" t="s">
        <v>13</v>
      </c>
      <c r="B2">
        <v>1</v>
      </c>
      <c r="C2">
        <v>1575</v>
      </c>
      <c r="E2" t="s">
        <v>14</v>
      </c>
      <c r="F2" t="s">
        <v>15</v>
      </c>
      <c r="G2" t="s">
        <v>16</v>
      </c>
      <c r="H2">
        <v>1021144</v>
      </c>
      <c r="I2" t="s">
        <v>17</v>
      </c>
      <c r="K2" t="s">
        <v>18</v>
      </c>
      <c r="L2">
        <v>524</v>
      </c>
      <c r="M2" t="s">
        <v>19</v>
      </c>
      <c r="N2" t="s">
        <v>8417</v>
      </c>
    </row>
    <row r="3" spans="1:14" x14ac:dyDescent="0.35">
      <c r="A3" t="s">
        <v>13</v>
      </c>
      <c r="B3">
        <v>2292</v>
      </c>
      <c r="C3">
        <v>3476</v>
      </c>
      <c r="E3" t="s">
        <v>14</v>
      </c>
      <c r="F3" t="s">
        <v>20</v>
      </c>
      <c r="G3" t="s">
        <v>21</v>
      </c>
      <c r="H3">
        <v>1021260</v>
      </c>
      <c r="I3" t="s">
        <v>17</v>
      </c>
      <c r="K3" t="s">
        <v>22</v>
      </c>
      <c r="L3">
        <v>394</v>
      </c>
      <c r="M3" t="s">
        <v>23</v>
      </c>
    </row>
    <row r="4" spans="1:14" x14ac:dyDescent="0.35">
      <c r="A4" t="s">
        <v>13</v>
      </c>
      <c r="B4">
        <v>3585</v>
      </c>
      <c r="C4">
        <v>4769</v>
      </c>
      <c r="E4" t="s">
        <v>14</v>
      </c>
      <c r="F4" t="s">
        <v>24</v>
      </c>
      <c r="G4" t="s">
        <v>25</v>
      </c>
      <c r="H4">
        <v>1021348</v>
      </c>
      <c r="I4" t="s">
        <v>17</v>
      </c>
      <c r="K4" t="s">
        <v>26</v>
      </c>
      <c r="L4">
        <v>394</v>
      </c>
      <c r="M4" t="s">
        <v>27</v>
      </c>
    </row>
    <row r="5" spans="1:14" x14ac:dyDescent="0.35">
      <c r="A5" t="s">
        <v>13</v>
      </c>
      <c r="B5">
        <v>4766</v>
      </c>
      <c r="C5">
        <v>5302</v>
      </c>
      <c r="E5" t="s">
        <v>14</v>
      </c>
      <c r="F5" t="s">
        <v>28</v>
      </c>
      <c r="H5">
        <v>1021292</v>
      </c>
      <c r="I5" t="s">
        <v>17</v>
      </c>
      <c r="K5" t="s">
        <v>29</v>
      </c>
      <c r="L5">
        <v>178</v>
      </c>
      <c r="M5" t="s">
        <v>30</v>
      </c>
    </row>
    <row r="6" spans="1:14" x14ac:dyDescent="0.35">
      <c r="A6" t="s">
        <v>13</v>
      </c>
      <c r="B6">
        <v>5435</v>
      </c>
      <c r="C6">
        <v>7489</v>
      </c>
      <c r="E6" t="s">
        <v>14</v>
      </c>
      <c r="F6" t="s">
        <v>31</v>
      </c>
      <c r="G6" t="s">
        <v>32</v>
      </c>
      <c r="H6">
        <v>1021435</v>
      </c>
      <c r="I6" t="s">
        <v>17</v>
      </c>
      <c r="K6" t="s">
        <v>33</v>
      </c>
      <c r="L6">
        <v>684</v>
      </c>
      <c r="M6" t="s">
        <v>34</v>
      </c>
    </row>
    <row r="7" spans="1:14" x14ac:dyDescent="0.35">
      <c r="A7" t="s">
        <v>13</v>
      </c>
      <c r="B7">
        <v>7830</v>
      </c>
      <c r="C7">
        <v>8798</v>
      </c>
      <c r="E7" t="s">
        <v>14</v>
      </c>
      <c r="F7" t="s">
        <v>35</v>
      </c>
      <c r="H7">
        <v>1020610</v>
      </c>
      <c r="I7" t="s">
        <v>17</v>
      </c>
      <c r="K7" t="s">
        <v>36</v>
      </c>
      <c r="L7">
        <v>322</v>
      </c>
      <c r="M7" t="s">
        <v>37</v>
      </c>
    </row>
    <row r="8" spans="1:14" x14ac:dyDescent="0.35">
      <c r="A8" t="s">
        <v>13</v>
      </c>
      <c r="B8">
        <v>8795</v>
      </c>
      <c r="C8">
        <v>9376</v>
      </c>
      <c r="E8" t="s">
        <v>38</v>
      </c>
      <c r="F8" t="s">
        <v>39</v>
      </c>
      <c r="H8">
        <v>1021393</v>
      </c>
      <c r="I8" t="s">
        <v>17</v>
      </c>
      <c r="K8" t="s">
        <v>40</v>
      </c>
      <c r="L8">
        <v>193</v>
      </c>
      <c r="M8" t="s">
        <v>41</v>
      </c>
    </row>
    <row r="9" spans="1:14" x14ac:dyDescent="0.35">
      <c r="A9" t="s">
        <v>13</v>
      </c>
      <c r="B9">
        <v>9471</v>
      </c>
      <c r="C9">
        <v>9914</v>
      </c>
      <c r="E9" t="s">
        <v>38</v>
      </c>
      <c r="F9" t="s">
        <v>42</v>
      </c>
      <c r="H9">
        <v>1021462</v>
      </c>
      <c r="I9" t="s">
        <v>17</v>
      </c>
      <c r="K9" t="s">
        <v>43</v>
      </c>
      <c r="L9">
        <v>147</v>
      </c>
      <c r="M9" t="s">
        <v>44</v>
      </c>
    </row>
    <row r="10" spans="1:14" x14ac:dyDescent="0.35">
      <c r="A10" t="s">
        <v>13</v>
      </c>
      <c r="B10">
        <v>10104</v>
      </c>
      <c r="C10">
        <v>11177</v>
      </c>
      <c r="E10" t="s">
        <v>38</v>
      </c>
      <c r="F10" t="s">
        <v>45</v>
      </c>
      <c r="G10" t="s">
        <v>46</v>
      </c>
      <c r="H10">
        <v>1021077</v>
      </c>
      <c r="I10" t="s">
        <v>17</v>
      </c>
      <c r="K10" t="s">
        <v>47</v>
      </c>
      <c r="L10">
        <v>357</v>
      </c>
      <c r="M10" t="s">
        <v>48</v>
      </c>
    </row>
    <row r="11" spans="1:14" x14ac:dyDescent="0.35">
      <c r="A11" t="s">
        <v>13</v>
      </c>
      <c r="B11">
        <v>11260</v>
      </c>
      <c r="C11">
        <v>11523</v>
      </c>
      <c r="E11" t="s">
        <v>38</v>
      </c>
      <c r="F11" t="s">
        <v>49</v>
      </c>
      <c r="H11">
        <v>1021222</v>
      </c>
      <c r="I11" t="s">
        <v>17</v>
      </c>
      <c r="K11" t="s">
        <v>50</v>
      </c>
      <c r="L11">
        <v>87</v>
      </c>
      <c r="M11" t="s">
        <v>51</v>
      </c>
    </row>
    <row r="12" spans="1:14" x14ac:dyDescent="0.35">
      <c r="A12" t="s">
        <v>13</v>
      </c>
      <c r="B12">
        <v>11520</v>
      </c>
      <c r="C12">
        <v>11729</v>
      </c>
      <c r="E12" t="s">
        <v>38</v>
      </c>
      <c r="F12" t="s">
        <v>49</v>
      </c>
      <c r="H12">
        <v>1021465</v>
      </c>
      <c r="I12" t="s">
        <v>17</v>
      </c>
      <c r="K12" t="s">
        <v>52</v>
      </c>
      <c r="L12">
        <v>69</v>
      </c>
      <c r="M12" t="s">
        <v>53</v>
      </c>
    </row>
    <row r="13" spans="1:14" x14ac:dyDescent="0.35">
      <c r="A13" t="s">
        <v>13</v>
      </c>
      <c r="B13">
        <v>11891</v>
      </c>
      <c r="C13">
        <v>14401</v>
      </c>
      <c r="E13" t="s">
        <v>14</v>
      </c>
      <c r="F13" t="s">
        <v>54</v>
      </c>
      <c r="G13" t="s">
        <v>55</v>
      </c>
      <c r="H13">
        <v>1021254</v>
      </c>
      <c r="I13" t="s">
        <v>17</v>
      </c>
      <c r="K13" t="s">
        <v>56</v>
      </c>
      <c r="L13">
        <v>836</v>
      </c>
      <c r="M13" t="s">
        <v>57</v>
      </c>
    </row>
    <row r="14" spans="1:14" x14ac:dyDescent="0.35">
      <c r="A14" t="s">
        <v>13</v>
      </c>
      <c r="B14">
        <v>14405</v>
      </c>
      <c r="C14">
        <v>14749</v>
      </c>
      <c r="E14" t="s">
        <v>14</v>
      </c>
      <c r="F14" t="s">
        <v>58</v>
      </c>
      <c r="H14">
        <v>1021069</v>
      </c>
      <c r="I14" t="s">
        <v>17</v>
      </c>
      <c r="K14" t="s">
        <v>59</v>
      </c>
      <c r="L14">
        <v>114</v>
      </c>
      <c r="M14" t="s">
        <v>60</v>
      </c>
    </row>
    <row r="15" spans="1:14" x14ac:dyDescent="0.35">
      <c r="A15" t="s">
        <v>13</v>
      </c>
      <c r="B15">
        <v>14851</v>
      </c>
      <c r="C15">
        <v>14927</v>
      </c>
      <c r="E15" t="s">
        <v>14</v>
      </c>
      <c r="F15" t="s">
        <v>61</v>
      </c>
      <c r="H15">
        <v>2745312</v>
      </c>
      <c r="I15" t="s">
        <v>62</v>
      </c>
      <c r="M15" t="s">
        <v>63</v>
      </c>
    </row>
    <row r="16" spans="1:14" x14ac:dyDescent="0.35">
      <c r="A16" t="s">
        <v>13</v>
      </c>
      <c r="B16">
        <v>14939</v>
      </c>
      <c r="C16">
        <v>15011</v>
      </c>
      <c r="E16" t="s">
        <v>14</v>
      </c>
      <c r="F16" t="s">
        <v>64</v>
      </c>
      <c r="H16">
        <v>2745324</v>
      </c>
      <c r="I16" t="s">
        <v>62</v>
      </c>
      <c r="M16" t="s">
        <v>65</v>
      </c>
    </row>
    <row r="17" spans="1:13" x14ac:dyDescent="0.35">
      <c r="A17" t="s">
        <v>13</v>
      </c>
      <c r="B17">
        <v>15206</v>
      </c>
      <c r="C17">
        <v>16243</v>
      </c>
      <c r="E17" t="s">
        <v>38</v>
      </c>
      <c r="F17" t="s">
        <v>66</v>
      </c>
      <c r="H17">
        <v>1021288</v>
      </c>
      <c r="I17" t="s">
        <v>17</v>
      </c>
      <c r="K17" t="s">
        <v>67</v>
      </c>
      <c r="L17">
        <v>345</v>
      </c>
      <c r="M17" t="s">
        <v>68</v>
      </c>
    </row>
    <row r="18" spans="1:13" x14ac:dyDescent="0.35">
      <c r="A18" t="s">
        <v>13</v>
      </c>
      <c r="B18">
        <v>16314</v>
      </c>
      <c r="C18">
        <v>17210</v>
      </c>
      <c r="E18" t="s">
        <v>14</v>
      </c>
      <c r="F18" t="s">
        <v>69</v>
      </c>
      <c r="H18">
        <v>1021314</v>
      </c>
      <c r="I18" t="s">
        <v>17</v>
      </c>
      <c r="K18" t="s">
        <v>70</v>
      </c>
      <c r="L18">
        <v>298</v>
      </c>
      <c r="M18" t="s">
        <v>71</v>
      </c>
    </row>
    <row r="19" spans="1:13" x14ac:dyDescent="0.35">
      <c r="A19" t="s">
        <v>13</v>
      </c>
      <c r="B19">
        <v>17260</v>
      </c>
      <c r="C19">
        <v>17673</v>
      </c>
      <c r="E19" t="s">
        <v>14</v>
      </c>
      <c r="F19" t="s">
        <v>72</v>
      </c>
      <c r="H19">
        <v>1021428</v>
      </c>
      <c r="I19" t="s">
        <v>17</v>
      </c>
      <c r="K19" t="s">
        <v>73</v>
      </c>
      <c r="L19">
        <v>137</v>
      </c>
      <c r="M19" t="s">
        <v>74</v>
      </c>
    </row>
    <row r="20" spans="1:13" x14ac:dyDescent="0.35">
      <c r="A20" t="s">
        <v>13</v>
      </c>
      <c r="B20">
        <v>17857</v>
      </c>
      <c r="C20">
        <v>18729</v>
      </c>
      <c r="E20" t="s">
        <v>38</v>
      </c>
      <c r="F20" t="s">
        <v>75</v>
      </c>
      <c r="H20">
        <v>1021342</v>
      </c>
      <c r="I20" t="s">
        <v>17</v>
      </c>
      <c r="K20" t="s">
        <v>76</v>
      </c>
      <c r="L20">
        <v>290</v>
      </c>
      <c r="M20" t="s">
        <v>77</v>
      </c>
    </row>
    <row r="21" spans="1:13" x14ac:dyDescent="0.35">
      <c r="A21" t="s">
        <v>13</v>
      </c>
      <c r="B21">
        <v>18733</v>
      </c>
      <c r="C21">
        <v>19479</v>
      </c>
      <c r="E21" t="s">
        <v>38</v>
      </c>
      <c r="F21" t="s">
        <v>78</v>
      </c>
      <c r="H21">
        <v>1021463</v>
      </c>
      <c r="I21" t="s">
        <v>17</v>
      </c>
      <c r="K21" t="s">
        <v>79</v>
      </c>
      <c r="L21">
        <v>248</v>
      </c>
      <c r="M21" t="s">
        <v>80</v>
      </c>
    </row>
    <row r="22" spans="1:13" x14ac:dyDescent="0.35">
      <c r="A22" t="s">
        <v>13</v>
      </c>
      <c r="B22">
        <v>19705</v>
      </c>
      <c r="C22">
        <v>20076</v>
      </c>
      <c r="E22" t="s">
        <v>14</v>
      </c>
      <c r="F22" t="s">
        <v>81</v>
      </c>
      <c r="H22">
        <v>1021219</v>
      </c>
      <c r="I22" t="s">
        <v>17</v>
      </c>
      <c r="K22" t="s">
        <v>82</v>
      </c>
      <c r="L22">
        <v>123</v>
      </c>
      <c r="M22" t="s">
        <v>83</v>
      </c>
    </row>
    <row r="23" spans="1:13" x14ac:dyDescent="0.35">
      <c r="A23" t="s">
        <v>13</v>
      </c>
      <c r="B23">
        <v>20073</v>
      </c>
      <c r="C23">
        <v>21068</v>
      </c>
      <c r="E23" t="s">
        <v>14</v>
      </c>
      <c r="F23" t="s">
        <v>84</v>
      </c>
      <c r="H23">
        <v>1021456</v>
      </c>
      <c r="I23" t="s">
        <v>17</v>
      </c>
      <c r="K23" t="s">
        <v>85</v>
      </c>
      <c r="L23">
        <v>331</v>
      </c>
      <c r="M23" t="s">
        <v>86</v>
      </c>
    </row>
    <row r="24" spans="1:13" x14ac:dyDescent="0.35">
      <c r="A24" t="s">
        <v>13</v>
      </c>
      <c r="B24">
        <v>21071</v>
      </c>
      <c r="C24">
        <v>21241</v>
      </c>
      <c r="E24" t="s">
        <v>38</v>
      </c>
      <c r="F24" t="s">
        <v>49</v>
      </c>
      <c r="H24">
        <v>44144916</v>
      </c>
      <c r="I24" t="s">
        <v>17</v>
      </c>
      <c r="K24" t="s">
        <v>87</v>
      </c>
      <c r="L24">
        <v>56</v>
      </c>
      <c r="M24" t="s">
        <v>88</v>
      </c>
    </row>
    <row r="25" spans="1:13" x14ac:dyDescent="0.35">
      <c r="A25" t="s">
        <v>13</v>
      </c>
      <c r="B25">
        <v>21564</v>
      </c>
      <c r="C25">
        <v>22127</v>
      </c>
      <c r="E25" t="s">
        <v>14</v>
      </c>
      <c r="F25" t="s">
        <v>89</v>
      </c>
      <c r="H25">
        <v>44144917</v>
      </c>
      <c r="I25" t="s">
        <v>17</v>
      </c>
      <c r="K25" t="s">
        <v>90</v>
      </c>
      <c r="L25">
        <v>187</v>
      </c>
      <c r="M25" t="s">
        <v>91</v>
      </c>
    </row>
    <row r="26" spans="1:13" x14ac:dyDescent="0.35">
      <c r="A26" t="s">
        <v>13</v>
      </c>
      <c r="B26">
        <v>22164</v>
      </c>
      <c r="C26">
        <v>23402</v>
      </c>
      <c r="E26" t="s">
        <v>14</v>
      </c>
      <c r="F26" t="s">
        <v>92</v>
      </c>
      <c r="H26">
        <v>18194954</v>
      </c>
      <c r="I26" t="s">
        <v>17</v>
      </c>
      <c r="K26" t="s">
        <v>93</v>
      </c>
      <c r="L26">
        <v>412</v>
      </c>
      <c r="M26" t="s">
        <v>94</v>
      </c>
    </row>
    <row r="27" spans="1:13" x14ac:dyDescent="0.35">
      <c r="A27" t="s">
        <v>13</v>
      </c>
      <c r="B27">
        <v>23500</v>
      </c>
      <c r="C27">
        <v>23572</v>
      </c>
      <c r="E27" t="s">
        <v>14</v>
      </c>
      <c r="F27" t="s">
        <v>64</v>
      </c>
      <c r="H27">
        <v>2745359</v>
      </c>
      <c r="I27" t="s">
        <v>62</v>
      </c>
      <c r="M27" t="s">
        <v>95</v>
      </c>
    </row>
    <row r="28" spans="1:13" x14ac:dyDescent="0.35">
      <c r="A28" t="s">
        <v>13</v>
      </c>
      <c r="B28">
        <v>23612</v>
      </c>
      <c r="C28">
        <v>23779</v>
      </c>
      <c r="E28" t="s">
        <v>38</v>
      </c>
      <c r="F28" t="s">
        <v>49</v>
      </c>
      <c r="H28">
        <v>44144918</v>
      </c>
      <c r="I28" t="s">
        <v>17</v>
      </c>
      <c r="K28" t="s">
        <v>96</v>
      </c>
      <c r="L28">
        <v>55</v>
      </c>
      <c r="M28" t="s">
        <v>97</v>
      </c>
    </row>
    <row r="29" spans="1:13" x14ac:dyDescent="0.35">
      <c r="A29" t="s">
        <v>13</v>
      </c>
      <c r="B29">
        <v>23903</v>
      </c>
      <c r="C29">
        <v>23979</v>
      </c>
      <c r="E29" t="s">
        <v>14</v>
      </c>
      <c r="F29" t="s">
        <v>61</v>
      </c>
      <c r="H29">
        <v>2745369</v>
      </c>
      <c r="I29" t="s">
        <v>62</v>
      </c>
      <c r="M29" t="s">
        <v>98</v>
      </c>
    </row>
    <row r="30" spans="1:13" x14ac:dyDescent="0.35">
      <c r="A30" t="s">
        <v>13</v>
      </c>
      <c r="B30">
        <v>23991</v>
      </c>
      <c r="C30">
        <v>24063</v>
      </c>
      <c r="E30" t="s">
        <v>14</v>
      </c>
      <c r="F30" t="s">
        <v>64</v>
      </c>
      <c r="H30">
        <v>2745304</v>
      </c>
      <c r="I30" t="s">
        <v>62</v>
      </c>
      <c r="M30" t="s">
        <v>99</v>
      </c>
    </row>
    <row r="31" spans="1:13" x14ac:dyDescent="0.35">
      <c r="A31" t="s">
        <v>13</v>
      </c>
      <c r="B31">
        <v>24295</v>
      </c>
      <c r="C31">
        <v>24732</v>
      </c>
      <c r="E31" t="s">
        <v>14</v>
      </c>
      <c r="F31" t="s">
        <v>100</v>
      </c>
      <c r="H31">
        <v>1020548</v>
      </c>
      <c r="I31" t="s">
        <v>17</v>
      </c>
      <c r="K31" t="s">
        <v>101</v>
      </c>
      <c r="L31">
        <v>145</v>
      </c>
      <c r="M31" t="s">
        <v>102</v>
      </c>
    </row>
    <row r="32" spans="1:13" x14ac:dyDescent="0.35">
      <c r="A32" t="s">
        <v>13</v>
      </c>
      <c r="B32">
        <v>24882</v>
      </c>
      <c r="C32">
        <v>26573</v>
      </c>
      <c r="E32" t="s">
        <v>38</v>
      </c>
      <c r="F32" t="s">
        <v>103</v>
      </c>
      <c r="H32">
        <v>1021248</v>
      </c>
      <c r="I32" t="s">
        <v>17</v>
      </c>
      <c r="K32" t="s">
        <v>104</v>
      </c>
      <c r="L32">
        <v>563</v>
      </c>
      <c r="M32" t="s">
        <v>105</v>
      </c>
    </row>
    <row r="33" spans="1:13" x14ac:dyDescent="0.35">
      <c r="A33" t="s">
        <v>13</v>
      </c>
      <c r="B33">
        <v>26819</v>
      </c>
      <c r="C33">
        <v>28099</v>
      </c>
      <c r="E33" t="s">
        <v>38</v>
      </c>
      <c r="F33" t="s">
        <v>106</v>
      </c>
      <c r="G33" t="s">
        <v>107</v>
      </c>
      <c r="H33">
        <v>1021103</v>
      </c>
      <c r="I33" t="s">
        <v>17</v>
      </c>
      <c r="K33" t="s">
        <v>108</v>
      </c>
      <c r="L33">
        <v>426</v>
      </c>
      <c r="M33" t="s">
        <v>109</v>
      </c>
    </row>
    <row r="34" spans="1:13" x14ac:dyDescent="0.35">
      <c r="A34" t="s">
        <v>13</v>
      </c>
      <c r="B34">
        <v>28161</v>
      </c>
      <c r="C34">
        <v>29117</v>
      </c>
      <c r="E34" t="s">
        <v>38</v>
      </c>
      <c r="F34" t="s">
        <v>110</v>
      </c>
      <c r="H34">
        <v>1021215</v>
      </c>
      <c r="I34" t="s">
        <v>17</v>
      </c>
      <c r="K34" t="s">
        <v>111</v>
      </c>
      <c r="L34">
        <v>318</v>
      </c>
      <c r="M34" t="s">
        <v>112</v>
      </c>
    </row>
    <row r="35" spans="1:13" x14ac:dyDescent="0.35">
      <c r="A35" t="s">
        <v>13</v>
      </c>
      <c r="B35">
        <v>29114</v>
      </c>
      <c r="C35">
        <v>29965</v>
      </c>
      <c r="E35" t="s">
        <v>38</v>
      </c>
      <c r="F35" t="s">
        <v>113</v>
      </c>
      <c r="G35" t="s">
        <v>114</v>
      </c>
      <c r="H35">
        <v>1021223</v>
      </c>
      <c r="I35" t="s">
        <v>17</v>
      </c>
      <c r="K35" t="s">
        <v>115</v>
      </c>
      <c r="L35">
        <v>283</v>
      </c>
      <c r="M35" t="s">
        <v>116</v>
      </c>
    </row>
    <row r="36" spans="1:13" x14ac:dyDescent="0.35">
      <c r="A36" t="s">
        <v>13</v>
      </c>
      <c r="B36">
        <v>29995</v>
      </c>
      <c r="C36">
        <v>30654</v>
      </c>
      <c r="E36" t="s">
        <v>14</v>
      </c>
      <c r="F36" t="s">
        <v>117</v>
      </c>
      <c r="G36" t="s">
        <v>118</v>
      </c>
      <c r="H36">
        <v>1019581</v>
      </c>
      <c r="I36" t="s">
        <v>17</v>
      </c>
      <c r="K36" t="s">
        <v>119</v>
      </c>
      <c r="L36">
        <v>219</v>
      </c>
      <c r="M36" t="s">
        <v>120</v>
      </c>
    </row>
    <row r="37" spans="1:13" x14ac:dyDescent="0.35">
      <c r="A37" t="s">
        <v>13</v>
      </c>
      <c r="B37">
        <v>30697</v>
      </c>
      <c r="C37">
        <v>31680</v>
      </c>
      <c r="E37" t="s">
        <v>14</v>
      </c>
      <c r="F37" t="s">
        <v>121</v>
      </c>
      <c r="H37">
        <v>1021320</v>
      </c>
      <c r="I37" t="s">
        <v>17</v>
      </c>
      <c r="K37" t="s">
        <v>122</v>
      </c>
      <c r="L37">
        <v>327</v>
      </c>
      <c r="M37" t="s">
        <v>123</v>
      </c>
    </row>
    <row r="38" spans="1:13" x14ac:dyDescent="0.35">
      <c r="A38" t="s">
        <v>13</v>
      </c>
      <c r="B38">
        <v>31677</v>
      </c>
      <c r="C38">
        <v>32702</v>
      </c>
      <c r="E38" t="s">
        <v>14</v>
      </c>
      <c r="F38" t="s">
        <v>124</v>
      </c>
      <c r="H38">
        <v>1021461</v>
      </c>
      <c r="I38" t="s">
        <v>17</v>
      </c>
      <c r="K38" t="s">
        <v>125</v>
      </c>
      <c r="L38">
        <v>341</v>
      </c>
      <c r="M38" t="s">
        <v>126</v>
      </c>
    </row>
    <row r="39" spans="1:13" x14ac:dyDescent="0.35">
      <c r="A39" t="s">
        <v>13</v>
      </c>
      <c r="B39">
        <v>32699</v>
      </c>
      <c r="C39">
        <v>33460</v>
      </c>
      <c r="E39" t="s">
        <v>14</v>
      </c>
      <c r="F39" t="s">
        <v>127</v>
      </c>
      <c r="H39">
        <v>1021134</v>
      </c>
      <c r="I39" t="s">
        <v>17</v>
      </c>
      <c r="K39" t="s">
        <v>128</v>
      </c>
      <c r="L39">
        <v>253</v>
      </c>
      <c r="M39" t="s">
        <v>129</v>
      </c>
    </row>
    <row r="40" spans="1:13" x14ac:dyDescent="0.35">
      <c r="A40" t="s">
        <v>13</v>
      </c>
      <c r="B40">
        <v>33462</v>
      </c>
      <c r="C40">
        <v>34274</v>
      </c>
      <c r="E40" t="s">
        <v>38</v>
      </c>
      <c r="F40" t="s">
        <v>49</v>
      </c>
      <c r="H40">
        <v>1021111</v>
      </c>
      <c r="I40" t="s">
        <v>17</v>
      </c>
      <c r="K40" t="s">
        <v>130</v>
      </c>
      <c r="L40">
        <v>270</v>
      </c>
      <c r="M40" t="s">
        <v>131</v>
      </c>
    </row>
    <row r="41" spans="1:13" x14ac:dyDescent="0.35">
      <c r="A41" t="s">
        <v>13</v>
      </c>
      <c r="B41">
        <v>34366</v>
      </c>
      <c r="C41">
        <v>34902</v>
      </c>
      <c r="E41" t="s">
        <v>14</v>
      </c>
      <c r="F41" t="s">
        <v>132</v>
      </c>
      <c r="H41">
        <v>1021464</v>
      </c>
      <c r="I41" t="s">
        <v>17</v>
      </c>
      <c r="K41" t="s">
        <v>133</v>
      </c>
      <c r="L41">
        <v>178</v>
      </c>
      <c r="M41" t="s">
        <v>134</v>
      </c>
    </row>
    <row r="42" spans="1:13" x14ac:dyDescent="0.35">
      <c r="A42" t="s">
        <v>13</v>
      </c>
      <c r="B42">
        <v>35012</v>
      </c>
      <c r="C42">
        <v>35671</v>
      </c>
      <c r="E42" t="s">
        <v>14</v>
      </c>
      <c r="F42" t="s">
        <v>135</v>
      </c>
      <c r="H42">
        <v>1021221</v>
      </c>
      <c r="I42" t="s">
        <v>17</v>
      </c>
      <c r="K42" t="s">
        <v>136</v>
      </c>
      <c r="L42">
        <v>219</v>
      </c>
      <c r="M42" t="s">
        <v>137</v>
      </c>
    </row>
    <row r="43" spans="1:13" x14ac:dyDescent="0.35">
      <c r="A43" t="s">
        <v>13</v>
      </c>
      <c r="B43">
        <v>36244</v>
      </c>
      <c r="C43">
        <v>37014</v>
      </c>
      <c r="E43" t="s">
        <v>38</v>
      </c>
      <c r="F43" t="s">
        <v>138</v>
      </c>
      <c r="H43">
        <v>1021217</v>
      </c>
      <c r="I43" t="s">
        <v>17</v>
      </c>
      <c r="K43" t="s">
        <v>139</v>
      </c>
      <c r="L43">
        <v>256</v>
      </c>
      <c r="M43" t="s">
        <v>140</v>
      </c>
    </row>
    <row r="44" spans="1:13" x14ac:dyDescent="0.35">
      <c r="A44" t="s">
        <v>13</v>
      </c>
      <c r="B44">
        <v>37051</v>
      </c>
      <c r="C44">
        <v>37242</v>
      </c>
      <c r="E44" t="s">
        <v>38</v>
      </c>
      <c r="F44" t="s">
        <v>141</v>
      </c>
      <c r="H44">
        <v>92792282</v>
      </c>
      <c r="I44" t="s">
        <v>142</v>
      </c>
      <c r="M44" t="s">
        <v>143</v>
      </c>
    </row>
    <row r="45" spans="1:13" x14ac:dyDescent="0.35">
      <c r="A45" t="s">
        <v>13</v>
      </c>
      <c r="B45">
        <v>37245</v>
      </c>
      <c r="C45">
        <v>38201</v>
      </c>
      <c r="E45" t="s">
        <v>14</v>
      </c>
      <c r="F45" t="s">
        <v>144</v>
      </c>
      <c r="H45">
        <v>1021384</v>
      </c>
      <c r="I45" t="s">
        <v>17</v>
      </c>
      <c r="K45" t="s">
        <v>145</v>
      </c>
      <c r="L45">
        <v>318</v>
      </c>
      <c r="M45" t="s">
        <v>146</v>
      </c>
    </row>
    <row r="46" spans="1:13" x14ac:dyDescent="0.35">
      <c r="A46" t="s">
        <v>13</v>
      </c>
      <c r="B46">
        <v>38202</v>
      </c>
      <c r="C46">
        <v>38981</v>
      </c>
      <c r="E46" t="s">
        <v>14</v>
      </c>
      <c r="F46" t="s">
        <v>147</v>
      </c>
      <c r="H46">
        <v>1021431</v>
      </c>
      <c r="I46" t="s">
        <v>17</v>
      </c>
      <c r="K46" t="s">
        <v>148</v>
      </c>
      <c r="L46">
        <v>259</v>
      </c>
      <c r="M46" t="s">
        <v>149</v>
      </c>
    </row>
    <row r="47" spans="1:13" x14ac:dyDescent="0.35">
      <c r="A47" t="s">
        <v>13</v>
      </c>
      <c r="B47">
        <v>38978</v>
      </c>
      <c r="C47">
        <v>39802</v>
      </c>
      <c r="E47" t="s">
        <v>14</v>
      </c>
      <c r="F47" t="s">
        <v>150</v>
      </c>
      <c r="H47">
        <v>1021445</v>
      </c>
      <c r="I47" t="s">
        <v>17</v>
      </c>
      <c r="K47" t="s">
        <v>151</v>
      </c>
      <c r="L47">
        <v>274</v>
      </c>
      <c r="M47" t="s">
        <v>152</v>
      </c>
    </row>
    <row r="48" spans="1:13" x14ac:dyDescent="0.35">
      <c r="A48" t="s">
        <v>13</v>
      </c>
      <c r="B48">
        <v>40186</v>
      </c>
      <c r="C48">
        <v>40458</v>
      </c>
      <c r="E48" t="s">
        <v>38</v>
      </c>
      <c r="F48" t="s">
        <v>153</v>
      </c>
      <c r="G48" t="s">
        <v>154</v>
      </c>
      <c r="H48">
        <v>1021328</v>
      </c>
      <c r="I48" t="s">
        <v>17</v>
      </c>
      <c r="K48" t="s">
        <v>155</v>
      </c>
      <c r="L48">
        <v>90</v>
      </c>
      <c r="M48" t="s">
        <v>156</v>
      </c>
    </row>
    <row r="49" spans="1:13" x14ac:dyDescent="0.35">
      <c r="A49" t="s">
        <v>13</v>
      </c>
      <c r="B49">
        <v>40573</v>
      </c>
      <c r="C49">
        <v>42513</v>
      </c>
      <c r="E49" t="s">
        <v>38</v>
      </c>
      <c r="F49" t="s">
        <v>157</v>
      </c>
      <c r="G49" t="s">
        <v>158</v>
      </c>
      <c r="H49">
        <v>1021362</v>
      </c>
      <c r="I49" t="s">
        <v>17</v>
      </c>
      <c r="K49" t="s">
        <v>159</v>
      </c>
      <c r="L49">
        <v>646</v>
      </c>
      <c r="M49" t="s">
        <v>160</v>
      </c>
    </row>
    <row r="50" spans="1:13" x14ac:dyDescent="0.35">
      <c r="A50" t="s">
        <v>13</v>
      </c>
      <c r="B50">
        <v>42510</v>
      </c>
      <c r="C50">
        <v>43919</v>
      </c>
      <c r="E50" t="s">
        <v>38</v>
      </c>
      <c r="F50" t="s">
        <v>161</v>
      </c>
      <c r="H50">
        <v>1021413</v>
      </c>
      <c r="I50" t="s">
        <v>17</v>
      </c>
      <c r="K50" t="s">
        <v>162</v>
      </c>
      <c r="L50">
        <v>469</v>
      </c>
      <c r="M50" t="s">
        <v>163</v>
      </c>
    </row>
    <row r="51" spans="1:13" x14ac:dyDescent="0.35">
      <c r="A51" t="s">
        <v>13</v>
      </c>
      <c r="B51">
        <v>43923</v>
      </c>
      <c r="C51">
        <v>45347</v>
      </c>
      <c r="E51" t="s">
        <v>38</v>
      </c>
      <c r="F51" t="s">
        <v>164</v>
      </c>
      <c r="H51">
        <v>1021285</v>
      </c>
      <c r="I51" t="s">
        <v>17</v>
      </c>
      <c r="K51" t="s">
        <v>165</v>
      </c>
      <c r="L51">
        <v>474</v>
      </c>
      <c r="M51" t="s">
        <v>166</v>
      </c>
    </row>
    <row r="52" spans="1:13" x14ac:dyDescent="0.35">
      <c r="A52" t="s">
        <v>13</v>
      </c>
      <c r="B52">
        <v>45344</v>
      </c>
      <c r="C52">
        <v>46669</v>
      </c>
      <c r="E52" t="s">
        <v>38</v>
      </c>
      <c r="F52" t="s">
        <v>167</v>
      </c>
      <c r="H52">
        <v>1021312</v>
      </c>
      <c r="I52" t="s">
        <v>17</v>
      </c>
      <c r="K52" t="s">
        <v>168</v>
      </c>
      <c r="L52">
        <v>441</v>
      </c>
      <c r="M52" t="s">
        <v>169</v>
      </c>
    </row>
    <row r="53" spans="1:13" x14ac:dyDescent="0.35">
      <c r="A53" t="s">
        <v>13</v>
      </c>
      <c r="B53">
        <v>46666</v>
      </c>
      <c r="C53">
        <v>48021</v>
      </c>
      <c r="E53" t="s">
        <v>38</v>
      </c>
      <c r="F53" t="s">
        <v>170</v>
      </c>
      <c r="H53">
        <v>1021399</v>
      </c>
      <c r="I53" t="s">
        <v>17</v>
      </c>
      <c r="K53" t="s">
        <v>171</v>
      </c>
      <c r="L53">
        <v>451</v>
      </c>
      <c r="M53" t="s">
        <v>172</v>
      </c>
    </row>
    <row r="54" spans="1:13" x14ac:dyDescent="0.35">
      <c r="A54" t="s">
        <v>13</v>
      </c>
      <c r="B54">
        <v>48021</v>
      </c>
      <c r="C54">
        <v>48485</v>
      </c>
      <c r="E54" t="s">
        <v>38</v>
      </c>
      <c r="F54" t="s">
        <v>173</v>
      </c>
      <c r="H54">
        <v>1021210</v>
      </c>
      <c r="I54" t="s">
        <v>17</v>
      </c>
      <c r="K54" t="s">
        <v>174</v>
      </c>
      <c r="L54">
        <v>154</v>
      </c>
      <c r="M54" t="s">
        <v>175</v>
      </c>
    </row>
    <row r="55" spans="1:13" x14ac:dyDescent="0.35">
      <c r="A55" t="s">
        <v>13</v>
      </c>
      <c r="B55">
        <v>48502</v>
      </c>
      <c r="C55">
        <v>49398</v>
      </c>
      <c r="E55" t="s">
        <v>38</v>
      </c>
      <c r="F55" t="s">
        <v>176</v>
      </c>
      <c r="H55">
        <v>1021272</v>
      </c>
      <c r="I55" t="s">
        <v>17</v>
      </c>
      <c r="K55" t="s">
        <v>177</v>
      </c>
      <c r="L55">
        <v>298</v>
      </c>
      <c r="M55" t="s">
        <v>178</v>
      </c>
    </row>
    <row r="56" spans="1:13" x14ac:dyDescent="0.35">
      <c r="A56" t="s">
        <v>13</v>
      </c>
      <c r="B56">
        <v>49705</v>
      </c>
      <c r="C56">
        <v>49791</v>
      </c>
      <c r="E56" t="s">
        <v>14</v>
      </c>
      <c r="F56" t="s">
        <v>179</v>
      </c>
      <c r="H56">
        <v>2745355</v>
      </c>
      <c r="I56" t="s">
        <v>62</v>
      </c>
      <c r="M56" t="s">
        <v>180</v>
      </c>
    </row>
    <row r="57" spans="1:13" x14ac:dyDescent="0.35">
      <c r="A57" t="s">
        <v>13</v>
      </c>
      <c r="B57">
        <v>49894</v>
      </c>
      <c r="C57">
        <v>50616</v>
      </c>
      <c r="E57" t="s">
        <v>38</v>
      </c>
      <c r="F57" t="s">
        <v>49</v>
      </c>
      <c r="H57">
        <v>92792283</v>
      </c>
      <c r="I57" t="s">
        <v>17</v>
      </c>
      <c r="K57" t="s">
        <v>181</v>
      </c>
      <c r="L57">
        <v>240</v>
      </c>
      <c r="M57" t="s">
        <v>182</v>
      </c>
    </row>
    <row r="58" spans="1:13" x14ac:dyDescent="0.35">
      <c r="A58" t="s">
        <v>13</v>
      </c>
      <c r="B58">
        <v>50963</v>
      </c>
      <c r="C58">
        <v>51436</v>
      </c>
      <c r="E58" t="s">
        <v>38</v>
      </c>
      <c r="F58" t="s">
        <v>49</v>
      </c>
      <c r="H58">
        <v>1021082</v>
      </c>
      <c r="I58" t="s">
        <v>17</v>
      </c>
      <c r="K58" t="s">
        <v>183</v>
      </c>
      <c r="L58">
        <v>157</v>
      </c>
      <c r="M58" t="s">
        <v>184</v>
      </c>
    </row>
    <row r="59" spans="1:13" x14ac:dyDescent="0.35">
      <c r="A59" t="s">
        <v>13</v>
      </c>
      <c r="B59">
        <v>51623</v>
      </c>
      <c r="C59">
        <v>53095</v>
      </c>
      <c r="E59" t="s">
        <v>38</v>
      </c>
      <c r="F59" t="s">
        <v>185</v>
      </c>
      <c r="H59">
        <v>1021298</v>
      </c>
      <c r="I59" t="s">
        <v>17</v>
      </c>
      <c r="K59" t="s">
        <v>186</v>
      </c>
      <c r="L59">
        <v>490</v>
      </c>
      <c r="M59" t="s">
        <v>187</v>
      </c>
    </row>
    <row r="60" spans="1:13" x14ac:dyDescent="0.35">
      <c r="A60" t="s">
        <v>13</v>
      </c>
      <c r="B60">
        <v>53094</v>
      </c>
      <c r="C60">
        <v>54011</v>
      </c>
      <c r="E60" t="s">
        <v>14</v>
      </c>
      <c r="F60" t="s">
        <v>188</v>
      </c>
      <c r="H60">
        <v>1021115</v>
      </c>
      <c r="I60" t="s">
        <v>17</v>
      </c>
      <c r="K60" t="s">
        <v>189</v>
      </c>
      <c r="L60">
        <v>305</v>
      </c>
      <c r="M60" t="s">
        <v>190</v>
      </c>
    </row>
    <row r="61" spans="1:13" x14ac:dyDescent="0.35">
      <c r="A61" t="s">
        <v>13</v>
      </c>
      <c r="B61">
        <v>54179</v>
      </c>
      <c r="C61">
        <v>55549</v>
      </c>
      <c r="E61" t="s">
        <v>14</v>
      </c>
      <c r="F61" t="s">
        <v>191</v>
      </c>
      <c r="H61">
        <v>1021202</v>
      </c>
      <c r="I61" t="s">
        <v>17</v>
      </c>
      <c r="K61" t="s">
        <v>192</v>
      </c>
      <c r="L61">
        <v>456</v>
      </c>
      <c r="M61" t="s">
        <v>193</v>
      </c>
    </row>
    <row r="62" spans="1:13" x14ac:dyDescent="0.35">
      <c r="A62" t="s">
        <v>13</v>
      </c>
      <c r="B62">
        <v>55626</v>
      </c>
      <c r="C62">
        <v>56372</v>
      </c>
      <c r="E62" t="s">
        <v>38</v>
      </c>
      <c r="F62" t="s">
        <v>194</v>
      </c>
      <c r="H62">
        <v>1021241</v>
      </c>
      <c r="I62" t="s">
        <v>17</v>
      </c>
      <c r="K62" t="s">
        <v>195</v>
      </c>
      <c r="L62">
        <v>248</v>
      </c>
      <c r="M62" t="s">
        <v>196</v>
      </c>
    </row>
    <row r="63" spans="1:13" x14ac:dyDescent="0.35">
      <c r="A63" t="s">
        <v>13</v>
      </c>
      <c r="B63">
        <v>56383</v>
      </c>
      <c r="C63">
        <v>56676</v>
      </c>
      <c r="E63" t="s">
        <v>38</v>
      </c>
      <c r="F63" t="s">
        <v>197</v>
      </c>
      <c r="H63">
        <v>1021212</v>
      </c>
      <c r="I63" t="s">
        <v>17</v>
      </c>
      <c r="K63" t="s">
        <v>198</v>
      </c>
      <c r="L63">
        <v>97</v>
      </c>
      <c r="M63" t="s">
        <v>199</v>
      </c>
    </row>
    <row r="64" spans="1:13" x14ac:dyDescent="0.35">
      <c r="A64" t="s">
        <v>13</v>
      </c>
      <c r="B64">
        <v>56677</v>
      </c>
      <c r="C64">
        <v>57270</v>
      </c>
      <c r="E64" t="s">
        <v>38</v>
      </c>
      <c r="F64" t="s">
        <v>197</v>
      </c>
      <c r="H64">
        <v>1021231</v>
      </c>
      <c r="I64" t="s">
        <v>17</v>
      </c>
      <c r="K64" t="s">
        <v>200</v>
      </c>
      <c r="L64">
        <v>197</v>
      </c>
      <c r="M64" t="s">
        <v>201</v>
      </c>
    </row>
    <row r="65" spans="1:13" x14ac:dyDescent="0.35">
      <c r="A65" t="s">
        <v>13</v>
      </c>
      <c r="B65">
        <v>57397</v>
      </c>
      <c r="C65">
        <v>57654</v>
      </c>
      <c r="E65" t="s">
        <v>14</v>
      </c>
      <c r="F65" t="s">
        <v>202</v>
      </c>
      <c r="H65">
        <v>1021091</v>
      </c>
      <c r="I65" t="s">
        <v>17</v>
      </c>
      <c r="K65" t="s">
        <v>203</v>
      </c>
      <c r="L65">
        <v>85</v>
      </c>
      <c r="M65" t="s">
        <v>204</v>
      </c>
    </row>
    <row r="66" spans="1:13" x14ac:dyDescent="0.35">
      <c r="A66" t="s">
        <v>13</v>
      </c>
      <c r="B66">
        <v>58087</v>
      </c>
      <c r="C66">
        <v>58944</v>
      </c>
      <c r="E66" t="s">
        <v>14</v>
      </c>
      <c r="F66" t="s">
        <v>49</v>
      </c>
      <c r="H66">
        <v>1021143</v>
      </c>
      <c r="I66" t="s">
        <v>17</v>
      </c>
      <c r="K66" t="s">
        <v>205</v>
      </c>
      <c r="L66">
        <v>285</v>
      </c>
      <c r="M66" t="s">
        <v>206</v>
      </c>
    </row>
    <row r="67" spans="1:13" x14ac:dyDescent="0.35">
      <c r="A67" t="s">
        <v>13</v>
      </c>
      <c r="B67">
        <v>59091</v>
      </c>
      <c r="C67">
        <v>59933</v>
      </c>
      <c r="E67" t="s">
        <v>14</v>
      </c>
      <c r="F67" t="s">
        <v>207</v>
      </c>
      <c r="H67">
        <v>1021183</v>
      </c>
      <c r="I67" t="s">
        <v>17</v>
      </c>
      <c r="K67" t="s">
        <v>208</v>
      </c>
      <c r="L67">
        <v>280</v>
      </c>
      <c r="M67" t="s">
        <v>209</v>
      </c>
    </row>
    <row r="68" spans="1:13" x14ac:dyDescent="0.35">
      <c r="A68" t="s">
        <v>13</v>
      </c>
      <c r="B68">
        <v>59952</v>
      </c>
      <c r="C68">
        <v>60665</v>
      </c>
      <c r="E68" t="s">
        <v>14</v>
      </c>
      <c r="F68" t="s">
        <v>210</v>
      </c>
      <c r="H68">
        <v>1021070</v>
      </c>
      <c r="I68" t="s">
        <v>17</v>
      </c>
      <c r="K68" t="s">
        <v>211</v>
      </c>
      <c r="L68">
        <v>237</v>
      </c>
      <c r="M68" t="s">
        <v>212</v>
      </c>
    </row>
    <row r="69" spans="1:13" x14ac:dyDescent="0.35">
      <c r="A69" t="s">
        <v>13</v>
      </c>
      <c r="B69">
        <v>60699</v>
      </c>
      <c r="C69">
        <v>62324</v>
      </c>
      <c r="E69" t="s">
        <v>14</v>
      </c>
      <c r="F69" t="s">
        <v>213</v>
      </c>
      <c r="H69">
        <v>1021058</v>
      </c>
      <c r="I69" t="s">
        <v>17</v>
      </c>
      <c r="K69" t="s">
        <v>214</v>
      </c>
      <c r="L69">
        <v>541</v>
      </c>
      <c r="M69" t="s">
        <v>215</v>
      </c>
    </row>
    <row r="70" spans="1:13" x14ac:dyDescent="0.35">
      <c r="A70" t="s">
        <v>13</v>
      </c>
      <c r="B70">
        <v>62387</v>
      </c>
      <c r="C70">
        <v>63508</v>
      </c>
      <c r="E70" t="s">
        <v>38</v>
      </c>
      <c r="F70" t="s">
        <v>216</v>
      </c>
      <c r="H70">
        <v>1021155</v>
      </c>
      <c r="I70" t="s">
        <v>17</v>
      </c>
      <c r="K70" t="s">
        <v>217</v>
      </c>
      <c r="L70">
        <v>373</v>
      </c>
      <c r="M70" t="s">
        <v>218</v>
      </c>
    </row>
    <row r="71" spans="1:13" x14ac:dyDescent="0.35">
      <c r="A71" t="s">
        <v>13</v>
      </c>
      <c r="B71">
        <v>63591</v>
      </c>
      <c r="C71">
        <v>64040</v>
      </c>
      <c r="E71" t="s">
        <v>38</v>
      </c>
      <c r="F71" t="s">
        <v>219</v>
      </c>
      <c r="H71">
        <v>1021236</v>
      </c>
      <c r="I71" t="s">
        <v>17</v>
      </c>
      <c r="K71" t="s">
        <v>220</v>
      </c>
      <c r="L71">
        <v>149</v>
      </c>
      <c r="M71" t="s">
        <v>221</v>
      </c>
    </row>
    <row r="72" spans="1:13" x14ac:dyDescent="0.35">
      <c r="A72" t="s">
        <v>13</v>
      </c>
      <c r="B72">
        <v>64190</v>
      </c>
      <c r="C72">
        <v>65461</v>
      </c>
      <c r="E72" t="s">
        <v>14</v>
      </c>
      <c r="F72" t="s">
        <v>222</v>
      </c>
      <c r="H72">
        <v>1021108</v>
      </c>
      <c r="I72" t="s">
        <v>17</v>
      </c>
      <c r="K72" t="s">
        <v>223</v>
      </c>
      <c r="L72">
        <v>423</v>
      </c>
      <c r="M72" t="s">
        <v>224</v>
      </c>
    </row>
    <row r="73" spans="1:13" x14ac:dyDescent="0.35">
      <c r="A73" t="s">
        <v>13</v>
      </c>
      <c r="B73">
        <v>65505</v>
      </c>
      <c r="C73">
        <v>66197</v>
      </c>
      <c r="E73" t="s">
        <v>38</v>
      </c>
      <c r="F73" t="s">
        <v>225</v>
      </c>
      <c r="G73" t="s">
        <v>226</v>
      </c>
      <c r="H73">
        <v>1021156</v>
      </c>
      <c r="I73" t="s">
        <v>17</v>
      </c>
      <c r="K73" t="s">
        <v>227</v>
      </c>
      <c r="L73">
        <v>230</v>
      </c>
      <c r="M73" t="s">
        <v>228</v>
      </c>
    </row>
    <row r="74" spans="1:13" x14ac:dyDescent="0.35">
      <c r="A74" t="s">
        <v>13</v>
      </c>
      <c r="B74">
        <v>66599</v>
      </c>
      <c r="C74">
        <v>67975</v>
      </c>
      <c r="E74" t="s">
        <v>14</v>
      </c>
      <c r="F74" t="s">
        <v>229</v>
      </c>
      <c r="H74">
        <v>1021123</v>
      </c>
      <c r="I74" t="s">
        <v>17</v>
      </c>
      <c r="K74" t="s">
        <v>230</v>
      </c>
      <c r="L74">
        <v>458</v>
      </c>
      <c r="M74" t="s">
        <v>231</v>
      </c>
    </row>
    <row r="75" spans="1:13" x14ac:dyDescent="0.35">
      <c r="A75" t="s">
        <v>13</v>
      </c>
      <c r="B75">
        <v>68248</v>
      </c>
      <c r="C75">
        <v>68634</v>
      </c>
      <c r="E75" t="s">
        <v>38</v>
      </c>
      <c r="F75" t="s">
        <v>49</v>
      </c>
      <c r="H75">
        <v>1021145</v>
      </c>
      <c r="I75" t="s">
        <v>17</v>
      </c>
      <c r="K75" t="s">
        <v>232</v>
      </c>
      <c r="L75">
        <v>128</v>
      </c>
      <c r="M75" t="s">
        <v>233</v>
      </c>
    </row>
    <row r="76" spans="1:13" x14ac:dyDescent="0.35">
      <c r="A76" t="s">
        <v>13</v>
      </c>
      <c r="B76">
        <v>68717</v>
      </c>
      <c r="C76">
        <v>70297</v>
      </c>
      <c r="E76" t="s">
        <v>38</v>
      </c>
      <c r="F76" t="s">
        <v>234</v>
      </c>
      <c r="H76">
        <v>1021116</v>
      </c>
      <c r="I76" t="s">
        <v>17</v>
      </c>
      <c r="K76" t="s">
        <v>235</v>
      </c>
      <c r="L76">
        <v>526</v>
      </c>
      <c r="M76" t="s">
        <v>236</v>
      </c>
    </row>
    <row r="77" spans="1:13" x14ac:dyDescent="0.35">
      <c r="A77" t="s">
        <v>13</v>
      </c>
      <c r="B77">
        <v>70506</v>
      </c>
      <c r="C77">
        <v>72161</v>
      </c>
      <c r="E77" t="s">
        <v>14</v>
      </c>
      <c r="F77" t="s">
        <v>237</v>
      </c>
      <c r="H77">
        <v>1021092</v>
      </c>
      <c r="I77" t="s">
        <v>17</v>
      </c>
      <c r="K77" t="s">
        <v>238</v>
      </c>
      <c r="L77">
        <v>551</v>
      </c>
      <c r="M77" t="s">
        <v>239</v>
      </c>
    </row>
    <row r="78" spans="1:13" x14ac:dyDescent="0.35">
      <c r="A78" t="s">
        <v>13</v>
      </c>
      <c r="B78">
        <v>72161</v>
      </c>
      <c r="C78">
        <v>72817</v>
      </c>
      <c r="E78" t="s">
        <v>14</v>
      </c>
      <c r="F78" t="s">
        <v>240</v>
      </c>
      <c r="H78">
        <v>1021127</v>
      </c>
      <c r="I78" t="s">
        <v>17</v>
      </c>
      <c r="K78" t="s">
        <v>241</v>
      </c>
      <c r="L78">
        <v>218</v>
      </c>
      <c r="M78" t="s">
        <v>242</v>
      </c>
    </row>
    <row r="79" spans="1:13" x14ac:dyDescent="0.35">
      <c r="A79" t="s">
        <v>13</v>
      </c>
      <c r="B79">
        <v>72814</v>
      </c>
      <c r="C79">
        <v>73728</v>
      </c>
      <c r="E79" t="s">
        <v>38</v>
      </c>
      <c r="F79" t="s">
        <v>243</v>
      </c>
      <c r="H79">
        <v>1021075</v>
      </c>
      <c r="I79" t="s">
        <v>17</v>
      </c>
      <c r="K79" t="s">
        <v>244</v>
      </c>
      <c r="L79">
        <v>304</v>
      </c>
      <c r="M79" t="s">
        <v>245</v>
      </c>
    </row>
    <row r="80" spans="1:13" x14ac:dyDescent="0.35">
      <c r="A80" t="s">
        <v>13</v>
      </c>
      <c r="B80">
        <v>73844</v>
      </c>
      <c r="C80">
        <v>74275</v>
      </c>
      <c r="E80" t="s">
        <v>14</v>
      </c>
      <c r="F80" t="s">
        <v>49</v>
      </c>
      <c r="H80">
        <v>1021119</v>
      </c>
      <c r="I80" t="s">
        <v>17</v>
      </c>
      <c r="K80" t="s">
        <v>246</v>
      </c>
      <c r="L80">
        <v>143</v>
      </c>
      <c r="M80" t="s">
        <v>247</v>
      </c>
    </row>
    <row r="81" spans="1:13" x14ac:dyDescent="0.35">
      <c r="A81" t="s">
        <v>13</v>
      </c>
      <c r="B81">
        <v>74490</v>
      </c>
      <c r="C81">
        <v>75494</v>
      </c>
      <c r="E81" t="s">
        <v>14</v>
      </c>
      <c r="F81" t="s">
        <v>248</v>
      </c>
      <c r="G81" t="s">
        <v>249</v>
      </c>
      <c r="H81">
        <v>1021113</v>
      </c>
      <c r="I81" t="s">
        <v>17</v>
      </c>
      <c r="K81" t="s">
        <v>250</v>
      </c>
      <c r="L81">
        <v>334</v>
      </c>
      <c r="M81" t="s">
        <v>251</v>
      </c>
    </row>
    <row r="82" spans="1:13" x14ac:dyDescent="0.35">
      <c r="A82" t="s">
        <v>13</v>
      </c>
      <c r="B82">
        <v>75506</v>
      </c>
      <c r="C82">
        <v>75745</v>
      </c>
      <c r="E82" t="s">
        <v>14</v>
      </c>
      <c r="F82" t="s">
        <v>49</v>
      </c>
      <c r="H82">
        <v>1021028</v>
      </c>
      <c r="I82" t="s">
        <v>17</v>
      </c>
      <c r="K82" t="s">
        <v>252</v>
      </c>
      <c r="L82">
        <v>79</v>
      </c>
      <c r="M82" t="s">
        <v>253</v>
      </c>
    </row>
    <row r="83" spans="1:13" x14ac:dyDescent="0.35">
      <c r="A83" t="s">
        <v>13</v>
      </c>
      <c r="B83">
        <v>75745</v>
      </c>
      <c r="C83">
        <v>76038</v>
      </c>
      <c r="E83" t="s">
        <v>14</v>
      </c>
      <c r="F83" t="s">
        <v>254</v>
      </c>
      <c r="H83">
        <v>1020584</v>
      </c>
      <c r="I83" t="s">
        <v>17</v>
      </c>
      <c r="K83" t="s">
        <v>255</v>
      </c>
      <c r="L83">
        <v>97</v>
      </c>
      <c r="M83" t="s">
        <v>256</v>
      </c>
    </row>
    <row r="84" spans="1:13" x14ac:dyDescent="0.35">
      <c r="A84" t="s">
        <v>13</v>
      </c>
      <c r="B84">
        <v>76641</v>
      </c>
      <c r="C84">
        <v>78164</v>
      </c>
      <c r="E84" t="s">
        <v>14</v>
      </c>
      <c r="F84" t="s">
        <v>257</v>
      </c>
      <c r="H84">
        <v>2745371</v>
      </c>
      <c r="I84" t="s">
        <v>258</v>
      </c>
      <c r="M84" t="s">
        <v>259</v>
      </c>
    </row>
    <row r="85" spans="1:13" x14ac:dyDescent="0.35">
      <c r="A85" t="s">
        <v>13</v>
      </c>
      <c r="B85">
        <v>78554</v>
      </c>
      <c r="C85">
        <v>81641</v>
      </c>
      <c r="E85" t="s">
        <v>14</v>
      </c>
      <c r="F85" t="s">
        <v>260</v>
      </c>
      <c r="H85">
        <v>2745341</v>
      </c>
      <c r="I85" t="s">
        <v>258</v>
      </c>
      <c r="M85" t="s">
        <v>261</v>
      </c>
    </row>
    <row r="86" spans="1:13" x14ac:dyDescent="0.35">
      <c r="A86" t="s">
        <v>13</v>
      </c>
      <c r="B86">
        <v>81757</v>
      </c>
      <c r="C86">
        <v>81873</v>
      </c>
      <c r="E86" t="s">
        <v>14</v>
      </c>
      <c r="F86" t="s">
        <v>262</v>
      </c>
      <c r="G86" t="s">
        <v>263</v>
      </c>
      <c r="H86">
        <v>2745302</v>
      </c>
      <c r="I86" t="s">
        <v>258</v>
      </c>
      <c r="M86" t="s">
        <v>264</v>
      </c>
    </row>
    <row r="87" spans="1:13" x14ac:dyDescent="0.35">
      <c r="A87" t="s">
        <v>13</v>
      </c>
      <c r="B87">
        <v>82117</v>
      </c>
      <c r="C87">
        <v>83568</v>
      </c>
      <c r="E87" t="s">
        <v>38</v>
      </c>
      <c r="F87" t="s">
        <v>265</v>
      </c>
      <c r="H87">
        <v>1021161</v>
      </c>
      <c r="I87" t="s">
        <v>17</v>
      </c>
      <c r="K87" t="s">
        <v>266</v>
      </c>
      <c r="L87">
        <v>483</v>
      </c>
      <c r="M87" t="s">
        <v>267</v>
      </c>
    </row>
    <row r="88" spans="1:13" x14ac:dyDescent="0.35">
      <c r="A88" t="s">
        <v>13</v>
      </c>
      <c r="B88">
        <v>83688</v>
      </c>
      <c r="C88">
        <v>84935</v>
      </c>
      <c r="E88" t="s">
        <v>38</v>
      </c>
      <c r="F88" t="s">
        <v>268</v>
      </c>
      <c r="H88">
        <v>1021126</v>
      </c>
      <c r="I88" t="s">
        <v>17</v>
      </c>
      <c r="K88" t="s">
        <v>269</v>
      </c>
      <c r="L88">
        <v>415</v>
      </c>
      <c r="M88" t="s">
        <v>270</v>
      </c>
    </row>
    <row r="89" spans="1:13" x14ac:dyDescent="0.35">
      <c r="A89" t="s">
        <v>13</v>
      </c>
      <c r="B89">
        <v>85095</v>
      </c>
      <c r="C89">
        <v>85319</v>
      </c>
      <c r="E89" t="s">
        <v>38</v>
      </c>
      <c r="F89" t="s">
        <v>49</v>
      </c>
      <c r="H89">
        <v>1021044</v>
      </c>
      <c r="I89" t="s">
        <v>17</v>
      </c>
      <c r="K89" t="s">
        <v>271</v>
      </c>
      <c r="L89">
        <v>74</v>
      </c>
      <c r="M89" t="s">
        <v>272</v>
      </c>
    </row>
    <row r="90" spans="1:13" x14ac:dyDescent="0.35">
      <c r="A90" t="s">
        <v>13</v>
      </c>
      <c r="B90">
        <v>85660</v>
      </c>
      <c r="C90">
        <v>86220</v>
      </c>
      <c r="E90" t="s">
        <v>38</v>
      </c>
      <c r="F90" t="s">
        <v>49</v>
      </c>
      <c r="H90">
        <v>1020832</v>
      </c>
      <c r="I90" t="s">
        <v>17</v>
      </c>
      <c r="K90" t="s">
        <v>273</v>
      </c>
      <c r="L90">
        <v>186</v>
      </c>
      <c r="M90" t="s">
        <v>274</v>
      </c>
    </row>
    <row r="91" spans="1:13" x14ac:dyDescent="0.35">
      <c r="A91" t="s">
        <v>13</v>
      </c>
      <c r="B91">
        <v>86399</v>
      </c>
      <c r="C91">
        <v>87244</v>
      </c>
      <c r="E91" t="s">
        <v>14</v>
      </c>
      <c r="F91" t="s">
        <v>275</v>
      </c>
      <c r="H91">
        <v>1021150</v>
      </c>
      <c r="I91" t="s">
        <v>17</v>
      </c>
      <c r="K91" t="s">
        <v>276</v>
      </c>
      <c r="L91">
        <v>281</v>
      </c>
      <c r="M91" t="s">
        <v>277</v>
      </c>
    </row>
    <row r="92" spans="1:13" x14ac:dyDescent="0.35">
      <c r="A92" t="s">
        <v>13</v>
      </c>
      <c r="B92">
        <v>87558</v>
      </c>
      <c r="C92">
        <v>88532</v>
      </c>
      <c r="E92" t="s">
        <v>38</v>
      </c>
      <c r="F92" t="s">
        <v>278</v>
      </c>
      <c r="H92">
        <v>1020596</v>
      </c>
      <c r="I92" t="s">
        <v>17</v>
      </c>
      <c r="K92" t="s">
        <v>279</v>
      </c>
      <c r="L92">
        <v>324</v>
      </c>
      <c r="M92" t="s">
        <v>280</v>
      </c>
    </row>
    <row r="93" spans="1:13" x14ac:dyDescent="0.35">
      <c r="A93" t="s">
        <v>13</v>
      </c>
      <c r="B93">
        <v>88542</v>
      </c>
      <c r="C93">
        <v>89444</v>
      </c>
      <c r="E93" t="s">
        <v>38</v>
      </c>
      <c r="F93" t="s">
        <v>278</v>
      </c>
      <c r="H93">
        <v>1021142</v>
      </c>
      <c r="I93" t="s">
        <v>17</v>
      </c>
      <c r="K93" t="s">
        <v>281</v>
      </c>
      <c r="L93">
        <v>300</v>
      </c>
      <c r="M93" t="s">
        <v>282</v>
      </c>
    </row>
    <row r="94" spans="1:13" x14ac:dyDescent="0.35">
      <c r="A94" t="s">
        <v>13</v>
      </c>
      <c r="B94">
        <v>89615</v>
      </c>
      <c r="C94">
        <v>90448</v>
      </c>
      <c r="E94" t="s">
        <v>14</v>
      </c>
      <c r="F94" t="s">
        <v>49</v>
      </c>
      <c r="H94">
        <v>1021102</v>
      </c>
      <c r="I94" t="s">
        <v>17</v>
      </c>
      <c r="K94" t="s">
        <v>283</v>
      </c>
      <c r="L94">
        <v>277</v>
      </c>
      <c r="M94" t="s">
        <v>284</v>
      </c>
    </row>
    <row r="95" spans="1:13" x14ac:dyDescent="0.35">
      <c r="A95" t="s">
        <v>13</v>
      </c>
      <c r="B95">
        <v>90458</v>
      </c>
      <c r="C95">
        <v>90973</v>
      </c>
      <c r="E95" t="s">
        <v>38</v>
      </c>
      <c r="F95" t="s">
        <v>285</v>
      </c>
      <c r="H95">
        <v>1021047</v>
      </c>
      <c r="I95" t="s">
        <v>17</v>
      </c>
      <c r="K95" t="s">
        <v>286</v>
      </c>
      <c r="L95">
        <v>171</v>
      </c>
      <c r="M95" t="s">
        <v>287</v>
      </c>
    </row>
    <row r="96" spans="1:13" x14ac:dyDescent="0.35">
      <c r="A96" t="s">
        <v>13</v>
      </c>
      <c r="B96">
        <v>91174</v>
      </c>
      <c r="C96">
        <v>91476</v>
      </c>
      <c r="E96" t="s">
        <v>14</v>
      </c>
      <c r="F96" t="s">
        <v>288</v>
      </c>
      <c r="H96">
        <v>1021068</v>
      </c>
      <c r="I96" t="s">
        <v>17</v>
      </c>
      <c r="K96" t="s">
        <v>289</v>
      </c>
      <c r="L96">
        <v>100</v>
      </c>
      <c r="M96" t="s">
        <v>290</v>
      </c>
    </row>
    <row r="97" spans="1:13" x14ac:dyDescent="0.35">
      <c r="A97" t="s">
        <v>13</v>
      </c>
      <c r="B97">
        <v>91503</v>
      </c>
      <c r="C97">
        <v>91991</v>
      </c>
      <c r="E97" t="s">
        <v>14</v>
      </c>
      <c r="F97" t="s">
        <v>291</v>
      </c>
      <c r="H97">
        <v>1021141</v>
      </c>
      <c r="I97" t="s">
        <v>17</v>
      </c>
      <c r="K97" t="s">
        <v>292</v>
      </c>
      <c r="L97">
        <v>162</v>
      </c>
      <c r="M97" t="s">
        <v>293</v>
      </c>
    </row>
    <row r="98" spans="1:13" x14ac:dyDescent="0.35">
      <c r="A98" t="s">
        <v>13</v>
      </c>
      <c r="B98">
        <v>91992</v>
      </c>
      <c r="C98">
        <v>93704</v>
      </c>
      <c r="E98" t="s">
        <v>14</v>
      </c>
      <c r="F98" t="s">
        <v>294</v>
      </c>
      <c r="G98" t="s">
        <v>295</v>
      </c>
      <c r="H98">
        <v>1021080</v>
      </c>
      <c r="I98" t="s">
        <v>17</v>
      </c>
      <c r="K98" t="s">
        <v>296</v>
      </c>
      <c r="L98">
        <v>570</v>
      </c>
      <c r="M98" t="s">
        <v>297</v>
      </c>
    </row>
    <row r="99" spans="1:13" x14ac:dyDescent="0.35">
      <c r="A99" t="s">
        <v>13</v>
      </c>
      <c r="B99">
        <v>93729</v>
      </c>
      <c r="C99">
        <v>94202</v>
      </c>
      <c r="E99" t="s">
        <v>14</v>
      </c>
      <c r="F99" t="s">
        <v>298</v>
      </c>
      <c r="G99" t="s">
        <v>299</v>
      </c>
      <c r="H99">
        <v>1021224</v>
      </c>
      <c r="I99" t="s">
        <v>17</v>
      </c>
      <c r="K99" t="s">
        <v>300</v>
      </c>
      <c r="L99">
        <v>157</v>
      </c>
      <c r="M99" t="s">
        <v>301</v>
      </c>
    </row>
    <row r="100" spans="1:13" x14ac:dyDescent="0.35">
      <c r="A100" t="s">
        <v>13</v>
      </c>
      <c r="B100">
        <v>94202</v>
      </c>
      <c r="C100">
        <v>94882</v>
      </c>
      <c r="E100" t="s">
        <v>14</v>
      </c>
      <c r="F100" t="s">
        <v>302</v>
      </c>
      <c r="H100">
        <v>1021133</v>
      </c>
      <c r="I100" t="s">
        <v>17</v>
      </c>
      <c r="K100" t="s">
        <v>303</v>
      </c>
      <c r="L100">
        <v>226</v>
      </c>
      <c r="M100" t="s">
        <v>304</v>
      </c>
    </row>
    <row r="101" spans="1:13" x14ac:dyDescent="0.35">
      <c r="A101" t="s">
        <v>13</v>
      </c>
      <c r="B101">
        <v>94899</v>
      </c>
      <c r="C101">
        <v>95516</v>
      </c>
      <c r="E101" t="s">
        <v>14</v>
      </c>
      <c r="F101" t="s">
        <v>305</v>
      </c>
      <c r="G101" t="s">
        <v>306</v>
      </c>
      <c r="H101">
        <v>1021088</v>
      </c>
      <c r="I101" t="s">
        <v>17</v>
      </c>
      <c r="K101" t="s">
        <v>307</v>
      </c>
      <c r="L101">
        <v>205</v>
      </c>
      <c r="M101" t="s">
        <v>308</v>
      </c>
    </row>
    <row r="102" spans="1:13" x14ac:dyDescent="0.35">
      <c r="A102" t="s">
        <v>13</v>
      </c>
      <c r="B102">
        <v>95517</v>
      </c>
      <c r="C102">
        <v>96368</v>
      </c>
      <c r="E102" t="s">
        <v>14</v>
      </c>
      <c r="F102" t="s">
        <v>309</v>
      </c>
      <c r="H102">
        <v>1021081</v>
      </c>
      <c r="I102" t="s">
        <v>17</v>
      </c>
      <c r="K102" t="s">
        <v>310</v>
      </c>
      <c r="L102">
        <v>283</v>
      </c>
      <c r="M102" t="s">
        <v>311</v>
      </c>
    </row>
    <row r="103" spans="1:13" x14ac:dyDescent="0.35">
      <c r="A103" t="s">
        <v>13</v>
      </c>
      <c r="B103">
        <v>96365</v>
      </c>
      <c r="C103">
        <v>97117</v>
      </c>
      <c r="E103" t="s">
        <v>38</v>
      </c>
      <c r="F103" t="s">
        <v>35</v>
      </c>
      <c r="H103">
        <v>1021174</v>
      </c>
      <c r="I103" t="s">
        <v>17</v>
      </c>
      <c r="K103" t="s">
        <v>312</v>
      </c>
      <c r="L103">
        <v>250</v>
      </c>
      <c r="M103" t="s">
        <v>313</v>
      </c>
    </row>
    <row r="104" spans="1:13" x14ac:dyDescent="0.35">
      <c r="A104" t="s">
        <v>13</v>
      </c>
      <c r="B104">
        <v>97316</v>
      </c>
      <c r="C104">
        <v>98470</v>
      </c>
      <c r="E104" t="s">
        <v>38</v>
      </c>
      <c r="F104" t="s">
        <v>265</v>
      </c>
      <c r="H104">
        <v>1021169</v>
      </c>
      <c r="I104" t="s">
        <v>17</v>
      </c>
      <c r="K104" t="s">
        <v>314</v>
      </c>
      <c r="L104">
        <v>384</v>
      </c>
      <c r="M104" t="s">
        <v>315</v>
      </c>
    </row>
    <row r="105" spans="1:13" x14ac:dyDescent="0.35">
      <c r="A105" t="s">
        <v>13</v>
      </c>
      <c r="B105">
        <v>98805</v>
      </c>
      <c r="C105">
        <v>101582</v>
      </c>
      <c r="E105" t="s">
        <v>38</v>
      </c>
      <c r="F105" t="s">
        <v>49</v>
      </c>
      <c r="H105">
        <v>1021173</v>
      </c>
      <c r="I105" t="s">
        <v>17</v>
      </c>
      <c r="K105" t="s">
        <v>316</v>
      </c>
      <c r="L105">
        <v>925</v>
      </c>
      <c r="M105" t="s">
        <v>317</v>
      </c>
    </row>
    <row r="106" spans="1:13" x14ac:dyDescent="0.35">
      <c r="A106" t="s">
        <v>13</v>
      </c>
      <c r="B106">
        <v>101609</v>
      </c>
      <c r="C106">
        <v>103435</v>
      </c>
      <c r="E106" t="s">
        <v>38</v>
      </c>
      <c r="F106" t="s">
        <v>318</v>
      </c>
      <c r="H106">
        <v>1021181</v>
      </c>
      <c r="I106" t="s">
        <v>17</v>
      </c>
      <c r="K106" t="s">
        <v>319</v>
      </c>
      <c r="L106">
        <v>608</v>
      </c>
      <c r="M106" t="s">
        <v>320</v>
      </c>
    </row>
    <row r="107" spans="1:13" x14ac:dyDescent="0.35">
      <c r="A107" t="s">
        <v>13</v>
      </c>
      <c r="B107">
        <v>103503</v>
      </c>
      <c r="C107">
        <v>104912</v>
      </c>
      <c r="E107" t="s">
        <v>14</v>
      </c>
      <c r="F107" t="s">
        <v>321</v>
      </c>
      <c r="G107" t="s">
        <v>322</v>
      </c>
      <c r="H107">
        <v>1021171</v>
      </c>
      <c r="I107" t="s">
        <v>17</v>
      </c>
      <c r="K107" t="s">
        <v>323</v>
      </c>
      <c r="L107">
        <v>469</v>
      </c>
      <c r="M107" t="s">
        <v>324</v>
      </c>
    </row>
    <row r="108" spans="1:13" x14ac:dyDescent="0.35">
      <c r="A108" t="s">
        <v>13</v>
      </c>
      <c r="B108">
        <v>105170</v>
      </c>
      <c r="C108">
        <v>105892</v>
      </c>
      <c r="E108" t="s">
        <v>38</v>
      </c>
      <c r="F108" t="s">
        <v>49</v>
      </c>
      <c r="H108">
        <v>1021179</v>
      </c>
      <c r="I108" t="s">
        <v>17</v>
      </c>
      <c r="K108" t="s">
        <v>325</v>
      </c>
      <c r="L108">
        <v>240</v>
      </c>
      <c r="M108" t="s">
        <v>326</v>
      </c>
    </row>
    <row r="109" spans="1:13" x14ac:dyDescent="0.35">
      <c r="A109" t="s">
        <v>13</v>
      </c>
      <c r="B109">
        <v>105838</v>
      </c>
      <c r="C109">
        <v>106392</v>
      </c>
      <c r="E109" t="s">
        <v>38</v>
      </c>
      <c r="F109" t="s">
        <v>327</v>
      </c>
      <c r="H109">
        <v>1021205</v>
      </c>
      <c r="I109" t="s">
        <v>17</v>
      </c>
      <c r="K109" t="s">
        <v>328</v>
      </c>
      <c r="L109">
        <v>184</v>
      </c>
      <c r="M109" t="s">
        <v>329</v>
      </c>
    </row>
    <row r="110" spans="1:13" x14ac:dyDescent="0.35">
      <c r="A110" t="s">
        <v>13</v>
      </c>
      <c r="B110">
        <v>106627</v>
      </c>
      <c r="C110">
        <v>107178</v>
      </c>
      <c r="E110" t="s">
        <v>38</v>
      </c>
      <c r="F110" t="s">
        <v>330</v>
      </c>
      <c r="H110">
        <v>1021175</v>
      </c>
      <c r="I110" t="s">
        <v>17</v>
      </c>
      <c r="K110" t="s">
        <v>331</v>
      </c>
      <c r="L110">
        <v>183</v>
      </c>
      <c r="M110" t="s">
        <v>332</v>
      </c>
    </row>
    <row r="111" spans="1:13" x14ac:dyDescent="0.35">
      <c r="A111" t="s">
        <v>13</v>
      </c>
      <c r="B111">
        <v>107444</v>
      </c>
      <c r="C111">
        <v>110893</v>
      </c>
      <c r="E111" t="s">
        <v>14</v>
      </c>
      <c r="F111" t="s">
        <v>333</v>
      </c>
      <c r="H111">
        <v>1021168</v>
      </c>
      <c r="I111" t="s">
        <v>17</v>
      </c>
      <c r="K111" t="s">
        <v>334</v>
      </c>
      <c r="L111">
        <v>1149</v>
      </c>
      <c r="M111" t="s">
        <v>335</v>
      </c>
    </row>
    <row r="112" spans="1:13" x14ac:dyDescent="0.35">
      <c r="A112" t="s">
        <v>13</v>
      </c>
      <c r="B112">
        <v>111374</v>
      </c>
      <c r="C112">
        <v>112321</v>
      </c>
      <c r="E112" t="s">
        <v>14</v>
      </c>
      <c r="F112" t="s">
        <v>336</v>
      </c>
      <c r="H112">
        <v>1021187</v>
      </c>
      <c r="I112" t="s">
        <v>17</v>
      </c>
      <c r="K112" t="s">
        <v>337</v>
      </c>
      <c r="L112">
        <v>315</v>
      </c>
      <c r="M112" t="s">
        <v>338</v>
      </c>
    </row>
    <row r="113" spans="1:13" x14ac:dyDescent="0.35">
      <c r="A113" t="s">
        <v>13</v>
      </c>
      <c r="B113">
        <v>112470</v>
      </c>
      <c r="C113">
        <v>114086</v>
      </c>
      <c r="E113" t="s">
        <v>14</v>
      </c>
      <c r="F113" t="s">
        <v>339</v>
      </c>
      <c r="H113">
        <v>1021184</v>
      </c>
      <c r="I113" t="s">
        <v>17</v>
      </c>
      <c r="K113" t="s">
        <v>340</v>
      </c>
      <c r="L113">
        <v>538</v>
      </c>
      <c r="M113" t="s">
        <v>341</v>
      </c>
    </row>
    <row r="114" spans="1:13" x14ac:dyDescent="0.35">
      <c r="A114" t="s">
        <v>13</v>
      </c>
      <c r="B114">
        <v>114093</v>
      </c>
      <c r="C114">
        <v>115481</v>
      </c>
      <c r="E114" t="s">
        <v>14</v>
      </c>
      <c r="F114" t="s">
        <v>342</v>
      </c>
      <c r="H114">
        <v>1021185</v>
      </c>
      <c r="I114" t="s">
        <v>17</v>
      </c>
      <c r="K114" t="s">
        <v>343</v>
      </c>
      <c r="L114">
        <v>462</v>
      </c>
      <c r="M114" t="s">
        <v>344</v>
      </c>
    </row>
    <row r="115" spans="1:13" x14ac:dyDescent="0.35">
      <c r="A115" t="s">
        <v>13</v>
      </c>
      <c r="B115">
        <v>115578</v>
      </c>
      <c r="C115">
        <v>115946</v>
      </c>
      <c r="E115" t="s">
        <v>14</v>
      </c>
      <c r="F115" t="s">
        <v>345</v>
      </c>
      <c r="H115">
        <v>1021182</v>
      </c>
      <c r="I115" t="s">
        <v>17</v>
      </c>
      <c r="K115" t="s">
        <v>346</v>
      </c>
      <c r="L115">
        <v>122</v>
      </c>
      <c r="M115" t="s">
        <v>347</v>
      </c>
    </row>
    <row r="116" spans="1:13" x14ac:dyDescent="0.35">
      <c r="A116" t="s">
        <v>13</v>
      </c>
      <c r="B116">
        <v>115949</v>
      </c>
      <c r="C116">
        <v>116266</v>
      </c>
      <c r="E116" t="s">
        <v>14</v>
      </c>
      <c r="F116" t="s">
        <v>348</v>
      </c>
      <c r="H116">
        <v>1021193</v>
      </c>
      <c r="I116" t="s">
        <v>17</v>
      </c>
      <c r="K116" t="s">
        <v>349</v>
      </c>
      <c r="L116">
        <v>105</v>
      </c>
      <c r="M116" t="s">
        <v>350</v>
      </c>
    </row>
    <row r="117" spans="1:13" x14ac:dyDescent="0.35">
      <c r="A117" t="s">
        <v>13</v>
      </c>
      <c r="B117">
        <v>116545</v>
      </c>
      <c r="C117">
        <v>118557</v>
      </c>
      <c r="E117" t="s">
        <v>38</v>
      </c>
      <c r="F117" t="s">
        <v>103</v>
      </c>
      <c r="H117">
        <v>1021188</v>
      </c>
      <c r="I117" t="s">
        <v>17</v>
      </c>
      <c r="K117" t="s">
        <v>351</v>
      </c>
      <c r="L117">
        <v>670</v>
      </c>
      <c r="M117" t="s">
        <v>352</v>
      </c>
    </row>
    <row r="118" spans="1:13" x14ac:dyDescent="0.35">
      <c r="A118" t="s">
        <v>13</v>
      </c>
      <c r="B118">
        <v>118807</v>
      </c>
      <c r="C118">
        <v>119589</v>
      </c>
      <c r="E118" t="s">
        <v>38</v>
      </c>
      <c r="F118" t="s">
        <v>353</v>
      </c>
      <c r="H118">
        <v>1021200</v>
      </c>
      <c r="I118" t="s">
        <v>17</v>
      </c>
      <c r="K118" t="s">
        <v>354</v>
      </c>
      <c r="L118">
        <v>260</v>
      </c>
      <c r="M118" t="s">
        <v>355</v>
      </c>
    </row>
    <row r="119" spans="1:13" x14ac:dyDescent="0.35">
      <c r="A119" t="s">
        <v>13</v>
      </c>
      <c r="B119">
        <v>120021</v>
      </c>
      <c r="C119">
        <v>120413</v>
      </c>
      <c r="E119" t="s">
        <v>14</v>
      </c>
      <c r="F119" t="s">
        <v>356</v>
      </c>
      <c r="H119">
        <v>1021191</v>
      </c>
      <c r="I119" t="s">
        <v>17</v>
      </c>
      <c r="K119" t="s">
        <v>357</v>
      </c>
      <c r="L119">
        <v>130</v>
      </c>
      <c r="M119" t="s">
        <v>358</v>
      </c>
    </row>
    <row r="120" spans="1:13" x14ac:dyDescent="0.35">
      <c r="A120" t="s">
        <v>13</v>
      </c>
      <c r="B120">
        <v>120410</v>
      </c>
      <c r="C120">
        <v>120922</v>
      </c>
      <c r="E120" t="s">
        <v>38</v>
      </c>
      <c r="F120" t="s">
        <v>359</v>
      </c>
      <c r="H120">
        <v>1021197</v>
      </c>
      <c r="I120" t="s">
        <v>17</v>
      </c>
      <c r="K120" t="s">
        <v>360</v>
      </c>
      <c r="L120">
        <v>170</v>
      </c>
      <c r="M120" t="s">
        <v>361</v>
      </c>
    </row>
    <row r="121" spans="1:13" x14ac:dyDescent="0.35">
      <c r="A121" t="s">
        <v>13</v>
      </c>
      <c r="B121">
        <v>120948</v>
      </c>
      <c r="C121">
        <v>122459</v>
      </c>
      <c r="E121" t="s">
        <v>38</v>
      </c>
      <c r="F121" t="s">
        <v>362</v>
      </c>
      <c r="H121">
        <v>1021025</v>
      </c>
      <c r="I121" t="s">
        <v>17</v>
      </c>
      <c r="K121" t="s">
        <v>363</v>
      </c>
      <c r="L121">
        <v>503</v>
      </c>
      <c r="M121" t="s">
        <v>364</v>
      </c>
    </row>
    <row r="122" spans="1:13" x14ac:dyDescent="0.35">
      <c r="A122" t="s">
        <v>13</v>
      </c>
      <c r="B122">
        <v>122504</v>
      </c>
      <c r="C122">
        <v>123841</v>
      </c>
      <c r="E122" t="s">
        <v>38</v>
      </c>
      <c r="F122" t="s">
        <v>365</v>
      </c>
      <c r="H122">
        <v>1021201</v>
      </c>
      <c r="I122" t="s">
        <v>17</v>
      </c>
      <c r="K122" t="s">
        <v>366</v>
      </c>
      <c r="L122">
        <v>445</v>
      </c>
      <c r="M122" t="s">
        <v>367</v>
      </c>
    </row>
    <row r="123" spans="1:13" x14ac:dyDescent="0.35">
      <c r="A123" t="s">
        <v>13</v>
      </c>
      <c r="B123">
        <v>124121</v>
      </c>
      <c r="C123">
        <v>124969</v>
      </c>
      <c r="E123" t="s">
        <v>14</v>
      </c>
      <c r="F123" t="s">
        <v>353</v>
      </c>
      <c r="H123">
        <v>1021198</v>
      </c>
      <c r="I123" t="s">
        <v>17</v>
      </c>
      <c r="K123" t="s">
        <v>368</v>
      </c>
      <c r="L123">
        <v>282</v>
      </c>
      <c r="M123" t="s">
        <v>369</v>
      </c>
    </row>
    <row r="124" spans="1:13" x14ac:dyDescent="0.35">
      <c r="A124" t="s">
        <v>13</v>
      </c>
      <c r="B124">
        <v>124971</v>
      </c>
      <c r="C124">
        <v>126353</v>
      </c>
      <c r="E124" t="s">
        <v>14</v>
      </c>
      <c r="F124" t="s">
        <v>370</v>
      </c>
      <c r="G124" t="s">
        <v>371</v>
      </c>
      <c r="H124">
        <v>1020908</v>
      </c>
      <c r="I124" t="s">
        <v>17</v>
      </c>
      <c r="K124" t="s">
        <v>372</v>
      </c>
      <c r="L124">
        <v>460</v>
      </c>
      <c r="M124" t="s">
        <v>373</v>
      </c>
    </row>
    <row r="125" spans="1:13" x14ac:dyDescent="0.35">
      <c r="A125" t="s">
        <v>13</v>
      </c>
      <c r="B125">
        <v>126350</v>
      </c>
      <c r="C125">
        <v>127189</v>
      </c>
      <c r="E125" t="s">
        <v>38</v>
      </c>
      <c r="F125" t="s">
        <v>374</v>
      </c>
      <c r="G125" t="s">
        <v>375</v>
      </c>
      <c r="H125">
        <v>1021074</v>
      </c>
      <c r="I125" t="s">
        <v>17</v>
      </c>
      <c r="K125" t="s">
        <v>376</v>
      </c>
      <c r="L125">
        <v>279</v>
      </c>
      <c r="M125" t="s">
        <v>377</v>
      </c>
    </row>
    <row r="126" spans="1:13" x14ac:dyDescent="0.35">
      <c r="A126" t="s">
        <v>13</v>
      </c>
      <c r="B126">
        <v>127189</v>
      </c>
      <c r="C126">
        <v>127998</v>
      </c>
      <c r="E126" t="s">
        <v>38</v>
      </c>
      <c r="F126" t="s">
        <v>378</v>
      </c>
      <c r="G126" t="s">
        <v>379</v>
      </c>
      <c r="H126">
        <v>1021087</v>
      </c>
      <c r="I126" t="s">
        <v>17</v>
      </c>
      <c r="K126" t="s">
        <v>380</v>
      </c>
      <c r="L126">
        <v>269</v>
      </c>
      <c r="M126" t="s">
        <v>381</v>
      </c>
    </row>
    <row r="127" spans="1:13" x14ac:dyDescent="0.35">
      <c r="A127" t="s">
        <v>13</v>
      </c>
      <c r="B127">
        <v>128096</v>
      </c>
      <c r="C127">
        <v>129049</v>
      </c>
      <c r="E127" t="s">
        <v>38</v>
      </c>
      <c r="F127" t="s">
        <v>382</v>
      </c>
      <c r="H127">
        <v>44144920</v>
      </c>
      <c r="I127" t="s">
        <v>17</v>
      </c>
      <c r="K127" t="s">
        <v>383</v>
      </c>
      <c r="L127">
        <v>317</v>
      </c>
      <c r="M127" t="s">
        <v>384</v>
      </c>
    </row>
    <row r="128" spans="1:13" x14ac:dyDescent="0.35">
      <c r="A128" t="s">
        <v>13</v>
      </c>
      <c r="B128">
        <v>129486</v>
      </c>
      <c r="C128">
        <v>130055</v>
      </c>
      <c r="E128" t="s">
        <v>38</v>
      </c>
      <c r="F128" t="s">
        <v>385</v>
      </c>
      <c r="H128">
        <v>1021056</v>
      </c>
      <c r="I128" t="s">
        <v>17</v>
      </c>
      <c r="K128" t="s">
        <v>386</v>
      </c>
      <c r="L128">
        <v>189</v>
      </c>
      <c r="M128" t="s">
        <v>387</v>
      </c>
    </row>
    <row r="129" spans="1:13" x14ac:dyDescent="0.35">
      <c r="A129" t="s">
        <v>13</v>
      </c>
      <c r="B129">
        <v>130145</v>
      </c>
      <c r="C129">
        <v>130801</v>
      </c>
      <c r="E129" t="s">
        <v>14</v>
      </c>
      <c r="F129" t="s">
        <v>388</v>
      </c>
      <c r="H129">
        <v>1021046</v>
      </c>
      <c r="I129" t="s">
        <v>17</v>
      </c>
      <c r="K129" t="s">
        <v>389</v>
      </c>
      <c r="L129">
        <v>218</v>
      </c>
      <c r="M129" t="s">
        <v>390</v>
      </c>
    </row>
    <row r="130" spans="1:13" x14ac:dyDescent="0.35">
      <c r="A130" t="s">
        <v>13</v>
      </c>
      <c r="B130">
        <v>130812</v>
      </c>
      <c r="C130">
        <v>131711</v>
      </c>
      <c r="E130" t="s">
        <v>38</v>
      </c>
      <c r="F130" t="s">
        <v>391</v>
      </c>
      <c r="H130">
        <v>1021050</v>
      </c>
      <c r="I130" t="s">
        <v>17</v>
      </c>
      <c r="K130" t="s">
        <v>392</v>
      </c>
      <c r="L130">
        <v>299</v>
      </c>
      <c r="M130" t="s">
        <v>393</v>
      </c>
    </row>
    <row r="131" spans="1:13" x14ac:dyDescent="0.35">
      <c r="A131" t="s">
        <v>13</v>
      </c>
      <c r="B131">
        <v>131822</v>
      </c>
      <c r="C131">
        <v>132427</v>
      </c>
      <c r="E131" t="s">
        <v>14</v>
      </c>
      <c r="F131" t="s">
        <v>394</v>
      </c>
      <c r="H131">
        <v>1021067</v>
      </c>
      <c r="I131" t="s">
        <v>17</v>
      </c>
      <c r="K131" t="s">
        <v>395</v>
      </c>
      <c r="L131">
        <v>201</v>
      </c>
      <c r="M131" t="s">
        <v>396</v>
      </c>
    </row>
    <row r="132" spans="1:13" x14ac:dyDescent="0.35">
      <c r="A132" t="s">
        <v>13</v>
      </c>
      <c r="B132">
        <v>132424</v>
      </c>
      <c r="C132">
        <v>132984</v>
      </c>
      <c r="E132" t="s">
        <v>14</v>
      </c>
      <c r="F132" t="s">
        <v>397</v>
      </c>
      <c r="H132">
        <v>1021192</v>
      </c>
      <c r="I132" t="s">
        <v>17</v>
      </c>
      <c r="K132" t="s">
        <v>398</v>
      </c>
      <c r="L132">
        <v>186</v>
      </c>
      <c r="M132" t="s">
        <v>399</v>
      </c>
    </row>
    <row r="133" spans="1:13" x14ac:dyDescent="0.35">
      <c r="A133" t="s">
        <v>13</v>
      </c>
      <c r="B133">
        <v>132968</v>
      </c>
      <c r="C133">
        <v>134113</v>
      </c>
      <c r="E133" t="s">
        <v>38</v>
      </c>
      <c r="F133" t="s">
        <v>400</v>
      </c>
      <c r="H133">
        <v>1021152</v>
      </c>
      <c r="I133" t="s">
        <v>17</v>
      </c>
      <c r="K133" t="s">
        <v>401</v>
      </c>
      <c r="L133">
        <v>381</v>
      </c>
      <c r="M133" t="s">
        <v>402</v>
      </c>
    </row>
    <row r="134" spans="1:13" x14ac:dyDescent="0.35">
      <c r="A134" t="s">
        <v>13</v>
      </c>
      <c r="B134">
        <v>134204</v>
      </c>
      <c r="C134">
        <v>135478</v>
      </c>
      <c r="E134" t="s">
        <v>38</v>
      </c>
      <c r="F134" t="s">
        <v>265</v>
      </c>
      <c r="H134">
        <v>1021053</v>
      </c>
      <c r="I134" t="s">
        <v>17</v>
      </c>
      <c r="K134" t="s">
        <v>403</v>
      </c>
      <c r="L134">
        <v>424</v>
      </c>
      <c r="M134" t="s">
        <v>404</v>
      </c>
    </row>
    <row r="135" spans="1:13" x14ac:dyDescent="0.35">
      <c r="A135" t="s">
        <v>13</v>
      </c>
      <c r="B135">
        <v>135515</v>
      </c>
      <c r="C135">
        <v>136201</v>
      </c>
      <c r="E135" t="s">
        <v>38</v>
      </c>
      <c r="F135" t="s">
        <v>49</v>
      </c>
      <c r="H135">
        <v>1021052</v>
      </c>
      <c r="I135" t="s">
        <v>17</v>
      </c>
      <c r="K135" t="s">
        <v>405</v>
      </c>
      <c r="L135">
        <v>228</v>
      </c>
      <c r="M135" t="s">
        <v>406</v>
      </c>
    </row>
    <row r="136" spans="1:13" x14ac:dyDescent="0.35">
      <c r="A136" t="s">
        <v>13</v>
      </c>
      <c r="B136">
        <v>136119</v>
      </c>
      <c r="C136">
        <v>136541</v>
      </c>
      <c r="E136" t="s">
        <v>38</v>
      </c>
      <c r="F136" t="s">
        <v>49</v>
      </c>
      <c r="H136">
        <v>1021062</v>
      </c>
      <c r="I136" t="s">
        <v>17</v>
      </c>
      <c r="K136" t="s">
        <v>407</v>
      </c>
      <c r="L136">
        <v>140</v>
      </c>
      <c r="M136" t="s">
        <v>408</v>
      </c>
    </row>
    <row r="137" spans="1:13" x14ac:dyDescent="0.35">
      <c r="A137" t="s">
        <v>13</v>
      </c>
      <c r="B137">
        <v>136804</v>
      </c>
      <c r="C137">
        <v>138747</v>
      </c>
      <c r="E137" t="s">
        <v>14</v>
      </c>
      <c r="F137" t="s">
        <v>409</v>
      </c>
      <c r="H137">
        <v>1021151</v>
      </c>
      <c r="I137" t="s">
        <v>17</v>
      </c>
      <c r="K137" t="s">
        <v>410</v>
      </c>
      <c r="L137">
        <v>647</v>
      </c>
      <c r="M137" t="s">
        <v>411</v>
      </c>
    </row>
    <row r="138" spans="1:13" x14ac:dyDescent="0.35">
      <c r="A138" t="s">
        <v>13</v>
      </c>
      <c r="B138">
        <v>138791</v>
      </c>
      <c r="C138">
        <v>140332</v>
      </c>
      <c r="E138" t="s">
        <v>14</v>
      </c>
      <c r="F138" t="s">
        <v>49</v>
      </c>
      <c r="H138">
        <v>1021147</v>
      </c>
      <c r="I138" t="s">
        <v>17</v>
      </c>
      <c r="K138" t="s">
        <v>412</v>
      </c>
      <c r="L138">
        <v>513</v>
      </c>
      <c r="M138" t="s">
        <v>413</v>
      </c>
    </row>
    <row r="139" spans="1:13" x14ac:dyDescent="0.35">
      <c r="A139" t="s">
        <v>13</v>
      </c>
      <c r="B139">
        <v>140329</v>
      </c>
      <c r="C139">
        <v>141792</v>
      </c>
      <c r="E139" t="s">
        <v>14</v>
      </c>
      <c r="F139" t="s">
        <v>414</v>
      </c>
      <c r="H139">
        <v>1021121</v>
      </c>
      <c r="I139" t="s">
        <v>17</v>
      </c>
      <c r="K139" t="s">
        <v>415</v>
      </c>
      <c r="L139">
        <v>487</v>
      </c>
      <c r="M139" t="s">
        <v>416</v>
      </c>
    </row>
    <row r="140" spans="1:13" x14ac:dyDescent="0.35">
      <c r="A140" t="s">
        <v>13</v>
      </c>
      <c r="B140">
        <v>141796</v>
      </c>
      <c r="C140">
        <v>143529</v>
      </c>
      <c r="E140" t="s">
        <v>14</v>
      </c>
      <c r="F140" t="s">
        <v>417</v>
      </c>
      <c r="H140">
        <v>1021229</v>
      </c>
      <c r="I140" t="s">
        <v>17</v>
      </c>
      <c r="K140" t="s">
        <v>418</v>
      </c>
      <c r="L140">
        <v>577</v>
      </c>
      <c r="M140" t="s">
        <v>419</v>
      </c>
    </row>
    <row r="141" spans="1:13" x14ac:dyDescent="0.35">
      <c r="A141" t="s">
        <v>13</v>
      </c>
      <c r="B141">
        <v>143575</v>
      </c>
      <c r="C141">
        <v>144642</v>
      </c>
      <c r="E141" t="s">
        <v>14</v>
      </c>
      <c r="F141" t="s">
        <v>420</v>
      </c>
      <c r="H141">
        <v>1021148</v>
      </c>
      <c r="I141" t="s">
        <v>17</v>
      </c>
      <c r="K141" t="s">
        <v>421</v>
      </c>
      <c r="L141">
        <v>355</v>
      </c>
      <c r="M141" t="s">
        <v>422</v>
      </c>
    </row>
    <row r="142" spans="1:13" x14ac:dyDescent="0.35">
      <c r="A142" t="s">
        <v>13</v>
      </c>
      <c r="B142">
        <v>144725</v>
      </c>
      <c r="C142">
        <v>145483</v>
      </c>
      <c r="E142" t="s">
        <v>14</v>
      </c>
      <c r="F142" t="s">
        <v>194</v>
      </c>
      <c r="H142">
        <v>1021054</v>
      </c>
      <c r="I142" t="s">
        <v>17</v>
      </c>
      <c r="K142" t="s">
        <v>423</v>
      </c>
      <c r="L142">
        <v>252</v>
      </c>
      <c r="M142" t="s">
        <v>424</v>
      </c>
    </row>
    <row r="143" spans="1:13" x14ac:dyDescent="0.35">
      <c r="A143" t="s">
        <v>13</v>
      </c>
      <c r="B143">
        <v>145515</v>
      </c>
      <c r="C143">
        <v>146396</v>
      </c>
      <c r="E143" t="s">
        <v>38</v>
      </c>
      <c r="F143" t="s">
        <v>425</v>
      </c>
      <c r="H143">
        <v>1021146</v>
      </c>
      <c r="I143" t="s">
        <v>17</v>
      </c>
      <c r="K143" t="s">
        <v>426</v>
      </c>
      <c r="L143">
        <v>293</v>
      </c>
      <c r="M143" t="s">
        <v>427</v>
      </c>
    </row>
    <row r="144" spans="1:13" x14ac:dyDescent="0.35">
      <c r="A144" t="s">
        <v>13</v>
      </c>
      <c r="B144">
        <v>146522</v>
      </c>
      <c r="C144">
        <v>147241</v>
      </c>
      <c r="E144" t="s">
        <v>14</v>
      </c>
      <c r="F144" t="s">
        <v>428</v>
      </c>
      <c r="H144">
        <v>1021206</v>
      </c>
      <c r="I144" t="s">
        <v>17</v>
      </c>
      <c r="K144" t="s">
        <v>429</v>
      </c>
      <c r="L144">
        <v>239</v>
      </c>
      <c r="M144" t="s">
        <v>430</v>
      </c>
    </row>
    <row r="145" spans="1:13" x14ac:dyDescent="0.35">
      <c r="A145" t="s">
        <v>13</v>
      </c>
      <c r="B145">
        <v>147238</v>
      </c>
      <c r="C145">
        <v>147573</v>
      </c>
      <c r="E145" t="s">
        <v>14</v>
      </c>
      <c r="F145" t="s">
        <v>431</v>
      </c>
      <c r="H145">
        <v>1021106</v>
      </c>
      <c r="I145" t="s">
        <v>17</v>
      </c>
      <c r="K145" t="s">
        <v>432</v>
      </c>
      <c r="L145">
        <v>111</v>
      </c>
      <c r="M145" t="s">
        <v>433</v>
      </c>
    </row>
    <row r="146" spans="1:13" x14ac:dyDescent="0.35">
      <c r="A146" t="s">
        <v>13</v>
      </c>
      <c r="B146">
        <v>147570</v>
      </c>
      <c r="C146">
        <v>147980</v>
      </c>
      <c r="E146" t="s">
        <v>38</v>
      </c>
      <c r="F146" t="s">
        <v>434</v>
      </c>
      <c r="G146" t="s">
        <v>435</v>
      </c>
      <c r="H146">
        <v>1021120</v>
      </c>
      <c r="I146" t="s">
        <v>17</v>
      </c>
      <c r="K146" t="s">
        <v>436</v>
      </c>
      <c r="L146">
        <v>136</v>
      </c>
      <c r="M146" t="s">
        <v>437</v>
      </c>
    </row>
    <row r="147" spans="1:13" x14ac:dyDescent="0.35">
      <c r="A147" t="s">
        <v>13</v>
      </c>
      <c r="B147">
        <v>148122</v>
      </c>
      <c r="C147">
        <v>149783</v>
      </c>
      <c r="E147" t="s">
        <v>14</v>
      </c>
      <c r="F147" t="s">
        <v>438</v>
      </c>
      <c r="H147">
        <v>1021079</v>
      </c>
      <c r="I147" t="s">
        <v>17</v>
      </c>
      <c r="K147" t="s">
        <v>439</v>
      </c>
      <c r="L147">
        <v>553</v>
      </c>
      <c r="M147" t="s">
        <v>440</v>
      </c>
    </row>
    <row r="148" spans="1:13" x14ac:dyDescent="0.35">
      <c r="A148" t="s">
        <v>13</v>
      </c>
      <c r="B148">
        <v>149791</v>
      </c>
      <c r="C148">
        <v>150930</v>
      </c>
      <c r="E148" t="s">
        <v>38</v>
      </c>
      <c r="F148" t="s">
        <v>441</v>
      </c>
      <c r="H148">
        <v>1021207</v>
      </c>
      <c r="I148" t="s">
        <v>17</v>
      </c>
      <c r="K148" t="s">
        <v>442</v>
      </c>
      <c r="L148">
        <v>379</v>
      </c>
      <c r="M148" t="s">
        <v>443</v>
      </c>
    </row>
    <row r="149" spans="1:13" x14ac:dyDescent="0.35">
      <c r="A149" t="s">
        <v>13</v>
      </c>
      <c r="B149">
        <v>150963</v>
      </c>
      <c r="C149">
        <v>151454</v>
      </c>
      <c r="E149" t="s">
        <v>38</v>
      </c>
      <c r="F149" t="s">
        <v>49</v>
      </c>
      <c r="H149">
        <v>1021135</v>
      </c>
      <c r="I149" t="s">
        <v>17</v>
      </c>
      <c r="K149" t="s">
        <v>444</v>
      </c>
      <c r="L149">
        <v>163</v>
      </c>
      <c r="M149" t="s">
        <v>445</v>
      </c>
    </row>
    <row r="150" spans="1:13" x14ac:dyDescent="0.35">
      <c r="A150" t="s">
        <v>13</v>
      </c>
      <c r="B150">
        <v>151590</v>
      </c>
      <c r="C150">
        <v>152372</v>
      </c>
      <c r="E150" t="s">
        <v>14</v>
      </c>
      <c r="F150" t="s">
        <v>446</v>
      </c>
      <c r="H150">
        <v>1021232</v>
      </c>
      <c r="I150" t="s">
        <v>17</v>
      </c>
      <c r="K150" t="s">
        <v>447</v>
      </c>
      <c r="L150">
        <v>260</v>
      </c>
      <c r="M150" t="s">
        <v>448</v>
      </c>
    </row>
    <row r="151" spans="1:13" x14ac:dyDescent="0.35">
      <c r="A151" t="s">
        <v>13</v>
      </c>
      <c r="B151">
        <v>152440</v>
      </c>
      <c r="C151">
        <v>152817</v>
      </c>
      <c r="E151" t="s">
        <v>14</v>
      </c>
      <c r="F151" t="s">
        <v>49</v>
      </c>
      <c r="H151">
        <v>1021071</v>
      </c>
      <c r="I151" t="s">
        <v>17</v>
      </c>
      <c r="K151" t="s">
        <v>449</v>
      </c>
      <c r="L151">
        <v>125</v>
      </c>
      <c r="M151" t="s">
        <v>450</v>
      </c>
    </row>
    <row r="152" spans="1:13" x14ac:dyDescent="0.35">
      <c r="A152" t="s">
        <v>13</v>
      </c>
      <c r="B152">
        <v>153223</v>
      </c>
      <c r="C152">
        <v>155613</v>
      </c>
      <c r="E152" t="s">
        <v>38</v>
      </c>
      <c r="F152" t="s">
        <v>451</v>
      </c>
      <c r="H152">
        <v>1021167</v>
      </c>
      <c r="I152" t="s">
        <v>17</v>
      </c>
      <c r="K152" t="s">
        <v>452</v>
      </c>
      <c r="L152">
        <v>796</v>
      </c>
      <c r="M152" t="s">
        <v>453</v>
      </c>
    </row>
    <row r="153" spans="1:13" x14ac:dyDescent="0.35">
      <c r="A153" t="s">
        <v>13</v>
      </c>
      <c r="B153">
        <v>156144</v>
      </c>
      <c r="C153">
        <v>156821</v>
      </c>
      <c r="E153" t="s">
        <v>38</v>
      </c>
      <c r="F153" t="s">
        <v>454</v>
      </c>
      <c r="H153">
        <v>1021163</v>
      </c>
      <c r="I153" t="s">
        <v>17</v>
      </c>
      <c r="K153" t="s">
        <v>455</v>
      </c>
      <c r="L153">
        <v>225</v>
      </c>
      <c r="M153" t="s">
        <v>456</v>
      </c>
    </row>
    <row r="154" spans="1:13" x14ac:dyDescent="0.35">
      <c r="A154" t="s">
        <v>13</v>
      </c>
      <c r="B154">
        <v>156848</v>
      </c>
      <c r="C154">
        <v>157540</v>
      </c>
      <c r="E154" t="s">
        <v>14</v>
      </c>
      <c r="F154" t="s">
        <v>457</v>
      </c>
      <c r="H154">
        <v>1021129</v>
      </c>
      <c r="I154" t="s">
        <v>17</v>
      </c>
      <c r="K154" t="s">
        <v>458</v>
      </c>
      <c r="L154">
        <v>230</v>
      </c>
      <c r="M154" t="s">
        <v>459</v>
      </c>
    </row>
    <row r="155" spans="1:13" x14ac:dyDescent="0.35">
      <c r="A155" t="s">
        <v>13</v>
      </c>
      <c r="B155">
        <v>157614</v>
      </c>
      <c r="C155">
        <v>158141</v>
      </c>
      <c r="E155" t="s">
        <v>14</v>
      </c>
      <c r="F155" t="s">
        <v>460</v>
      </c>
      <c r="H155">
        <v>1021137</v>
      </c>
      <c r="I155" t="s">
        <v>17</v>
      </c>
      <c r="K155" t="s">
        <v>461</v>
      </c>
      <c r="L155">
        <v>175</v>
      </c>
      <c r="M155" t="s">
        <v>462</v>
      </c>
    </row>
    <row r="156" spans="1:13" x14ac:dyDescent="0.35">
      <c r="A156" t="s">
        <v>13</v>
      </c>
      <c r="B156">
        <v>158154</v>
      </c>
      <c r="C156">
        <v>158834</v>
      </c>
      <c r="E156" t="s">
        <v>14</v>
      </c>
      <c r="F156" t="s">
        <v>463</v>
      </c>
      <c r="H156">
        <v>1021139</v>
      </c>
      <c r="I156" t="s">
        <v>17</v>
      </c>
      <c r="K156" t="s">
        <v>464</v>
      </c>
      <c r="L156">
        <v>226</v>
      </c>
      <c r="M156" t="s">
        <v>465</v>
      </c>
    </row>
    <row r="157" spans="1:13" x14ac:dyDescent="0.35">
      <c r="A157" t="s">
        <v>13</v>
      </c>
      <c r="B157">
        <v>158869</v>
      </c>
      <c r="C157">
        <v>159162</v>
      </c>
      <c r="E157" t="s">
        <v>14</v>
      </c>
      <c r="F157" t="s">
        <v>466</v>
      </c>
      <c r="H157">
        <v>1021105</v>
      </c>
      <c r="I157" t="s">
        <v>17</v>
      </c>
      <c r="K157" t="s">
        <v>467</v>
      </c>
      <c r="L157">
        <v>97</v>
      </c>
      <c r="M157" t="s">
        <v>468</v>
      </c>
    </row>
    <row r="158" spans="1:13" x14ac:dyDescent="0.35">
      <c r="A158" t="s">
        <v>13</v>
      </c>
      <c r="B158">
        <v>159162</v>
      </c>
      <c r="C158">
        <v>160016</v>
      </c>
      <c r="E158" t="s">
        <v>14</v>
      </c>
      <c r="F158" t="s">
        <v>356</v>
      </c>
      <c r="H158">
        <v>1021109</v>
      </c>
      <c r="I158" t="s">
        <v>17</v>
      </c>
      <c r="K158" t="s">
        <v>469</v>
      </c>
      <c r="L158">
        <v>284</v>
      </c>
      <c r="M158" t="s">
        <v>470</v>
      </c>
    </row>
    <row r="159" spans="1:13" x14ac:dyDescent="0.35">
      <c r="A159" t="s">
        <v>13</v>
      </c>
      <c r="B159">
        <v>160029</v>
      </c>
      <c r="C159">
        <v>160373</v>
      </c>
      <c r="E159" t="s">
        <v>14</v>
      </c>
      <c r="F159" t="s">
        <v>471</v>
      </c>
      <c r="H159">
        <v>1021128</v>
      </c>
      <c r="I159" t="s">
        <v>17</v>
      </c>
      <c r="K159" t="s">
        <v>472</v>
      </c>
      <c r="L159">
        <v>114</v>
      </c>
      <c r="M159" t="s">
        <v>473</v>
      </c>
    </row>
    <row r="160" spans="1:13" x14ac:dyDescent="0.35">
      <c r="A160" t="s">
        <v>13</v>
      </c>
      <c r="B160">
        <v>160470</v>
      </c>
      <c r="C160">
        <v>161363</v>
      </c>
      <c r="E160" t="s">
        <v>14</v>
      </c>
      <c r="F160" t="s">
        <v>49</v>
      </c>
      <c r="H160">
        <v>1021097</v>
      </c>
      <c r="I160" t="s">
        <v>17</v>
      </c>
      <c r="K160" t="s">
        <v>474</v>
      </c>
      <c r="L160">
        <v>297</v>
      </c>
      <c r="M160" t="s">
        <v>475</v>
      </c>
    </row>
    <row r="161" spans="1:13" x14ac:dyDescent="0.35">
      <c r="A161" t="s">
        <v>13</v>
      </c>
      <c r="B161">
        <v>161360</v>
      </c>
      <c r="C161">
        <v>162268</v>
      </c>
      <c r="E161" t="s">
        <v>38</v>
      </c>
      <c r="F161" t="s">
        <v>391</v>
      </c>
      <c r="H161">
        <v>1020640</v>
      </c>
      <c r="I161" t="s">
        <v>17</v>
      </c>
      <c r="K161" t="s">
        <v>476</v>
      </c>
      <c r="L161">
        <v>302</v>
      </c>
      <c r="M161" t="s">
        <v>477</v>
      </c>
    </row>
    <row r="162" spans="1:13" x14ac:dyDescent="0.35">
      <c r="A162" t="s">
        <v>13</v>
      </c>
      <c r="B162">
        <v>162439</v>
      </c>
      <c r="C162">
        <v>162870</v>
      </c>
      <c r="E162" t="s">
        <v>14</v>
      </c>
      <c r="F162" t="s">
        <v>478</v>
      </c>
      <c r="H162">
        <v>1021098</v>
      </c>
      <c r="I162" t="s">
        <v>17</v>
      </c>
      <c r="K162" t="s">
        <v>479</v>
      </c>
      <c r="L162">
        <v>143</v>
      </c>
      <c r="M162" t="s">
        <v>480</v>
      </c>
    </row>
    <row r="163" spans="1:13" x14ac:dyDescent="0.35">
      <c r="A163" t="s">
        <v>13</v>
      </c>
      <c r="B163">
        <v>162983</v>
      </c>
      <c r="C163">
        <v>163606</v>
      </c>
      <c r="E163" t="s">
        <v>14</v>
      </c>
      <c r="F163" t="s">
        <v>481</v>
      </c>
      <c r="H163">
        <v>1021164</v>
      </c>
      <c r="I163" t="s">
        <v>17</v>
      </c>
      <c r="K163" t="s">
        <v>482</v>
      </c>
      <c r="L163">
        <v>207</v>
      </c>
      <c r="M163" t="s">
        <v>483</v>
      </c>
    </row>
    <row r="164" spans="1:13" x14ac:dyDescent="0.35">
      <c r="A164" t="s">
        <v>13</v>
      </c>
      <c r="B164">
        <v>163686</v>
      </c>
      <c r="C164">
        <v>165614</v>
      </c>
      <c r="E164" t="s">
        <v>38</v>
      </c>
      <c r="F164" t="s">
        <v>484</v>
      </c>
      <c r="H164">
        <v>1021233</v>
      </c>
      <c r="I164" t="s">
        <v>17</v>
      </c>
      <c r="K164" t="s">
        <v>485</v>
      </c>
      <c r="L164">
        <v>642</v>
      </c>
      <c r="M164" t="s">
        <v>486</v>
      </c>
    </row>
    <row r="165" spans="1:13" x14ac:dyDescent="0.35">
      <c r="A165" t="s">
        <v>13</v>
      </c>
      <c r="B165">
        <v>165717</v>
      </c>
      <c r="C165">
        <v>166460</v>
      </c>
      <c r="E165" t="s">
        <v>14</v>
      </c>
      <c r="F165" t="s">
        <v>49</v>
      </c>
      <c r="H165">
        <v>1021045</v>
      </c>
      <c r="I165" t="s">
        <v>17</v>
      </c>
      <c r="K165" t="s">
        <v>487</v>
      </c>
      <c r="L165">
        <v>247</v>
      </c>
      <c r="M165" t="s">
        <v>488</v>
      </c>
    </row>
    <row r="166" spans="1:13" x14ac:dyDescent="0.35">
      <c r="A166" t="s">
        <v>13</v>
      </c>
      <c r="B166">
        <v>166457</v>
      </c>
      <c r="C166">
        <v>167422</v>
      </c>
      <c r="E166" t="s">
        <v>14</v>
      </c>
      <c r="F166" t="s">
        <v>489</v>
      </c>
      <c r="H166">
        <v>1021177</v>
      </c>
      <c r="I166" t="s">
        <v>17</v>
      </c>
      <c r="K166" t="s">
        <v>490</v>
      </c>
      <c r="L166">
        <v>321</v>
      </c>
      <c r="M166" t="s">
        <v>491</v>
      </c>
    </row>
    <row r="167" spans="1:13" x14ac:dyDescent="0.35">
      <c r="A167" t="s">
        <v>13</v>
      </c>
      <c r="B167">
        <v>167834</v>
      </c>
      <c r="C167">
        <v>168595</v>
      </c>
      <c r="E167" t="s">
        <v>38</v>
      </c>
      <c r="F167" t="s">
        <v>492</v>
      </c>
      <c r="G167" t="s">
        <v>493</v>
      </c>
      <c r="H167">
        <v>1020455</v>
      </c>
      <c r="I167" t="s">
        <v>17</v>
      </c>
      <c r="K167" t="s">
        <v>494</v>
      </c>
      <c r="L167">
        <v>253</v>
      </c>
      <c r="M167" t="s">
        <v>495</v>
      </c>
    </row>
    <row r="168" spans="1:13" x14ac:dyDescent="0.35">
      <c r="A168" t="s">
        <v>13</v>
      </c>
      <c r="B168">
        <v>169038</v>
      </c>
      <c r="C168">
        <v>169994</v>
      </c>
      <c r="E168" t="s">
        <v>14</v>
      </c>
      <c r="F168" t="s">
        <v>496</v>
      </c>
      <c r="G168" t="s">
        <v>497</v>
      </c>
      <c r="H168">
        <v>1021085</v>
      </c>
      <c r="I168" t="s">
        <v>17</v>
      </c>
      <c r="K168" t="s">
        <v>498</v>
      </c>
      <c r="L168">
        <v>318</v>
      </c>
      <c r="M168" t="s">
        <v>499</v>
      </c>
    </row>
    <row r="169" spans="1:13" x14ac:dyDescent="0.35">
      <c r="A169" t="s">
        <v>13</v>
      </c>
      <c r="B169">
        <v>170044</v>
      </c>
      <c r="C169">
        <v>170919</v>
      </c>
      <c r="E169" t="s">
        <v>14</v>
      </c>
      <c r="F169" t="s">
        <v>500</v>
      </c>
      <c r="H169">
        <v>1020995</v>
      </c>
      <c r="I169" t="s">
        <v>17</v>
      </c>
      <c r="K169" t="s">
        <v>501</v>
      </c>
      <c r="L169">
        <v>291</v>
      </c>
      <c r="M169" t="s">
        <v>502</v>
      </c>
    </row>
    <row r="170" spans="1:13" x14ac:dyDescent="0.35">
      <c r="A170" t="s">
        <v>13</v>
      </c>
      <c r="B170">
        <v>170933</v>
      </c>
      <c r="C170">
        <v>172447</v>
      </c>
      <c r="E170" t="s">
        <v>14</v>
      </c>
      <c r="F170" t="s">
        <v>503</v>
      </c>
      <c r="H170">
        <v>1021227</v>
      </c>
      <c r="I170" t="s">
        <v>17</v>
      </c>
      <c r="K170" t="s">
        <v>504</v>
      </c>
      <c r="L170">
        <v>504</v>
      </c>
      <c r="M170" t="s">
        <v>505</v>
      </c>
    </row>
    <row r="171" spans="1:13" x14ac:dyDescent="0.35">
      <c r="A171" t="s">
        <v>13</v>
      </c>
      <c r="B171">
        <v>172468</v>
      </c>
      <c r="C171">
        <v>173358</v>
      </c>
      <c r="E171" t="s">
        <v>14</v>
      </c>
      <c r="F171" t="s">
        <v>506</v>
      </c>
      <c r="G171" t="s">
        <v>507</v>
      </c>
      <c r="H171">
        <v>1021064</v>
      </c>
      <c r="I171" t="s">
        <v>17</v>
      </c>
      <c r="K171" t="s">
        <v>508</v>
      </c>
      <c r="L171">
        <v>296</v>
      </c>
      <c r="M171" t="s">
        <v>509</v>
      </c>
    </row>
    <row r="172" spans="1:13" x14ac:dyDescent="0.35">
      <c r="A172" t="s">
        <v>13</v>
      </c>
      <c r="B172">
        <v>173365</v>
      </c>
      <c r="C172">
        <v>175278</v>
      </c>
      <c r="E172" t="s">
        <v>14</v>
      </c>
      <c r="F172" t="s">
        <v>510</v>
      </c>
      <c r="G172" t="s">
        <v>511</v>
      </c>
      <c r="H172">
        <v>1021162</v>
      </c>
      <c r="I172" t="s">
        <v>17</v>
      </c>
      <c r="K172" t="s">
        <v>512</v>
      </c>
      <c r="L172">
        <v>637</v>
      </c>
      <c r="M172" t="s">
        <v>513</v>
      </c>
    </row>
    <row r="173" spans="1:13" x14ac:dyDescent="0.35">
      <c r="A173" t="s">
        <v>13</v>
      </c>
      <c r="B173">
        <v>175319</v>
      </c>
      <c r="C173">
        <v>176275</v>
      </c>
      <c r="E173" t="s">
        <v>14</v>
      </c>
      <c r="F173" t="s">
        <v>514</v>
      </c>
      <c r="H173">
        <v>1020977</v>
      </c>
      <c r="I173" t="s">
        <v>17</v>
      </c>
      <c r="K173" t="s">
        <v>515</v>
      </c>
      <c r="L173">
        <v>318</v>
      </c>
      <c r="M173" t="s">
        <v>516</v>
      </c>
    </row>
    <row r="174" spans="1:13" x14ac:dyDescent="0.35">
      <c r="A174" t="s">
        <v>13</v>
      </c>
      <c r="B174">
        <v>176308</v>
      </c>
      <c r="C174">
        <v>177321</v>
      </c>
      <c r="E174" t="s">
        <v>14</v>
      </c>
      <c r="F174" t="s">
        <v>517</v>
      </c>
      <c r="H174">
        <v>1021235</v>
      </c>
      <c r="I174" t="s">
        <v>17</v>
      </c>
      <c r="K174" t="s">
        <v>518</v>
      </c>
      <c r="L174">
        <v>337</v>
      </c>
      <c r="M174" t="s">
        <v>519</v>
      </c>
    </row>
    <row r="175" spans="1:13" x14ac:dyDescent="0.35">
      <c r="A175" t="s">
        <v>13</v>
      </c>
      <c r="B175">
        <v>177334</v>
      </c>
      <c r="C175">
        <v>178206</v>
      </c>
      <c r="E175" t="s">
        <v>14</v>
      </c>
      <c r="F175" t="s">
        <v>514</v>
      </c>
      <c r="H175">
        <v>1021230</v>
      </c>
      <c r="I175" t="s">
        <v>17</v>
      </c>
      <c r="K175" t="s">
        <v>520</v>
      </c>
      <c r="L175">
        <v>290</v>
      </c>
      <c r="M175" t="s">
        <v>521</v>
      </c>
    </row>
    <row r="176" spans="1:13" x14ac:dyDescent="0.35">
      <c r="A176" t="s">
        <v>13</v>
      </c>
      <c r="B176">
        <v>178300</v>
      </c>
      <c r="C176">
        <v>179661</v>
      </c>
      <c r="E176" t="s">
        <v>14</v>
      </c>
      <c r="F176" t="s">
        <v>265</v>
      </c>
      <c r="H176">
        <v>1021063</v>
      </c>
      <c r="I176" t="s">
        <v>17</v>
      </c>
      <c r="K176" t="s">
        <v>522</v>
      </c>
      <c r="L176">
        <v>453</v>
      </c>
      <c r="M176" t="s">
        <v>523</v>
      </c>
    </row>
    <row r="177" spans="1:13" x14ac:dyDescent="0.35">
      <c r="A177" t="s">
        <v>13</v>
      </c>
      <c r="B177">
        <v>179689</v>
      </c>
      <c r="C177">
        <v>180714</v>
      </c>
      <c r="E177" t="s">
        <v>14</v>
      </c>
      <c r="F177" t="s">
        <v>524</v>
      </c>
      <c r="H177">
        <v>1021239</v>
      </c>
      <c r="I177" t="s">
        <v>17</v>
      </c>
      <c r="K177" t="s">
        <v>525</v>
      </c>
      <c r="L177">
        <v>341</v>
      </c>
      <c r="M177" t="s">
        <v>526</v>
      </c>
    </row>
    <row r="178" spans="1:13" x14ac:dyDescent="0.35">
      <c r="A178" t="s">
        <v>13</v>
      </c>
      <c r="B178">
        <v>180842</v>
      </c>
      <c r="C178">
        <v>181300</v>
      </c>
      <c r="E178" t="s">
        <v>14</v>
      </c>
      <c r="F178" t="s">
        <v>527</v>
      </c>
      <c r="H178">
        <v>1021237</v>
      </c>
      <c r="I178" t="s">
        <v>17</v>
      </c>
      <c r="K178" t="s">
        <v>528</v>
      </c>
      <c r="L178">
        <v>152</v>
      </c>
      <c r="M178" t="s">
        <v>529</v>
      </c>
    </row>
    <row r="179" spans="1:13" x14ac:dyDescent="0.35">
      <c r="A179" t="s">
        <v>13</v>
      </c>
      <c r="B179">
        <v>181303</v>
      </c>
      <c r="C179">
        <v>181650</v>
      </c>
      <c r="E179" t="s">
        <v>14</v>
      </c>
      <c r="F179" t="s">
        <v>49</v>
      </c>
      <c r="H179">
        <v>44144921</v>
      </c>
      <c r="I179" t="s">
        <v>17</v>
      </c>
      <c r="K179" t="s">
        <v>530</v>
      </c>
      <c r="L179">
        <v>115</v>
      </c>
      <c r="M179" t="s">
        <v>531</v>
      </c>
    </row>
    <row r="180" spans="1:13" x14ac:dyDescent="0.35">
      <c r="A180" t="s">
        <v>13</v>
      </c>
      <c r="B180">
        <v>181684</v>
      </c>
      <c r="C180">
        <v>182679</v>
      </c>
      <c r="E180" t="s">
        <v>38</v>
      </c>
      <c r="F180" t="s">
        <v>532</v>
      </c>
      <c r="H180">
        <v>1021122</v>
      </c>
      <c r="I180" t="s">
        <v>17</v>
      </c>
      <c r="K180" t="s">
        <v>533</v>
      </c>
      <c r="L180">
        <v>331</v>
      </c>
      <c r="M180" t="s">
        <v>534</v>
      </c>
    </row>
    <row r="181" spans="1:13" x14ac:dyDescent="0.35">
      <c r="A181" t="s">
        <v>13</v>
      </c>
      <c r="B181">
        <v>182819</v>
      </c>
      <c r="C181">
        <v>184054</v>
      </c>
      <c r="E181" t="s">
        <v>14</v>
      </c>
      <c r="F181" t="s">
        <v>517</v>
      </c>
      <c r="H181">
        <v>1020460</v>
      </c>
      <c r="I181" t="s">
        <v>17</v>
      </c>
      <c r="K181" t="s">
        <v>535</v>
      </c>
      <c r="L181">
        <v>411</v>
      </c>
      <c r="M181" t="s">
        <v>536</v>
      </c>
    </row>
    <row r="182" spans="1:13" x14ac:dyDescent="0.35">
      <c r="A182" t="s">
        <v>13</v>
      </c>
      <c r="B182">
        <v>184077</v>
      </c>
      <c r="C182">
        <v>185090</v>
      </c>
      <c r="E182" t="s">
        <v>14</v>
      </c>
      <c r="F182" t="s">
        <v>514</v>
      </c>
      <c r="H182">
        <v>1021216</v>
      </c>
      <c r="I182" t="s">
        <v>17</v>
      </c>
      <c r="K182" t="s">
        <v>537</v>
      </c>
      <c r="L182">
        <v>337</v>
      </c>
      <c r="M182" t="s">
        <v>538</v>
      </c>
    </row>
    <row r="183" spans="1:13" x14ac:dyDescent="0.35">
      <c r="A183" t="s">
        <v>13</v>
      </c>
      <c r="B183">
        <v>185214</v>
      </c>
      <c r="C183">
        <v>185645</v>
      </c>
      <c r="E183" t="s">
        <v>14</v>
      </c>
      <c r="F183" t="s">
        <v>49</v>
      </c>
      <c r="H183">
        <v>1021218</v>
      </c>
      <c r="I183" t="s">
        <v>17</v>
      </c>
      <c r="K183" t="s">
        <v>539</v>
      </c>
      <c r="L183">
        <v>143</v>
      </c>
      <c r="M183" t="s">
        <v>540</v>
      </c>
    </row>
    <row r="184" spans="1:13" x14ac:dyDescent="0.35">
      <c r="A184" t="s">
        <v>13</v>
      </c>
      <c r="B184">
        <v>186508</v>
      </c>
      <c r="C184">
        <v>186711</v>
      </c>
      <c r="E184" t="s">
        <v>14</v>
      </c>
      <c r="F184" t="s">
        <v>541</v>
      </c>
      <c r="H184">
        <v>1021209</v>
      </c>
      <c r="I184" t="s">
        <v>17</v>
      </c>
      <c r="K184" t="s">
        <v>542</v>
      </c>
      <c r="L184">
        <v>67</v>
      </c>
      <c r="M184" t="s">
        <v>543</v>
      </c>
    </row>
    <row r="185" spans="1:13" x14ac:dyDescent="0.35">
      <c r="A185" t="s">
        <v>13</v>
      </c>
      <c r="B185">
        <v>187302</v>
      </c>
      <c r="C185">
        <v>187610</v>
      </c>
      <c r="E185" t="s">
        <v>14</v>
      </c>
      <c r="F185" t="s">
        <v>400</v>
      </c>
      <c r="H185">
        <v>1021234</v>
      </c>
      <c r="I185" t="s">
        <v>17</v>
      </c>
      <c r="K185" t="s">
        <v>544</v>
      </c>
      <c r="L185">
        <v>102</v>
      </c>
      <c r="M185" t="s">
        <v>545</v>
      </c>
    </row>
    <row r="186" spans="1:13" x14ac:dyDescent="0.35">
      <c r="A186" t="s">
        <v>13</v>
      </c>
      <c r="B186">
        <v>187687</v>
      </c>
      <c r="C186">
        <v>188103</v>
      </c>
      <c r="E186" t="s">
        <v>14</v>
      </c>
      <c r="F186" t="s">
        <v>546</v>
      </c>
      <c r="H186">
        <v>18194955</v>
      </c>
      <c r="I186" t="s">
        <v>17</v>
      </c>
      <c r="K186" t="s">
        <v>547</v>
      </c>
      <c r="L186">
        <v>138</v>
      </c>
      <c r="M186" t="s">
        <v>548</v>
      </c>
    </row>
    <row r="187" spans="1:13" x14ac:dyDescent="0.35">
      <c r="A187" t="s">
        <v>13</v>
      </c>
      <c r="B187">
        <v>188297</v>
      </c>
      <c r="C187">
        <v>188725</v>
      </c>
      <c r="E187" t="s">
        <v>38</v>
      </c>
      <c r="F187" t="s">
        <v>549</v>
      </c>
      <c r="H187">
        <v>1021243</v>
      </c>
      <c r="I187" t="s">
        <v>17</v>
      </c>
      <c r="K187" t="s">
        <v>550</v>
      </c>
      <c r="L187">
        <v>142</v>
      </c>
      <c r="M187" t="s">
        <v>551</v>
      </c>
    </row>
    <row r="188" spans="1:13" x14ac:dyDescent="0.35">
      <c r="A188" t="s">
        <v>13</v>
      </c>
      <c r="B188">
        <v>188744</v>
      </c>
      <c r="C188">
        <v>189736</v>
      </c>
      <c r="E188" t="s">
        <v>38</v>
      </c>
      <c r="F188" t="s">
        <v>532</v>
      </c>
      <c r="H188">
        <v>1021240</v>
      </c>
      <c r="I188" t="s">
        <v>17</v>
      </c>
      <c r="K188" t="s">
        <v>552</v>
      </c>
      <c r="L188">
        <v>330</v>
      </c>
      <c r="M188" t="s">
        <v>553</v>
      </c>
    </row>
    <row r="189" spans="1:13" x14ac:dyDescent="0.35">
      <c r="A189" t="s">
        <v>13</v>
      </c>
      <c r="B189">
        <v>189920</v>
      </c>
      <c r="C189">
        <v>190324</v>
      </c>
      <c r="E189" t="s">
        <v>14</v>
      </c>
      <c r="F189" t="s">
        <v>49</v>
      </c>
      <c r="H189">
        <v>1021242</v>
      </c>
      <c r="I189" t="s">
        <v>17</v>
      </c>
      <c r="K189" t="s">
        <v>554</v>
      </c>
      <c r="L189">
        <v>134</v>
      </c>
      <c r="M189" t="s">
        <v>555</v>
      </c>
    </row>
    <row r="190" spans="1:13" x14ac:dyDescent="0.35">
      <c r="A190" t="s">
        <v>13</v>
      </c>
      <c r="B190">
        <v>190700</v>
      </c>
      <c r="C190">
        <v>192175</v>
      </c>
      <c r="E190" t="s">
        <v>38</v>
      </c>
      <c r="F190" t="s">
        <v>556</v>
      </c>
      <c r="H190">
        <v>1021246</v>
      </c>
      <c r="I190" t="s">
        <v>17</v>
      </c>
      <c r="K190" t="s">
        <v>557</v>
      </c>
      <c r="L190">
        <v>491</v>
      </c>
      <c r="M190" t="s">
        <v>558</v>
      </c>
    </row>
    <row r="191" spans="1:13" x14ac:dyDescent="0.35">
      <c r="A191" t="s">
        <v>13</v>
      </c>
      <c r="B191">
        <v>193262</v>
      </c>
      <c r="C191">
        <v>194467</v>
      </c>
      <c r="E191" t="s">
        <v>14</v>
      </c>
      <c r="F191" t="s">
        <v>559</v>
      </c>
      <c r="H191">
        <v>1021244</v>
      </c>
      <c r="I191" t="s">
        <v>17</v>
      </c>
      <c r="K191" t="s">
        <v>560</v>
      </c>
      <c r="L191">
        <v>401</v>
      </c>
      <c r="M191" t="s">
        <v>561</v>
      </c>
    </row>
    <row r="192" spans="1:13" x14ac:dyDescent="0.35">
      <c r="A192" t="s">
        <v>13</v>
      </c>
      <c r="B192">
        <v>194601</v>
      </c>
      <c r="C192">
        <v>195038</v>
      </c>
      <c r="E192" t="s">
        <v>38</v>
      </c>
      <c r="F192" t="s">
        <v>562</v>
      </c>
      <c r="H192">
        <v>1021245</v>
      </c>
      <c r="I192" t="s">
        <v>17</v>
      </c>
      <c r="K192" t="s">
        <v>563</v>
      </c>
      <c r="L192">
        <v>145</v>
      </c>
      <c r="M192" t="s">
        <v>564</v>
      </c>
    </row>
    <row r="193" spans="1:13" x14ac:dyDescent="0.35">
      <c r="A193" t="s">
        <v>13</v>
      </c>
      <c r="B193">
        <v>195240</v>
      </c>
      <c r="C193">
        <v>199772</v>
      </c>
      <c r="E193" t="s">
        <v>14</v>
      </c>
      <c r="F193" t="s">
        <v>565</v>
      </c>
      <c r="G193" t="s">
        <v>566</v>
      </c>
      <c r="H193">
        <v>1021250</v>
      </c>
      <c r="I193" t="s">
        <v>17</v>
      </c>
      <c r="K193" t="s">
        <v>567</v>
      </c>
      <c r="L193">
        <v>1510</v>
      </c>
      <c r="M193" t="s">
        <v>568</v>
      </c>
    </row>
    <row r="194" spans="1:13" x14ac:dyDescent="0.35">
      <c r="A194" t="s">
        <v>13</v>
      </c>
      <c r="B194">
        <v>199772</v>
      </c>
      <c r="C194">
        <v>201292</v>
      </c>
      <c r="E194" t="s">
        <v>14</v>
      </c>
      <c r="F194" t="s">
        <v>569</v>
      </c>
      <c r="H194">
        <v>1021247</v>
      </c>
      <c r="I194" t="s">
        <v>17</v>
      </c>
      <c r="K194" t="s">
        <v>570</v>
      </c>
      <c r="L194">
        <v>506</v>
      </c>
      <c r="M194" t="s">
        <v>571</v>
      </c>
    </row>
    <row r="195" spans="1:13" x14ac:dyDescent="0.35">
      <c r="A195" t="s">
        <v>13</v>
      </c>
      <c r="B195">
        <v>201757</v>
      </c>
      <c r="C195">
        <v>203244</v>
      </c>
      <c r="E195" t="s">
        <v>38</v>
      </c>
      <c r="F195" t="s">
        <v>572</v>
      </c>
      <c r="H195">
        <v>1021249</v>
      </c>
      <c r="I195" t="s">
        <v>17</v>
      </c>
      <c r="K195" t="s">
        <v>573</v>
      </c>
      <c r="L195">
        <v>495</v>
      </c>
      <c r="M195" t="s">
        <v>574</v>
      </c>
    </row>
    <row r="196" spans="1:13" x14ac:dyDescent="0.35">
      <c r="A196" t="s">
        <v>13</v>
      </c>
      <c r="B196">
        <v>203538</v>
      </c>
      <c r="C196">
        <v>206978</v>
      </c>
      <c r="E196" t="s">
        <v>38</v>
      </c>
      <c r="F196" t="s">
        <v>575</v>
      </c>
      <c r="H196">
        <v>1021253</v>
      </c>
      <c r="I196" t="s">
        <v>17</v>
      </c>
      <c r="K196" t="s">
        <v>576</v>
      </c>
      <c r="L196">
        <v>1146</v>
      </c>
      <c r="M196" t="s">
        <v>577</v>
      </c>
    </row>
    <row r="197" spans="1:13" x14ac:dyDescent="0.35">
      <c r="A197" t="s">
        <v>13</v>
      </c>
      <c r="B197">
        <v>207004</v>
      </c>
      <c r="C197">
        <v>209037</v>
      </c>
      <c r="E197" t="s">
        <v>38</v>
      </c>
      <c r="F197" t="s">
        <v>578</v>
      </c>
      <c r="H197">
        <v>1021251</v>
      </c>
      <c r="I197" t="s">
        <v>17</v>
      </c>
      <c r="K197" t="s">
        <v>579</v>
      </c>
      <c r="L197">
        <v>677</v>
      </c>
      <c r="M197" t="s">
        <v>580</v>
      </c>
    </row>
    <row r="198" spans="1:13" x14ac:dyDescent="0.35">
      <c r="A198" t="s">
        <v>13</v>
      </c>
      <c r="B198">
        <v>209207</v>
      </c>
      <c r="C198">
        <v>209968</v>
      </c>
      <c r="E198" t="s">
        <v>38</v>
      </c>
      <c r="F198" t="s">
        <v>581</v>
      </c>
      <c r="H198">
        <v>1021252</v>
      </c>
      <c r="I198" t="s">
        <v>17</v>
      </c>
      <c r="K198" t="s">
        <v>582</v>
      </c>
      <c r="L198">
        <v>253</v>
      </c>
      <c r="M198" t="s">
        <v>583</v>
      </c>
    </row>
    <row r="199" spans="1:13" x14ac:dyDescent="0.35">
      <c r="A199" t="s">
        <v>13</v>
      </c>
      <c r="B199">
        <v>209989</v>
      </c>
      <c r="C199">
        <v>211455</v>
      </c>
      <c r="E199" t="s">
        <v>38</v>
      </c>
      <c r="F199" t="s">
        <v>584</v>
      </c>
      <c r="H199">
        <v>1021257</v>
      </c>
      <c r="I199" t="s">
        <v>17</v>
      </c>
      <c r="K199" t="s">
        <v>585</v>
      </c>
      <c r="L199">
        <v>488</v>
      </c>
      <c r="M199" t="s">
        <v>586</v>
      </c>
    </row>
    <row r="200" spans="1:13" x14ac:dyDescent="0.35">
      <c r="A200" t="s">
        <v>13</v>
      </c>
      <c r="B200">
        <v>211532</v>
      </c>
      <c r="C200">
        <v>211759</v>
      </c>
      <c r="E200" t="s">
        <v>38</v>
      </c>
      <c r="F200" t="s">
        <v>49</v>
      </c>
      <c r="H200">
        <v>1021255</v>
      </c>
      <c r="I200" t="s">
        <v>17</v>
      </c>
      <c r="K200" t="s">
        <v>587</v>
      </c>
      <c r="L200">
        <v>75</v>
      </c>
      <c r="M200" t="s">
        <v>588</v>
      </c>
    </row>
    <row r="201" spans="1:13" x14ac:dyDescent="0.35">
      <c r="A201" t="s">
        <v>13</v>
      </c>
      <c r="B201">
        <v>211807</v>
      </c>
      <c r="C201">
        <v>212286</v>
      </c>
      <c r="E201" t="s">
        <v>14</v>
      </c>
      <c r="F201" t="s">
        <v>49</v>
      </c>
      <c r="H201">
        <v>1021256</v>
      </c>
      <c r="I201" t="s">
        <v>17</v>
      </c>
      <c r="K201" t="s">
        <v>589</v>
      </c>
      <c r="L201">
        <v>159</v>
      </c>
      <c r="M201" t="s">
        <v>590</v>
      </c>
    </row>
    <row r="202" spans="1:13" x14ac:dyDescent="0.35">
      <c r="A202" t="s">
        <v>13</v>
      </c>
      <c r="B202">
        <v>212283</v>
      </c>
      <c r="C202">
        <v>212738</v>
      </c>
      <c r="E202" t="s">
        <v>14</v>
      </c>
      <c r="F202" t="s">
        <v>49</v>
      </c>
      <c r="H202">
        <v>1021261</v>
      </c>
      <c r="I202" t="s">
        <v>17</v>
      </c>
      <c r="K202" t="s">
        <v>591</v>
      </c>
      <c r="L202">
        <v>151</v>
      </c>
      <c r="M202" t="s">
        <v>592</v>
      </c>
    </row>
    <row r="203" spans="1:13" x14ac:dyDescent="0.35">
      <c r="A203" t="s">
        <v>13</v>
      </c>
      <c r="B203">
        <v>212764</v>
      </c>
      <c r="C203">
        <v>213660</v>
      </c>
      <c r="E203" t="s">
        <v>14</v>
      </c>
      <c r="F203" t="s">
        <v>49</v>
      </c>
      <c r="H203">
        <v>1021258</v>
      </c>
      <c r="I203" t="s">
        <v>17</v>
      </c>
      <c r="K203" t="s">
        <v>593</v>
      </c>
      <c r="L203">
        <v>298</v>
      </c>
      <c r="M203" t="s">
        <v>594</v>
      </c>
    </row>
    <row r="204" spans="1:13" x14ac:dyDescent="0.35">
      <c r="A204" t="s">
        <v>13</v>
      </c>
      <c r="B204">
        <v>213676</v>
      </c>
      <c r="C204">
        <v>214110</v>
      </c>
      <c r="E204" t="s">
        <v>14</v>
      </c>
      <c r="F204" t="s">
        <v>595</v>
      </c>
      <c r="H204">
        <v>1021259</v>
      </c>
      <c r="I204" t="s">
        <v>17</v>
      </c>
      <c r="K204" t="s">
        <v>596</v>
      </c>
      <c r="L204">
        <v>144</v>
      </c>
      <c r="M204" t="s">
        <v>597</v>
      </c>
    </row>
    <row r="205" spans="1:13" x14ac:dyDescent="0.35">
      <c r="A205" t="s">
        <v>13</v>
      </c>
      <c r="B205">
        <v>214121</v>
      </c>
      <c r="C205">
        <v>214525</v>
      </c>
      <c r="E205" t="s">
        <v>14</v>
      </c>
      <c r="F205" t="s">
        <v>49</v>
      </c>
      <c r="H205">
        <v>1021264</v>
      </c>
      <c r="I205" t="s">
        <v>17</v>
      </c>
      <c r="K205" t="s">
        <v>598</v>
      </c>
      <c r="L205">
        <v>134</v>
      </c>
      <c r="M205" t="s">
        <v>599</v>
      </c>
    </row>
    <row r="206" spans="1:13" x14ac:dyDescent="0.35">
      <c r="A206" t="s">
        <v>13</v>
      </c>
      <c r="B206">
        <v>214527</v>
      </c>
      <c r="C206">
        <v>215162</v>
      </c>
      <c r="E206" t="s">
        <v>14</v>
      </c>
      <c r="F206" t="s">
        <v>600</v>
      </c>
      <c r="H206">
        <v>1021262</v>
      </c>
      <c r="I206" t="s">
        <v>17</v>
      </c>
      <c r="K206" t="s">
        <v>601</v>
      </c>
      <c r="L206">
        <v>211</v>
      </c>
      <c r="M206" t="s">
        <v>602</v>
      </c>
    </row>
    <row r="207" spans="1:13" x14ac:dyDescent="0.35">
      <c r="A207" t="s">
        <v>13</v>
      </c>
      <c r="B207">
        <v>215159</v>
      </c>
      <c r="C207">
        <v>216100</v>
      </c>
      <c r="E207" t="s">
        <v>38</v>
      </c>
      <c r="F207" t="s">
        <v>603</v>
      </c>
      <c r="H207">
        <v>1021269</v>
      </c>
      <c r="I207" t="s">
        <v>17</v>
      </c>
      <c r="K207" t="s">
        <v>604</v>
      </c>
      <c r="L207">
        <v>313</v>
      </c>
      <c r="M207" t="s">
        <v>605</v>
      </c>
    </row>
    <row r="208" spans="1:13" x14ac:dyDescent="0.35">
      <c r="A208" t="s">
        <v>13</v>
      </c>
      <c r="B208">
        <v>216113</v>
      </c>
      <c r="C208">
        <v>216712</v>
      </c>
      <c r="E208" t="s">
        <v>38</v>
      </c>
      <c r="F208" t="s">
        <v>356</v>
      </c>
      <c r="H208">
        <v>1021263</v>
      </c>
      <c r="I208" t="s">
        <v>17</v>
      </c>
      <c r="K208" t="s">
        <v>606</v>
      </c>
      <c r="L208">
        <v>199</v>
      </c>
      <c r="M208" t="s">
        <v>607</v>
      </c>
    </row>
    <row r="209" spans="1:13" x14ac:dyDescent="0.35">
      <c r="A209" t="s">
        <v>13</v>
      </c>
      <c r="B209">
        <v>217138</v>
      </c>
      <c r="C209">
        <v>217929</v>
      </c>
      <c r="E209" t="s">
        <v>38</v>
      </c>
      <c r="F209" t="s">
        <v>608</v>
      </c>
      <c r="H209">
        <v>1021267</v>
      </c>
      <c r="I209" t="s">
        <v>17</v>
      </c>
      <c r="K209" t="s">
        <v>609</v>
      </c>
      <c r="L209">
        <v>263</v>
      </c>
      <c r="M209" t="s">
        <v>610</v>
      </c>
    </row>
    <row r="210" spans="1:13" x14ac:dyDescent="0.35">
      <c r="A210" t="s">
        <v>13</v>
      </c>
      <c r="B210">
        <v>217940</v>
      </c>
      <c r="C210">
        <v>218836</v>
      </c>
      <c r="E210" t="s">
        <v>38</v>
      </c>
      <c r="F210" t="s">
        <v>611</v>
      </c>
      <c r="H210">
        <v>1021273</v>
      </c>
      <c r="I210" t="s">
        <v>17</v>
      </c>
      <c r="K210" t="s">
        <v>612</v>
      </c>
      <c r="L210">
        <v>298</v>
      </c>
      <c r="M210" t="s">
        <v>613</v>
      </c>
    </row>
    <row r="211" spans="1:13" x14ac:dyDescent="0.35">
      <c r="A211" t="s">
        <v>13</v>
      </c>
      <c r="B211">
        <v>218979</v>
      </c>
      <c r="C211">
        <v>220154</v>
      </c>
      <c r="E211" t="s">
        <v>14</v>
      </c>
      <c r="F211" t="s">
        <v>614</v>
      </c>
      <c r="H211">
        <v>1021265</v>
      </c>
      <c r="I211" t="s">
        <v>17</v>
      </c>
      <c r="K211" t="s">
        <v>615</v>
      </c>
      <c r="L211">
        <v>391</v>
      </c>
      <c r="M211" t="s">
        <v>616</v>
      </c>
    </row>
    <row r="212" spans="1:13" x14ac:dyDescent="0.35">
      <c r="A212" t="s">
        <v>13</v>
      </c>
      <c r="B212">
        <v>220151</v>
      </c>
      <c r="C212">
        <v>221107</v>
      </c>
      <c r="E212" t="s">
        <v>38</v>
      </c>
      <c r="F212" t="s">
        <v>617</v>
      </c>
      <c r="H212">
        <v>1021266</v>
      </c>
      <c r="I212" t="s">
        <v>17</v>
      </c>
      <c r="K212" t="s">
        <v>618</v>
      </c>
      <c r="L212">
        <v>318</v>
      </c>
      <c r="M212" t="s">
        <v>619</v>
      </c>
    </row>
    <row r="213" spans="1:13" x14ac:dyDescent="0.35">
      <c r="A213" t="s">
        <v>13</v>
      </c>
      <c r="B213">
        <v>221128</v>
      </c>
      <c r="C213">
        <v>221655</v>
      </c>
      <c r="E213" t="s">
        <v>38</v>
      </c>
      <c r="F213" t="s">
        <v>49</v>
      </c>
      <c r="H213">
        <v>1021095</v>
      </c>
      <c r="I213" t="s">
        <v>17</v>
      </c>
      <c r="K213" t="s">
        <v>620</v>
      </c>
      <c r="L213">
        <v>175</v>
      </c>
      <c r="M213" t="s">
        <v>621</v>
      </c>
    </row>
    <row r="214" spans="1:13" x14ac:dyDescent="0.35">
      <c r="A214" t="s">
        <v>13</v>
      </c>
      <c r="B214">
        <v>221750</v>
      </c>
      <c r="C214">
        <v>221834</v>
      </c>
      <c r="E214" t="s">
        <v>14</v>
      </c>
      <c r="F214" t="s">
        <v>622</v>
      </c>
      <c r="H214">
        <v>2745365</v>
      </c>
      <c r="I214" t="s">
        <v>62</v>
      </c>
      <c r="M214" t="s">
        <v>623</v>
      </c>
    </row>
    <row r="215" spans="1:13" x14ac:dyDescent="0.35">
      <c r="A215" t="s">
        <v>13</v>
      </c>
      <c r="B215">
        <v>221929</v>
      </c>
      <c r="C215">
        <v>222210</v>
      </c>
      <c r="E215" t="s">
        <v>14</v>
      </c>
      <c r="F215" t="s">
        <v>624</v>
      </c>
      <c r="H215">
        <v>1021276</v>
      </c>
      <c r="I215" t="s">
        <v>17</v>
      </c>
      <c r="K215" t="s">
        <v>625</v>
      </c>
      <c r="L215">
        <v>93</v>
      </c>
      <c r="M215" t="s">
        <v>626</v>
      </c>
    </row>
    <row r="216" spans="1:13" x14ac:dyDescent="0.35">
      <c r="A216" t="s">
        <v>13</v>
      </c>
      <c r="B216">
        <v>222207</v>
      </c>
      <c r="C216">
        <v>223694</v>
      </c>
      <c r="E216" t="s">
        <v>38</v>
      </c>
      <c r="F216" t="s">
        <v>627</v>
      </c>
      <c r="H216">
        <v>1021278</v>
      </c>
      <c r="I216" t="s">
        <v>17</v>
      </c>
      <c r="K216" t="s">
        <v>628</v>
      </c>
      <c r="L216">
        <v>495</v>
      </c>
      <c r="M216" t="s">
        <v>629</v>
      </c>
    </row>
    <row r="217" spans="1:13" x14ac:dyDescent="0.35">
      <c r="A217" t="s">
        <v>13</v>
      </c>
      <c r="B217">
        <v>224354</v>
      </c>
      <c r="C217">
        <v>225247</v>
      </c>
      <c r="E217" t="s">
        <v>14</v>
      </c>
      <c r="F217" t="s">
        <v>630</v>
      </c>
      <c r="H217">
        <v>1021275</v>
      </c>
      <c r="I217" t="s">
        <v>17</v>
      </c>
      <c r="K217" t="s">
        <v>631</v>
      </c>
      <c r="L217">
        <v>297</v>
      </c>
      <c r="M217" t="s">
        <v>632</v>
      </c>
    </row>
    <row r="218" spans="1:13" x14ac:dyDescent="0.35">
      <c r="A218" t="s">
        <v>13</v>
      </c>
      <c r="B218">
        <v>225239</v>
      </c>
      <c r="C218">
        <v>226312</v>
      </c>
      <c r="E218" t="s">
        <v>38</v>
      </c>
      <c r="F218" t="s">
        <v>633</v>
      </c>
      <c r="H218">
        <v>1021104</v>
      </c>
      <c r="I218" t="s">
        <v>17</v>
      </c>
      <c r="K218" t="s">
        <v>634</v>
      </c>
      <c r="L218">
        <v>357</v>
      </c>
      <c r="M218" t="s">
        <v>635</v>
      </c>
    </row>
    <row r="219" spans="1:13" x14ac:dyDescent="0.35">
      <c r="A219" t="s">
        <v>13</v>
      </c>
      <c r="B219">
        <v>226309</v>
      </c>
      <c r="C219">
        <v>226767</v>
      </c>
      <c r="E219" t="s">
        <v>38</v>
      </c>
      <c r="F219" t="s">
        <v>636</v>
      </c>
      <c r="H219">
        <v>1021274</v>
      </c>
      <c r="I219" t="s">
        <v>17</v>
      </c>
      <c r="K219" t="s">
        <v>637</v>
      </c>
      <c r="L219">
        <v>152</v>
      </c>
      <c r="M219" t="s">
        <v>638</v>
      </c>
    </row>
    <row r="220" spans="1:13" x14ac:dyDescent="0.35">
      <c r="A220" t="s">
        <v>13</v>
      </c>
      <c r="B220">
        <v>226757</v>
      </c>
      <c r="C220">
        <v>227218</v>
      </c>
      <c r="E220" t="s">
        <v>38</v>
      </c>
      <c r="F220" t="s">
        <v>639</v>
      </c>
      <c r="H220">
        <v>1021270</v>
      </c>
      <c r="I220" t="s">
        <v>17</v>
      </c>
      <c r="K220" t="s">
        <v>640</v>
      </c>
      <c r="L220">
        <v>153</v>
      </c>
      <c r="M220" t="s">
        <v>641</v>
      </c>
    </row>
    <row r="221" spans="1:13" x14ac:dyDescent="0.35">
      <c r="A221" t="s">
        <v>13</v>
      </c>
      <c r="B221">
        <v>227215</v>
      </c>
      <c r="C221">
        <v>227685</v>
      </c>
      <c r="E221" t="s">
        <v>38</v>
      </c>
      <c r="F221" t="s">
        <v>642</v>
      </c>
      <c r="G221" t="s">
        <v>643</v>
      </c>
      <c r="H221">
        <v>1021271</v>
      </c>
      <c r="I221" t="s">
        <v>17</v>
      </c>
      <c r="K221" t="s">
        <v>644</v>
      </c>
      <c r="L221">
        <v>156</v>
      </c>
      <c r="M221" t="s">
        <v>645</v>
      </c>
    </row>
    <row r="222" spans="1:13" x14ac:dyDescent="0.35">
      <c r="A222" t="s">
        <v>13</v>
      </c>
      <c r="B222">
        <v>227700</v>
      </c>
      <c r="C222">
        <v>228884</v>
      </c>
      <c r="E222" t="s">
        <v>38</v>
      </c>
      <c r="F222" t="s">
        <v>646</v>
      </c>
      <c r="H222">
        <v>1021277</v>
      </c>
      <c r="I222" t="s">
        <v>17</v>
      </c>
      <c r="K222" t="s">
        <v>647</v>
      </c>
      <c r="L222">
        <v>394</v>
      </c>
      <c r="M222" t="s">
        <v>648</v>
      </c>
    </row>
    <row r="223" spans="1:13" x14ac:dyDescent="0.35">
      <c r="A223" t="s">
        <v>13</v>
      </c>
      <c r="B223">
        <v>228888</v>
      </c>
      <c r="C223">
        <v>229727</v>
      </c>
      <c r="E223" t="s">
        <v>38</v>
      </c>
      <c r="F223" t="s">
        <v>649</v>
      </c>
      <c r="H223">
        <v>1021286</v>
      </c>
      <c r="I223" t="s">
        <v>17</v>
      </c>
      <c r="K223" t="s">
        <v>650</v>
      </c>
      <c r="L223">
        <v>279</v>
      </c>
      <c r="M223" t="s">
        <v>651</v>
      </c>
    </row>
    <row r="224" spans="1:13" x14ac:dyDescent="0.35">
      <c r="A224" t="s">
        <v>13</v>
      </c>
      <c r="B224">
        <v>229708</v>
      </c>
      <c r="C224">
        <v>230514</v>
      </c>
      <c r="E224" t="s">
        <v>38</v>
      </c>
      <c r="F224" t="s">
        <v>652</v>
      </c>
      <c r="G224" t="s">
        <v>653</v>
      </c>
      <c r="H224">
        <v>1021268</v>
      </c>
      <c r="I224" t="s">
        <v>17</v>
      </c>
      <c r="K224" t="s">
        <v>654</v>
      </c>
      <c r="L224">
        <v>268</v>
      </c>
      <c r="M224" t="s">
        <v>655</v>
      </c>
    </row>
    <row r="225" spans="1:13" x14ac:dyDescent="0.35">
      <c r="A225" t="s">
        <v>13</v>
      </c>
      <c r="B225">
        <v>230674</v>
      </c>
      <c r="C225">
        <v>230931</v>
      </c>
      <c r="E225" t="s">
        <v>14</v>
      </c>
      <c r="F225" t="s">
        <v>656</v>
      </c>
      <c r="H225">
        <v>1021280</v>
      </c>
      <c r="I225" t="s">
        <v>17</v>
      </c>
      <c r="K225" t="s">
        <v>657</v>
      </c>
      <c r="L225">
        <v>85</v>
      </c>
      <c r="M225" t="s">
        <v>658</v>
      </c>
    </row>
    <row r="226" spans="1:13" x14ac:dyDescent="0.35">
      <c r="A226" t="s">
        <v>13</v>
      </c>
      <c r="B226">
        <v>230928</v>
      </c>
      <c r="C226">
        <v>231842</v>
      </c>
      <c r="E226" t="s">
        <v>38</v>
      </c>
      <c r="F226" t="s">
        <v>147</v>
      </c>
      <c r="H226">
        <v>1021283</v>
      </c>
      <c r="I226" t="s">
        <v>17</v>
      </c>
      <c r="K226" t="s">
        <v>659</v>
      </c>
      <c r="L226">
        <v>304</v>
      </c>
      <c r="M226" t="s">
        <v>660</v>
      </c>
    </row>
    <row r="227" spans="1:13" x14ac:dyDescent="0.35">
      <c r="A227" t="s">
        <v>13</v>
      </c>
      <c r="B227">
        <v>231845</v>
      </c>
      <c r="C227">
        <v>232267</v>
      </c>
      <c r="E227" t="s">
        <v>38</v>
      </c>
      <c r="F227" t="s">
        <v>661</v>
      </c>
      <c r="H227">
        <v>1021279</v>
      </c>
      <c r="I227" t="s">
        <v>17</v>
      </c>
      <c r="K227" t="s">
        <v>662</v>
      </c>
      <c r="L227">
        <v>140</v>
      </c>
      <c r="M227" t="s">
        <v>663</v>
      </c>
    </row>
    <row r="228" spans="1:13" x14ac:dyDescent="0.35">
      <c r="A228" t="s">
        <v>13</v>
      </c>
      <c r="B228">
        <v>232257</v>
      </c>
      <c r="C228">
        <v>233282</v>
      </c>
      <c r="E228" t="s">
        <v>38</v>
      </c>
      <c r="F228" t="s">
        <v>664</v>
      </c>
      <c r="G228" t="s">
        <v>665</v>
      </c>
      <c r="H228">
        <v>1021282</v>
      </c>
      <c r="I228" t="s">
        <v>17</v>
      </c>
      <c r="K228" t="s">
        <v>666</v>
      </c>
      <c r="L228">
        <v>341</v>
      </c>
      <c r="M228" t="s">
        <v>667</v>
      </c>
    </row>
    <row r="229" spans="1:13" x14ac:dyDescent="0.35">
      <c r="A229" t="s">
        <v>13</v>
      </c>
      <c r="B229">
        <v>233409</v>
      </c>
      <c r="C229">
        <v>233497</v>
      </c>
      <c r="E229" t="s">
        <v>14</v>
      </c>
      <c r="F229" t="s">
        <v>622</v>
      </c>
      <c r="H229">
        <v>2745319</v>
      </c>
      <c r="I229" t="s">
        <v>62</v>
      </c>
      <c r="M229" t="s">
        <v>668</v>
      </c>
    </row>
    <row r="230" spans="1:13" x14ac:dyDescent="0.35">
      <c r="A230" t="s">
        <v>13</v>
      </c>
      <c r="B230">
        <v>233527</v>
      </c>
      <c r="C230">
        <v>233599</v>
      </c>
      <c r="E230" t="s">
        <v>14</v>
      </c>
      <c r="F230" t="s">
        <v>669</v>
      </c>
      <c r="H230">
        <v>2745329</v>
      </c>
      <c r="I230" t="s">
        <v>62</v>
      </c>
      <c r="M230" t="s">
        <v>670</v>
      </c>
    </row>
    <row r="231" spans="1:13" x14ac:dyDescent="0.35">
      <c r="A231" t="s">
        <v>13</v>
      </c>
      <c r="B231">
        <v>233913</v>
      </c>
      <c r="C231">
        <v>234821</v>
      </c>
      <c r="E231" t="s">
        <v>14</v>
      </c>
      <c r="F231" t="s">
        <v>671</v>
      </c>
      <c r="H231">
        <v>1021290</v>
      </c>
      <c r="I231" t="s">
        <v>17</v>
      </c>
      <c r="K231" t="s">
        <v>672</v>
      </c>
      <c r="L231">
        <v>302</v>
      </c>
      <c r="M231" t="s">
        <v>673</v>
      </c>
    </row>
    <row r="232" spans="1:13" x14ac:dyDescent="0.35">
      <c r="A232" t="s">
        <v>13</v>
      </c>
      <c r="B232">
        <v>234907</v>
      </c>
      <c r="C232">
        <v>235191</v>
      </c>
      <c r="E232" t="s">
        <v>38</v>
      </c>
      <c r="F232" t="s">
        <v>49</v>
      </c>
      <c r="H232">
        <v>1021289</v>
      </c>
      <c r="I232" t="s">
        <v>17</v>
      </c>
      <c r="K232" t="s">
        <v>674</v>
      </c>
      <c r="L232">
        <v>94</v>
      </c>
      <c r="M232" t="s">
        <v>675</v>
      </c>
    </row>
    <row r="233" spans="1:13" x14ac:dyDescent="0.35">
      <c r="A233" t="s">
        <v>13</v>
      </c>
      <c r="B233">
        <v>235448</v>
      </c>
      <c r="C233">
        <v>236212</v>
      </c>
      <c r="E233" t="s">
        <v>38</v>
      </c>
      <c r="F233" t="s">
        <v>69</v>
      </c>
      <c r="H233">
        <v>1021293</v>
      </c>
      <c r="I233" t="s">
        <v>17</v>
      </c>
      <c r="K233" t="s">
        <v>676</v>
      </c>
      <c r="L233">
        <v>254</v>
      </c>
      <c r="M233" t="s">
        <v>677</v>
      </c>
    </row>
    <row r="234" spans="1:13" x14ac:dyDescent="0.35">
      <c r="A234" t="s">
        <v>13</v>
      </c>
      <c r="B234">
        <v>236326</v>
      </c>
      <c r="C234">
        <v>237345</v>
      </c>
      <c r="E234" t="s">
        <v>14</v>
      </c>
      <c r="F234" t="s">
        <v>678</v>
      </c>
      <c r="H234">
        <v>1021281</v>
      </c>
      <c r="I234" t="s">
        <v>17</v>
      </c>
      <c r="K234" t="s">
        <v>679</v>
      </c>
      <c r="L234">
        <v>339</v>
      </c>
      <c r="M234" t="s">
        <v>680</v>
      </c>
    </row>
    <row r="235" spans="1:13" x14ac:dyDescent="0.35">
      <c r="A235" t="s">
        <v>13</v>
      </c>
      <c r="B235">
        <v>237345</v>
      </c>
      <c r="C235">
        <v>238148</v>
      </c>
      <c r="E235" t="s">
        <v>14</v>
      </c>
      <c r="F235" t="s">
        <v>681</v>
      </c>
      <c r="H235">
        <v>1021284</v>
      </c>
      <c r="I235" t="s">
        <v>17</v>
      </c>
      <c r="K235" t="s">
        <v>682</v>
      </c>
      <c r="L235">
        <v>267</v>
      </c>
      <c r="M235" t="s">
        <v>683</v>
      </c>
    </row>
    <row r="236" spans="1:13" x14ac:dyDescent="0.35">
      <c r="A236" t="s">
        <v>13</v>
      </c>
      <c r="B236">
        <v>238218</v>
      </c>
      <c r="C236">
        <v>239528</v>
      </c>
      <c r="E236" t="s">
        <v>14</v>
      </c>
      <c r="F236" t="s">
        <v>684</v>
      </c>
      <c r="G236" t="s">
        <v>685</v>
      </c>
      <c r="H236">
        <v>1021287</v>
      </c>
      <c r="I236" t="s">
        <v>17</v>
      </c>
      <c r="K236" t="s">
        <v>686</v>
      </c>
      <c r="L236">
        <v>436</v>
      </c>
      <c r="M236" t="s">
        <v>687</v>
      </c>
    </row>
    <row r="237" spans="1:13" x14ac:dyDescent="0.35">
      <c r="A237" t="s">
        <v>13</v>
      </c>
      <c r="B237">
        <v>239935</v>
      </c>
      <c r="C237">
        <v>241518</v>
      </c>
      <c r="E237" t="s">
        <v>14</v>
      </c>
      <c r="F237" t="s">
        <v>688</v>
      </c>
      <c r="H237">
        <v>1021291</v>
      </c>
      <c r="I237" t="s">
        <v>17</v>
      </c>
      <c r="K237" t="s">
        <v>689</v>
      </c>
      <c r="L237">
        <v>527</v>
      </c>
      <c r="M237" t="s">
        <v>690</v>
      </c>
    </row>
    <row r="238" spans="1:13" x14ac:dyDescent="0.35">
      <c r="A238" t="s">
        <v>13</v>
      </c>
      <c r="B238">
        <v>241637</v>
      </c>
      <c r="C238">
        <v>241709</v>
      </c>
      <c r="E238" t="s">
        <v>14</v>
      </c>
      <c r="F238" t="s">
        <v>669</v>
      </c>
      <c r="H238">
        <v>2745327</v>
      </c>
      <c r="I238" t="s">
        <v>62</v>
      </c>
      <c r="M238" t="s">
        <v>691</v>
      </c>
    </row>
    <row r="239" spans="1:13" x14ac:dyDescent="0.35">
      <c r="A239" t="s">
        <v>13</v>
      </c>
      <c r="B239">
        <v>241880</v>
      </c>
      <c r="C239">
        <v>242902</v>
      </c>
      <c r="E239" t="s">
        <v>38</v>
      </c>
      <c r="F239" t="s">
        <v>692</v>
      </c>
      <c r="H239">
        <v>1021300</v>
      </c>
      <c r="I239" t="s">
        <v>17</v>
      </c>
      <c r="K239" t="s">
        <v>693</v>
      </c>
      <c r="L239">
        <v>340</v>
      </c>
      <c r="M239" t="s">
        <v>694</v>
      </c>
    </row>
    <row r="240" spans="1:13" x14ac:dyDescent="0.35">
      <c r="A240" t="s">
        <v>13</v>
      </c>
      <c r="B240">
        <v>242940</v>
      </c>
      <c r="C240">
        <v>243434</v>
      </c>
      <c r="E240" t="s">
        <v>14</v>
      </c>
      <c r="F240" t="s">
        <v>695</v>
      </c>
      <c r="H240">
        <v>1021296</v>
      </c>
      <c r="I240" t="s">
        <v>17</v>
      </c>
      <c r="K240" t="s">
        <v>696</v>
      </c>
      <c r="L240">
        <v>164</v>
      </c>
      <c r="M240" t="s">
        <v>697</v>
      </c>
    </row>
    <row r="241" spans="1:13" x14ac:dyDescent="0.35">
      <c r="A241" t="s">
        <v>13</v>
      </c>
      <c r="B241">
        <v>243434</v>
      </c>
      <c r="C241">
        <v>243913</v>
      </c>
      <c r="E241" t="s">
        <v>14</v>
      </c>
      <c r="F241" t="s">
        <v>698</v>
      </c>
      <c r="G241" t="s">
        <v>699</v>
      </c>
      <c r="H241">
        <v>1021295</v>
      </c>
      <c r="I241" t="s">
        <v>17</v>
      </c>
      <c r="K241" t="s">
        <v>700</v>
      </c>
      <c r="L241">
        <v>159</v>
      </c>
      <c r="M241" t="s">
        <v>701</v>
      </c>
    </row>
    <row r="242" spans="1:13" x14ac:dyDescent="0.35">
      <c r="A242" t="s">
        <v>13</v>
      </c>
      <c r="B242">
        <v>244015</v>
      </c>
      <c r="C242">
        <v>244218</v>
      </c>
      <c r="E242" t="s">
        <v>14</v>
      </c>
      <c r="F242" t="s">
        <v>702</v>
      </c>
      <c r="H242">
        <v>1021299</v>
      </c>
      <c r="I242" t="s">
        <v>17</v>
      </c>
      <c r="K242" t="s">
        <v>703</v>
      </c>
      <c r="L242">
        <v>67</v>
      </c>
      <c r="M242" t="s">
        <v>704</v>
      </c>
    </row>
    <row r="243" spans="1:13" x14ac:dyDescent="0.35">
      <c r="A243" t="s">
        <v>13</v>
      </c>
      <c r="B243">
        <v>244294</v>
      </c>
      <c r="C243">
        <v>244384</v>
      </c>
      <c r="E243" t="s">
        <v>14</v>
      </c>
      <c r="F243" t="s">
        <v>622</v>
      </c>
      <c r="H243">
        <v>2745331</v>
      </c>
      <c r="I243" t="s">
        <v>62</v>
      </c>
      <c r="M243" t="s">
        <v>705</v>
      </c>
    </row>
    <row r="244" spans="1:13" x14ac:dyDescent="0.35">
      <c r="A244" t="s">
        <v>13</v>
      </c>
      <c r="B244">
        <v>244466</v>
      </c>
      <c r="C244">
        <v>244819</v>
      </c>
      <c r="E244" t="s">
        <v>14</v>
      </c>
      <c r="F244" t="s">
        <v>49</v>
      </c>
      <c r="H244">
        <v>1021301</v>
      </c>
      <c r="I244" t="s">
        <v>17</v>
      </c>
      <c r="K244" t="s">
        <v>706</v>
      </c>
      <c r="L244">
        <v>117</v>
      </c>
      <c r="M244" t="s">
        <v>707</v>
      </c>
    </row>
    <row r="245" spans="1:13" x14ac:dyDescent="0.35">
      <c r="A245" t="s">
        <v>13</v>
      </c>
      <c r="B245">
        <v>244902</v>
      </c>
      <c r="C245">
        <v>247307</v>
      </c>
      <c r="E245" t="s">
        <v>14</v>
      </c>
      <c r="F245" t="s">
        <v>708</v>
      </c>
      <c r="H245">
        <v>1021305</v>
      </c>
      <c r="I245" t="s">
        <v>17</v>
      </c>
      <c r="K245" t="s">
        <v>709</v>
      </c>
      <c r="L245">
        <v>801</v>
      </c>
      <c r="M245" t="s">
        <v>710</v>
      </c>
    </row>
    <row r="246" spans="1:13" x14ac:dyDescent="0.35">
      <c r="A246" t="s">
        <v>13</v>
      </c>
      <c r="B246">
        <v>247319</v>
      </c>
      <c r="C246">
        <v>248575</v>
      </c>
      <c r="E246" t="s">
        <v>14</v>
      </c>
      <c r="F246" t="s">
        <v>711</v>
      </c>
      <c r="G246" t="s">
        <v>712</v>
      </c>
      <c r="H246">
        <v>1021303</v>
      </c>
      <c r="I246" t="s">
        <v>17</v>
      </c>
      <c r="K246" t="s">
        <v>713</v>
      </c>
      <c r="L246">
        <v>418</v>
      </c>
      <c r="M246" t="s">
        <v>714</v>
      </c>
    </row>
    <row r="247" spans="1:13" x14ac:dyDescent="0.35">
      <c r="A247" t="s">
        <v>13</v>
      </c>
      <c r="B247">
        <v>248554</v>
      </c>
      <c r="C247">
        <v>249306</v>
      </c>
      <c r="E247" t="s">
        <v>38</v>
      </c>
      <c r="F247" t="s">
        <v>715</v>
      </c>
      <c r="H247">
        <v>1021297</v>
      </c>
      <c r="I247" t="s">
        <v>17</v>
      </c>
      <c r="K247" t="s">
        <v>716</v>
      </c>
      <c r="L247">
        <v>250</v>
      </c>
      <c r="M247" t="s">
        <v>717</v>
      </c>
    </row>
    <row r="248" spans="1:13" x14ac:dyDescent="0.35">
      <c r="A248" t="s">
        <v>13</v>
      </c>
      <c r="B248">
        <v>249428</v>
      </c>
      <c r="C248">
        <v>250510</v>
      </c>
      <c r="E248" t="s">
        <v>14</v>
      </c>
      <c r="F248" t="s">
        <v>718</v>
      </c>
      <c r="H248">
        <v>1021308</v>
      </c>
      <c r="I248" t="s">
        <v>17</v>
      </c>
      <c r="K248" t="s">
        <v>719</v>
      </c>
      <c r="L248">
        <v>360</v>
      </c>
      <c r="M248" t="s">
        <v>720</v>
      </c>
    </row>
    <row r="249" spans="1:13" x14ac:dyDescent="0.35">
      <c r="A249" t="s">
        <v>13</v>
      </c>
      <c r="B249">
        <v>250503</v>
      </c>
      <c r="C249">
        <v>251942</v>
      </c>
      <c r="E249" t="s">
        <v>14</v>
      </c>
      <c r="F249" t="s">
        <v>721</v>
      </c>
      <c r="H249">
        <v>1021306</v>
      </c>
      <c r="I249" t="s">
        <v>17</v>
      </c>
      <c r="K249" t="s">
        <v>722</v>
      </c>
      <c r="L249">
        <v>479</v>
      </c>
      <c r="M249" t="s">
        <v>723</v>
      </c>
    </row>
    <row r="250" spans="1:13" x14ac:dyDescent="0.35">
      <c r="A250" t="s">
        <v>13</v>
      </c>
      <c r="B250">
        <v>251952</v>
      </c>
      <c r="C250">
        <v>252833</v>
      </c>
      <c r="E250" t="s">
        <v>14</v>
      </c>
      <c r="F250" t="s">
        <v>724</v>
      </c>
      <c r="G250" t="s">
        <v>725</v>
      </c>
      <c r="H250">
        <v>1021302</v>
      </c>
      <c r="I250" t="s">
        <v>17</v>
      </c>
      <c r="K250" t="s">
        <v>726</v>
      </c>
      <c r="L250">
        <v>293</v>
      </c>
      <c r="M250" t="s">
        <v>727</v>
      </c>
    </row>
    <row r="251" spans="1:13" x14ac:dyDescent="0.35">
      <c r="A251" t="s">
        <v>13</v>
      </c>
      <c r="B251">
        <v>252827</v>
      </c>
      <c r="C251">
        <v>253819</v>
      </c>
      <c r="E251" t="s">
        <v>38</v>
      </c>
      <c r="F251" t="s">
        <v>728</v>
      </c>
      <c r="H251">
        <v>1021311</v>
      </c>
      <c r="I251" t="s">
        <v>17</v>
      </c>
      <c r="K251" t="s">
        <v>729</v>
      </c>
      <c r="L251">
        <v>330</v>
      </c>
      <c r="M251" t="s">
        <v>730</v>
      </c>
    </row>
    <row r="252" spans="1:13" x14ac:dyDescent="0.35">
      <c r="A252" t="s">
        <v>13</v>
      </c>
      <c r="B252">
        <v>254326</v>
      </c>
      <c r="C252">
        <v>255486</v>
      </c>
      <c r="E252" t="s">
        <v>38</v>
      </c>
      <c r="F252" t="s">
        <v>731</v>
      </c>
      <c r="H252">
        <v>1021309</v>
      </c>
      <c r="I252" t="s">
        <v>17</v>
      </c>
      <c r="K252" t="s">
        <v>732</v>
      </c>
      <c r="L252">
        <v>386</v>
      </c>
      <c r="M252" t="s">
        <v>733</v>
      </c>
    </row>
    <row r="253" spans="1:13" x14ac:dyDescent="0.35">
      <c r="A253" t="s">
        <v>13</v>
      </c>
      <c r="B253">
        <v>255489</v>
      </c>
      <c r="C253">
        <v>255776</v>
      </c>
      <c r="E253" t="s">
        <v>38</v>
      </c>
      <c r="F253" t="s">
        <v>49</v>
      </c>
      <c r="H253">
        <v>1021304</v>
      </c>
      <c r="I253" t="s">
        <v>17</v>
      </c>
      <c r="K253" t="s">
        <v>734</v>
      </c>
      <c r="L253">
        <v>95</v>
      </c>
      <c r="M253" t="s">
        <v>735</v>
      </c>
    </row>
    <row r="254" spans="1:13" x14ac:dyDescent="0.35">
      <c r="A254" t="s">
        <v>13</v>
      </c>
      <c r="B254">
        <v>256225</v>
      </c>
      <c r="C254">
        <v>256309</v>
      </c>
      <c r="E254" t="s">
        <v>38</v>
      </c>
      <c r="F254" t="s">
        <v>622</v>
      </c>
      <c r="H254">
        <v>2745338</v>
      </c>
      <c r="I254" t="s">
        <v>62</v>
      </c>
      <c r="M254" t="s">
        <v>736</v>
      </c>
    </row>
    <row r="255" spans="1:13" x14ac:dyDescent="0.35">
      <c r="A255" t="s">
        <v>13</v>
      </c>
      <c r="B255">
        <v>256430</v>
      </c>
      <c r="C255">
        <v>256526</v>
      </c>
      <c r="E255" t="s">
        <v>14</v>
      </c>
      <c r="F255" t="s">
        <v>737</v>
      </c>
      <c r="G255" t="s">
        <v>738</v>
      </c>
      <c r="H255">
        <v>44144923</v>
      </c>
      <c r="I255" t="s">
        <v>739</v>
      </c>
      <c r="M255" t="s">
        <v>740</v>
      </c>
    </row>
    <row r="256" spans="1:13" x14ac:dyDescent="0.35">
      <c r="A256" t="s">
        <v>13</v>
      </c>
      <c r="B256">
        <v>256599</v>
      </c>
      <c r="C256">
        <v>257897</v>
      </c>
      <c r="E256" t="s">
        <v>14</v>
      </c>
      <c r="F256" t="s">
        <v>741</v>
      </c>
      <c r="H256">
        <v>1021066</v>
      </c>
      <c r="I256" t="s">
        <v>17</v>
      </c>
      <c r="K256" t="s">
        <v>742</v>
      </c>
      <c r="L256">
        <v>432</v>
      </c>
      <c r="M256" t="s">
        <v>743</v>
      </c>
    </row>
    <row r="257" spans="1:13" x14ac:dyDescent="0.35">
      <c r="A257" t="s">
        <v>13</v>
      </c>
      <c r="B257">
        <v>257900</v>
      </c>
      <c r="C257">
        <v>258532</v>
      </c>
      <c r="E257" t="s">
        <v>14</v>
      </c>
      <c r="F257" t="s">
        <v>744</v>
      </c>
      <c r="H257">
        <v>1021307</v>
      </c>
      <c r="I257" t="s">
        <v>17</v>
      </c>
      <c r="K257" t="s">
        <v>745</v>
      </c>
      <c r="L257">
        <v>210</v>
      </c>
      <c r="M257" t="s">
        <v>746</v>
      </c>
    </row>
    <row r="258" spans="1:13" x14ac:dyDescent="0.35">
      <c r="A258" t="s">
        <v>13</v>
      </c>
      <c r="B258">
        <v>258551</v>
      </c>
      <c r="C258">
        <v>260878</v>
      </c>
      <c r="E258" t="s">
        <v>14</v>
      </c>
      <c r="F258" t="s">
        <v>747</v>
      </c>
      <c r="H258">
        <v>1021313</v>
      </c>
      <c r="I258" t="s">
        <v>17</v>
      </c>
      <c r="K258" t="s">
        <v>748</v>
      </c>
      <c r="L258">
        <v>775</v>
      </c>
      <c r="M258" t="s">
        <v>749</v>
      </c>
    </row>
    <row r="259" spans="1:13" x14ac:dyDescent="0.35">
      <c r="A259" t="s">
        <v>13</v>
      </c>
      <c r="B259">
        <v>260987</v>
      </c>
      <c r="C259">
        <v>261298</v>
      </c>
      <c r="E259" t="s">
        <v>14</v>
      </c>
      <c r="F259" t="s">
        <v>750</v>
      </c>
      <c r="H259">
        <v>1021132</v>
      </c>
      <c r="I259" t="s">
        <v>17</v>
      </c>
      <c r="K259" t="s">
        <v>751</v>
      </c>
      <c r="L259">
        <v>103</v>
      </c>
      <c r="M259" t="s">
        <v>752</v>
      </c>
    </row>
    <row r="260" spans="1:13" x14ac:dyDescent="0.35">
      <c r="A260" t="s">
        <v>13</v>
      </c>
      <c r="B260">
        <v>261402</v>
      </c>
      <c r="C260">
        <v>262058</v>
      </c>
      <c r="E260" t="s">
        <v>14</v>
      </c>
      <c r="F260" t="s">
        <v>753</v>
      </c>
      <c r="H260">
        <v>1021310</v>
      </c>
      <c r="I260" t="s">
        <v>17</v>
      </c>
      <c r="K260" t="s">
        <v>754</v>
      </c>
      <c r="L260">
        <v>218</v>
      </c>
      <c r="M260" t="s">
        <v>755</v>
      </c>
    </row>
    <row r="261" spans="1:13" x14ac:dyDescent="0.35">
      <c r="A261" t="s">
        <v>13</v>
      </c>
      <c r="B261">
        <v>262543</v>
      </c>
      <c r="C261">
        <v>263295</v>
      </c>
      <c r="E261" t="s">
        <v>38</v>
      </c>
      <c r="F261" t="s">
        <v>756</v>
      </c>
      <c r="H261">
        <v>1021195</v>
      </c>
      <c r="I261" t="s">
        <v>17</v>
      </c>
      <c r="K261" t="s">
        <v>757</v>
      </c>
      <c r="L261">
        <v>250</v>
      </c>
      <c r="M261" t="s">
        <v>758</v>
      </c>
    </row>
    <row r="262" spans="1:13" x14ac:dyDescent="0.35">
      <c r="A262" t="s">
        <v>13</v>
      </c>
      <c r="B262">
        <v>263295</v>
      </c>
      <c r="C262">
        <v>264566</v>
      </c>
      <c r="E262" t="s">
        <v>38</v>
      </c>
      <c r="F262" t="s">
        <v>759</v>
      </c>
      <c r="H262">
        <v>1021166</v>
      </c>
      <c r="I262" t="s">
        <v>17</v>
      </c>
      <c r="K262" t="s">
        <v>760</v>
      </c>
      <c r="L262">
        <v>423</v>
      </c>
      <c r="M262" t="s">
        <v>761</v>
      </c>
    </row>
    <row r="263" spans="1:13" x14ac:dyDescent="0.35">
      <c r="A263" t="s">
        <v>13</v>
      </c>
      <c r="B263">
        <v>264596</v>
      </c>
      <c r="C263">
        <v>265678</v>
      </c>
      <c r="E263" t="s">
        <v>38</v>
      </c>
      <c r="F263" t="s">
        <v>762</v>
      </c>
      <c r="H263">
        <v>1021213</v>
      </c>
      <c r="I263" t="s">
        <v>17</v>
      </c>
      <c r="K263" t="s">
        <v>763</v>
      </c>
      <c r="L263">
        <v>360</v>
      </c>
      <c r="M263" t="s">
        <v>764</v>
      </c>
    </row>
    <row r="264" spans="1:13" x14ac:dyDescent="0.35">
      <c r="A264" t="s">
        <v>13</v>
      </c>
      <c r="B264">
        <v>266151</v>
      </c>
      <c r="C264">
        <v>268001</v>
      </c>
      <c r="E264" t="s">
        <v>38</v>
      </c>
      <c r="F264" t="s">
        <v>765</v>
      </c>
      <c r="G264" t="s">
        <v>766</v>
      </c>
      <c r="H264">
        <v>1021149</v>
      </c>
      <c r="I264" t="s">
        <v>17</v>
      </c>
      <c r="K264" t="s">
        <v>767</v>
      </c>
      <c r="L264">
        <v>616</v>
      </c>
      <c r="M264" t="s">
        <v>768</v>
      </c>
    </row>
    <row r="265" spans="1:13" x14ac:dyDescent="0.35">
      <c r="A265" t="s">
        <v>13</v>
      </c>
      <c r="B265">
        <v>268255</v>
      </c>
      <c r="C265">
        <v>269124</v>
      </c>
      <c r="E265" t="s">
        <v>38</v>
      </c>
      <c r="F265" t="s">
        <v>769</v>
      </c>
      <c r="H265">
        <v>1021165</v>
      </c>
      <c r="I265" t="s">
        <v>17</v>
      </c>
      <c r="K265" t="s">
        <v>770</v>
      </c>
      <c r="L265">
        <v>289</v>
      </c>
      <c r="M265" t="s">
        <v>771</v>
      </c>
    </row>
    <row r="266" spans="1:13" x14ac:dyDescent="0.35">
      <c r="A266" t="s">
        <v>13</v>
      </c>
      <c r="B266">
        <v>269371</v>
      </c>
      <c r="C266">
        <v>270636</v>
      </c>
      <c r="E266" t="s">
        <v>14</v>
      </c>
      <c r="F266" t="s">
        <v>772</v>
      </c>
      <c r="H266">
        <v>1021294</v>
      </c>
      <c r="I266" t="s">
        <v>17</v>
      </c>
      <c r="K266" t="s">
        <v>773</v>
      </c>
      <c r="L266">
        <v>421</v>
      </c>
      <c r="M266" t="s">
        <v>774</v>
      </c>
    </row>
    <row r="267" spans="1:13" x14ac:dyDescent="0.35">
      <c r="A267" t="s">
        <v>13</v>
      </c>
      <c r="B267">
        <v>270660</v>
      </c>
      <c r="C267">
        <v>271694</v>
      </c>
      <c r="E267" t="s">
        <v>14</v>
      </c>
      <c r="F267" t="s">
        <v>775</v>
      </c>
      <c r="H267">
        <v>1021315</v>
      </c>
      <c r="I267" t="s">
        <v>17</v>
      </c>
      <c r="K267" t="s">
        <v>776</v>
      </c>
      <c r="L267">
        <v>344</v>
      </c>
      <c r="M267" t="s">
        <v>777</v>
      </c>
    </row>
    <row r="268" spans="1:13" x14ac:dyDescent="0.35">
      <c r="A268" t="s">
        <v>13</v>
      </c>
      <c r="B268">
        <v>271761</v>
      </c>
      <c r="C268">
        <v>273197</v>
      </c>
      <c r="E268" t="s">
        <v>14</v>
      </c>
      <c r="F268" t="s">
        <v>49</v>
      </c>
      <c r="H268">
        <v>1021138</v>
      </c>
      <c r="I268" t="s">
        <v>17</v>
      </c>
      <c r="K268" t="s">
        <v>778</v>
      </c>
      <c r="L268">
        <v>478</v>
      </c>
      <c r="M268" t="s">
        <v>779</v>
      </c>
    </row>
    <row r="269" spans="1:13" x14ac:dyDescent="0.35">
      <c r="A269" t="s">
        <v>13</v>
      </c>
      <c r="B269">
        <v>273539</v>
      </c>
      <c r="C269">
        <v>274120</v>
      </c>
      <c r="E269" t="s">
        <v>38</v>
      </c>
      <c r="F269" t="s">
        <v>780</v>
      </c>
      <c r="H269">
        <v>1021317</v>
      </c>
      <c r="I269" t="s">
        <v>17</v>
      </c>
      <c r="K269" t="s">
        <v>781</v>
      </c>
      <c r="L269">
        <v>193</v>
      </c>
      <c r="M269" t="s">
        <v>782</v>
      </c>
    </row>
    <row r="270" spans="1:13" x14ac:dyDescent="0.35">
      <c r="A270" t="s">
        <v>13</v>
      </c>
      <c r="B270">
        <v>274366</v>
      </c>
      <c r="C270">
        <v>275874</v>
      </c>
      <c r="E270" t="s">
        <v>14</v>
      </c>
      <c r="F270" t="s">
        <v>783</v>
      </c>
      <c r="H270">
        <v>1021318</v>
      </c>
      <c r="I270" t="s">
        <v>17</v>
      </c>
      <c r="K270" t="s">
        <v>784</v>
      </c>
      <c r="L270">
        <v>502</v>
      </c>
      <c r="M270" t="s">
        <v>785</v>
      </c>
    </row>
    <row r="271" spans="1:13" x14ac:dyDescent="0.35">
      <c r="A271" t="s">
        <v>13</v>
      </c>
      <c r="B271">
        <v>275954</v>
      </c>
      <c r="C271">
        <v>276247</v>
      </c>
      <c r="E271" t="s">
        <v>38</v>
      </c>
      <c r="F271" t="s">
        <v>49</v>
      </c>
      <c r="H271">
        <v>1021158</v>
      </c>
      <c r="I271" t="s">
        <v>17</v>
      </c>
      <c r="K271" t="s">
        <v>786</v>
      </c>
      <c r="L271">
        <v>97</v>
      </c>
      <c r="M271" t="s">
        <v>787</v>
      </c>
    </row>
    <row r="272" spans="1:13" x14ac:dyDescent="0.35">
      <c r="A272" t="s">
        <v>13</v>
      </c>
      <c r="B272">
        <v>276299</v>
      </c>
      <c r="C272">
        <v>276754</v>
      </c>
      <c r="E272" t="s">
        <v>38</v>
      </c>
      <c r="F272" t="s">
        <v>788</v>
      </c>
      <c r="H272">
        <v>1021319</v>
      </c>
      <c r="I272" t="s">
        <v>17</v>
      </c>
      <c r="K272" t="s">
        <v>789</v>
      </c>
      <c r="L272">
        <v>151</v>
      </c>
      <c r="M272" t="s">
        <v>790</v>
      </c>
    </row>
    <row r="273" spans="1:13" x14ac:dyDescent="0.35">
      <c r="A273" t="s">
        <v>13</v>
      </c>
      <c r="B273">
        <v>276829</v>
      </c>
      <c r="C273">
        <v>277584</v>
      </c>
      <c r="E273" t="s">
        <v>14</v>
      </c>
      <c r="F273" t="s">
        <v>791</v>
      </c>
      <c r="G273" t="s">
        <v>792</v>
      </c>
      <c r="H273">
        <v>1021322</v>
      </c>
      <c r="I273" t="s">
        <v>17</v>
      </c>
      <c r="K273" t="s">
        <v>793</v>
      </c>
      <c r="L273">
        <v>251</v>
      </c>
      <c r="M273" t="s">
        <v>794</v>
      </c>
    </row>
    <row r="274" spans="1:13" x14ac:dyDescent="0.35">
      <c r="A274" t="s">
        <v>13</v>
      </c>
      <c r="B274">
        <v>277581</v>
      </c>
      <c r="C274">
        <v>277907</v>
      </c>
      <c r="E274" t="s">
        <v>14</v>
      </c>
      <c r="F274" t="s">
        <v>795</v>
      </c>
      <c r="G274" t="s">
        <v>796</v>
      </c>
      <c r="H274">
        <v>1021321</v>
      </c>
      <c r="I274" t="s">
        <v>17</v>
      </c>
      <c r="K274" t="s">
        <v>797</v>
      </c>
      <c r="L274">
        <v>108</v>
      </c>
      <c r="M274" t="s">
        <v>798</v>
      </c>
    </row>
    <row r="275" spans="1:13" x14ac:dyDescent="0.35">
      <c r="A275" t="s">
        <v>13</v>
      </c>
      <c r="B275">
        <v>277984</v>
      </c>
      <c r="C275">
        <v>278277</v>
      </c>
      <c r="E275" t="s">
        <v>38</v>
      </c>
      <c r="F275" t="s">
        <v>49</v>
      </c>
      <c r="H275">
        <v>1021324</v>
      </c>
      <c r="I275" t="s">
        <v>17</v>
      </c>
      <c r="K275" t="s">
        <v>799</v>
      </c>
      <c r="L275">
        <v>97</v>
      </c>
      <c r="M275" t="s">
        <v>800</v>
      </c>
    </row>
    <row r="276" spans="1:13" x14ac:dyDescent="0.35">
      <c r="A276" t="s">
        <v>13</v>
      </c>
      <c r="B276">
        <v>278385</v>
      </c>
      <c r="C276">
        <v>278732</v>
      </c>
      <c r="E276" t="s">
        <v>38</v>
      </c>
      <c r="F276" t="s">
        <v>801</v>
      </c>
      <c r="H276">
        <v>1021157</v>
      </c>
      <c r="I276" t="s">
        <v>17</v>
      </c>
      <c r="K276" t="s">
        <v>802</v>
      </c>
      <c r="L276">
        <v>115</v>
      </c>
      <c r="M276" t="s">
        <v>803</v>
      </c>
    </row>
    <row r="277" spans="1:13" x14ac:dyDescent="0.35">
      <c r="A277" t="s">
        <v>13</v>
      </c>
      <c r="B277">
        <v>278859</v>
      </c>
      <c r="C277">
        <v>279896</v>
      </c>
      <c r="E277" t="s">
        <v>14</v>
      </c>
      <c r="F277" t="s">
        <v>804</v>
      </c>
      <c r="G277" t="s">
        <v>805</v>
      </c>
      <c r="H277">
        <v>1021330</v>
      </c>
      <c r="I277" t="s">
        <v>17</v>
      </c>
      <c r="K277" t="s">
        <v>806</v>
      </c>
      <c r="L277">
        <v>345</v>
      </c>
      <c r="M277" t="s">
        <v>807</v>
      </c>
    </row>
    <row r="278" spans="1:13" x14ac:dyDescent="0.35">
      <c r="A278" t="s">
        <v>13</v>
      </c>
      <c r="B278">
        <v>279893</v>
      </c>
      <c r="C278">
        <v>280282</v>
      </c>
      <c r="E278" t="s">
        <v>14</v>
      </c>
      <c r="F278" t="s">
        <v>808</v>
      </c>
      <c r="H278">
        <v>1021323</v>
      </c>
      <c r="I278" t="s">
        <v>17</v>
      </c>
      <c r="K278" t="s">
        <v>809</v>
      </c>
      <c r="L278">
        <v>129</v>
      </c>
      <c r="M278" t="s">
        <v>810</v>
      </c>
    </row>
    <row r="279" spans="1:13" x14ac:dyDescent="0.35">
      <c r="A279" t="s">
        <v>13</v>
      </c>
      <c r="B279">
        <v>280346</v>
      </c>
      <c r="C279">
        <v>280666</v>
      </c>
      <c r="E279" t="s">
        <v>38</v>
      </c>
      <c r="F279" t="s">
        <v>811</v>
      </c>
      <c r="H279">
        <v>1021160</v>
      </c>
      <c r="I279" t="s">
        <v>17</v>
      </c>
      <c r="K279" t="s">
        <v>812</v>
      </c>
      <c r="L279">
        <v>106</v>
      </c>
      <c r="M279" t="s">
        <v>813</v>
      </c>
    </row>
    <row r="280" spans="1:13" x14ac:dyDescent="0.35">
      <c r="A280" t="s">
        <v>13</v>
      </c>
      <c r="B280">
        <v>280667</v>
      </c>
      <c r="C280">
        <v>280939</v>
      </c>
      <c r="E280" t="s">
        <v>38</v>
      </c>
      <c r="F280" t="s">
        <v>814</v>
      </c>
      <c r="H280">
        <v>92792272</v>
      </c>
      <c r="I280" t="s">
        <v>17</v>
      </c>
      <c r="K280" t="s">
        <v>815</v>
      </c>
      <c r="L280">
        <v>90</v>
      </c>
      <c r="M280" t="s">
        <v>816</v>
      </c>
    </row>
    <row r="281" spans="1:13" x14ac:dyDescent="0.35">
      <c r="A281" t="s">
        <v>13</v>
      </c>
      <c r="B281">
        <v>280946</v>
      </c>
      <c r="C281">
        <v>281401</v>
      </c>
      <c r="E281" t="s">
        <v>38</v>
      </c>
      <c r="F281" t="s">
        <v>817</v>
      </c>
      <c r="H281">
        <v>92792273</v>
      </c>
      <c r="I281" t="s">
        <v>17</v>
      </c>
      <c r="K281" t="s">
        <v>818</v>
      </c>
      <c r="L281">
        <v>151</v>
      </c>
      <c r="M281" t="s">
        <v>819</v>
      </c>
    </row>
    <row r="282" spans="1:13" x14ac:dyDescent="0.35">
      <c r="A282" t="s">
        <v>13</v>
      </c>
      <c r="B282">
        <v>281401</v>
      </c>
      <c r="C282">
        <v>282927</v>
      </c>
      <c r="E282" t="s">
        <v>38</v>
      </c>
      <c r="F282" t="s">
        <v>820</v>
      </c>
      <c r="H282">
        <v>1021331</v>
      </c>
      <c r="I282" t="s">
        <v>17</v>
      </c>
      <c r="K282" t="s">
        <v>821</v>
      </c>
      <c r="L282">
        <v>508</v>
      </c>
      <c r="M282" t="s">
        <v>822</v>
      </c>
    </row>
    <row r="283" spans="1:13" x14ac:dyDescent="0.35">
      <c r="A283" t="s">
        <v>13</v>
      </c>
      <c r="B283">
        <v>282934</v>
      </c>
      <c r="C283">
        <v>283317</v>
      </c>
      <c r="E283" t="s">
        <v>38</v>
      </c>
      <c r="F283" t="s">
        <v>823</v>
      </c>
      <c r="H283">
        <v>1021326</v>
      </c>
      <c r="I283" t="s">
        <v>17</v>
      </c>
      <c r="K283" t="s">
        <v>824</v>
      </c>
      <c r="L283">
        <v>127</v>
      </c>
      <c r="M283" t="s">
        <v>825</v>
      </c>
    </row>
    <row r="284" spans="1:13" x14ac:dyDescent="0.35">
      <c r="A284" t="s">
        <v>13</v>
      </c>
      <c r="B284">
        <v>283314</v>
      </c>
      <c r="C284">
        <v>286208</v>
      </c>
      <c r="E284" t="s">
        <v>38</v>
      </c>
      <c r="F284" t="s">
        <v>826</v>
      </c>
      <c r="H284">
        <v>1021329</v>
      </c>
      <c r="I284" t="s">
        <v>17</v>
      </c>
      <c r="K284" t="s">
        <v>827</v>
      </c>
      <c r="L284">
        <v>964</v>
      </c>
      <c r="M284" t="s">
        <v>828</v>
      </c>
    </row>
    <row r="285" spans="1:13" x14ac:dyDescent="0.35">
      <c r="A285" t="s">
        <v>13</v>
      </c>
      <c r="B285">
        <v>286382</v>
      </c>
      <c r="C285">
        <v>287860</v>
      </c>
      <c r="E285" t="s">
        <v>14</v>
      </c>
      <c r="F285" t="s">
        <v>829</v>
      </c>
      <c r="H285">
        <v>1021334</v>
      </c>
      <c r="I285" t="s">
        <v>17</v>
      </c>
      <c r="K285" t="s">
        <v>830</v>
      </c>
      <c r="L285">
        <v>492</v>
      </c>
      <c r="M285" t="s">
        <v>831</v>
      </c>
    </row>
    <row r="286" spans="1:13" x14ac:dyDescent="0.35">
      <c r="A286" t="s">
        <v>13</v>
      </c>
      <c r="B286">
        <v>287963</v>
      </c>
      <c r="C286">
        <v>288829</v>
      </c>
      <c r="E286" t="s">
        <v>38</v>
      </c>
      <c r="F286" t="s">
        <v>832</v>
      </c>
      <c r="H286">
        <v>1021336</v>
      </c>
      <c r="I286" t="s">
        <v>17</v>
      </c>
      <c r="K286" t="s">
        <v>833</v>
      </c>
      <c r="L286">
        <v>288</v>
      </c>
      <c r="M286" t="s">
        <v>834</v>
      </c>
    </row>
    <row r="287" spans="1:13" x14ac:dyDescent="0.35">
      <c r="A287" t="s">
        <v>13</v>
      </c>
      <c r="B287">
        <v>289128</v>
      </c>
      <c r="C287">
        <v>289796</v>
      </c>
      <c r="E287" t="s">
        <v>38</v>
      </c>
      <c r="F287" t="s">
        <v>835</v>
      </c>
      <c r="H287">
        <v>1021333</v>
      </c>
      <c r="I287" t="s">
        <v>17</v>
      </c>
      <c r="K287" t="s">
        <v>836</v>
      </c>
      <c r="L287">
        <v>222</v>
      </c>
      <c r="M287" t="s">
        <v>837</v>
      </c>
    </row>
    <row r="288" spans="1:13" x14ac:dyDescent="0.35">
      <c r="A288" t="s">
        <v>13</v>
      </c>
      <c r="B288">
        <v>289774</v>
      </c>
      <c r="C288">
        <v>291243</v>
      </c>
      <c r="E288" t="s">
        <v>38</v>
      </c>
      <c r="F288" t="s">
        <v>237</v>
      </c>
      <c r="H288">
        <v>1021335</v>
      </c>
      <c r="I288" t="s">
        <v>17</v>
      </c>
      <c r="K288" t="s">
        <v>838</v>
      </c>
      <c r="L288">
        <v>489</v>
      </c>
      <c r="M288" t="s">
        <v>839</v>
      </c>
    </row>
    <row r="289" spans="1:13" x14ac:dyDescent="0.35">
      <c r="A289" t="s">
        <v>13</v>
      </c>
      <c r="B289">
        <v>291270</v>
      </c>
      <c r="C289">
        <v>291617</v>
      </c>
      <c r="E289" t="s">
        <v>38</v>
      </c>
      <c r="F289" t="s">
        <v>49</v>
      </c>
      <c r="H289">
        <v>1021338</v>
      </c>
      <c r="I289" t="s">
        <v>17</v>
      </c>
      <c r="K289" t="s">
        <v>840</v>
      </c>
      <c r="L289">
        <v>115</v>
      </c>
      <c r="M289" t="s">
        <v>841</v>
      </c>
    </row>
    <row r="290" spans="1:13" x14ac:dyDescent="0.35">
      <c r="A290" t="s">
        <v>13</v>
      </c>
      <c r="B290">
        <v>291800</v>
      </c>
      <c r="C290">
        <v>292420</v>
      </c>
      <c r="E290" t="s">
        <v>14</v>
      </c>
      <c r="F290" t="s">
        <v>842</v>
      </c>
      <c r="H290">
        <v>1021337</v>
      </c>
      <c r="I290" t="s">
        <v>17</v>
      </c>
      <c r="K290" t="s">
        <v>843</v>
      </c>
      <c r="L290">
        <v>206</v>
      </c>
      <c r="M290" t="s">
        <v>844</v>
      </c>
    </row>
    <row r="291" spans="1:13" x14ac:dyDescent="0.35">
      <c r="A291" t="s">
        <v>13</v>
      </c>
      <c r="B291">
        <v>292469</v>
      </c>
      <c r="C291">
        <v>292542</v>
      </c>
      <c r="E291" t="s">
        <v>38</v>
      </c>
      <c r="F291" t="s">
        <v>845</v>
      </c>
      <c r="H291">
        <v>2745305</v>
      </c>
      <c r="I291" t="s">
        <v>62</v>
      </c>
      <c r="M291" t="s">
        <v>846</v>
      </c>
    </row>
    <row r="292" spans="1:13" x14ac:dyDescent="0.35">
      <c r="A292" t="s">
        <v>13</v>
      </c>
      <c r="B292">
        <v>292594</v>
      </c>
      <c r="C292">
        <v>293502</v>
      </c>
      <c r="E292" t="s">
        <v>38</v>
      </c>
      <c r="F292" t="s">
        <v>89</v>
      </c>
      <c r="H292">
        <v>1021341</v>
      </c>
      <c r="I292" t="s">
        <v>17</v>
      </c>
      <c r="K292" t="s">
        <v>847</v>
      </c>
      <c r="L292">
        <v>302</v>
      </c>
      <c r="M292" t="s">
        <v>848</v>
      </c>
    </row>
    <row r="293" spans="1:13" x14ac:dyDescent="0.35">
      <c r="A293" t="s">
        <v>13</v>
      </c>
      <c r="B293">
        <v>293539</v>
      </c>
      <c r="C293">
        <v>293994</v>
      </c>
      <c r="E293" t="s">
        <v>14</v>
      </c>
      <c r="F293" t="s">
        <v>849</v>
      </c>
      <c r="H293">
        <v>1021339</v>
      </c>
      <c r="I293" t="s">
        <v>17</v>
      </c>
      <c r="K293" t="s">
        <v>850</v>
      </c>
      <c r="L293">
        <v>151</v>
      </c>
      <c r="M293" t="s">
        <v>851</v>
      </c>
    </row>
    <row r="294" spans="1:13" x14ac:dyDescent="0.35">
      <c r="A294" t="s">
        <v>13</v>
      </c>
      <c r="B294">
        <v>294001</v>
      </c>
      <c r="C294">
        <v>296388</v>
      </c>
      <c r="E294" t="s">
        <v>38</v>
      </c>
      <c r="F294" t="s">
        <v>852</v>
      </c>
      <c r="H294">
        <v>1021340</v>
      </c>
      <c r="I294" t="s">
        <v>17</v>
      </c>
      <c r="K294" t="s">
        <v>853</v>
      </c>
      <c r="L294">
        <v>795</v>
      </c>
      <c r="M294" t="s">
        <v>854</v>
      </c>
    </row>
    <row r="295" spans="1:13" x14ac:dyDescent="0.35">
      <c r="A295" t="s">
        <v>13</v>
      </c>
      <c r="B295">
        <v>297055</v>
      </c>
      <c r="C295">
        <v>297405</v>
      </c>
      <c r="E295" t="s">
        <v>14</v>
      </c>
      <c r="F295" t="s">
        <v>855</v>
      </c>
      <c r="G295" t="s">
        <v>856</v>
      </c>
      <c r="H295">
        <v>1021345</v>
      </c>
      <c r="I295" t="s">
        <v>17</v>
      </c>
      <c r="K295" t="s">
        <v>857</v>
      </c>
      <c r="L295">
        <v>116</v>
      </c>
      <c r="M295" t="s">
        <v>858</v>
      </c>
    </row>
    <row r="296" spans="1:13" x14ac:dyDescent="0.35">
      <c r="A296" t="s">
        <v>13</v>
      </c>
      <c r="B296">
        <v>297631</v>
      </c>
      <c r="C296">
        <v>297786</v>
      </c>
      <c r="E296" t="s">
        <v>14</v>
      </c>
      <c r="F296" t="s">
        <v>859</v>
      </c>
      <c r="H296">
        <v>1021343</v>
      </c>
      <c r="I296" t="s">
        <v>17</v>
      </c>
      <c r="K296" t="s">
        <v>860</v>
      </c>
      <c r="L296">
        <v>51</v>
      </c>
      <c r="M296" t="s">
        <v>861</v>
      </c>
    </row>
    <row r="297" spans="1:13" x14ac:dyDescent="0.35">
      <c r="A297" t="s">
        <v>13</v>
      </c>
      <c r="B297">
        <v>297792</v>
      </c>
      <c r="C297">
        <v>298253</v>
      </c>
      <c r="E297" t="s">
        <v>14</v>
      </c>
      <c r="F297" t="s">
        <v>478</v>
      </c>
      <c r="H297">
        <v>1021344</v>
      </c>
      <c r="I297" t="s">
        <v>17</v>
      </c>
      <c r="K297" t="s">
        <v>862</v>
      </c>
      <c r="L297">
        <v>153</v>
      </c>
      <c r="M297" t="s">
        <v>863</v>
      </c>
    </row>
    <row r="298" spans="1:13" x14ac:dyDescent="0.35">
      <c r="A298" t="s">
        <v>13</v>
      </c>
      <c r="B298">
        <v>298329</v>
      </c>
      <c r="C298">
        <v>299684</v>
      </c>
      <c r="E298" t="s">
        <v>38</v>
      </c>
      <c r="F298" t="s">
        <v>265</v>
      </c>
      <c r="H298">
        <v>1021349</v>
      </c>
      <c r="I298" t="s">
        <v>17</v>
      </c>
      <c r="K298" t="s">
        <v>864</v>
      </c>
      <c r="L298">
        <v>451</v>
      </c>
      <c r="M298" t="s">
        <v>865</v>
      </c>
    </row>
    <row r="299" spans="1:13" x14ac:dyDescent="0.35">
      <c r="A299" t="s">
        <v>13</v>
      </c>
      <c r="B299">
        <v>299723</v>
      </c>
      <c r="C299">
        <v>301261</v>
      </c>
      <c r="E299" t="s">
        <v>38</v>
      </c>
      <c r="F299" t="s">
        <v>866</v>
      </c>
      <c r="H299">
        <v>1021346</v>
      </c>
      <c r="I299" t="s">
        <v>17</v>
      </c>
      <c r="K299" t="s">
        <v>867</v>
      </c>
      <c r="L299">
        <v>512</v>
      </c>
      <c r="M299" t="s">
        <v>868</v>
      </c>
    </row>
    <row r="300" spans="1:13" x14ac:dyDescent="0.35">
      <c r="A300" t="s">
        <v>13</v>
      </c>
      <c r="B300">
        <v>301509</v>
      </c>
      <c r="C300">
        <v>301976</v>
      </c>
      <c r="E300" t="s">
        <v>38</v>
      </c>
      <c r="F300" t="s">
        <v>285</v>
      </c>
      <c r="H300">
        <v>1021347</v>
      </c>
      <c r="I300" t="s">
        <v>17</v>
      </c>
      <c r="K300" t="s">
        <v>869</v>
      </c>
      <c r="L300">
        <v>155</v>
      </c>
      <c r="M300" t="s">
        <v>870</v>
      </c>
    </row>
    <row r="301" spans="1:13" x14ac:dyDescent="0.35">
      <c r="A301" t="s">
        <v>13</v>
      </c>
      <c r="B301">
        <v>302167</v>
      </c>
      <c r="C301">
        <v>303102</v>
      </c>
      <c r="E301" t="s">
        <v>14</v>
      </c>
      <c r="F301" t="s">
        <v>871</v>
      </c>
      <c r="H301">
        <v>1021352</v>
      </c>
      <c r="I301" t="s">
        <v>17</v>
      </c>
      <c r="K301" t="s">
        <v>872</v>
      </c>
      <c r="L301">
        <v>311</v>
      </c>
      <c r="M301" t="s">
        <v>873</v>
      </c>
    </row>
    <row r="302" spans="1:13" x14ac:dyDescent="0.35">
      <c r="A302" t="s">
        <v>13</v>
      </c>
      <c r="B302">
        <v>303133</v>
      </c>
      <c r="C302">
        <v>304077</v>
      </c>
      <c r="E302" t="s">
        <v>14</v>
      </c>
      <c r="F302" t="s">
        <v>874</v>
      </c>
      <c r="H302">
        <v>1021350</v>
      </c>
      <c r="I302" t="s">
        <v>17</v>
      </c>
      <c r="K302" t="s">
        <v>875</v>
      </c>
      <c r="L302">
        <v>314</v>
      </c>
      <c r="M302" t="s">
        <v>876</v>
      </c>
    </row>
    <row r="303" spans="1:13" x14ac:dyDescent="0.35">
      <c r="A303" t="s">
        <v>13</v>
      </c>
      <c r="B303">
        <v>304070</v>
      </c>
      <c r="C303">
        <v>305266</v>
      </c>
      <c r="E303" t="s">
        <v>14</v>
      </c>
      <c r="F303" t="s">
        <v>877</v>
      </c>
      <c r="H303">
        <v>1021351</v>
      </c>
      <c r="I303" t="s">
        <v>17</v>
      </c>
      <c r="K303" t="s">
        <v>878</v>
      </c>
      <c r="L303">
        <v>398</v>
      </c>
      <c r="M303" t="s">
        <v>879</v>
      </c>
    </row>
    <row r="304" spans="1:13" x14ac:dyDescent="0.35">
      <c r="A304" t="s">
        <v>13</v>
      </c>
      <c r="B304">
        <v>305288</v>
      </c>
      <c r="C304">
        <v>305761</v>
      </c>
      <c r="E304" t="s">
        <v>14</v>
      </c>
      <c r="F304" t="s">
        <v>880</v>
      </c>
      <c r="H304">
        <v>1021355</v>
      </c>
      <c r="I304" t="s">
        <v>17</v>
      </c>
      <c r="K304" t="s">
        <v>881</v>
      </c>
      <c r="L304">
        <v>157</v>
      </c>
      <c r="M304" t="s">
        <v>882</v>
      </c>
    </row>
    <row r="305" spans="1:13" x14ac:dyDescent="0.35">
      <c r="A305" t="s">
        <v>13</v>
      </c>
      <c r="B305">
        <v>305876</v>
      </c>
      <c r="C305">
        <v>306703</v>
      </c>
      <c r="E305" t="s">
        <v>14</v>
      </c>
      <c r="F305" t="s">
        <v>191</v>
      </c>
      <c r="H305">
        <v>1021353</v>
      </c>
      <c r="I305" t="s">
        <v>17</v>
      </c>
      <c r="K305" t="s">
        <v>883</v>
      </c>
      <c r="L305">
        <v>275</v>
      </c>
      <c r="M305" t="s">
        <v>884</v>
      </c>
    </row>
    <row r="306" spans="1:13" x14ac:dyDescent="0.35">
      <c r="A306" t="s">
        <v>13</v>
      </c>
      <c r="B306">
        <v>306779</v>
      </c>
      <c r="C306">
        <v>307462</v>
      </c>
      <c r="E306" t="s">
        <v>38</v>
      </c>
      <c r="F306" t="s">
        <v>885</v>
      </c>
      <c r="G306" t="s">
        <v>886</v>
      </c>
      <c r="H306">
        <v>1021325</v>
      </c>
      <c r="I306" t="s">
        <v>17</v>
      </c>
      <c r="K306" t="s">
        <v>887</v>
      </c>
      <c r="L306">
        <v>227</v>
      </c>
      <c r="M306" t="s">
        <v>888</v>
      </c>
    </row>
    <row r="307" spans="1:13" x14ac:dyDescent="0.35">
      <c r="A307" t="s">
        <v>13</v>
      </c>
      <c r="B307">
        <v>307724</v>
      </c>
      <c r="C307">
        <v>307909</v>
      </c>
      <c r="E307" t="s">
        <v>38</v>
      </c>
      <c r="F307" t="s">
        <v>49</v>
      </c>
      <c r="H307">
        <v>1021360</v>
      </c>
      <c r="I307" t="s">
        <v>17</v>
      </c>
      <c r="K307" t="s">
        <v>889</v>
      </c>
      <c r="L307">
        <v>61</v>
      </c>
      <c r="M307" t="s">
        <v>890</v>
      </c>
    </row>
    <row r="308" spans="1:13" x14ac:dyDescent="0.35">
      <c r="A308" t="s">
        <v>13</v>
      </c>
      <c r="B308">
        <v>307955</v>
      </c>
      <c r="C308">
        <v>308737</v>
      </c>
      <c r="E308" t="s">
        <v>14</v>
      </c>
      <c r="F308" t="s">
        <v>891</v>
      </c>
      <c r="G308" t="s">
        <v>892</v>
      </c>
      <c r="H308">
        <v>1021358</v>
      </c>
      <c r="I308" t="s">
        <v>17</v>
      </c>
      <c r="K308" t="s">
        <v>893</v>
      </c>
      <c r="L308">
        <v>260</v>
      </c>
      <c r="M308" t="s">
        <v>894</v>
      </c>
    </row>
    <row r="309" spans="1:13" x14ac:dyDescent="0.35">
      <c r="A309" t="s">
        <v>13</v>
      </c>
      <c r="B309">
        <v>308745</v>
      </c>
      <c r="C309">
        <v>309305</v>
      </c>
      <c r="E309" t="s">
        <v>14</v>
      </c>
      <c r="F309" t="s">
        <v>895</v>
      </c>
      <c r="H309">
        <v>1021366</v>
      </c>
      <c r="I309" t="s">
        <v>17</v>
      </c>
      <c r="K309" t="s">
        <v>896</v>
      </c>
      <c r="L309">
        <v>186</v>
      </c>
      <c r="M309" t="s">
        <v>897</v>
      </c>
    </row>
    <row r="310" spans="1:13" x14ac:dyDescent="0.35">
      <c r="A310" t="s">
        <v>13</v>
      </c>
      <c r="B310">
        <v>309298</v>
      </c>
      <c r="C310">
        <v>310041</v>
      </c>
      <c r="E310" t="s">
        <v>14</v>
      </c>
      <c r="F310" t="s">
        <v>898</v>
      </c>
      <c r="H310">
        <v>1021356</v>
      </c>
      <c r="I310" t="s">
        <v>17</v>
      </c>
      <c r="K310" t="s">
        <v>899</v>
      </c>
      <c r="L310">
        <v>247</v>
      </c>
      <c r="M310" t="s">
        <v>900</v>
      </c>
    </row>
    <row r="311" spans="1:13" x14ac:dyDescent="0.35">
      <c r="A311" t="s">
        <v>13</v>
      </c>
      <c r="B311">
        <v>310132</v>
      </c>
      <c r="C311">
        <v>311328</v>
      </c>
      <c r="E311" t="s">
        <v>14</v>
      </c>
      <c r="F311" t="s">
        <v>901</v>
      </c>
      <c r="H311">
        <v>1021359</v>
      </c>
      <c r="I311" t="s">
        <v>17</v>
      </c>
      <c r="K311" t="s">
        <v>902</v>
      </c>
      <c r="L311">
        <v>398</v>
      </c>
      <c r="M311" t="s">
        <v>903</v>
      </c>
    </row>
    <row r="312" spans="1:13" x14ac:dyDescent="0.35">
      <c r="A312" t="s">
        <v>13</v>
      </c>
      <c r="B312">
        <v>311896</v>
      </c>
      <c r="C312">
        <v>312891</v>
      </c>
      <c r="E312" t="s">
        <v>38</v>
      </c>
      <c r="F312" t="s">
        <v>35</v>
      </c>
      <c r="H312">
        <v>1021363</v>
      </c>
      <c r="I312" t="s">
        <v>17</v>
      </c>
      <c r="K312" t="s">
        <v>904</v>
      </c>
      <c r="L312">
        <v>331</v>
      </c>
      <c r="M312" t="s">
        <v>905</v>
      </c>
    </row>
    <row r="313" spans="1:13" x14ac:dyDescent="0.35">
      <c r="A313" t="s">
        <v>13</v>
      </c>
      <c r="B313">
        <v>312906</v>
      </c>
      <c r="C313">
        <v>313457</v>
      </c>
      <c r="E313" t="s">
        <v>38</v>
      </c>
      <c r="F313" t="s">
        <v>661</v>
      </c>
      <c r="H313">
        <v>1021361</v>
      </c>
      <c r="I313" t="s">
        <v>17</v>
      </c>
      <c r="K313" t="s">
        <v>906</v>
      </c>
      <c r="L313">
        <v>183</v>
      </c>
      <c r="M313" t="s">
        <v>907</v>
      </c>
    </row>
    <row r="314" spans="1:13" x14ac:dyDescent="0.35">
      <c r="A314" t="s">
        <v>13</v>
      </c>
      <c r="B314">
        <v>313622</v>
      </c>
      <c r="C314">
        <v>314464</v>
      </c>
      <c r="E314" t="s">
        <v>38</v>
      </c>
      <c r="F314" t="s">
        <v>394</v>
      </c>
      <c r="H314">
        <v>1021354</v>
      </c>
      <c r="I314" t="s">
        <v>17</v>
      </c>
      <c r="K314" t="s">
        <v>908</v>
      </c>
      <c r="L314">
        <v>280</v>
      </c>
      <c r="M314" t="s">
        <v>909</v>
      </c>
    </row>
    <row r="315" spans="1:13" x14ac:dyDescent="0.35">
      <c r="A315" t="s">
        <v>13</v>
      </c>
      <c r="B315">
        <v>314944</v>
      </c>
      <c r="C315">
        <v>316005</v>
      </c>
      <c r="E315" t="s">
        <v>14</v>
      </c>
      <c r="F315" t="s">
        <v>910</v>
      </c>
      <c r="G315" t="s">
        <v>911</v>
      </c>
      <c r="H315">
        <v>1021364</v>
      </c>
      <c r="I315" t="s">
        <v>17</v>
      </c>
      <c r="K315" t="s">
        <v>912</v>
      </c>
      <c r="L315">
        <v>353</v>
      </c>
      <c r="M315" t="s">
        <v>913</v>
      </c>
    </row>
    <row r="316" spans="1:13" x14ac:dyDescent="0.35">
      <c r="A316" t="s">
        <v>13</v>
      </c>
      <c r="B316">
        <v>316002</v>
      </c>
      <c r="C316">
        <v>317135</v>
      </c>
      <c r="E316" t="s">
        <v>14</v>
      </c>
      <c r="F316" t="s">
        <v>914</v>
      </c>
      <c r="H316">
        <v>1021365</v>
      </c>
      <c r="I316" t="s">
        <v>17</v>
      </c>
      <c r="K316" t="s">
        <v>915</v>
      </c>
      <c r="L316">
        <v>377</v>
      </c>
      <c r="M316" t="s">
        <v>916</v>
      </c>
    </row>
    <row r="317" spans="1:13" x14ac:dyDescent="0.35">
      <c r="A317" t="s">
        <v>13</v>
      </c>
      <c r="B317">
        <v>317120</v>
      </c>
      <c r="C317">
        <v>317896</v>
      </c>
      <c r="E317" t="s">
        <v>14</v>
      </c>
      <c r="F317" t="s">
        <v>917</v>
      </c>
      <c r="H317">
        <v>44144925</v>
      </c>
      <c r="I317" t="s">
        <v>17</v>
      </c>
      <c r="K317" t="s">
        <v>918</v>
      </c>
      <c r="L317">
        <v>258</v>
      </c>
      <c r="M317" t="s">
        <v>919</v>
      </c>
    </row>
    <row r="318" spans="1:13" x14ac:dyDescent="0.35">
      <c r="A318" t="s">
        <v>13</v>
      </c>
      <c r="B318">
        <v>317893</v>
      </c>
      <c r="C318">
        <v>318468</v>
      </c>
      <c r="E318" t="s">
        <v>14</v>
      </c>
      <c r="F318" t="s">
        <v>917</v>
      </c>
      <c r="H318">
        <v>1021370</v>
      </c>
      <c r="I318" t="s">
        <v>17</v>
      </c>
      <c r="K318" t="s">
        <v>920</v>
      </c>
      <c r="L318">
        <v>191</v>
      </c>
      <c r="M318" t="s">
        <v>921</v>
      </c>
    </row>
    <row r="319" spans="1:13" x14ac:dyDescent="0.35">
      <c r="A319" t="s">
        <v>13</v>
      </c>
      <c r="B319">
        <v>318492</v>
      </c>
      <c r="C319">
        <v>318692</v>
      </c>
      <c r="E319" t="s">
        <v>14</v>
      </c>
      <c r="F319" t="s">
        <v>922</v>
      </c>
      <c r="H319">
        <v>1021327</v>
      </c>
      <c r="I319" t="s">
        <v>17</v>
      </c>
      <c r="K319" t="s">
        <v>923</v>
      </c>
      <c r="L319">
        <v>66</v>
      </c>
      <c r="M319" t="s">
        <v>924</v>
      </c>
    </row>
    <row r="320" spans="1:13" x14ac:dyDescent="0.35">
      <c r="A320" t="s">
        <v>13</v>
      </c>
      <c r="B320">
        <v>318696</v>
      </c>
      <c r="C320">
        <v>319016</v>
      </c>
      <c r="E320" t="s">
        <v>14</v>
      </c>
      <c r="F320" t="s">
        <v>49</v>
      </c>
      <c r="H320">
        <v>1021372</v>
      </c>
      <c r="I320" t="s">
        <v>17</v>
      </c>
      <c r="K320" t="s">
        <v>925</v>
      </c>
      <c r="L320">
        <v>106</v>
      </c>
      <c r="M320" t="s">
        <v>926</v>
      </c>
    </row>
    <row r="321" spans="1:13" x14ac:dyDescent="0.35">
      <c r="A321" t="s">
        <v>13</v>
      </c>
      <c r="B321">
        <v>319039</v>
      </c>
      <c r="C321">
        <v>319338</v>
      </c>
      <c r="E321" t="s">
        <v>14</v>
      </c>
      <c r="F321" t="s">
        <v>927</v>
      </c>
      <c r="H321">
        <v>1021357</v>
      </c>
      <c r="I321" t="s">
        <v>17</v>
      </c>
      <c r="K321" t="s">
        <v>928</v>
      </c>
      <c r="L321">
        <v>99</v>
      </c>
      <c r="M321" t="s">
        <v>929</v>
      </c>
    </row>
    <row r="322" spans="1:13" x14ac:dyDescent="0.35">
      <c r="A322" t="s">
        <v>13</v>
      </c>
      <c r="B322">
        <v>319333</v>
      </c>
      <c r="C322">
        <v>321690</v>
      </c>
      <c r="E322" t="s">
        <v>38</v>
      </c>
      <c r="F322" t="s">
        <v>930</v>
      </c>
      <c r="H322">
        <v>1021374</v>
      </c>
      <c r="I322" t="s">
        <v>17</v>
      </c>
      <c r="K322" t="s">
        <v>931</v>
      </c>
      <c r="L322">
        <v>785</v>
      </c>
      <c r="M322" t="s">
        <v>932</v>
      </c>
    </row>
    <row r="323" spans="1:13" x14ac:dyDescent="0.35">
      <c r="A323" t="s">
        <v>13</v>
      </c>
      <c r="B323">
        <v>322007</v>
      </c>
      <c r="C323">
        <v>322210</v>
      </c>
      <c r="E323" t="s">
        <v>14</v>
      </c>
      <c r="F323" t="s">
        <v>541</v>
      </c>
      <c r="H323">
        <v>1021371</v>
      </c>
      <c r="I323" t="s">
        <v>17</v>
      </c>
      <c r="K323" t="s">
        <v>933</v>
      </c>
      <c r="L323">
        <v>67</v>
      </c>
      <c r="M323" t="s">
        <v>934</v>
      </c>
    </row>
    <row r="324" spans="1:13" x14ac:dyDescent="0.35">
      <c r="A324" t="s">
        <v>13</v>
      </c>
      <c r="B324">
        <v>322910</v>
      </c>
      <c r="C324">
        <v>325900</v>
      </c>
      <c r="E324" t="s">
        <v>14</v>
      </c>
      <c r="F324" t="s">
        <v>935</v>
      </c>
      <c r="G324" t="s">
        <v>936</v>
      </c>
      <c r="H324">
        <v>1021373</v>
      </c>
      <c r="I324" t="s">
        <v>17</v>
      </c>
      <c r="K324" t="s">
        <v>937</v>
      </c>
      <c r="L324">
        <v>996</v>
      </c>
      <c r="M324" t="s">
        <v>938</v>
      </c>
    </row>
    <row r="325" spans="1:13" x14ac:dyDescent="0.35">
      <c r="A325" t="s">
        <v>13</v>
      </c>
      <c r="B325">
        <v>325919</v>
      </c>
      <c r="C325">
        <v>326617</v>
      </c>
      <c r="E325" t="s">
        <v>14</v>
      </c>
      <c r="F325" t="s">
        <v>939</v>
      </c>
      <c r="H325">
        <v>1021377</v>
      </c>
      <c r="I325" t="s">
        <v>17</v>
      </c>
      <c r="K325" t="s">
        <v>940</v>
      </c>
      <c r="L325">
        <v>232</v>
      </c>
      <c r="M325" t="s">
        <v>941</v>
      </c>
    </row>
    <row r="326" spans="1:13" x14ac:dyDescent="0.35">
      <c r="A326" t="s">
        <v>13</v>
      </c>
      <c r="B326">
        <v>326692</v>
      </c>
      <c r="C326">
        <v>328218</v>
      </c>
      <c r="E326" t="s">
        <v>38</v>
      </c>
      <c r="F326" t="s">
        <v>942</v>
      </c>
      <c r="H326">
        <v>1021375</v>
      </c>
      <c r="I326" t="s">
        <v>17</v>
      </c>
      <c r="K326" t="s">
        <v>943</v>
      </c>
      <c r="L326">
        <v>508</v>
      </c>
      <c r="M326" t="s">
        <v>944</v>
      </c>
    </row>
    <row r="327" spans="1:13" x14ac:dyDescent="0.35">
      <c r="A327" t="s">
        <v>13</v>
      </c>
      <c r="B327">
        <v>328283</v>
      </c>
      <c r="C327">
        <v>329542</v>
      </c>
      <c r="E327" t="s">
        <v>14</v>
      </c>
      <c r="F327" t="s">
        <v>945</v>
      </c>
      <c r="H327">
        <v>1021376</v>
      </c>
      <c r="I327" t="s">
        <v>17</v>
      </c>
      <c r="K327" t="s">
        <v>946</v>
      </c>
      <c r="L327">
        <v>419</v>
      </c>
      <c r="M327" t="s">
        <v>947</v>
      </c>
    </row>
    <row r="328" spans="1:13" x14ac:dyDescent="0.35">
      <c r="A328" t="s">
        <v>13</v>
      </c>
      <c r="B328">
        <v>329629</v>
      </c>
      <c r="C328">
        <v>329704</v>
      </c>
      <c r="E328" t="s">
        <v>14</v>
      </c>
      <c r="F328" t="s">
        <v>948</v>
      </c>
      <c r="H328">
        <v>2745377</v>
      </c>
      <c r="I328" t="s">
        <v>62</v>
      </c>
      <c r="M328" t="s">
        <v>949</v>
      </c>
    </row>
    <row r="329" spans="1:13" x14ac:dyDescent="0.35">
      <c r="A329" t="s">
        <v>13</v>
      </c>
      <c r="B329">
        <v>329933</v>
      </c>
      <c r="C329">
        <v>330379</v>
      </c>
      <c r="E329" t="s">
        <v>14</v>
      </c>
      <c r="F329" t="s">
        <v>950</v>
      </c>
      <c r="H329">
        <v>1021378</v>
      </c>
      <c r="I329" t="s">
        <v>17</v>
      </c>
      <c r="K329" t="s">
        <v>951</v>
      </c>
      <c r="L329">
        <v>148</v>
      </c>
      <c r="M329" t="s">
        <v>952</v>
      </c>
    </row>
    <row r="330" spans="1:13" x14ac:dyDescent="0.35">
      <c r="A330" t="s">
        <v>13</v>
      </c>
      <c r="B330">
        <v>330573</v>
      </c>
      <c r="C330">
        <v>330812</v>
      </c>
      <c r="E330" t="s">
        <v>14</v>
      </c>
      <c r="F330" t="s">
        <v>49</v>
      </c>
      <c r="H330">
        <v>44144926</v>
      </c>
      <c r="I330" t="s">
        <v>17</v>
      </c>
      <c r="K330" t="s">
        <v>953</v>
      </c>
      <c r="L330">
        <v>79</v>
      </c>
      <c r="M330" t="s">
        <v>954</v>
      </c>
    </row>
    <row r="331" spans="1:13" x14ac:dyDescent="0.35">
      <c r="A331" t="s">
        <v>13</v>
      </c>
      <c r="B331">
        <v>330973</v>
      </c>
      <c r="C331">
        <v>331536</v>
      </c>
      <c r="E331" t="s">
        <v>14</v>
      </c>
      <c r="F331" t="s">
        <v>955</v>
      </c>
      <c r="H331">
        <v>1021379</v>
      </c>
      <c r="I331" t="s">
        <v>17</v>
      </c>
      <c r="K331" t="s">
        <v>956</v>
      </c>
      <c r="L331">
        <v>187</v>
      </c>
      <c r="M331" t="s">
        <v>957</v>
      </c>
    </row>
    <row r="332" spans="1:13" x14ac:dyDescent="0.35">
      <c r="A332" t="s">
        <v>13</v>
      </c>
      <c r="B332">
        <v>331552</v>
      </c>
      <c r="C332">
        <v>332436</v>
      </c>
      <c r="E332" t="s">
        <v>14</v>
      </c>
      <c r="F332" t="s">
        <v>958</v>
      </c>
      <c r="H332">
        <v>1021385</v>
      </c>
      <c r="I332" t="s">
        <v>17</v>
      </c>
      <c r="K332" t="s">
        <v>959</v>
      </c>
      <c r="L332">
        <v>294</v>
      </c>
      <c r="M332" t="s">
        <v>960</v>
      </c>
    </row>
    <row r="333" spans="1:13" x14ac:dyDescent="0.35">
      <c r="A333" t="s">
        <v>13</v>
      </c>
      <c r="B333">
        <v>332919</v>
      </c>
      <c r="C333">
        <v>334956</v>
      </c>
      <c r="E333" t="s">
        <v>14</v>
      </c>
      <c r="F333" t="s">
        <v>141</v>
      </c>
      <c r="H333">
        <v>1021382</v>
      </c>
      <c r="I333" t="s">
        <v>142</v>
      </c>
      <c r="M333" t="s">
        <v>961</v>
      </c>
    </row>
    <row r="334" spans="1:13" x14ac:dyDescent="0.35">
      <c r="A334" t="s">
        <v>13</v>
      </c>
      <c r="B334">
        <v>335009</v>
      </c>
      <c r="C334">
        <v>336115</v>
      </c>
      <c r="E334" t="s">
        <v>14</v>
      </c>
      <c r="F334" t="s">
        <v>962</v>
      </c>
      <c r="H334">
        <v>1021381</v>
      </c>
      <c r="I334" t="s">
        <v>17</v>
      </c>
      <c r="K334" t="s">
        <v>963</v>
      </c>
      <c r="L334">
        <v>368</v>
      </c>
      <c r="M334" t="s">
        <v>964</v>
      </c>
    </row>
    <row r="335" spans="1:13" x14ac:dyDescent="0.35">
      <c r="A335" t="s">
        <v>13</v>
      </c>
      <c r="B335">
        <v>336116</v>
      </c>
      <c r="C335">
        <v>336751</v>
      </c>
      <c r="E335" t="s">
        <v>14</v>
      </c>
      <c r="F335" t="s">
        <v>191</v>
      </c>
      <c r="H335">
        <v>1021386</v>
      </c>
      <c r="I335" t="s">
        <v>17</v>
      </c>
      <c r="K335" t="s">
        <v>965</v>
      </c>
      <c r="L335">
        <v>211</v>
      </c>
      <c r="M335" t="s">
        <v>966</v>
      </c>
    </row>
    <row r="336" spans="1:13" x14ac:dyDescent="0.35">
      <c r="A336" t="s">
        <v>13</v>
      </c>
      <c r="B336">
        <v>336781</v>
      </c>
      <c r="C336">
        <v>337452</v>
      </c>
      <c r="E336" t="s">
        <v>14</v>
      </c>
      <c r="F336" t="s">
        <v>871</v>
      </c>
      <c r="H336">
        <v>1021367</v>
      </c>
      <c r="I336" t="s">
        <v>17</v>
      </c>
      <c r="K336" t="s">
        <v>967</v>
      </c>
      <c r="L336">
        <v>223</v>
      </c>
      <c r="M336" t="s">
        <v>968</v>
      </c>
    </row>
    <row r="337" spans="1:13" x14ac:dyDescent="0.35">
      <c r="A337" t="s">
        <v>13</v>
      </c>
      <c r="B337">
        <v>337539</v>
      </c>
      <c r="C337">
        <v>338771</v>
      </c>
      <c r="E337" t="s">
        <v>14</v>
      </c>
      <c r="F337" t="s">
        <v>265</v>
      </c>
      <c r="H337">
        <v>1021388</v>
      </c>
      <c r="I337" t="s">
        <v>17</v>
      </c>
      <c r="K337" t="s">
        <v>969</v>
      </c>
      <c r="L337">
        <v>410</v>
      </c>
      <c r="M337" t="s">
        <v>970</v>
      </c>
    </row>
    <row r="338" spans="1:13" x14ac:dyDescent="0.35">
      <c r="A338" t="s">
        <v>13</v>
      </c>
      <c r="B338">
        <v>338793</v>
      </c>
      <c r="C338">
        <v>339728</v>
      </c>
      <c r="E338" t="s">
        <v>14</v>
      </c>
      <c r="F338" t="s">
        <v>971</v>
      </c>
      <c r="H338">
        <v>1021383</v>
      </c>
      <c r="I338" t="s">
        <v>17</v>
      </c>
      <c r="K338" t="s">
        <v>972</v>
      </c>
      <c r="L338">
        <v>311</v>
      </c>
      <c r="M338" t="s">
        <v>973</v>
      </c>
    </row>
    <row r="339" spans="1:13" x14ac:dyDescent="0.35">
      <c r="A339" t="s">
        <v>13</v>
      </c>
      <c r="B339">
        <v>340192</v>
      </c>
      <c r="C339">
        <v>340569</v>
      </c>
      <c r="E339" t="s">
        <v>38</v>
      </c>
      <c r="F339" t="s">
        <v>974</v>
      </c>
      <c r="H339">
        <v>1021390</v>
      </c>
      <c r="I339" t="s">
        <v>17</v>
      </c>
      <c r="K339" t="s">
        <v>975</v>
      </c>
      <c r="L339">
        <v>125</v>
      </c>
      <c r="M339" t="s">
        <v>976</v>
      </c>
    </row>
    <row r="340" spans="1:13" x14ac:dyDescent="0.35">
      <c r="A340" t="s">
        <v>13</v>
      </c>
      <c r="B340">
        <v>340566</v>
      </c>
      <c r="C340">
        <v>341276</v>
      </c>
      <c r="E340" t="s">
        <v>38</v>
      </c>
      <c r="F340" t="s">
        <v>977</v>
      </c>
      <c r="H340">
        <v>1021114</v>
      </c>
      <c r="I340" t="s">
        <v>17</v>
      </c>
      <c r="K340" t="s">
        <v>978</v>
      </c>
      <c r="L340">
        <v>236</v>
      </c>
      <c r="M340" t="s">
        <v>979</v>
      </c>
    </row>
    <row r="341" spans="1:13" x14ac:dyDescent="0.35">
      <c r="A341" t="s">
        <v>13</v>
      </c>
      <c r="B341">
        <v>341356</v>
      </c>
      <c r="C341">
        <v>342378</v>
      </c>
      <c r="E341" t="s">
        <v>14</v>
      </c>
      <c r="F341" t="s">
        <v>980</v>
      </c>
      <c r="H341">
        <v>1021389</v>
      </c>
      <c r="I341" t="s">
        <v>17</v>
      </c>
      <c r="K341" t="s">
        <v>981</v>
      </c>
      <c r="L341">
        <v>340</v>
      </c>
      <c r="M341" t="s">
        <v>982</v>
      </c>
    </row>
    <row r="342" spans="1:13" x14ac:dyDescent="0.35">
      <c r="A342" t="s">
        <v>13</v>
      </c>
      <c r="B342">
        <v>342417</v>
      </c>
      <c r="C342">
        <v>343454</v>
      </c>
      <c r="E342" t="s">
        <v>14</v>
      </c>
      <c r="F342" t="s">
        <v>977</v>
      </c>
      <c r="H342">
        <v>1021368</v>
      </c>
      <c r="I342" t="s">
        <v>17</v>
      </c>
      <c r="K342" t="s">
        <v>983</v>
      </c>
      <c r="L342">
        <v>345</v>
      </c>
      <c r="M342" t="s">
        <v>984</v>
      </c>
    </row>
    <row r="343" spans="1:13" x14ac:dyDescent="0.35">
      <c r="A343" t="s">
        <v>13</v>
      </c>
      <c r="B343">
        <v>343636</v>
      </c>
      <c r="C343">
        <v>345720</v>
      </c>
      <c r="E343" t="s">
        <v>14</v>
      </c>
      <c r="F343" t="s">
        <v>985</v>
      </c>
      <c r="H343">
        <v>1021392</v>
      </c>
      <c r="I343" t="s">
        <v>17</v>
      </c>
      <c r="K343" t="s">
        <v>986</v>
      </c>
      <c r="L343">
        <v>694</v>
      </c>
      <c r="M343" t="s">
        <v>987</v>
      </c>
    </row>
    <row r="344" spans="1:13" x14ac:dyDescent="0.35">
      <c r="A344" t="s">
        <v>13</v>
      </c>
      <c r="B344">
        <v>346107</v>
      </c>
      <c r="C344">
        <v>346460</v>
      </c>
      <c r="E344" t="s">
        <v>38</v>
      </c>
      <c r="F344" t="s">
        <v>49</v>
      </c>
      <c r="H344">
        <v>1021387</v>
      </c>
      <c r="I344" t="s">
        <v>17</v>
      </c>
      <c r="K344" t="s">
        <v>988</v>
      </c>
      <c r="L344">
        <v>117</v>
      </c>
      <c r="M344" t="s">
        <v>989</v>
      </c>
    </row>
    <row r="345" spans="1:13" x14ac:dyDescent="0.35">
      <c r="A345" t="s">
        <v>13</v>
      </c>
      <c r="B345">
        <v>346958</v>
      </c>
      <c r="C345">
        <v>348019</v>
      </c>
      <c r="E345" t="s">
        <v>38</v>
      </c>
      <c r="F345" t="s">
        <v>990</v>
      </c>
      <c r="G345" t="s">
        <v>991</v>
      </c>
      <c r="H345">
        <v>1021395</v>
      </c>
      <c r="I345" t="s">
        <v>17</v>
      </c>
      <c r="K345" t="s">
        <v>992</v>
      </c>
      <c r="L345">
        <v>353</v>
      </c>
      <c r="M345" t="s">
        <v>993</v>
      </c>
    </row>
    <row r="346" spans="1:13" x14ac:dyDescent="0.35">
      <c r="A346" t="s">
        <v>13</v>
      </c>
      <c r="B346">
        <v>348095</v>
      </c>
      <c r="C346">
        <v>348952</v>
      </c>
      <c r="E346" t="s">
        <v>38</v>
      </c>
      <c r="F346" t="s">
        <v>994</v>
      </c>
      <c r="G346" t="s">
        <v>995</v>
      </c>
      <c r="H346">
        <v>1021396</v>
      </c>
      <c r="I346" t="s">
        <v>17</v>
      </c>
      <c r="K346" t="s">
        <v>996</v>
      </c>
      <c r="L346">
        <v>285</v>
      </c>
      <c r="M346" t="s">
        <v>997</v>
      </c>
    </row>
    <row r="347" spans="1:13" x14ac:dyDescent="0.35">
      <c r="A347" t="s">
        <v>13</v>
      </c>
      <c r="B347">
        <v>348949</v>
      </c>
      <c r="C347">
        <v>350310</v>
      </c>
      <c r="E347" t="s">
        <v>38</v>
      </c>
      <c r="F347" t="s">
        <v>998</v>
      </c>
      <c r="H347">
        <v>1021124</v>
      </c>
      <c r="I347" t="s">
        <v>17</v>
      </c>
      <c r="K347" t="s">
        <v>999</v>
      </c>
      <c r="L347">
        <v>453</v>
      </c>
      <c r="M347" t="s">
        <v>1000</v>
      </c>
    </row>
    <row r="348" spans="1:13" x14ac:dyDescent="0.35">
      <c r="A348" t="s">
        <v>13</v>
      </c>
      <c r="B348">
        <v>350310</v>
      </c>
      <c r="C348">
        <v>351329</v>
      </c>
      <c r="E348" t="s">
        <v>38</v>
      </c>
      <c r="F348" t="s">
        <v>1001</v>
      </c>
      <c r="G348" t="s">
        <v>1002</v>
      </c>
      <c r="H348">
        <v>1021061</v>
      </c>
      <c r="I348" t="s">
        <v>17</v>
      </c>
      <c r="K348" t="s">
        <v>1003</v>
      </c>
      <c r="L348">
        <v>339</v>
      </c>
      <c r="M348" t="s">
        <v>1004</v>
      </c>
    </row>
    <row r="349" spans="1:13" x14ac:dyDescent="0.35">
      <c r="A349" t="s">
        <v>13</v>
      </c>
      <c r="B349">
        <v>351367</v>
      </c>
      <c r="C349">
        <v>351948</v>
      </c>
      <c r="E349" t="s">
        <v>38</v>
      </c>
      <c r="F349" t="s">
        <v>1005</v>
      </c>
      <c r="H349">
        <v>1021176</v>
      </c>
      <c r="I349" t="s">
        <v>17</v>
      </c>
      <c r="K349" t="s">
        <v>1006</v>
      </c>
      <c r="L349">
        <v>193</v>
      </c>
      <c r="M349" t="s">
        <v>1007</v>
      </c>
    </row>
    <row r="350" spans="1:13" x14ac:dyDescent="0.35">
      <c r="A350" t="s">
        <v>13</v>
      </c>
      <c r="B350">
        <v>352693</v>
      </c>
      <c r="C350">
        <v>353640</v>
      </c>
      <c r="E350" t="s">
        <v>14</v>
      </c>
      <c r="F350" t="s">
        <v>1008</v>
      </c>
      <c r="H350">
        <v>1021397</v>
      </c>
      <c r="I350" t="s">
        <v>17</v>
      </c>
      <c r="K350" t="s">
        <v>1009</v>
      </c>
      <c r="L350">
        <v>315</v>
      </c>
      <c r="M350" t="s">
        <v>1010</v>
      </c>
    </row>
    <row r="351" spans="1:13" x14ac:dyDescent="0.35">
      <c r="A351" t="s">
        <v>13</v>
      </c>
      <c r="B351">
        <v>353746</v>
      </c>
      <c r="C351">
        <v>354387</v>
      </c>
      <c r="E351" t="s">
        <v>38</v>
      </c>
      <c r="F351" t="s">
        <v>49</v>
      </c>
      <c r="H351">
        <v>1021083</v>
      </c>
      <c r="I351" t="s">
        <v>17</v>
      </c>
      <c r="K351" t="s">
        <v>1011</v>
      </c>
      <c r="L351">
        <v>213</v>
      </c>
      <c r="M351" t="s">
        <v>1012</v>
      </c>
    </row>
    <row r="352" spans="1:13" x14ac:dyDescent="0.35">
      <c r="A352" t="s">
        <v>13</v>
      </c>
      <c r="B352">
        <v>354596</v>
      </c>
      <c r="C352">
        <v>355846</v>
      </c>
      <c r="E352" t="s">
        <v>38</v>
      </c>
      <c r="F352" t="s">
        <v>49</v>
      </c>
      <c r="H352">
        <v>1021398</v>
      </c>
      <c r="I352" t="s">
        <v>17</v>
      </c>
      <c r="K352" t="s">
        <v>1013</v>
      </c>
      <c r="L352">
        <v>416</v>
      </c>
      <c r="M352" t="s">
        <v>1014</v>
      </c>
    </row>
    <row r="353" spans="1:13" x14ac:dyDescent="0.35">
      <c r="A353" t="s">
        <v>13</v>
      </c>
      <c r="B353">
        <v>355846</v>
      </c>
      <c r="C353">
        <v>357228</v>
      </c>
      <c r="E353" t="s">
        <v>38</v>
      </c>
      <c r="F353" t="s">
        <v>1015</v>
      </c>
      <c r="H353">
        <v>1021394</v>
      </c>
      <c r="I353" t="s">
        <v>17</v>
      </c>
      <c r="K353" t="s">
        <v>1016</v>
      </c>
      <c r="L353">
        <v>460</v>
      </c>
      <c r="M353" t="s">
        <v>1017</v>
      </c>
    </row>
    <row r="354" spans="1:13" x14ac:dyDescent="0.35">
      <c r="A354" t="s">
        <v>13</v>
      </c>
      <c r="B354">
        <v>357234</v>
      </c>
      <c r="C354">
        <v>359240</v>
      </c>
      <c r="E354" t="s">
        <v>38</v>
      </c>
      <c r="F354" t="s">
        <v>1018</v>
      </c>
      <c r="H354">
        <v>1021172</v>
      </c>
      <c r="I354" t="s">
        <v>17</v>
      </c>
      <c r="K354" t="s">
        <v>1019</v>
      </c>
      <c r="L354">
        <v>668</v>
      </c>
      <c r="M354" t="s">
        <v>1020</v>
      </c>
    </row>
    <row r="355" spans="1:13" x14ac:dyDescent="0.35">
      <c r="A355" t="s">
        <v>13</v>
      </c>
      <c r="B355">
        <v>359759</v>
      </c>
      <c r="C355">
        <v>360307</v>
      </c>
      <c r="E355" t="s">
        <v>38</v>
      </c>
      <c r="F355" t="s">
        <v>1021</v>
      </c>
      <c r="H355">
        <v>1021060</v>
      </c>
      <c r="I355" t="s">
        <v>17</v>
      </c>
      <c r="K355" t="s">
        <v>1022</v>
      </c>
      <c r="L355">
        <v>182</v>
      </c>
      <c r="M355" t="s">
        <v>1023</v>
      </c>
    </row>
    <row r="356" spans="1:13" x14ac:dyDescent="0.35">
      <c r="A356" t="s">
        <v>13</v>
      </c>
      <c r="B356">
        <v>360811</v>
      </c>
      <c r="C356">
        <v>361905</v>
      </c>
      <c r="E356" t="s">
        <v>38</v>
      </c>
      <c r="F356" t="s">
        <v>1024</v>
      </c>
      <c r="H356">
        <v>1021180</v>
      </c>
      <c r="I356" t="s">
        <v>17</v>
      </c>
      <c r="K356" t="s">
        <v>1025</v>
      </c>
      <c r="L356">
        <v>364</v>
      </c>
      <c r="M356" t="s">
        <v>1026</v>
      </c>
    </row>
    <row r="357" spans="1:13" x14ac:dyDescent="0.35">
      <c r="A357" t="s">
        <v>13</v>
      </c>
      <c r="B357">
        <v>362054</v>
      </c>
      <c r="C357">
        <v>363151</v>
      </c>
      <c r="E357" t="s">
        <v>38</v>
      </c>
      <c r="F357" t="s">
        <v>391</v>
      </c>
      <c r="H357">
        <v>1021400</v>
      </c>
      <c r="I357" t="s">
        <v>17</v>
      </c>
      <c r="K357" t="s">
        <v>1027</v>
      </c>
      <c r="L357">
        <v>365</v>
      </c>
      <c r="M357" t="s">
        <v>1028</v>
      </c>
    </row>
    <row r="358" spans="1:13" x14ac:dyDescent="0.35">
      <c r="A358" t="s">
        <v>13</v>
      </c>
      <c r="B358">
        <v>363824</v>
      </c>
      <c r="C358">
        <v>365260</v>
      </c>
      <c r="E358" t="s">
        <v>14</v>
      </c>
      <c r="F358" t="s">
        <v>1029</v>
      </c>
      <c r="H358">
        <v>1021402</v>
      </c>
      <c r="I358" t="s">
        <v>17</v>
      </c>
      <c r="K358" t="s">
        <v>1030</v>
      </c>
      <c r="L358">
        <v>478</v>
      </c>
      <c r="M358" t="s">
        <v>1031</v>
      </c>
    </row>
    <row r="359" spans="1:13" x14ac:dyDescent="0.35">
      <c r="A359" t="s">
        <v>13</v>
      </c>
      <c r="B359">
        <v>365250</v>
      </c>
      <c r="C359">
        <v>365855</v>
      </c>
      <c r="E359" t="s">
        <v>14</v>
      </c>
      <c r="F359" t="s">
        <v>808</v>
      </c>
      <c r="H359">
        <v>1021170</v>
      </c>
      <c r="I359" t="s">
        <v>17</v>
      </c>
      <c r="K359" t="s">
        <v>1032</v>
      </c>
      <c r="L359">
        <v>201</v>
      </c>
      <c r="M359" t="s">
        <v>1033</v>
      </c>
    </row>
    <row r="360" spans="1:13" x14ac:dyDescent="0.35">
      <c r="A360" t="s">
        <v>13</v>
      </c>
      <c r="B360">
        <v>365855</v>
      </c>
      <c r="C360">
        <v>366841</v>
      </c>
      <c r="E360" t="s">
        <v>14</v>
      </c>
      <c r="F360" t="s">
        <v>1034</v>
      </c>
      <c r="H360">
        <v>1021391</v>
      </c>
      <c r="I360" t="s">
        <v>17</v>
      </c>
      <c r="K360" t="s">
        <v>1035</v>
      </c>
      <c r="L360">
        <v>328</v>
      </c>
      <c r="M360" t="s">
        <v>1036</v>
      </c>
    </row>
    <row r="361" spans="1:13" x14ac:dyDescent="0.35">
      <c r="A361" t="s">
        <v>13</v>
      </c>
      <c r="B361">
        <v>366832</v>
      </c>
      <c r="C361">
        <v>368646</v>
      </c>
      <c r="E361" t="s">
        <v>14</v>
      </c>
      <c r="F361" t="s">
        <v>1037</v>
      </c>
      <c r="H361">
        <v>1021073</v>
      </c>
      <c r="I361" t="s">
        <v>17</v>
      </c>
      <c r="K361" t="s">
        <v>1038</v>
      </c>
      <c r="L361">
        <v>604</v>
      </c>
      <c r="M361" t="s">
        <v>1039</v>
      </c>
    </row>
    <row r="362" spans="1:13" x14ac:dyDescent="0.35">
      <c r="A362" t="s">
        <v>13</v>
      </c>
      <c r="B362">
        <v>368647</v>
      </c>
      <c r="C362">
        <v>369804</v>
      </c>
      <c r="E362" t="s">
        <v>14</v>
      </c>
      <c r="F362" t="s">
        <v>1040</v>
      </c>
      <c r="H362">
        <v>1021186</v>
      </c>
      <c r="I362" t="s">
        <v>17</v>
      </c>
      <c r="K362" t="s">
        <v>1041</v>
      </c>
      <c r="L362">
        <v>385</v>
      </c>
      <c r="M362" t="s">
        <v>1042</v>
      </c>
    </row>
    <row r="363" spans="1:13" x14ac:dyDescent="0.35">
      <c r="A363" t="s">
        <v>13</v>
      </c>
      <c r="B363">
        <v>369794</v>
      </c>
      <c r="C363">
        <v>370408</v>
      </c>
      <c r="E363" t="s">
        <v>14</v>
      </c>
      <c r="F363" t="s">
        <v>1043</v>
      </c>
      <c r="H363">
        <v>1021404</v>
      </c>
      <c r="I363" t="s">
        <v>17</v>
      </c>
      <c r="K363" t="s">
        <v>1044</v>
      </c>
      <c r="L363">
        <v>204</v>
      </c>
      <c r="M363" t="s">
        <v>1045</v>
      </c>
    </row>
    <row r="364" spans="1:13" x14ac:dyDescent="0.35">
      <c r="A364" t="s">
        <v>13</v>
      </c>
      <c r="B364">
        <v>370685</v>
      </c>
      <c r="C364">
        <v>371776</v>
      </c>
      <c r="E364" t="s">
        <v>14</v>
      </c>
      <c r="F364" t="s">
        <v>1046</v>
      </c>
      <c r="H364">
        <v>1021401</v>
      </c>
      <c r="I364" t="s">
        <v>17</v>
      </c>
      <c r="K364" t="s">
        <v>1047</v>
      </c>
      <c r="L364">
        <v>363</v>
      </c>
      <c r="M364" t="s">
        <v>1048</v>
      </c>
    </row>
    <row r="365" spans="1:13" x14ac:dyDescent="0.35">
      <c r="A365" t="s">
        <v>13</v>
      </c>
      <c r="B365">
        <v>371929</v>
      </c>
      <c r="C365">
        <v>373422</v>
      </c>
      <c r="E365" t="s">
        <v>14</v>
      </c>
      <c r="F365" t="s">
        <v>1049</v>
      </c>
      <c r="H365">
        <v>1021405</v>
      </c>
      <c r="I365" t="s">
        <v>17</v>
      </c>
      <c r="K365" t="s">
        <v>1050</v>
      </c>
      <c r="L365">
        <v>497</v>
      </c>
      <c r="M365" t="s">
        <v>1051</v>
      </c>
    </row>
    <row r="366" spans="1:13" x14ac:dyDescent="0.35">
      <c r="A366" t="s">
        <v>13</v>
      </c>
      <c r="B366">
        <v>373500</v>
      </c>
      <c r="C366">
        <v>374816</v>
      </c>
      <c r="E366" t="s">
        <v>14</v>
      </c>
      <c r="F366" t="s">
        <v>1052</v>
      </c>
      <c r="H366">
        <v>1021194</v>
      </c>
      <c r="I366" t="s">
        <v>17</v>
      </c>
      <c r="K366" t="s">
        <v>1053</v>
      </c>
      <c r="L366">
        <v>438</v>
      </c>
      <c r="M366" t="s">
        <v>1054</v>
      </c>
    </row>
    <row r="367" spans="1:13" x14ac:dyDescent="0.35">
      <c r="A367" t="s">
        <v>13</v>
      </c>
      <c r="B367">
        <v>374833</v>
      </c>
      <c r="C367">
        <v>375840</v>
      </c>
      <c r="E367" t="s">
        <v>14</v>
      </c>
      <c r="F367" t="s">
        <v>1055</v>
      </c>
      <c r="G367" t="s">
        <v>1056</v>
      </c>
      <c r="H367">
        <v>1021403</v>
      </c>
      <c r="I367" t="s">
        <v>17</v>
      </c>
      <c r="K367" t="s">
        <v>1057</v>
      </c>
      <c r="L367">
        <v>335</v>
      </c>
      <c r="M367" t="s">
        <v>1058</v>
      </c>
    </row>
    <row r="368" spans="1:13" x14ac:dyDescent="0.35">
      <c r="A368" t="s">
        <v>13</v>
      </c>
      <c r="B368">
        <v>375842</v>
      </c>
      <c r="C368">
        <v>376879</v>
      </c>
      <c r="E368" t="s">
        <v>14</v>
      </c>
      <c r="F368" t="s">
        <v>977</v>
      </c>
      <c r="H368">
        <v>1021406</v>
      </c>
      <c r="I368" t="s">
        <v>17</v>
      </c>
      <c r="K368" t="s">
        <v>1059</v>
      </c>
      <c r="L368">
        <v>345</v>
      </c>
      <c r="M368" t="s">
        <v>1060</v>
      </c>
    </row>
    <row r="369" spans="1:13" x14ac:dyDescent="0.35">
      <c r="A369" t="s">
        <v>13</v>
      </c>
      <c r="B369">
        <v>377683</v>
      </c>
      <c r="C369">
        <v>377835</v>
      </c>
      <c r="E369" t="s">
        <v>14</v>
      </c>
      <c r="F369" t="s">
        <v>1061</v>
      </c>
      <c r="H369">
        <v>92792284</v>
      </c>
      <c r="I369" t="s">
        <v>17</v>
      </c>
      <c r="K369" t="s">
        <v>1062</v>
      </c>
      <c r="L369">
        <v>50</v>
      </c>
      <c r="M369" t="s">
        <v>1063</v>
      </c>
    </row>
    <row r="370" spans="1:13" x14ac:dyDescent="0.35">
      <c r="A370" t="s">
        <v>13</v>
      </c>
      <c r="B370">
        <v>377832</v>
      </c>
      <c r="C370">
        <v>378056</v>
      </c>
      <c r="E370" t="s">
        <v>38</v>
      </c>
      <c r="F370" t="s">
        <v>49</v>
      </c>
      <c r="H370">
        <v>92792285</v>
      </c>
      <c r="I370" t="s">
        <v>17</v>
      </c>
      <c r="K370" t="s">
        <v>1064</v>
      </c>
      <c r="L370">
        <v>74</v>
      </c>
      <c r="M370" t="s">
        <v>1065</v>
      </c>
    </row>
    <row r="371" spans="1:13" x14ac:dyDescent="0.35">
      <c r="A371" t="s">
        <v>13</v>
      </c>
      <c r="B371">
        <v>378296</v>
      </c>
      <c r="C371">
        <v>378514</v>
      </c>
      <c r="E371" t="s">
        <v>14</v>
      </c>
      <c r="F371" t="s">
        <v>1061</v>
      </c>
      <c r="H371">
        <v>92792286</v>
      </c>
      <c r="I371" t="s">
        <v>17</v>
      </c>
      <c r="K371" t="s">
        <v>1066</v>
      </c>
      <c r="L371">
        <v>72</v>
      </c>
      <c r="M371" t="s">
        <v>1067</v>
      </c>
    </row>
    <row r="372" spans="1:13" x14ac:dyDescent="0.35">
      <c r="A372" t="s">
        <v>13</v>
      </c>
      <c r="B372">
        <v>378665</v>
      </c>
      <c r="C372">
        <v>379837</v>
      </c>
      <c r="E372" t="s">
        <v>38</v>
      </c>
      <c r="F372" t="s">
        <v>1068</v>
      </c>
      <c r="H372">
        <v>1021408</v>
      </c>
      <c r="I372" t="s">
        <v>17</v>
      </c>
      <c r="K372" t="s">
        <v>1069</v>
      </c>
      <c r="L372">
        <v>390</v>
      </c>
      <c r="M372" t="s">
        <v>1070</v>
      </c>
    </row>
    <row r="373" spans="1:13" x14ac:dyDescent="0.35">
      <c r="A373" t="s">
        <v>13</v>
      </c>
      <c r="B373">
        <v>379847</v>
      </c>
      <c r="C373">
        <v>380842</v>
      </c>
      <c r="E373" t="s">
        <v>38</v>
      </c>
      <c r="F373" t="s">
        <v>1071</v>
      </c>
      <c r="H373">
        <v>1021057</v>
      </c>
      <c r="I373" t="s">
        <v>17</v>
      </c>
      <c r="K373" t="s">
        <v>1072</v>
      </c>
      <c r="L373">
        <v>331</v>
      </c>
      <c r="M373" t="s">
        <v>1073</v>
      </c>
    </row>
    <row r="374" spans="1:13" x14ac:dyDescent="0.35">
      <c r="A374" t="s">
        <v>13</v>
      </c>
      <c r="B374">
        <v>381115</v>
      </c>
      <c r="C374">
        <v>381498</v>
      </c>
      <c r="E374" t="s">
        <v>14</v>
      </c>
      <c r="F374" t="s">
        <v>141</v>
      </c>
      <c r="H374">
        <v>92792287</v>
      </c>
      <c r="I374" t="s">
        <v>142</v>
      </c>
      <c r="M374" t="s">
        <v>1074</v>
      </c>
    </row>
    <row r="375" spans="1:13" x14ac:dyDescent="0.35">
      <c r="A375" t="s">
        <v>13</v>
      </c>
      <c r="B375">
        <v>381948</v>
      </c>
      <c r="C375">
        <v>383111</v>
      </c>
      <c r="E375" t="s">
        <v>14</v>
      </c>
      <c r="F375" t="s">
        <v>1075</v>
      </c>
      <c r="H375">
        <v>1020646</v>
      </c>
      <c r="I375" t="s">
        <v>17</v>
      </c>
      <c r="K375" t="s">
        <v>1076</v>
      </c>
      <c r="L375">
        <v>387</v>
      </c>
      <c r="M375" t="s">
        <v>1077</v>
      </c>
    </row>
    <row r="376" spans="1:13" x14ac:dyDescent="0.35">
      <c r="A376" t="s">
        <v>13</v>
      </c>
      <c r="B376">
        <v>383979</v>
      </c>
      <c r="C376">
        <v>385190</v>
      </c>
      <c r="E376" t="s">
        <v>38</v>
      </c>
      <c r="F376" t="s">
        <v>1078</v>
      </c>
      <c r="H376">
        <v>1021049</v>
      </c>
      <c r="I376" t="s">
        <v>17</v>
      </c>
      <c r="K376" t="s">
        <v>1079</v>
      </c>
      <c r="L376">
        <v>403</v>
      </c>
      <c r="M376" t="s">
        <v>1080</v>
      </c>
    </row>
    <row r="377" spans="1:13" x14ac:dyDescent="0.35">
      <c r="A377" t="s">
        <v>13</v>
      </c>
      <c r="B377">
        <v>385371</v>
      </c>
      <c r="C377">
        <v>386195</v>
      </c>
      <c r="E377" t="s">
        <v>38</v>
      </c>
      <c r="F377" t="s">
        <v>414</v>
      </c>
      <c r="H377">
        <v>1020165</v>
      </c>
      <c r="I377" t="s">
        <v>17</v>
      </c>
      <c r="K377" t="s">
        <v>1081</v>
      </c>
      <c r="L377">
        <v>274</v>
      </c>
      <c r="M377" t="s">
        <v>1082</v>
      </c>
    </row>
    <row r="378" spans="1:13" x14ac:dyDescent="0.35">
      <c r="A378" t="s">
        <v>13</v>
      </c>
      <c r="B378">
        <v>386556</v>
      </c>
      <c r="C378">
        <v>387203</v>
      </c>
      <c r="E378" t="s">
        <v>14</v>
      </c>
      <c r="F378" t="s">
        <v>1083</v>
      </c>
      <c r="H378">
        <v>1021065</v>
      </c>
      <c r="I378" t="s">
        <v>17</v>
      </c>
      <c r="K378" t="s">
        <v>1084</v>
      </c>
      <c r="L378">
        <v>215</v>
      </c>
      <c r="M378" t="s">
        <v>1085</v>
      </c>
    </row>
    <row r="379" spans="1:13" x14ac:dyDescent="0.35">
      <c r="A379" t="s">
        <v>13</v>
      </c>
      <c r="B379">
        <v>387692</v>
      </c>
      <c r="C379">
        <v>389101</v>
      </c>
      <c r="E379" t="s">
        <v>14</v>
      </c>
      <c r="F379" t="s">
        <v>1086</v>
      </c>
      <c r="G379" t="s">
        <v>1087</v>
      </c>
      <c r="H379">
        <v>1021410</v>
      </c>
      <c r="I379" t="s">
        <v>17</v>
      </c>
      <c r="K379" t="s">
        <v>1088</v>
      </c>
      <c r="L379">
        <v>469</v>
      </c>
      <c r="M379" t="s">
        <v>1089</v>
      </c>
    </row>
    <row r="380" spans="1:13" x14ac:dyDescent="0.35">
      <c r="A380" t="s">
        <v>13</v>
      </c>
      <c r="B380">
        <v>389248</v>
      </c>
      <c r="C380">
        <v>390171</v>
      </c>
      <c r="E380" t="s">
        <v>14</v>
      </c>
      <c r="F380" t="s">
        <v>1090</v>
      </c>
      <c r="H380">
        <v>1021411</v>
      </c>
      <c r="I380" t="s">
        <v>17</v>
      </c>
      <c r="K380" t="s">
        <v>1091</v>
      </c>
      <c r="L380">
        <v>307</v>
      </c>
      <c r="M380" t="s">
        <v>1092</v>
      </c>
    </row>
    <row r="381" spans="1:13" x14ac:dyDescent="0.35">
      <c r="A381" t="s">
        <v>13</v>
      </c>
      <c r="B381">
        <v>390212</v>
      </c>
      <c r="C381">
        <v>390733</v>
      </c>
      <c r="E381" t="s">
        <v>14</v>
      </c>
      <c r="F381" t="s">
        <v>1093</v>
      </c>
      <c r="G381" t="s">
        <v>1094</v>
      </c>
      <c r="H381">
        <v>1021409</v>
      </c>
      <c r="I381" t="s">
        <v>17</v>
      </c>
      <c r="K381" t="s">
        <v>1095</v>
      </c>
      <c r="L381">
        <v>173</v>
      </c>
      <c r="M381" t="s">
        <v>1096</v>
      </c>
    </row>
    <row r="382" spans="1:13" x14ac:dyDescent="0.35">
      <c r="A382" t="s">
        <v>13</v>
      </c>
      <c r="B382">
        <v>390784</v>
      </c>
      <c r="C382">
        <v>392208</v>
      </c>
      <c r="E382" t="s">
        <v>38</v>
      </c>
      <c r="F382" t="s">
        <v>1097</v>
      </c>
      <c r="G382" t="s">
        <v>1098</v>
      </c>
      <c r="H382">
        <v>1021407</v>
      </c>
      <c r="I382" t="s">
        <v>17</v>
      </c>
      <c r="K382" t="s">
        <v>1099</v>
      </c>
      <c r="L382">
        <v>474</v>
      </c>
      <c r="M382" t="s">
        <v>1100</v>
      </c>
    </row>
    <row r="383" spans="1:13" x14ac:dyDescent="0.35">
      <c r="A383" t="s">
        <v>13</v>
      </c>
      <c r="B383">
        <v>392705</v>
      </c>
      <c r="C383">
        <v>393478</v>
      </c>
      <c r="E383" t="s">
        <v>14</v>
      </c>
      <c r="F383" t="s">
        <v>1101</v>
      </c>
      <c r="H383">
        <v>1021096</v>
      </c>
      <c r="I383" t="s">
        <v>17</v>
      </c>
      <c r="K383" t="s">
        <v>1102</v>
      </c>
      <c r="L383">
        <v>257</v>
      </c>
      <c r="M383" t="s">
        <v>1103</v>
      </c>
    </row>
    <row r="384" spans="1:13" x14ac:dyDescent="0.35">
      <c r="A384" t="s">
        <v>13</v>
      </c>
      <c r="B384">
        <v>393495</v>
      </c>
      <c r="C384">
        <v>395516</v>
      </c>
      <c r="E384" t="s">
        <v>14</v>
      </c>
      <c r="F384" t="s">
        <v>1104</v>
      </c>
      <c r="H384">
        <v>1021051</v>
      </c>
      <c r="I384" t="s">
        <v>17</v>
      </c>
      <c r="K384" t="s">
        <v>1105</v>
      </c>
      <c r="L384">
        <v>673</v>
      </c>
      <c r="M384" t="s">
        <v>1106</v>
      </c>
    </row>
    <row r="385" spans="1:13" x14ac:dyDescent="0.35">
      <c r="A385" t="s">
        <v>13</v>
      </c>
      <c r="B385">
        <v>395516</v>
      </c>
      <c r="C385">
        <v>396265</v>
      </c>
      <c r="E385" t="s">
        <v>14</v>
      </c>
      <c r="F385" t="s">
        <v>1107</v>
      </c>
      <c r="H385">
        <v>1021416</v>
      </c>
      <c r="I385" t="s">
        <v>17</v>
      </c>
      <c r="K385" t="s">
        <v>1108</v>
      </c>
      <c r="L385">
        <v>249</v>
      </c>
      <c r="M385" t="s">
        <v>1109</v>
      </c>
    </row>
    <row r="386" spans="1:13" x14ac:dyDescent="0.35">
      <c r="A386" t="s">
        <v>13</v>
      </c>
      <c r="B386">
        <v>396324</v>
      </c>
      <c r="C386">
        <v>396653</v>
      </c>
      <c r="E386" t="s">
        <v>14</v>
      </c>
      <c r="F386" t="s">
        <v>49</v>
      </c>
      <c r="H386">
        <v>1021153</v>
      </c>
      <c r="I386" t="s">
        <v>17</v>
      </c>
      <c r="K386" t="s">
        <v>1110</v>
      </c>
      <c r="L386">
        <v>109</v>
      </c>
      <c r="M386" t="s">
        <v>1111</v>
      </c>
    </row>
    <row r="387" spans="1:13" x14ac:dyDescent="0.35">
      <c r="A387" t="s">
        <v>13</v>
      </c>
      <c r="B387">
        <v>396672</v>
      </c>
      <c r="C387">
        <v>396935</v>
      </c>
      <c r="E387" t="s">
        <v>14</v>
      </c>
      <c r="F387" t="s">
        <v>49</v>
      </c>
      <c r="H387">
        <v>1021412</v>
      </c>
      <c r="I387" t="s">
        <v>17</v>
      </c>
      <c r="K387" t="s">
        <v>1112</v>
      </c>
      <c r="L387">
        <v>87</v>
      </c>
      <c r="M387" t="s">
        <v>1113</v>
      </c>
    </row>
    <row r="388" spans="1:13" x14ac:dyDescent="0.35">
      <c r="A388" t="s">
        <v>13</v>
      </c>
      <c r="B388">
        <v>397229</v>
      </c>
      <c r="C388">
        <v>398206</v>
      </c>
      <c r="E388" t="s">
        <v>38</v>
      </c>
      <c r="F388" t="s">
        <v>1114</v>
      </c>
      <c r="H388">
        <v>1019657</v>
      </c>
      <c r="I388" t="s">
        <v>17</v>
      </c>
      <c r="K388" t="s">
        <v>1115</v>
      </c>
      <c r="L388">
        <v>325</v>
      </c>
      <c r="M388" t="s">
        <v>1116</v>
      </c>
    </row>
    <row r="389" spans="1:13" x14ac:dyDescent="0.35">
      <c r="A389" t="s">
        <v>13</v>
      </c>
      <c r="B389">
        <v>398278</v>
      </c>
      <c r="C389">
        <v>399582</v>
      </c>
      <c r="E389" t="s">
        <v>14</v>
      </c>
      <c r="F389" t="s">
        <v>1117</v>
      </c>
      <c r="H389">
        <v>1021414</v>
      </c>
      <c r="I389" t="s">
        <v>17</v>
      </c>
      <c r="K389" t="s">
        <v>1118</v>
      </c>
      <c r="L389">
        <v>434</v>
      </c>
      <c r="M389" t="s">
        <v>1119</v>
      </c>
    </row>
    <row r="390" spans="1:13" x14ac:dyDescent="0.35">
      <c r="A390" t="s">
        <v>13</v>
      </c>
      <c r="B390">
        <v>399598</v>
      </c>
      <c r="C390">
        <v>400020</v>
      </c>
      <c r="E390" t="s">
        <v>14</v>
      </c>
      <c r="F390" t="s">
        <v>1120</v>
      </c>
      <c r="H390">
        <v>1020970</v>
      </c>
      <c r="I390" t="s">
        <v>17</v>
      </c>
      <c r="K390" t="s">
        <v>1121</v>
      </c>
      <c r="L390">
        <v>140</v>
      </c>
      <c r="M390" t="s">
        <v>1122</v>
      </c>
    </row>
    <row r="391" spans="1:13" x14ac:dyDescent="0.35">
      <c r="A391" t="s">
        <v>13</v>
      </c>
      <c r="B391">
        <v>400039</v>
      </c>
      <c r="C391">
        <v>400344</v>
      </c>
      <c r="E391" t="s">
        <v>14</v>
      </c>
      <c r="F391" t="s">
        <v>1123</v>
      </c>
      <c r="H391">
        <v>1021118</v>
      </c>
      <c r="I391" t="s">
        <v>17</v>
      </c>
      <c r="K391" t="s">
        <v>1124</v>
      </c>
      <c r="L391">
        <v>101</v>
      </c>
      <c r="M391" t="s">
        <v>1125</v>
      </c>
    </row>
    <row r="392" spans="1:13" x14ac:dyDescent="0.35">
      <c r="A392" t="s">
        <v>13</v>
      </c>
      <c r="B392">
        <v>400500</v>
      </c>
      <c r="C392">
        <v>401153</v>
      </c>
      <c r="E392" t="s">
        <v>14</v>
      </c>
      <c r="F392" t="s">
        <v>1126</v>
      </c>
      <c r="H392">
        <v>1021419</v>
      </c>
      <c r="I392" t="s">
        <v>17</v>
      </c>
      <c r="K392" t="s">
        <v>1127</v>
      </c>
      <c r="L392">
        <v>217</v>
      </c>
      <c r="M392" t="s">
        <v>1128</v>
      </c>
    </row>
    <row r="393" spans="1:13" x14ac:dyDescent="0.35">
      <c r="A393" t="s">
        <v>13</v>
      </c>
      <c r="B393">
        <v>401150</v>
      </c>
      <c r="C393">
        <v>402799</v>
      </c>
      <c r="E393" t="s">
        <v>14</v>
      </c>
      <c r="F393" t="s">
        <v>1129</v>
      </c>
      <c r="H393">
        <v>1021417</v>
      </c>
      <c r="I393" t="s">
        <v>17</v>
      </c>
      <c r="K393" t="s">
        <v>1130</v>
      </c>
      <c r="L393">
        <v>549</v>
      </c>
      <c r="M393" t="s">
        <v>1131</v>
      </c>
    </row>
    <row r="394" spans="1:13" x14ac:dyDescent="0.35">
      <c r="A394" t="s">
        <v>13</v>
      </c>
      <c r="B394">
        <v>402799</v>
      </c>
      <c r="C394">
        <v>404433</v>
      </c>
      <c r="E394" t="s">
        <v>14</v>
      </c>
      <c r="F394" t="s">
        <v>1129</v>
      </c>
      <c r="H394">
        <v>1021415</v>
      </c>
      <c r="I394" t="s">
        <v>17</v>
      </c>
      <c r="K394" t="s">
        <v>1132</v>
      </c>
      <c r="L394">
        <v>544</v>
      </c>
      <c r="M394" t="s">
        <v>1133</v>
      </c>
    </row>
    <row r="395" spans="1:13" x14ac:dyDescent="0.35">
      <c r="A395" t="s">
        <v>13</v>
      </c>
      <c r="B395">
        <v>404505</v>
      </c>
      <c r="C395">
        <v>405419</v>
      </c>
      <c r="E395" t="s">
        <v>38</v>
      </c>
      <c r="F395" t="s">
        <v>1134</v>
      </c>
      <c r="G395" t="s">
        <v>1135</v>
      </c>
      <c r="H395">
        <v>1021130</v>
      </c>
      <c r="I395" t="s">
        <v>17</v>
      </c>
      <c r="K395" t="s">
        <v>1136</v>
      </c>
      <c r="L395">
        <v>304</v>
      </c>
      <c r="M395" t="s">
        <v>1137</v>
      </c>
    </row>
    <row r="396" spans="1:13" x14ac:dyDescent="0.35">
      <c r="A396" t="s">
        <v>13</v>
      </c>
      <c r="B396">
        <v>405480</v>
      </c>
      <c r="C396">
        <v>406148</v>
      </c>
      <c r="E396" t="s">
        <v>14</v>
      </c>
      <c r="F396" t="s">
        <v>1138</v>
      </c>
      <c r="G396" t="s">
        <v>1139</v>
      </c>
      <c r="H396">
        <v>1021418</v>
      </c>
      <c r="I396" t="s">
        <v>17</v>
      </c>
      <c r="K396" t="s">
        <v>1140</v>
      </c>
      <c r="L396">
        <v>222</v>
      </c>
      <c r="M396" t="s">
        <v>1141</v>
      </c>
    </row>
    <row r="397" spans="1:13" x14ac:dyDescent="0.35">
      <c r="A397" t="s">
        <v>13</v>
      </c>
      <c r="B397">
        <v>406550</v>
      </c>
      <c r="C397">
        <v>407419</v>
      </c>
      <c r="E397" t="s">
        <v>14</v>
      </c>
      <c r="F397" t="s">
        <v>49</v>
      </c>
      <c r="H397">
        <v>1021420</v>
      </c>
      <c r="I397" t="s">
        <v>17</v>
      </c>
      <c r="K397" t="s">
        <v>1142</v>
      </c>
      <c r="L397">
        <v>289</v>
      </c>
      <c r="M397" t="s">
        <v>1143</v>
      </c>
    </row>
    <row r="398" spans="1:13" x14ac:dyDescent="0.35">
      <c r="A398" t="s">
        <v>13</v>
      </c>
      <c r="B398">
        <v>407406</v>
      </c>
      <c r="C398">
        <v>407708</v>
      </c>
      <c r="E398" t="s">
        <v>38</v>
      </c>
      <c r="F398" t="s">
        <v>202</v>
      </c>
      <c r="H398">
        <v>1021422</v>
      </c>
      <c r="I398" t="s">
        <v>17</v>
      </c>
      <c r="K398" t="s">
        <v>1144</v>
      </c>
      <c r="L398">
        <v>100</v>
      </c>
      <c r="M398" t="s">
        <v>1145</v>
      </c>
    </row>
    <row r="399" spans="1:13" x14ac:dyDescent="0.35">
      <c r="A399" t="s">
        <v>13</v>
      </c>
      <c r="B399">
        <v>407708</v>
      </c>
      <c r="C399">
        <v>409975</v>
      </c>
      <c r="E399" t="s">
        <v>38</v>
      </c>
      <c r="F399" t="s">
        <v>1146</v>
      </c>
      <c r="H399">
        <v>1021421</v>
      </c>
      <c r="I399" t="s">
        <v>17</v>
      </c>
      <c r="K399" t="s">
        <v>1147</v>
      </c>
      <c r="L399">
        <v>755</v>
      </c>
      <c r="M399" t="s">
        <v>1148</v>
      </c>
    </row>
    <row r="400" spans="1:13" x14ac:dyDescent="0.35">
      <c r="A400" t="s">
        <v>13</v>
      </c>
      <c r="B400">
        <v>410024</v>
      </c>
      <c r="C400">
        <v>410476</v>
      </c>
      <c r="E400" t="s">
        <v>38</v>
      </c>
      <c r="F400" t="s">
        <v>49</v>
      </c>
      <c r="H400">
        <v>1020829</v>
      </c>
      <c r="I400" t="s">
        <v>17</v>
      </c>
      <c r="K400" t="s">
        <v>1149</v>
      </c>
      <c r="L400">
        <v>150</v>
      </c>
      <c r="M400" t="s">
        <v>1150</v>
      </c>
    </row>
    <row r="401" spans="1:13" x14ac:dyDescent="0.35">
      <c r="A401" t="s">
        <v>13</v>
      </c>
      <c r="B401">
        <v>410707</v>
      </c>
      <c r="C401">
        <v>412548</v>
      </c>
      <c r="E401" t="s">
        <v>14</v>
      </c>
      <c r="F401" t="s">
        <v>1151</v>
      </c>
      <c r="H401">
        <v>1021076</v>
      </c>
      <c r="I401" t="s">
        <v>17</v>
      </c>
      <c r="K401" t="s">
        <v>1152</v>
      </c>
      <c r="L401">
        <v>613</v>
      </c>
      <c r="M401" t="s">
        <v>1153</v>
      </c>
    </row>
    <row r="402" spans="1:13" x14ac:dyDescent="0.35">
      <c r="A402" t="s">
        <v>13</v>
      </c>
      <c r="B402">
        <v>412557</v>
      </c>
      <c r="C402">
        <v>413636</v>
      </c>
      <c r="E402" t="s">
        <v>14</v>
      </c>
      <c r="F402" t="s">
        <v>1154</v>
      </c>
      <c r="H402">
        <v>1021159</v>
      </c>
      <c r="I402" t="s">
        <v>17</v>
      </c>
      <c r="K402" t="s">
        <v>1155</v>
      </c>
      <c r="L402">
        <v>359</v>
      </c>
      <c r="M402" t="s">
        <v>1156</v>
      </c>
    </row>
    <row r="403" spans="1:13" x14ac:dyDescent="0.35">
      <c r="A403" t="s">
        <v>13</v>
      </c>
      <c r="B403">
        <v>413637</v>
      </c>
      <c r="C403">
        <v>414713</v>
      </c>
      <c r="E403" t="s">
        <v>14</v>
      </c>
      <c r="F403" t="s">
        <v>144</v>
      </c>
      <c r="H403">
        <v>1021423</v>
      </c>
      <c r="I403" t="s">
        <v>17</v>
      </c>
      <c r="K403" t="s">
        <v>1157</v>
      </c>
      <c r="L403">
        <v>358</v>
      </c>
      <c r="M403" t="s">
        <v>1158</v>
      </c>
    </row>
    <row r="404" spans="1:13" x14ac:dyDescent="0.35">
      <c r="A404" t="s">
        <v>13</v>
      </c>
      <c r="B404">
        <v>414714</v>
      </c>
      <c r="C404">
        <v>415529</v>
      </c>
      <c r="E404" t="s">
        <v>14</v>
      </c>
      <c r="F404" t="s">
        <v>1159</v>
      </c>
      <c r="H404">
        <v>1021425</v>
      </c>
      <c r="I404" t="s">
        <v>17</v>
      </c>
      <c r="K404" t="s">
        <v>1160</v>
      </c>
      <c r="L404">
        <v>271</v>
      </c>
      <c r="M404" t="s">
        <v>1161</v>
      </c>
    </row>
    <row r="405" spans="1:13" x14ac:dyDescent="0.35">
      <c r="A405" t="s">
        <v>13</v>
      </c>
      <c r="B405">
        <v>415643</v>
      </c>
      <c r="C405">
        <v>416602</v>
      </c>
      <c r="E405" t="s">
        <v>14</v>
      </c>
      <c r="F405" t="s">
        <v>1151</v>
      </c>
      <c r="H405">
        <v>92792322</v>
      </c>
      <c r="I405" t="s">
        <v>17</v>
      </c>
      <c r="K405" t="s">
        <v>1162</v>
      </c>
      <c r="L405">
        <v>319</v>
      </c>
      <c r="M405" t="s">
        <v>1163</v>
      </c>
    </row>
    <row r="406" spans="1:13" x14ac:dyDescent="0.35">
      <c r="A406" t="s">
        <v>13</v>
      </c>
      <c r="B406">
        <v>416603</v>
      </c>
      <c r="C406">
        <v>417442</v>
      </c>
      <c r="E406" t="s">
        <v>14</v>
      </c>
      <c r="F406" t="s">
        <v>1151</v>
      </c>
      <c r="H406">
        <v>1021100</v>
      </c>
      <c r="I406" t="s">
        <v>17</v>
      </c>
      <c r="K406" t="s">
        <v>1164</v>
      </c>
      <c r="L406">
        <v>279</v>
      </c>
      <c r="M406" t="s">
        <v>1165</v>
      </c>
    </row>
    <row r="407" spans="1:13" x14ac:dyDescent="0.35">
      <c r="A407" t="s">
        <v>13</v>
      </c>
      <c r="B407">
        <v>417542</v>
      </c>
      <c r="C407">
        <v>418354</v>
      </c>
      <c r="E407" t="s">
        <v>38</v>
      </c>
      <c r="F407" t="s">
        <v>1166</v>
      </c>
      <c r="H407">
        <v>1021427</v>
      </c>
      <c r="I407" t="s">
        <v>17</v>
      </c>
      <c r="K407" t="s">
        <v>1167</v>
      </c>
      <c r="L407">
        <v>270</v>
      </c>
      <c r="M407" t="s">
        <v>1168</v>
      </c>
    </row>
    <row r="408" spans="1:13" x14ac:dyDescent="0.35">
      <c r="A408" t="s">
        <v>13</v>
      </c>
      <c r="B408">
        <v>418438</v>
      </c>
      <c r="C408">
        <v>419253</v>
      </c>
      <c r="E408" t="s">
        <v>38</v>
      </c>
      <c r="F408" t="s">
        <v>1169</v>
      </c>
      <c r="H408">
        <v>1021226</v>
      </c>
      <c r="I408" t="s">
        <v>17</v>
      </c>
      <c r="K408" t="s">
        <v>1170</v>
      </c>
      <c r="L408">
        <v>271</v>
      </c>
      <c r="M408" t="s">
        <v>1171</v>
      </c>
    </row>
    <row r="409" spans="1:13" x14ac:dyDescent="0.35">
      <c r="A409" t="s">
        <v>13</v>
      </c>
      <c r="B409">
        <v>419254</v>
      </c>
      <c r="C409">
        <v>419757</v>
      </c>
      <c r="E409" t="s">
        <v>38</v>
      </c>
      <c r="F409" t="s">
        <v>1172</v>
      </c>
      <c r="H409">
        <v>1021426</v>
      </c>
      <c r="I409" t="s">
        <v>17</v>
      </c>
      <c r="K409" t="s">
        <v>1173</v>
      </c>
      <c r="L409">
        <v>167</v>
      </c>
      <c r="M409" t="s">
        <v>1174</v>
      </c>
    </row>
    <row r="410" spans="1:13" x14ac:dyDescent="0.35">
      <c r="A410" t="s">
        <v>13</v>
      </c>
      <c r="B410">
        <v>419782</v>
      </c>
      <c r="C410">
        <v>420888</v>
      </c>
      <c r="E410" t="s">
        <v>14</v>
      </c>
      <c r="F410" t="s">
        <v>1055</v>
      </c>
      <c r="H410">
        <v>1021429</v>
      </c>
      <c r="I410" t="s">
        <v>17</v>
      </c>
      <c r="K410" t="s">
        <v>1175</v>
      </c>
      <c r="L410">
        <v>368</v>
      </c>
      <c r="M410" t="s">
        <v>1176</v>
      </c>
    </row>
    <row r="411" spans="1:13" x14ac:dyDescent="0.35">
      <c r="A411" t="s">
        <v>13</v>
      </c>
      <c r="B411">
        <v>420881</v>
      </c>
      <c r="C411">
        <v>421519</v>
      </c>
      <c r="E411" t="s">
        <v>14</v>
      </c>
      <c r="F411" t="s">
        <v>388</v>
      </c>
      <c r="H411">
        <v>1021110</v>
      </c>
      <c r="I411" t="s">
        <v>17</v>
      </c>
      <c r="K411" t="s">
        <v>1177</v>
      </c>
      <c r="L411">
        <v>212</v>
      </c>
      <c r="M411" t="s">
        <v>1178</v>
      </c>
    </row>
    <row r="412" spans="1:13" x14ac:dyDescent="0.35">
      <c r="A412" t="s">
        <v>13</v>
      </c>
      <c r="B412">
        <v>422087</v>
      </c>
      <c r="C412">
        <v>423793</v>
      </c>
      <c r="E412" t="s">
        <v>38</v>
      </c>
      <c r="F412" t="s">
        <v>1179</v>
      </c>
      <c r="H412">
        <v>1021140</v>
      </c>
      <c r="I412" t="s">
        <v>17</v>
      </c>
      <c r="K412" t="s">
        <v>1180</v>
      </c>
      <c r="L412">
        <v>568</v>
      </c>
      <c r="M412" t="s">
        <v>1181</v>
      </c>
    </row>
    <row r="413" spans="1:13" x14ac:dyDescent="0.35">
      <c r="A413" t="s">
        <v>13</v>
      </c>
      <c r="B413">
        <v>423878</v>
      </c>
      <c r="C413">
        <v>425134</v>
      </c>
      <c r="E413" t="s">
        <v>14</v>
      </c>
      <c r="F413" t="s">
        <v>1182</v>
      </c>
      <c r="G413" t="s">
        <v>1183</v>
      </c>
      <c r="H413">
        <v>1021208</v>
      </c>
      <c r="I413" t="s">
        <v>17</v>
      </c>
      <c r="K413" t="s">
        <v>1184</v>
      </c>
      <c r="L413">
        <v>418</v>
      </c>
      <c r="M413" t="s">
        <v>1185</v>
      </c>
    </row>
    <row r="414" spans="1:13" x14ac:dyDescent="0.35">
      <c r="A414" t="s">
        <v>13</v>
      </c>
      <c r="B414">
        <v>425177</v>
      </c>
      <c r="C414">
        <v>425923</v>
      </c>
      <c r="E414" t="s">
        <v>14</v>
      </c>
      <c r="F414" t="s">
        <v>1186</v>
      </c>
      <c r="H414">
        <v>1021136</v>
      </c>
      <c r="I414" t="s">
        <v>17</v>
      </c>
      <c r="K414" t="s">
        <v>1187</v>
      </c>
      <c r="L414">
        <v>248</v>
      </c>
      <c r="M414" t="s">
        <v>1188</v>
      </c>
    </row>
    <row r="415" spans="1:13" x14ac:dyDescent="0.35">
      <c r="A415" t="s">
        <v>13</v>
      </c>
      <c r="B415">
        <v>425934</v>
      </c>
      <c r="C415">
        <v>427175</v>
      </c>
      <c r="E415" t="s">
        <v>14</v>
      </c>
      <c r="F415" t="s">
        <v>237</v>
      </c>
      <c r="H415">
        <v>1021432</v>
      </c>
      <c r="I415" t="s">
        <v>17</v>
      </c>
      <c r="K415" t="s">
        <v>1189</v>
      </c>
      <c r="L415">
        <v>413</v>
      </c>
      <c r="M415" t="s">
        <v>1190</v>
      </c>
    </row>
    <row r="416" spans="1:13" x14ac:dyDescent="0.35">
      <c r="A416" t="s">
        <v>13</v>
      </c>
      <c r="B416">
        <v>427172</v>
      </c>
      <c r="C416">
        <v>427870</v>
      </c>
      <c r="E416" t="s">
        <v>14</v>
      </c>
      <c r="F416" t="s">
        <v>835</v>
      </c>
      <c r="H416">
        <v>1021430</v>
      </c>
      <c r="I416" t="s">
        <v>17</v>
      </c>
      <c r="K416" t="s">
        <v>1191</v>
      </c>
      <c r="L416">
        <v>232</v>
      </c>
      <c r="M416" t="s">
        <v>1192</v>
      </c>
    </row>
    <row r="417" spans="1:13" x14ac:dyDescent="0.35">
      <c r="A417" t="s">
        <v>13</v>
      </c>
      <c r="B417">
        <v>428561</v>
      </c>
      <c r="C417">
        <v>429442</v>
      </c>
      <c r="E417" t="s">
        <v>14</v>
      </c>
      <c r="F417" t="s">
        <v>49</v>
      </c>
      <c r="H417">
        <v>1021154</v>
      </c>
      <c r="I417" t="s">
        <v>17</v>
      </c>
      <c r="K417" t="s">
        <v>1193</v>
      </c>
      <c r="L417">
        <v>293</v>
      </c>
      <c r="M417" t="s">
        <v>1194</v>
      </c>
    </row>
    <row r="418" spans="1:13" x14ac:dyDescent="0.35">
      <c r="A418" t="s">
        <v>13</v>
      </c>
      <c r="B418">
        <v>429435</v>
      </c>
      <c r="C418">
        <v>432005</v>
      </c>
      <c r="E418" t="s">
        <v>38</v>
      </c>
      <c r="F418" t="s">
        <v>124</v>
      </c>
      <c r="H418">
        <v>1021225</v>
      </c>
      <c r="I418" t="s">
        <v>17</v>
      </c>
      <c r="K418" t="s">
        <v>1195</v>
      </c>
      <c r="L418">
        <v>856</v>
      </c>
      <c r="M418" t="s">
        <v>1196</v>
      </c>
    </row>
    <row r="419" spans="1:13" x14ac:dyDescent="0.35">
      <c r="A419" t="s">
        <v>13</v>
      </c>
      <c r="B419">
        <v>432123</v>
      </c>
      <c r="C419">
        <v>433028</v>
      </c>
      <c r="E419" t="s">
        <v>38</v>
      </c>
      <c r="F419" t="s">
        <v>49</v>
      </c>
      <c r="H419">
        <v>1021093</v>
      </c>
      <c r="I419" t="s">
        <v>17</v>
      </c>
      <c r="K419" t="s">
        <v>1197</v>
      </c>
      <c r="L419">
        <v>301</v>
      </c>
      <c r="M419" t="s">
        <v>1198</v>
      </c>
    </row>
    <row r="420" spans="1:13" x14ac:dyDescent="0.35">
      <c r="A420" t="s">
        <v>13</v>
      </c>
      <c r="B420">
        <v>433062</v>
      </c>
      <c r="C420">
        <v>433991</v>
      </c>
      <c r="E420" t="s">
        <v>14</v>
      </c>
      <c r="F420" t="s">
        <v>1199</v>
      </c>
      <c r="H420">
        <v>1021089</v>
      </c>
      <c r="I420" t="s">
        <v>17</v>
      </c>
      <c r="K420" t="s">
        <v>1200</v>
      </c>
      <c r="L420">
        <v>309</v>
      </c>
      <c r="M420" t="s">
        <v>1201</v>
      </c>
    </row>
    <row r="421" spans="1:13" x14ac:dyDescent="0.35">
      <c r="A421" t="s">
        <v>13</v>
      </c>
      <c r="B421">
        <v>434019</v>
      </c>
      <c r="C421">
        <v>434825</v>
      </c>
      <c r="E421" t="s">
        <v>14</v>
      </c>
      <c r="F421" t="s">
        <v>49</v>
      </c>
      <c r="H421">
        <v>1021434</v>
      </c>
      <c r="I421" t="s">
        <v>17</v>
      </c>
      <c r="K421" t="s">
        <v>1202</v>
      </c>
      <c r="L421">
        <v>268</v>
      </c>
      <c r="M421" t="s">
        <v>1203</v>
      </c>
    </row>
    <row r="422" spans="1:13" x14ac:dyDescent="0.35">
      <c r="A422" t="s">
        <v>13</v>
      </c>
      <c r="B422">
        <v>434886</v>
      </c>
      <c r="C422">
        <v>435698</v>
      </c>
      <c r="E422" t="s">
        <v>14</v>
      </c>
      <c r="F422" t="s">
        <v>1204</v>
      </c>
      <c r="G422" t="s">
        <v>1205</v>
      </c>
      <c r="H422">
        <v>1021078</v>
      </c>
      <c r="I422" t="s">
        <v>17</v>
      </c>
      <c r="K422" t="s">
        <v>1206</v>
      </c>
      <c r="L422">
        <v>270</v>
      </c>
      <c r="M422" t="s">
        <v>1207</v>
      </c>
    </row>
    <row r="423" spans="1:13" x14ac:dyDescent="0.35">
      <c r="A423" t="s">
        <v>13</v>
      </c>
      <c r="B423">
        <v>435949</v>
      </c>
      <c r="C423">
        <v>436140</v>
      </c>
      <c r="E423" t="s">
        <v>14</v>
      </c>
      <c r="F423" t="s">
        <v>138</v>
      </c>
      <c r="H423">
        <v>1021436</v>
      </c>
      <c r="I423" t="s">
        <v>17</v>
      </c>
      <c r="K423" t="s">
        <v>1208</v>
      </c>
      <c r="L423">
        <v>63</v>
      </c>
      <c r="M423" t="s">
        <v>1209</v>
      </c>
    </row>
    <row r="424" spans="1:13" x14ac:dyDescent="0.35">
      <c r="A424" t="s">
        <v>13</v>
      </c>
      <c r="B424">
        <v>436463</v>
      </c>
      <c r="C424">
        <v>436564</v>
      </c>
      <c r="E424" t="s">
        <v>14</v>
      </c>
      <c r="F424" t="s">
        <v>1210</v>
      </c>
      <c r="H424">
        <v>44144929</v>
      </c>
      <c r="I424" t="s">
        <v>17</v>
      </c>
      <c r="K424" t="s">
        <v>1211</v>
      </c>
      <c r="L424">
        <v>33</v>
      </c>
      <c r="M424" t="s">
        <v>1212</v>
      </c>
    </row>
    <row r="425" spans="1:13" x14ac:dyDescent="0.35">
      <c r="A425" t="s">
        <v>13</v>
      </c>
      <c r="B425">
        <v>436977</v>
      </c>
      <c r="C425">
        <v>438044</v>
      </c>
      <c r="E425" t="s">
        <v>38</v>
      </c>
      <c r="F425" t="s">
        <v>1213</v>
      </c>
      <c r="H425">
        <v>1021433</v>
      </c>
      <c r="I425" t="s">
        <v>17</v>
      </c>
      <c r="K425" t="s">
        <v>1214</v>
      </c>
      <c r="L425">
        <v>355</v>
      </c>
      <c r="M425" t="s">
        <v>1215</v>
      </c>
    </row>
    <row r="426" spans="1:13" x14ac:dyDescent="0.35">
      <c r="A426" t="s">
        <v>13</v>
      </c>
      <c r="B426">
        <v>438191</v>
      </c>
      <c r="C426">
        <v>438427</v>
      </c>
      <c r="E426" t="s">
        <v>14</v>
      </c>
      <c r="F426" t="s">
        <v>1216</v>
      </c>
      <c r="H426">
        <v>1021440</v>
      </c>
      <c r="I426" t="s">
        <v>17</v>
      </c>
      <c r="K426" t="s">
        <v>1217</v>
      </c>
      <c r="L426">
        <v>78</v>
      </c>
      <c r="M426" t="s">
        <v>1218</v>
      </c>
    </row>
    <row r="427" spans="1:13" x14ac:dyDescent="0.35">
      <c r="A427" t="s">
        <v>13</v>
      </c>
      <c r="B427">
        <v>438516</v>
      </c>
      <c r="C427">
        <v>439907</v>
      </c>
      <c r="E427" t="s">
        <v>14</v>
      </c>
      <c r="F427" t="s">
        <v>1219</v>
      </c>
      <c r="H427">
        <v>1021437</v>
      </c>
      <c r="I427" t="s">
        <v>17</v>
      </c>
      <c r="K427" t="s">
        <v>1220</v>
      </c>
      <c r="L427">
        <v>463</v>
      </c>
      <c r="M427" t="s">
        <v>1221</v>
      </c>
    </row>
    <row r="428" spans="1:13" x14ac:dyDescent="0.35">
      <c r="A428" t="s">
        <v>13</v>
      </c>
      <c r="B428">
        <v>439909</v>
      </c>
      <c r="C428">
        <v>440817</v>
      </c>
      <c r="E428" t="s">
        <v>14</v>
      </c>
      <c r="F428" t="s">
        <v>1222</v>
      </c>
      <c r="G428" t="s">
        <v>1223</v>
      </c>
      <c r="H428">
        <v>1021438</v>
      </c>
      <c r="I428" t="s">
        <v>17</v>
      </c>
      <c r="K428" t="s">
        <v>1224</v>
      </c>
      <c r="L428">
        <v>302</v>
      </c>
      <c r="M428" t="s">
        <v>1225</v>
      </c>
    </row>
    <row r="429" spans="1:13" x14ac:dyDescent="0.35">
      <c r="A429" t="s">
        <v>13</v>
      </c>
      <c r="B429">
        <v>441229</v>
      </c>
      <c r="C429">
        <v>441594</v>
      </c>
      <c r="E429" t="s">
        <v>14</v>
      </c>
      <c r="F429" t="s">
        <v>49</v>
      </c>
      <c r="H429">
        <v>1021125</v>
      </c>
      <c r="I429" t="s">
        <v>17</v>
      </c>
      <c r="K429" t="s">
        <v>1226</v>
      </c>
      <c r="L429">
        <v>121</v>
      </c>
      <c r="M429" t="s">
        <v>1227</v>
      </c>
    </row>
    <row r="430" spans="1:13" x14ac:dyDescent="0.35">
      <c r="A430" t="s">
        <v>13</v>
      </c>
      <c r="B430">
        <v>441598</v>
      </c>
      <c r="C430">
        <v>442482</v>
      </c>
      <c r="E430" t="s">
        <v>38</v>
      </c>
      <c r="F430" t="s">
        <v>69</v>
      </c>
      <c r="H430">
        <v>1021094</v>
      </c>
      <c r="I430" t="s">
        <v>17</v>
      </c>
      <c r="K430" t="s">
        <v>1228</v>
      </c>
      <c r="L430">
        <v>294</v>
      </c>
      <c r="M430" t="s">
        <v>1229</v>
      </c>
    </row>
    <row r="431" spans="1:13" x14ac:dyDescent="0.35">
      <c r="A431" t="s">
        <v>13</v>
      </c>
      <c r="B431">
        <v>442758</v>
      </c>
      <c r="C431">
        <v>444161</v>
      </c>
      <c r="E431" t="s">
        <v>14</v>
      </c>
      <c r="F431" t="s">
        <v>265</v>
      </c>
      <c r="H431">
        <v>1021178</v>
      </c>
      <c r="I431" t="s">
        <v>17</v>
      </c>
      <c r="K431" t="s">
        <v>1230</v>
      </c>
      <c r="L431">
        <v>467</v>
      </c>
      <c r="M431" t="s">
        <v>1231</v>
      </c>
    </row>
    <row r="432" spans="1:13" x14ac:dyDescent="0.35">
      <c r="A432" t="s">
        <v>13</v>
      </c>
      <c r="B432">
        <v>444185</v>
      </c>
      <c r="C432">
        <v>446041</v>
      </c>
      <c r="E432" t="s">
        <v>14</v>
      </c>
      <c r="F432" t="s">
        <v>1232</v>
      </c>
      <c r="G432" t="s">
        <v>1233</v>
      </c>
      <c r="H432">
        <v>1021439</v>
      </c>
      <c r="I432" t="s">
        <v>17</v>
      </c>
      <c r="K432" t="s">
        <v>1234</v>
      </c>
      <c r="L432">
        <v>618</v>
      </c>
      <c r="M432" t="s">
        <v>1235</v>
      </c>
    </row>
    <row r="433" spans="1:13" x14ac:dyDescent="0.35">
      <c r="A433" t="s">
        <v>13</v>
      </c>
      <c r="B433">
        <v>446087</v>
      </c>
      <c r="C433">
        <v>446524</v>
      </c>
      <c r="E433" t="s">
        <v>14</v>
      </c>
      <c r="F433" t="s">
        <v>1236</v>
      </c>
      <c r="G433" t="s">
        <v>1237</v>
      </c>
      <c r="H433">
        <v>1021131</v>
      </c>
      <c r="I433" t="s">
        <v>17</v>
      </c>
      <c r="K433" t="s">
        <v>1238</v>
      </c>
      <c r="L433">
        <v>145</v>
      </c>
      <c r="M433" t="s">
        <v>1239</v>
      </c>
    </row>
    <row r="434" spans="1:13" x14ac:dyDescent="0.35">
      <c r="A434" t="s">
        <v>13</v>
      </c>
      <c r="B434">
        <v>446538</v>
      </c>
      <c r="C434">
        <v>447389</v>
      </c>
      <c r="E434" t="s">
        <v>14</v>
      </c>
      <c r="F434" t="s">
        <v>1240</v>
      </c>
      <c r="H434">
        <v>1021203</v>
      </c>
      <c r="I434" t="s">
        <v>17</v>
      </c>
      <c r="K434" t="s">
        <v>1241</v>
      </c>
      <c r="L434">
        <v>283</v>
      </c>
      <c r="M434" t="s">
        <v>1242</v>
      </c>
    </row>
    <row r="435" spans="1:13" x14ac:dyDescent="0.35">
      <c r="A435" t="s">
        <v>13</v>
      </c>
      <c r="B435">
        <v>447395</v>
      </c>
      <c r="C435">
        <v>447670</v>
      </c>
      <c r="E435" t="s">
        <v>38</v>
      </c>
      <c r="F435" t="s">
        <v>1243</v>
      </c>
      <c r="H435">
        <v>1021441</v>
      </c>
      <c r="I435" t="s">
        <v>17</v>
      </c>
      <c r="K435" t="s">
        <v>1244</v>
      </c>
      <c r="L435">
        <v>91</v>
      </c>
      <c r="M435" t="s">
        <v>1245</v>
      </c>
    </row>
    <row r="436" spans="1:13" x14ac:dyDescent="0.35">
      <c r="A436" t="s">
        <v>13</v>
      </c>
      <c r="B436">
        <v>448127</v>
      </c>
      <c r="C436">
        <v>449179</v>
      </c>
      <c r="E436" t="s">
        <v>38</v>
      </c>
      <c r="F436" t="s">
        <v>147</v>
      </c>
      <c r="H436">
        <v>1021189</v>
      </c>
      <c r="I436" t="s">
        <v>17</v>
      </c>
      <c r="K436" t="s">
        <v>1246</v>
      </c>
      <c r="L436">
        <v>350</v>
      </c>
      <c r="M436" t="s">
        <v>1247</v>
      </c>
    </row>
    <row r="437" spans="1:13" x14ac:dyDescent="0.35">
      <c r="A437" t="s">
        <v>13</v>
      </c>
      <c r="B437">
        <v>449180</v>
      </c>
      <c r="C437">
        <v>450826</v>
      </c>
      <c r="E437" t="s">
        <v>38</v>
      </c>
      <c r="F437" t="s">
        <v>124</v>
      </c>
      <c r="H437">
        <v>1021190</v>
      </c>
      <c r="I437" t="s">
        <v>17</v>
      </c>
      <c r="K437" t="s">
        <v>1248</v>
      </c>
      <c r="L437">
        <v>548</v>
      </c>
      <c r="M437" t="s">
        <v>1249</v>
      </c>
    </row>
    <row r="438" spans="1:13" x14ac:dyDescent="0.35">
      <c r="A438" t="s">
        <v>13</v>
      </c>
      <c r="B438">
        <v>450834</v>
      </c>
      <c r="C438">
        <v>451913</v>
      </c>
      <c r="E438" t="s">
        <v>38</v>
      </c>
      <c r="F438" t="s">
        <v>1008</v>
      </c>
      <c r="H438">
        <v>1021101</v>
      </c>
      <c r="I438" t="s">
        <v>17</v>
      </c>
      <c r="K438" t="s">
        <v>1250</v>
      </c>
      <c r="L438">
        <v>359</v>
      </c>
      <c r="M438" t="s">
        <v>1251</v>
      </c>
    </row>
    <row r="439" spans="1:13" x14ac:dyDescent="0.35">
      <c r="A439" t="s">
        <v>13</v>
      </c>
      <c r="B439">
        <v>452637</v>
      </c>
      <c r="C439">
        <v>454433</v>
      </c>
      <c r="E439" t="s">
        <v>14</v>
      </c>
      <c r="F439" t="s">
        <v>1252</v>
      </c>
      <c r="H439">
        <v>1021443</v>
      </c>
      <c r="I439" t="s">
        <v>17</v>
      </c>
      <c r="K439" t="s">
        <v>1253</v>
      </c>
      <c r="L439">
        <v>598</v>
      </c>
      <c r="M439" t="s">
        <v>1254</v>
      </c>
    </row>
    <row r="440" spans="1:13" x14ac:dyDescent="0.35">
      <c r="A440" t="s">
        <v>13</v>
      </c>
      <c r="B440">
        <v>454459</v>
      </c>
      <c r="C440">
        <v>454878</v>
      </c>
      <c r="E440" t="s">
        <v>14</v>
      </c>
      <c r="F440" t="s">
        <v>1255</v>
      </c>
      <c r="H440">
        <v>1021442</v>
      </c>
      <c r="I440" t="s">
        <v>17</v>
      </c>
      <c r="K440" t="s">
        <v>1256</v>
      </c>
      <c r="L440">
        <v>139</v>
      </c>
      <c r="M440" t="s">
        <v>1257</v>
      </c>
    </row>
    <row r="441" spans="1:13" x14ac:dyDescent="0.35">
      <c r="A441" t="s">
        <v>13</v>
      </c>
      <c r="B441">
        <v>454967</v>
      </c>
      <c r="C441">
        <v>455986</v>
      </c>
      <c r="E441" t="s">
        <v>14</v>
      </c>
      <c r="F441" t="s">
        <v>1258</v>
      </c>
      <c r="G441" t="s">
        <v>1259</v>
      </c>
      <c r="H441">
        <v>1021444</v>
      </c>
      <c r="I441" t="s">
        <v>17</v>
      </c>
      <c r="K441" t="s">
        <v>1260</v>
      </c>
      <c r="L441">
        <v>339</v>
      </c>
      <c r="M441" t="s">
        <v>1261</v>
      </c>
    </row>
    <row r="442" spans="1:13" x14ac:dyDescent="0.35">
      <c r="A442" t="s">
        <v>13</v>
      </c>
      <c r="B442">
        <v>456016</v>
      </c>
      <c r="C442">
        <v>456600</v>
      </c>
      <c r="E442" t="s">
        <v>14</v>
      </c>
      <c r="F442" t="s">
        <v>49</v>
      </c>
      <c r="H442">
        <v>1021446</v>
      </c>
      <c r="I442" t="s">
        <v>17</v>
      </c>
      <c r="K442" t="s">
        <v>1262</v>
      </c>
      <c r="L442">
        <v>194</v>
      </c>
      <c r="M442" t="s">
        <v>1263</v>
      </c>
    </row>
    <row r="443" spans="1:13" x14ac:dyDescent="0.35">
      <c r="A443" t="s">
        <v>13</v>
      </c>
      <c r="B443">
        <v>456641</v>
      </c>
      <c r="C443">
        <v>457153</v>
      </c>
      <c r="E443" t="s">
        <v>14</v>
      </c>
      <c r="F443" t="s">
        <v>49</v>
      </c>
      <c r="H443">
        <v>1021048</v>
      </c>
      <c r="I443" t="s">
        <v>17</v>
      </c>
      <c r="K443" t="s">
        <v>1264</v>
      </c>
      <c r="L443">
        <v>170</v>
      </c>
      <c r="M443" t="s">
        <v>1265</v>
      </c>
    </row>
    <row r="444" spans="1:13" x14ac:dyDescent="0.35">
      <c r="A444" t="s">
        <v>13</v>
      </c>
      <c r="B444">
        <v>457267</v>
      </c>
      <c r="C444">
        <v>459903</v>
      </c>
      <c r="E444" t="s">
        <v>14</v>
      </c>
      <c r="F444" t="s">
        <v>1146</v>
      </c>
      <c r="H444">
        <v>1021199</v>
      </c>
      <c r="I444" t="s">
        <v>17</v>
      </c>
      <c r="K444" t="s">
        <v>1266</v>
      </c>
      <c r="L444">
        <v>878</v>
      </c>
      <c r="M444" t="s">
        <v>1267</v>
      </c>
    </row>
    <row r="445" spans="1:13" x14ac:dyDescent="0.35">
      <c r="A445" t="s">
        <v>13</v>
      </c>
      <c r="B445">
        <v>460020</v>
      </c>
      <c r="C445">
        <v>461096</v>
      </c>
      <c r="E445" t="s">
        <v>14</v>
      </c>
      <c r="F445" t="s">
        <v>1268</v>
      </c>
      <c r="G445" t="s">
        <v>1269</v>
      </c>
      <c r="H445">
        <v>1021107</v>
      </c>
      <c r="I445" t="s">
        <v>17</v>
      </c>
      <c r="K445" t="s">
        <v>1270</v>
      </c>
      <c r="L445">
        <v>358</v>
      </c>
      <c r="M445" t="s">
        <v>1271</v>
      </c>
    </row>
    <row r="446" spans="1:13" x14ac:dyDescent="0.35">
      <c r="A446" t="s">
        <v>13</v>
      </c>
      <c r="B446">
        <v>461112</v>
      </c>
      <c r="C446">
        <v>462458</v>
      </c>
      <c r="E446" t="s">
        <v>14</v>
      </c>
      <c r="F446" t="s">
        <v>1272</v>
      </c>
      <c r="H446">
        <v>1021084</v>
      </c>
      <c r="I446" t="s">
        <v>17</v>
      </c>
      <c r="K446" t="s">
        <v>1273</v>
      </c>
      <c r="L446">
        <v>448</v>
      </c>
      <c r="M446" t="s">
        <v>1274</v>
      </c>
    </row>
    <row r="447" spans="1:13" x14ac:dyDescent="0.35">
      <c r="A447" t="s">
        <v>13</v>
      </c>
      <c r="B447">
        <v>462557</v>
      </c>
      <c r="C447">
        <v>463870</v>
      </c>
      <c r="E447" t="s">
        <v>14</v>
      </c>
      <c r="F447" t="s">
        <v>1275</v>
      </c>
      <c r="G447" t="s">
        <v>1276</v>
      </c>
      <c r="H447">
        <v>1021451</v>
      </c>
      <c r="I447" t="s">
        <v>17</v>
      </c>
      <c r="K447" t="s">
        <v>1277</v>
      </c>
      <c r="L447">
        <v>437</v>
      </c>
      <c r="M447" t="s">
        <v>1278</v>
      </c>
    </row>
    <row r="448" spans="1:13" x14ac:dyDescent="0.35">
      <c r="A448" t="s">
        <v>13</v>
      </c>
      <c r="B448">
        <v>463867</v>
      </c>
      <c r="C448">
        <v>464475</v>
      </c>
      <c r="E448" t="s">
        <v>14</v>
      </c>
      <c r="F448" t="s">
        <v>1279</v>
      </c>
      <c r="H448">
        <v>1021447</v>
      </c>
      <c r="I448" t="s">
        <v>17</v>
      </c>
      <c r="K448" t="s">
        <v>1280</v>
      </c>
      <c r="L448">
        <v>202</v>
      </c>
      <c r="M448" t="s">
        <v>1281</v>
      </c>
    </row>
    <row r="449" spans="1:13" x14ac:dyDescent="0.35">
      <c r="A449" t="s">
        <v>13</v>
      </c>
      <c r="B449">
        <v>464482</v>
      </c>
      <c r="C449">
        <v>465105</v>
      </c>
      <c r="E449" t="s">
        <v>14</v>
      </c>
      <c r="F449" t="s">
        <v>1282</v>
      </c>
      <c r="H449">
        <v>1021450</v>
      </c>
      <c r="I449" t="s">
        <v>17</v>
      </c>
      <c r="K449" t="s">
        <v>1283</v>
      </c>
      <c r="L449">
        <v>207</v>
      </c>
      <c r="M449" t="s">
        <v>1284</v>
      </c>
    </row>
    <row r="450" spans="1:13" x14ac:dyDescent="0.35">
      <c r="A450" t="s">
        <v>13</v>
      </c>
      <c r="B450">
        <v>465106</v>
      </c>
      <c r="C450">
        <v>465912</v>
      </c>
      <c r="E450" t="s">
        <v>14</v>
      </c>
      <c r="F450" t="s">
        <v>75</v>
      </c>
      <c r="H450">
        <v>1021449</v>
      </c>
      <c r="I450" t="s">
        <v>17</v>
      </c>
      <c r="K450" t="s">
        <v>1285</v>
      </c>
      <c r="L450">
        <v>268</v>
      </c>
      <c r="M450" t="s">
        <v>1286</v>
      </c>
    </row>
    <row r="451" spans="1:13" x14ac:dyDescent="0.35">
      <c r="A451" t="s">
        <v>13</v>
      </c>
      <c r="B451">
        <v>465949</v>
      </c>
      <c r="C451">
        <v>467574</v>
      </c>
      <c r="E451" t="s">
        <v>14</v>
      </c>
      <c r="F451" t="s">
        <v>1287</v>
      </c>
      <c r="H451">
        <v>1021099</v>
      </c>
      <c r="I451" t="s">
        <v>17</v>
      </c>
      <c r="K451" t="s">
        <v>1288</v>
      </c>
      <c r="L451">
        <v>541</v>
      </c>
      <c r="M451" t="s">
        <v>1289</v>
      </c>
    </row>
    <row r="452" spans="1:13" x14ac:dyDescent="0.35">
      <c r="A452" t="s">
        <v>13</v>
      </c>
      <c r="B452">
        <v>467648</v>
      </c>
      <c r="C452">
        <v>468661</v>
      </c>
      <c r="E452" t="s">
        <v>14</v>
      </c>
      <c r="F452" t="s">
        <v>1290</v>
      </c>
      <c r="G452" t="s">
        <v>1291</v>
      </c>
      <c r="H452">
        <v>1021059</v>
      </c>
      <c r="I452" t="s">
        <v>17</v>
      </c>
      <c r="K452" t="s">
        <v>1292</v>
      </c>
      <c r="L452">
        <v>337</v>
      </c>
      <c r="M452" t="s">
        <v>1293</v>
      </c>
    </row>
    <row r="453" spans="1:13" x14ac:dyDescent="0.35">
      <c r="A453" t="s">
        <v>13</v>
      </c>
      <c r="B453">
        <v>469370</v>
      </c>
      <c r="C453">
        <v>470173</v>
      </c>
      <c r="E453" t="s">
        <v>14</v>
      </c>
      <c r="F453" t="s">
        <v>1294</v>
      </c>
      <c r="H453">
        <v>1021090</v>
      </c>
      <c r="I453" t="s">
        <v>17</v>
      </c>
      <c r="K453" t="s">
        <v>1295</v>
      </c>
      <c r="L453">
        <v>267</v>
      </c>
      <c r="M453" t="s">
        <v>1296</v>
      </c>
    </row>
    <row r="454" spans="1:13" x14ac:dyDescent="0.35">
      <c r="A454" t="s">
        <v>13</v>
      </c>
      <c r="B454">
        <v>470184</v>
      </c>
      <c r="C454">
        <v>470657</v>
      </c>
      <c r="E454" t="s">
        <v>14</v>
      </c>
      <c r="F454" t="s">
        <v>478</v>
      </c>
      <c r="H454">
        <v>1021072</v>
      </c>
      <c r="I454" t="s">
        <v>17</v>
      </c>
      <c r="K454" t="s">
        <v>1297</v>
      </c>
      <c r="L454">
        <v>157</v>
      </c>
      <c r="M454" t="s">
        <v>1298</v>
      </c>
    </row>
    <row r="455" spans="1:13" x14ac:dyDescent="0.35">
      <c r="A455" t="s">
        <v>13</v>
      </c>
      <c r="B455">
        <v>470654</v>
      </c>
      <c r="C455">
        <v>471013</v>
      </c>
      <c r="E455" t="s">
        <v>38</v>
      </c>
      <c r="F455" t="s">
        <v>801</v>
      </c>
      <c r="H455">
        <v>1021220</v>
      </c>
      <c r="I455" t="s">
        <v>17</v>
      </c>
      <c r="K455" t="s">
        <v>1299</v>
      </c>
      <c r="L455">
        <v>119</v>
      </c>
      <c r="M455" t="s">
        <v>1300</v>
      </c>
    </row>
    <row r="456" spans="1:13" x14ac:dyDescent="0.35">
      <c r="A456" t="s">
        <v>13</v>
      </c>
      <c r="B456">
        <v>471118</v>
      </c>
      <c r="C456">
        <v>471420</v>
      </c>
      <c r="E456" t="s">
        <v>38</v>
      </c>
      <c r="F456" t="s">
        <v>49</v>
      </c>
      <c r="H456">
        <v>1021457</v>
      </c>
      <c r="I456" t="s">
        <v>17</v>
      </c>
      <c r="K456" t="s">
        <v>1301</v>
      </c>
      <c r="L456">
        <v>100</v>
      </c>
      <c r="M456" t="s">
        <v>1302</v>
      </c>
    </row>
    <row r="457" spans="1:13" x14ac:dyDescent="0.35">
      <c r="A457" t="s">
        <v>13</v>
      </c>
      <c r="B457">
        <v>471515</v>
      </c>
      <c r="C457">
        <v>471850</v>
      </c>
      <c r="E457" t="s">
        <v>14</v>
      </c>
      <c r="F457" t="s">
        <v>1303</v>
      </c>
      <c r="H457">
        <v>1021452</v>
      </c>
      <c r="I457" t="s">
        <v>17</v>
      </c>
      <c r="K457" t="s">
        <v>1304</v>
      </c>
      <c r="L457">
        <v>111</v>
      </c>
      <c r="M457" t="s">
        <v>1305</v>
      </c>
    </row>
    <row r="458" spans="1:13" x14ac:dyDescent="0.35">
      <c r="A458" t="s">
        <v>13</v>
      </c>
      <c r="B458">
        <v>471912</v>
      </c>
      <c r="C458">
        <v>472808</v>
      </c>
      <c r="E458" t="s">
        <v>38</v>
      </c>
      <c r="F458" t="s">
        <v>1306</v>
      </c>
      <c r="H458">
        <v>1021453</v>
      </c>
      <c r="I458" t="s">
        <v>17</v>
      </c>
      <c r="K458" t="s">
        <v>1307</v>
      </c>
      <c r="L458">
        <v>298</v>
      </c>
      <c r="M458" t="s">
        <v>1308</v>
      </c>
    </row>
    <row r="459" spans="1:13" x14ac:dyDescent="0.35">
      <c r="A459" t="s">
        <v>13</v>
      </c>
      <c r="B459">
        <v>472948</v>
      </c>
      <c r="C459">
        <v>473814</v>
      </c>
      <c r="E459" t="s">
        <v>14</v>
      </c>
      <c r="F459" t="s">
        <v>49</v>
      </c>
      <c r="H459">
        <v>1021448</v>
      </c>
      <c r="I459" t="s">
        <v>17</v>
      </c>
      <c r="K459" t="s">
        <v>1309</v>
      </c>
      <c r="L459">
        <v>288</v>
      </c>
      <c r="M459" t="s">
        <v>1310</v>
      </c>
    </row>
    <row r="460" spans="1:13" x14ac:dyDescent="0.35">
      <c r="A460" t="s">
        <v>13</v>
      </c>
      <c r="B460">
        <v>473811</v>
      </c>
      <c r="C460">
        <v>474941</v>
      </c>
      <c r="E460" t="s">
        <v>38</v>
      </c>
      <c r="F460" t="s">
        <v>1311</v>
      </c>
      <c r="G460" t="s">
        <v>1312</v>
      </c>
      <c r="H460">
        <v>1021228</v>
      </c>
      <c r="I460" t="s">
        <v>17</v>
      </c>
      <c r="K460" t="s">
        <v>1313</v>
      </c>
      <c r="L460">
        <v>376</v>
      </c>
      <c r="M460" t="s">
        <v>1314</v>
      </c>
    </row>
    <row r="461" spans="1:13" x14ac:dyDescent="0.35">
      <c r="A461" t="s">
        <v>13</v>
      </c>
      <c r="B461">
        <v>474994</v>
      </c>
      <c r="C461">
        <v>475401</v>
      </c>
      <c r="E461" t="s">
        <v>38</v>
      </c>
      <c r="F461" t="s">
        <v>1315</v>
      </c>
      <c r="H461">
        <v>1021460</v>
      </c>
      <c r="I461" t="s">
        <v>17</v>
      </c>
      <c r="K461" t="s">
        <v>1316</v>
      </c>
      <c r="L461">
        <v>135</v>
      </c>
      <c r="M461" t="s">
        <v>1317</v>
      </c>
    </row>
    <row r="462" spans="1:13" x14ac:dyDescent="0.35">
      <c r="A462" t="s">
        <v>13</v>
      </c>
      <c r="B462">
        <v>475486</v>
      </c>
      <c r="C462">
        <v>477048</v>
      </c>
      <c r="E462" t="s">
        <v>38</v>
      </c>
      <c r="F462" t="s">
        <v>1318</v>
      </c>
      <c r="H462">
        <v>1021211</v>
      </c>
      <c r="I462" t="s">
        <v>17</v>
      </c>
      <c r="K462" t="s">
        <v>1319</v>
      </c>
      <c r="L462">
        <v>520</v>
      </c>
      <c r="M462" t="s">
        <v>1320</v>
      </c>
    </row>
    <row r="463" spans="1:13" x14ac:dyDescent="0.35">
      <c r="A463" t="s">
        <v>13</v>
      </c>
      <c r="B463">
        <v>477045</v>
      </c>
      <c r="C463">
        <v>477995</v>
      </c>
      <c r="E463" t="s">
        <v>38</v>
      </c>
      <c r="F463" t="s">
        <v>1321</v>
      </c>
      <c r="H463">
        <v>1021455</v>
      </c>
      <c r="I463" t="s">
        <v>17</v>
      </c>
      <c r="K463" t="s">
        <v>1322</v>
      </c>
      <c r="L463">
        <v>316</v>
      </c>
      <c r="M463" t="s">
        <v>1323</v>
      </c>
    </row>
    <row r="464" spans="1:13" x14ac:dyDescent="0.35">
      <c r="A464" t="s">
        <v>13</v>
      </c>
      <c r="B464">
        <v>478089</v>
      </c>
      <c r="C464">
        <v>478973</v>
      </c>
      <c r="E464" t="s">
        <v>38</v>
      </c>
      <c r="F464" t="s">
        <v>1324</v>
      </c>
      <c r="H464">
        <v>1021055</v>
      </c>
      <c r="I464" t="s">
        <v>17</v>
      </c>
      <c r="K464" t="s">
        <v>1325</v>
      </c>
      <c r="L464">
        <v>294</v>
      </c>
      <c r="M464" t="s">
        <v>1326</v>
      </c>
    </row>
    <row r="465" spans="1:13" x14ac:dyDescent="0.35">
      <c r="A465" t="s">
        <v>13</v>
      </c>
      <c r="B465">
        <v>478986</v>
      </c>
      <c r="C465">
        <v>479303</v>
      </c>
      <c r="E465" t="s">
        <v>38</v>
      </c>
      <c r="F465" t="s">
        <v>1327</v>
      </c>
      <c r="H465">
        <v>1021458</v>
      </c>
      <c r="I465" t="s">
        <v>17</v>
      </c>
      <c r="K465" t="s">
        <v>1328</v>
      </c>
      <c r="L465">
        <v>105</v>
      </c>
      <c r="M465" t="s">
        <v>1329</v>
      </c>
    </row>
    <row r="466" spans="1:13" x14ac:dyDescent="0.35">
      <c r="A466" t="s">
        <v>13</v>
      </c>
      <c r="B466">
        <v>479449</v>
      </c>
      <c r="C466">
        <v>480201</v>
      </c>
      <c r="E466" t="s">
        <v>38</v>
      </c>
      <c r="F466" t="s">
        <v>268</v>
      </c>
      <c r="H466">
        <v>1021459</v>
      </c>
      <c r="I466" t="s">
        <v>17</v>
      </c>
      <c r="K466" t="s">
        <v>1330</v>
      </c>
      <c r="L466">
        <v>250</v>
      </c>
      <c r="M466" t="s">
        <v>1331</v>
      </c>
    </row>
    <row r="467" spans="1:13" x14ac:dyDescent="0.35">
      <c r="A467" t="s">
        <v>13</v>
      </c>
      <c r="B467">
        <v>480205</v>
      </c>
      <c r="C467">
        <v>480624</v>
      </c>
      <c r="E467" t="s">
        <v>38</v>
      </c>
      <c r="F467" t="s">
        <v>1332</v>
      </c>
      <c r="H467">
        <v>1021466</v>
      </c>
      <c r="I467" t="s">
        <v>17</v>
      </c>
      <c r="K467" t="s">
        <v>1333</v>
      </c>
      <c r="L467">
        <v>139</v>
      </c>
      <c r="M467" t="s">
        <v>1334</v>
      </c>
    </row>
    <row r="468" spans="1:13" x14ac:dyDescent="0.35">
      <c r="A468" t="s">
        <v>13</v>
      </c>
      <c r="B468">
        <v>480621</v>
      </c>
      <c r="C468">
        <v>480995</v>
      </c>
      <c r="E468" t="s">
        <v>38</v>
      </c>
      <c r="F468" t="s">
        <v>49</v>
      </c>
      <c r="H468">
        <v>1021214</v>
      </c>
      <c r="I468" t="s">
        <v>17</v>
      </c>
      <c r="K468" t="s">
        <v>1335</v>
      </c>
      <c r="L468">
        <v>124</v>
      </c>
      <c r="M468" t="s">
        <v>1336</v>
      </c>
    </row>
    <row r="469" spans="1:13" x14ac:dyDescent="0.35">
      <c r="A469" t="s">
        <v>13</v>
      </c>
      <c r="B469">
        <v>481128</v>
      </c>
      <c r="C469">
        <v>481391</v>
      </c>
      <c r="E469" t="s">
        <v>38</v>
      </c>
      <c r="F469" t="s">
        <v>49</v>
      </c>
      <c r="H469">
        <v>1021454</v>
      </c>
      <c r="I469" t="s">
        <v>17</v>
      </c>
      <c r="K469" t="s">
        <v>1337</v>
      </c>
      <c r="L469">
        <v>87</v>
      </c>
      <c r="M469" t="s">
        <v>1338</v>
      </c>
    </row>
    <row r="470" spans="1:13" x14ac:dyDescent="0.35">
      <c r="A470" t="s">
        <v>13</v>
      </c>
      <c r="B470">
        <v>481391</v>
      </c>
      <c r="C470">
        <v>482668</v>
      </c>
      <c r="E470" t="s">
        <v>38</v>
      </c>
      <c r="F470" t="s">
        <v>1339</v>
      </c>
      <c r="H470">
        <v>1021468</v>
      </c>
      <c r="I470" t="s">
        <v>17</v>
      </c>
      <c r="K470" t="s">
        <v>1340</v>
      </c>
      <c r="L470">
        <v>425</v>
      </c>
      <c r="M470" t="s">
        <v>1341</v>
      </c>
    </row>
    <row r="471" spans="1:13" x14ac:dyDescent="0.35">
      <c r="A471" t="s">
        <v>13</v>
      </c>
      <c r="B471">
        <v>483363</v>
      </c>
      <c r="C471">
        <v>483587</v>
      </c>
      <c r="E471" t="s">
        <v>38</v>
      </c>
      <c r="F471" t="s">
        <v>49</v>
      </c>
      <c r="H471">
        <v>92792288</v>
      </c>
      <c r="I471" t="s">
        <v>17</v>
      </c>
      <c r="K471" t="s">
        <v>1342</v>
      </c>
      <c r="L471">
        <v>74</v>
      </c>
      <c r="M471" t="s">
        <v>1343</v>
      </c>
    </row>
    <row r="472" spans="1:13" x14ac:dyDescent="0.35">
      <c r="A472" t="s">
        <v>13</v>
      </c>
      <c r="B472">
        <v>484103</v>
      </c>
      <c r="C472">
        <v>485062</v>
      </c>
      <c r="E472" t="s">
        <v>38</v>
      </c>
      <c r="F472" t="s">
        <v>1344</v>
      </c>
      <c r="H472">
        <v>1021469</v>
      </c>
      <c r="I472" t="s">
        <v>17</v>
      </c>
      <c r="K472" t="s">
        <v>1345</v>
      </c>
      <c r="L472">
        <v>319</v>
      </c>
      <c r="M472" t="s">
        <v>1346</v>
      </c>
    </row>
    <row r="473" spans="1:13" x14ac:dyDescent="0.35">
      <c r="A473" t="s">
        <v>13</v>
      </c>
      <c r="B473">
        <v>485074</v>
      </c>
      <c r="C473">
        <v>485355</v>
      </c>
      <c r="E473" t="s">
        <v>38</v>
      </c>
      <c r="F473" t="s">
        <v>1347</v>
      </c>
      <c r="H473">
        <v>1021467</v>
      </c>
      <c r="I473" t="s">
        <v>17</v>
      </c>
      <c r="K473" t="s">
        <v>1348</v>
      </c>
      <c r="L473">
        <v>93</v>
      </c>
      <c r="M473" t="s">
        <v>1349</v>
      </c>
    </row>
    <row r="474" spans="1:13" x14ac:dyDescent="0.35">
      <c r="A474" t="s">
        <v>13</v>
      </c>
      <c r="B474">
        <v>485384</v>
      </c>
      <c r="C474">
        <v>485989</v>
      </c>
      <c r="E474" t="s">
        <v>14</v>
      </c>
      <c r="F474" t="s">
        <v>1350</v>
      </c>
      <c r="H474">
        <v>1021470</v>
      </c>
      <c r="I474" t="s">
        <v>17</v>
      </c>
      <c r="K474" t="s">
        <v>1351</v>
      </c>
      <c r="L474">
        <v>201</v>
      </c>
      <c r="M474" t="s">
        <v>1352</v>
      </c>
    </row>
    <row r="475" spans="1:13" x14ac:dyDescent="0.35">
      <c r="A475" t="s">
        <v>13</v>
      </c>
      <c r="B475">
        <v>486001</v>
      </c>
      <c r="C475">
        <v>487017</v>
      </c>
      <c r="E475" t="s">
        <v>14</v>
      </c>
      <c r="F475" t="s">
        <v>1353</v>
      </c>
      <c r="H475">
        <v>1021473</v>
      </c>
      <c r="I475" t="s">
        <v>17</v>
      </c>
      <c r="K475" t="s">
        <v>1354</v>
      </c>
      <c r="L475">
        <v>338</v>
      </c>
      <c r="M475" t="s">
        <v>1355</v>
      </c>
    </row>
    <row r="476" spans="1:13" x14ac:dyDescent="0.35">
      <c r="A476" t="s">
        <v>13</v>
      </c>
      <c r="B476">
        <v>487028</v>
      </c>
      <c r="C476">
        <v>488659</v>
      </c>
      <c r="E476" t="s">
        <v>14</v>
      </c>
      <c r="F476" t="s">
        <v>1356</v>
      </c>
      <c r="G476" t="s">
        <v>1357</v>
      </c>
      <c r="H476">
        <v>1021471</v>
      </c>
      <c r="I476" t="s">
        <v>17</v>
      </c>
      <c r="K476" t="s">
        <v>1358</v>
      </c>
      <c r="L476">
        <v>543</v>
      </c>
      <c r="M476" t="s">
        <v>1359</v>
      </c>
    </row>
    <row r="477" spans="1:13" x14ac:dyDescent="0.35">
      <c r="A477" t="s">
        <v>13</v>
      </c>
      <c r="B477">
        <v>488660</v>
      </c>
      <c r="C477">
        <v>489103</v>
      </c>
      <c r="E477" t="s">
        <v>14</v>
      </c>
      <c r="F477" t="s">
        <v>1360</v>
      </c>
      <c r="H477">
        <v>1021474</v>
      </c>
      <c r="I477" t="s">
        <v>17</v>
      </c>
      <c r="K477" t="s">
        <v>1361</v>
      </c>
      <c r="L477">
        <v>147</v>
      </c>
      <c r="M477" t="s">
        <v>1362</v>
      </c>
    </row>
    <row r="478" spans="1:13" x14ac:dyDescent="0.35">
      <c r="A478" t="s">
        <v>13</v>
      </c>
      <c r="B478">
        <v>489227</v>
      </c>
      <c r="C478">
        <v>490450</v>
      </c>
      <c r="E478" t="s">
        <v>14</v>
      </c>
      <c r="F478" t="s">
        <v>1046</v>
      </c>
      <c r="H478">
        <v>1021476</v>
      </c>
      <c r="I478" t="s">
        <v>17</v>
      </c>
      <c r="K478" t="s">
        <v>1363</v>
      </c>
      <c r="L478">
        <v>407</v>
      </c>
      <c r="M478" t="s">
        <v>1364</v>
      </c>
    </row>
    <row r="479" spans="1:13" x14ac:dyDescent="0.35">
      <c r="A479" t="s">
        <v>13</v>
      </c>
      <c r="B479">
        <v>490580</v>
      </c>
      <c r="C479">
        <v>491941</v>
      </c>
      <c r="E479" t="s">
        <v>14</v>
      </c>
      <c r="F479" t="s">
        <v>1365</v>
      </c>
      <c r="G479" t="s">
        <v>1366</v>
      </c>
      <c r="H479">
        <v>1021472</v>
      </c>
      <c r="I479" t="s">
        <v>17</v>
      </c>
      <c r="K479" t="s">
        <v>1367</v>
      </c>
      <c r="L479">
        <v>453</v>
      </c>
      <c r="M479" t="s">
        <v>1368</v>
      </c>
    </row>
    <row r="480" spans="1:13" x14ac:dyDescent="0.35">
      <c r="A480" t="s">
        <v>13</v>
      </c>
      <c r="B480">
        <v>491966</v>
      </c>
      <c r="C480">
        <v>492658</v>
      </c>
      <c r="E480" t="s">
        <v>14</v>
      </c>
      <c r="F480" t="s">
        <v>1369</v>
      </c>
      <c r="H480">
        <v>1021475</v>
      </c>
      <c r="I480" t="s">
        <v>17</v>
      </c>
      <c r="K480" t="s">
        <v>1370</v>
      </c>
      <c r="L480">
        <v>230</v>
      </c>
      <c r="M480" t="s">
        <v>1371</v>
      </c>
    </row>
    <row r="481" spans="1:13" x14ac:dyDescent="0.35">
      <c r="A481" t="s">
        <v>13</v>
      </c>
      <c r="B481">
        <v>492642</v>
      </c>
      <c r="C481">
        <v>493916</v>
      </c>
      <c r="E481" t="s">
        <v>38</v>
      </c>
      <c r="F481" t="s">
        <v>1372</v>
      </c>
      <c r="H481">
        <v>1021477</v>
      </c>
      <c r="I481" t="s">
        <v>17</v>
      </c>
      <c r="K481" t="s">
        <v>1373</v>
      </c>
      <c r="L481">
        <v>424</v>
      </c>
      <c r="M481" t="s">
        <v>1374</v>
      </c>
    </row>
    <row r="482" spans="1:13" x14ac:dyDescent="0.35">
      <c r="A482" t="s">
        <v>13</v>
      </c>
      <c r="B482">
        <v>494061</v>
      </c>
      <c r="C482">
        <v>495113</v>
      </c>
      <c r="E482" t="s">
        <v>14</v>
      </c>
      <c r="F482" t="s">
        <v>1375</v>
      </c>
      <c r="H482">
        <v>1021478</v>
      </c>
      <c r="I482" t="s">
        <v>17</v>
      </c>
      <c r="K482" t="s">
        <v>1376</v>
      </c>
      <c r="L482">
        <v>350</v>
      </c>
      <c r="M482" t="s">
        <v>1377</v>
      </c>
    </row>
    <row r="483" spans="1:13" x14ac:dyDescent="0.35">
      <c r="A483" t="s">
        <v>13</v>
      </c>
      <c r="B483">
        <v>495199</v>
      </c>
      <c r="C483">
        <v>495281</v>
      </c>
      <c r="E483" t="s">
        <v>14</v>
      </c>
      <c r="F483" t="s">
        <v>1378</v>
      </c>
      <c r="H483">
        <v>2745349</v>
      </c>
      <c r="I483" t="s">
        <v>62</v>
      </c>
      <c r="M483" t="s">
        <v>1379</v>
      </c>
    </row>
    <row r="484" spans="1:13" x14ac:dyDescent="0.35">
      <c r="A484" t="s">
        <v>13</v>
      </c>
      <c r="B484">
        <v>495904</v>
      </c>
      <c r="C484">
        <v>495976</v>
      </c>
      <c r="E484" t="s">
        <v>14</v>
      </c>
      <c r="F484" t="s">
        <v>948</v>
      </c>
      <c r="H484">
        <v>2745374</v>
      </c>
      <c r="I484" t="s">
        <v>62</v>
      </c>
      <c r="M484" t="s">
        <v>1380</v>
      </c>
    </row>
    <row r="485" spans="1:13" x14ac:dyDescent="0.35">
      <c r="A485" t="s">
        <v>13</v>
      </c>
      <c r="B485">
        <v>496229</v>
      </c>
      <c r="C485">
        <v>496301</v>
      </c>
      <c r="E485" t="s">
        <v>14</v>
      </c>
      <c r="F485" t="s">
        <v>948</v>
      </c>
      <c r="H485">
        <v>2745343</v>
      </c>
      <c r="I485" t="s">
        <v>62</v>
      </c>
      <c r="M485" t="s">
        <v>1381</v>
      </c>
    </row>
    <row r="486" spans="1:13" x14ac:dyDescent="0.35">
      <c r="A486" t="s">
        <v>13</v>
      </c>
      <c r="B486">
        <v>496340</v>
      </c>
      <c r="C486">
        <v>496411</v>
      </c>
      <c r="E486" t="s">
        <v>14</v>
      </c>
      <c r="F486" t="s">
        <v>1382</v>
      </c>
      <c r="H486">
        <v>2745325</v>
      </c>
      <c r="I486" t="s">
        <v>62</v>
      </c>
      <c r="M486" t="s">
        <v>1383</v>
      </c>
    </row>
    <row r="487" spans="1:13" x14ac:dyDescent="0.35">
      <c r="A487" t="s">
        <v>13</v>
      </c>
      <c r="B487">
        <v>496508</v>
      </c>
      <c r="C487">
        <v>496580</v>
      </c>
      <c r="E487" t="s">
        <v>14</v>
      </c>
      <c r="F487" t="s">
        <v>1384</v>
      </c>
      <c r="H487">
        <v>2745367</v>
      </c>
      <c r="I487" t="s">
        <v>62</v>
      </c>
      <c r="M487" t="s">
        <v>1385</v>
      </c>
    </row>
    <row r="488" spans="1:13" x14ac:dyDescent="0.35">
      <c r="A488" t="s">
        <v>13</v>
      </c>
      <c r="B488">
        <v>496810</v>
      </c>
      <c r="C488">
        <v>497145</v>
      </c>
      <c r="E488" t="s">
        <v>14</v>
      </c>
      <c r="F488" t="s">
        <v>1386</v>
      </c>
      <c r="G488" t="s">
        <v>1387</v>
      </c>
      <c r="H488">
        <v>1021479</v>
      </c>
      <c r="I488" t="s">
        <v>17</v>
      </c>
      <c r="K488" t="s">
        <v>1388</v>
      </c>
      <c r="L488">
        <v>111</v>
      </c>
      <c r="M488" t="s">
        <v>1389</v>
      </c>
    </row>
    <row r="489" spans="1:13" x14ac:dyDescent="0.35">
      <c r="A489" t="s">
        <v>13</v>
      </c>
      <c r="B489">
        <v>497374</v>
      </c>
      <c r="C489">
        <v>498330</v>
      </c>
      <c r="E489" t="s">
        <v>14</v>
      </c>
      <c r="F489" t="s">
        <v>1390</v>
      </c>
      <c r="G489" t="s">
        <v>1391</v>
      </c>
      <c r="H489">
        <v>1021480</v>
      </c>
      <c r="I489" t="s">
        <v>17</v>
      </c>
      <c r="K489" t="s">
        <v>1392</v>
      </c>
      <c r="L489">
        <v>318</v>
      </c>
      <c r="M489" t="s">
        <v>1393</v>
      </c>
    </row>
    <row r="490" spans="1:13" x14ac:dyDescent="0.35">
      <c r="A490" t="s">
        <v>13</v>
      </c>
      <c r="B490">
        <v>498598</v>
      </c>
      <c r="C490">
        <v>499035</v>
      </c>
      <c r="E490" t="s">
        <v>14</v>
      </c>
      <c r="F490" t="s">
        <v>1394</v>
      </c>
      <c r="G490" t="s">
        <v>1395</v>
      </c>
      <c r="H490">
        <v>1021481</v>
      </c>
      <c r="I490" t="s">
        <v>17</v>
      </c>
      <c r="K490" t="s">
        <v>1396</v>
      </c>
      <c r="L490">
        <v>145</v>
      </c>
      <c r="M490" t="s">
        <v>1397</v>
      </c>
    </row>
    <row r="491" spans="1:13" x14ac:dyDescent="0.35">
      <c r="A491" t="s">
        <v>13</v>
      </c>
      <c r="B491">
        <v>499162</v>
      </c>
      <c r="C491">
        <v>499872</v>
      </c>
      <c r="E491" t="s">
        <v>14</v>
      </c>
      <c r="F491" t="s">
        <v>1398</v>
      </c>
      <c r="G491" t="s">
        <v>1399</v>
      </c>
      <c r="H491">
        <v>1021483</v>
      </c>
      <c r="I491" t="s">
        <v>17</v>
      </c>
      <c r="K491" t="s">
        <v>1400</v>
      </c>
      <c r="L491">
        <v>236</v>
      </c>
      <c r="M491" t="s">
        <v>1401</v>
      </c>
    </row>
    <row r="492" spans="1:13" x14ac:dyDescent="0.35">
      <c r="A492" t="s">
        <v>13</v>
      </c>
      <c r="B492">
        <v>499922</v>
      </c>
      <c r="C492">
        <v>501436</v>
      </c>
      <c r="E492" t="s">
        <v>38</v>
      </c>
      <c r="F492" t="s">
        <v>1402</v>
      </c>
      <c r="H492">
        <v>1021484</v>
      </c>
      <c r="I492" t="s">
        <v>17</v>
      </c>
      <c r="K492" t="s">
        <v>1403</v>
      </c>
      <c r="L492">
        <v>504</v>
      </c>
      <c r="M492" t="s">
        <v>1404</v>
      </c>
    </row>
    <row r="493" spans="1:13" x14ac:dyDescent="0.35">
      <c r="A493" t="s">
        <v>13</v>
      </c>
      <c r="B493">
        <v>501577</v>
      </c>
      <c r="C493">
        <v>502923</v>
      </c>
      <c r="E493" t="s">
        <v>14</v>
      </c>
      <c r="F493" t="s">
        <v>1405</v>
      </c>
      <c r="G493" t="s">
        <v>1406</v>
      </c>
      <c r="H493">
        <v>1021485</v>
      </c>
      <c r="I493" t="s">
        <v>17</v>
      </c>
      <c r="K493" t="s">
        <v>1407</v>
      </c>
      <c r="L493">
        <v>448</v>
      </c>
      <c r="M493" t="s">
        <v>1408</v>
      </c>
    </row>
    <row r="494" spans="1:13" x14ac:dyDescent="0.35">
      <c r="A494" t="s">
        <v>13</v>
      </c>
      <c r="B494">
        <v>502925</v>
      </c>
      <c r="C494">
        <v>504286</v>
      </c>
      <c r="E494" t="s">
        <v>14</v>
      </c>
      <c r="F494" t="s">
        <v>185</v>
      </c>
      <c r="H494">
        <v>1021486</v>
      </c>
      <c r="I494" t="s">
        <v>17</v>
      </c>
      <c r="K494" t="s">
        <v>1409</v>
      </c>
      <c r="L494">
        <v>453</v>
      </c>
      <c r="M494" t="s">
        <v>1410</v>
      </c>
    </row>
    <row r="495" spans="1:13" x14ac:dyDescent="0.35">
      <c r="A495" t="s">
        <v>13</v>
      </c>
      <c r="B495">
        <v>504325</v>
      </c>
      <c r="C495">
        <v>505572</v>
      </c>
      <c r="E495" t="s">
        <v>14</v>
      </c>
      <c r="F495" t="s">
        <v>1411</v>
      </c>
      <c r="H495">
        <v>1021487</v>
      </c>
      <c r="I495" t="s">
        <v>17</v>
      </c>
      <c r="K495" t="s">
        <v>1412</v>
      </c>
      <c r="L495">
        <v>415</v>
      </c>
      <c r="M495" t="s">
        <v>1413</v>
      </c>
    </row>
    <row r="496" spans="1:13" x14ac:dyDescent="0.35">
      <c r="A496" t="s">
        <v>13</v>
      </c>
      <c r="B496">
        <v>505698</v>
      </c>
      <c r="C496">
        <v>507650</v>
      </c>
      <c r="E496" t="s">
        <v>14</v>
      </c>
      <c r="F496" t="s">
        <v>1146</v>
      </c>
      <c r="H496">
        <v>1021482</v>
      </c>
      <c r="I496" t="s">
        <v>17</v>
      </c>
      <c r="K496" t="s">
        <v>1414</v>
      </c>
      <c r="L496">
        <v>650</v>
      </c>
      <c r="M496" t="s">
        <v>1415</v>
      </c>
    </row>
    <row r="497" spans="1:13" x14ac:dyDescent="0.35">
      <c r="A497" t="s">
        <v>13</v>
      </c>
      <c r="B497">
        <v>507669</v>
      </c>
      <c r="C497">
        <v>509084</v>
      </c>
      <c r="E497" t="s">
        <v>14</v>
      </c>
      <c r="F497" t="s">
        <v>1416</v>
      </c>
      <c r="H497">
        <v>1021488</v>
      </c>
      <c r="I497" t="s">
        <v>17</v>
      </c>
      <c r="K497" t="s">
        <v>1417</v>
      </c>
      <c r="L497">
        <v>471</v>
      </c>
      <c r="M497" t="s">
        <v>1418</v>
      </c>
    </row>
    <row r="498" spans="1:13" x14ac:dyDescent="0.35">
      <c r="A498" t="s">
        <v>13</v>
      </c>
      <c r="B498">
        <v>509094</v>
      </c>
      <c r="C498">
        <v>509699</v>
      </c>
      <c r="E498" t="s">
        <v>14</v>
      </c>
      <c r="F498" t="s">
        <v>1419</v>
      </c>
      <c r="H498">
        <v>1021490</v>
      </c>
      <c r="I498" t="s">
        <v>17</v>
      </c>
      <c r="K498" t="s">
        <v>1420</v>
      </c>
      <c r="L498">
        <v>201</v>
      </c>
      <c r="M498" t="s">
        <v>1421</v>
      </c>
    </row>
    <row r="499" spans="1:13" x14ac:dyDescent="0.35">
      <c r="A499" t="s">
        <v>13</v>
      </c>
      <c r="B499">
        <v>509998</v>
      </c>
      <c r="C499">
        <v>510513</v>
      </c>
      <c r="E499" t="s">
        <v>14</v>
      </c>
      <c r="F499" t="s">
        <v>1422</v>
      </c>
      <c r="G499" t="s">
        <v>1423</v>
      </c>
      <c r="H499">
        <v>1021489</v>
      </c>
      <c r="I499" t="s">
        <v>17</v>
      </c>
      <c r="K499" t="s">
        <v>1424</v>
      </c>
      <c r="L499">
        <v>171</v>
      </c>
      <c r="M499" t="s">
        <v>1425</v>
      </c>
    </row>
    <row r="500" spans="1:13" x14ac:dyDescent="0.35">
      <c r="A500" t="s">
        <v>13</v>
      </c>
      <c r="B500">
        <v>510591</v>
      </c>
      <c r="C500">
        <v>510977</v>
      </c>
      <c r="E500" t="s">
        <v>14</v>
      </c>
      <c r="F500" t="s">
        <v>1426</v>
      </c>
      <c r="G500" t="s">
        <v>1427</v>
      </c>
      <c r="H500">
        <v>1021491</v>
      </c>
      <c r="I500" t="s">
        <v>17</v>
      </c>
      <c r="K500" t="s">
        <v>1428</v>
      </c>
      <c r="L500">
        <v>128</v>
      </c>
      <c r="M500" t="s">
        <v>1429</v>
      </c>
    </row>
    <row r="501" spans="1:13" x14ac:dyDescent="0.35">
      <c r="A501" t="s">
        <v>13</v>
      </c>
      <c r="B501">
        <v>511536</v>
      </c>
      <c r="C501">
        <v>512510</v>
      </c>
      <c r="E501" t="s">
        <v>14</v>
      </c>
      <c r="F501" t="s">
        <v>1430</v>
      </c>
      <c r="H501">
        <v>1021493</v>
      </c>
      <c r="I501" t="s">
        <v>17</v>
      </c>
      <c r="K501" t="s">
        <v>1431</v>
      </c>
      <c r="L501">
        <v>324</v>
      </c>
      <c r="M501" t="s">
        <v>1432</v>
      </c>
    </row>
    <row r="502" spans="1:13" x14ac:dyDescent="0.35">
      <c r="A502" t="s">
        <v>13</v>
      </c>
      <c r="B502">
        <v>512913</v>
      </c>
      <c r="C502">
        <v>516410</v>
      </c>
      <c r="E502" t="s">
        <v>14</v>
      </c>
      <c r="F502" t="s">
        <v>1433</v>
      </c>
      <c r="H502">
        <v>1021495</v>
      </c>
      <c r="I502" t="s">
        <v>17</v>
      </c>
      <c r="K502" t="s">
        <v>1434</v>
      </c>
      <c r="L502">
        <v>1165</v>
      </c>
      <c r="M502" t="s">
        <v>1435</v>
      </c>
    </row>
    <row r="503" spans="1:13" x14ac:dyDescent="0.35">
      <c r="A503" t="s">
        <v>13</v>
      </c>
      <c r="B503">
        <v>516494</v>
      </c>
      <c r="C503">
        <v>520495</v>
      </c>
      <c r="E503" t="s">
        <v>14</v>
      </c>
      <c r="F503" t="s">
        <v>1436</v>
      </c>
      <c r="H503">
        <v>1021494</v>
      </c>
      <c r="I503" t="s">
        <v>17</v>
      </c>
      <c r="K503" t="s">
        <v>1437</v>
      </c>
      <c r="L503">
        <v>1333</v>
      </c>
      <c r="M503" t="s">
        <v>1438</v>
      </c>
    </row>
    <row r="504" spans="1:13" x14ac:dyDescent="0.35">
      <c r="A504" t="s">
        <v>13</v>
      </c>
      <c r="B504">
        <v>520671</v>
      </c>
      <c r="C504">
        <v>520853</v>
      </c>
      <c r="E504" t="s">
        <v>14</v>
      </c>
      <c r="F504" t="s">
        <v>49</v>
      </c>
      <c r="H504">
        <v>1021496</v>
      </c>
      <c r="I504" t="s">
        <v>17</v>
      </c>
      <c r="K504" t="s">
        <v>1439</v>
      </c>
      <c r="L504">
        <v>60</v>
      </c>
      <c r="M504" t="s">
        <v>1440</v>
      </c>
    </row>
    <row r="505" spans="1:13" x14ac:dyDescent="0.35">
      <c r="A505" t="s">
        <v>13</v>
      </c>
      <c r="B505">
        <v>520865</v>
      </c>
      <c r="C505">
        <v>521647</v>
      </c>
      <c r="E505" t="s">
        <v>14</v>
      </c>
      <c r="F505" t="s">
        <v>138</v>
      </c>
      <c r="H505">
        <v>1021492</v>
      </c>
      <c r="I505" t="s">
        <v>17</v>
      </c>
      <c r="K505" t="s">
        <v>1441</v>
      </c>
      <c r="L505">
        <v>260</v>
      </c>
      <c r="M505" t="s">
        <v>1442</v>
      </c>
    </row>
    <row r="506" spans="1:13" x14ac:dyDescent="0.35">
      <c r="A506" t="s">
        <v>13</v>
      </c>
      <c r="B506">
        <v>521676</v>
      </c>
      <c r="C506">
        <v>522371</v>
      </c>
      <c r="E506" t="s">
        <v>38</v>
      </c>
      <c r="F506" t="s">
        <v>1443</v>
      </c>
      <c r="H506">
        <v>1021497</v>
      </c>
      <c r="I506" t="s">
        <v>17</v>
      </c>
      <c r="K506" t="s">
        <v>1444</v>
      </c>
      <c r="L506">
        <v>231</v>
      </c>
      <c r="M506" t="s">
        <v>1445</v>
      </c>
    </row>
    <row r="507" spans="1:13" x14ac:dyDescent="0.35">
      <c r="A507" t="s">
        <v>13</v>
      </c>
      <c r="B507">
        <v>522694</v>
      </c>
      <c r="C507">
        <v>523062</v>
      </c>
      <c r="E507" t="s">
        <v>14</v>
      </c>
      <c r="F507" t="s">
        <v>1446</v>
      </c>
      <c r="G507" t="s">
        <v>1447</v>
      </c>
      <c r="H507">
        <v>1021498</v>
      </c>
      <c r="I507" t="s">
        <v>17</v>
      </c>
      <c r="K507" t="s">
        <v>1448</v>
      </c>
      <c r="L507">
        <v>122</v>
      </c>
      <c r="M507" t="s">
        <v>1449</v>
      </c>
    </row>
    <row r="508" spans="1:13" x14ac:dyDescent="0.35">
      <c r="A508" t="s">
        <v>13</v>
      </c>
      <c r="B508">
        <v>523069</v>
      </c>
      <c r="C508">
        <v>523536</v>
      </c>
      <c r="E508" t="s">
        <v>14</v>
      </c>
      <c r="F508" t="s">
        <v>1450</v>
      </c>
      <c r="G508" t="s">
        <v>1451</v>
      </c>
      <c r="H508">
        <v>1021500</v>
      </c>
      <c r="I508" t="s">
        <v>17</v>
      </c>
      <c r="K508" t="s">
        <v>1452</v>
      </c>
      <c r="L508">
        <v>155</v>
      </c>
      <c r="M508" t="s">
        <v>1453</v>
      </c>
    </row>
    <row r="509" spans="1:13" x14ac:dyDescent="0.35">
      <c r="A509" t="s">
        <v>13</v>
      </c>
      <c r="B509">
        <v>523884</v>
      </c>
      <c r="C509">
        <v>526013</v>
      </c>
      <c r="E509" t="s">
        <v>14</v>
      </c>
      <c r="F509" t="s">
        <v>1454</v>
      </c>
      <c r="G509" t="s">
        <v>1455</v>
      </c>
      <c r="H509">
        <v>1021501</v>
      </c>
      <c r="I509" t="s">
        <v>17</v>
      </c>
      <c r="K509" t="s">
        <v>1456</v>
      </c>
      <c r="L509">
        <v>709</v>
      </c>
      <c r="M509" t="s">
        <v>1457</v>
      </c>
    </row>
    <row r="510" spans="1:13" x14ac:dyDescent="0.35">
      <c r="A510" t="s">
        <v>13</v>
      </c>
      <c r="B510">
        <v>526376</v>
      </c>
      <c r="C510">
        <v>527566</v>
      </c>
      <c r="E510" t="s">
        <v>14</v>
      </c>
      <c r="F510" t="s">
        <v>1458</v>
      </c>
      <c r="G510" t="s">
        <v>1459</v>
      </c>
      <c r="H510">
        <v>1021503</v>
      </c>
      <c r="I510" t="s">
        <v>17</v>
      </c>
      <c r="K510" t="s">
        <v>1460</v>
      </c>
      <c r="L510">
        <v>396</v>
      </c>
      <c r="M510" t="s">
        <v>1461</v>
      </c>
    </row>
    <row r="511" spans="1:13" x14ac:dyDescent="0.35">
      <c r="A511" t="s">
        <v>13</v>
      </c>
      <c r="B511">
        <v>528040</v>
      </c>
      <c r="C511">
        <v>528771</v>
      </c>
      <c r="E511" t="s">
        <v>14</v>
      </c>
      <c r="F511" t="s">
        <v>49</v>
      </c>
      <c r="H511">
        <v>1021505</v>
      </c>
      <c r="I511" t="s">
        <v>17</v>
      </c>
      <c r="K511" t="s">
        <v>1462</v>
      </c>
      <c r="L511">
        <v>243</v>
      </c>
      <c r="M511" t="s">
        <v>1463</v>
      </c>
    </row>
    <row r="512" spans="1:13" x14ac:dyDescent="0.35">
      <c r="A512" t="s">
        <v>13</v>
      </c>
      <c r="B512">
        <v>528776</v>
      </c>
      <c r="C512">
        <v>529570</v>
      </c>
      <c r="E512" t="s">
        <v>38</v>
      </c>
      <c r="F512" t="s">
        <v>147</v>
      </c>
      <c r="H512">
        <v>1021499</v>
      </c>
      <c r="I512" t="s">
        <v>17</v>
      </c>
      <c r="K512" t="s">
        <v>1464</v>
      </c>
      <c r="L512">
        <v>264</v>
      </c>
      <c r="M512" t="s">
        <v>1465</v>
      </c>
    </row>
    <row r="513" spans="1:13" x14ac:dyDescent="0.35">
      <c r="A513" t="s">
        <v>13</v>
      </c>
      <c r="B513">
        <v>529589</v>
      </c>
      <c r="C513">
        <v>530755</v>
      </c>
      <c r="E513" t="s">
        <v>38</v>
      </c>
      <c r="F513" t="s">
        <v>144</v>
      </c>
      <c r="H513">
        <v>1021506</v>
      </c>
      <c r="I513" t="s">
        <v>17</v>
      </c>
      <c r="K513" t="s">
        <v>1466</v>
      </c>
      <c r="L513">
        <v>388</v>
      </c>
      <c r="M513" t="s">
        <v>1467</v>
      </c>
    </row>
    <row r="514" spans="1:13" x14ac:dyDescent="0.35">
      <c r="A514" t="s">
        <v>13</v>
      </c>
      <c r="B514">
        <v>530745</v>
      </c>
      <c r="C514">
        <v>531791</v>
      </c>
      <c r="E514" t="s">
        <v>38</v>
      </c>
      <c r="F514" t="s">
        <v>1468</v>
      </c>
      <c r="H514">
        <v>1021504</v>
      </c>
      <c r="I514" t="s">
        <v>17</v>
      </c>
      <c r="K514" t="s">
        <v>1469</v>
      </c>
      <c r="L514">
        <v>348</v>
      </c>
      <c r="M514" t="s">
        <v>1470</v>
      </c>
    </row>
    <row r="515" spans="1:13" x14ac:dyDescent="0.35">
      <c r="A515" t="s">
        <v>13</v>
      </c>
      <c r="B515">
        <v>532098</v>
      </c>
      <c r="C515">
        <v>532526</v>
      </c>
      <c r="E515" t="s">
        <v>14</v>
      </c>
      <c r="F515" t="s">
        <v>141</v>
      </c>
      <c r="H515">
        <v>1021507</v>
      </c>
      <c r="I515" t="s">
        <v>142</v>
      </c>
      <c r="M515" t="s">
        <v>1471</v>
      </c>
    </row>
    <row r="516" spans="1:13" x14ac:dyDescent="0.35">
      <c r="A516" t="s">
        <v>13</v>
      </c>
      <c r="B516">
        <v>533099</v>
      </c>
      <c r="C516">
        <v>533404</v>
      </c>
      <c r="E516" t="s">
        <v>14</v>
      </c>
      <c r="F516" t="s">
        <v>1472</v>
      </c>
      <c r="G516" t="s">
        <v>1473</v>
      </c>
      <c r="H516">
        <v>1021509</v>
      </c>
      <c r="I516" t="s">
        <v>17</v>
      </c>
      <c r="K516" t="s">
        <v>1474</v>
      </c>
      <c r="L516">
        <v>101</v>
      </c>
      <c r="M516" t="s">
        <v>1475</v>
      </c>
    </row>
    <row r="517" spans="1:13" x14ac:dyDescent="0.35">
      <c r="A517" t="s">
        <v>13</v>
      </c>
      <c r="B517">
        <v>533437</v>
      </c>
      <c r="C517">
        <v>534093</v>
      </c>
      <c r="E517" t="s">
        <v>14</v>
      </c>
      <c r="F517" t="s">
        <v>1476</v>
      </c>
      <c r="G517" t="s">
        <v>1477</v>
      </c>
      <c r="H517">
        <v>1021508</v>
      </c>
      <c r="I517" t="s">
        <v>17</v>
      </c>
      <c r="K517" t="s">
        <v>1478</v>
      </c>
      <c r="L517">
        <v>218</v>
      </c>
      <c r="M517" t="s">
        <v>1479</v>
      </c>
    </row>
    <row r="518" spans="1:13" x14ac:dyDescent="0.35">
      <c r="A518" t="s">
        <v>13</v>
      </c>
      <c r="B518">
        <v>534090</v>
      </c>
      <c r="C518">
        <v>534746</v>
      </c>
      <c r="E518" t="s">
        <v>14</v>
      </c>
      <c r="F518" t="s">
        <v>1480</v>
      </c>
      <c r="G518" t="s">
        <v>1481</v>
      </c>
      <c r="H518">
        <v>1021511</v>
      </c>
      <c r="I518" t="s">
        <v>17</v>
      </c>
      <c r="K518" t="s">
        <v>1482</v>
      </c>
      <c r="L518">
        <v>218</v>
      </c>
      <c r="M518" t="s">
        <v>1483</v>
      </c>
    </row>
    <row r="519" spans="1:13" x14ac:dyDescent="0.35">
      <c r="A519" t="s">
        <v>13</v>
      </c>
      <c r="B519">
        <v>534746</v>
      </c>
      <c r="C519">
        <v>535051</v>
      </c>
      <c r="E519" t="s">
        <v>14</v>
      </c>
      <c r="F519" t="s">
        <v>1484</v>
      </c>
      <c r="G519" t="s">
        <v>1485</v>
      </c>
      <c r="H519">
        <v>1021512</v>
      </c>
      <c r="I519" t="s">
        <v>17</v>
      </c>
      <c r="K519" t="s">
        <v>1486</v>
      </c>
      <c r="L519">
        <v>101</v>
      </c>
      <c r="M519" t="s">
        <v>1487</v>
      </c>
    </row>
    <row r="520" spans="1:13" x14ac:dyDescent="0.35">
      <c r="A520" t="s">
        <v>13</v>
      </c>
      <c r="B520">
        <v>535076</v>
      </c>
      <c r="C520">
        <v>535918</v>
      </c>
      <c r="E520" t="s">
        <v>14</v>
      </c>
      <c r="F520" t="s">
        <v>1488</v>
      </c>
      <c r="G520" t="s">
        <v>1489</v>
      </c>
      <c r="H520">
        <v>1021510</v>
      </c>
      <c r="I520" t="s">
        <v>17</v>
      </c>
      <c r="K520" t="s">
        <v>1490</v>
      </c>
      <c r="L520">
        <v>280</v>
      </c>
      <c r="M520" t="s">
        <v>1491</v>
      </c>
    </row>
    <row r="521" spans="1:13" x14ac:dyDescent="0.35">
      <c r="A521" t="s">
        <v>13</v>
      </c>
      <c r="B521">
        <v>535935</v>
      </c>
      <c r="C521">
        <v>536213</v>
      </c>
      <c r="E521" t="s">
        <v>14</v>
      </c>
      <c r="F521" t="s">
        <v>1492</v>
      </c>
      <c r="G521" t="s">
        <v>1493</v>
      </c>
      <c r="H521">
        <v>1021514</v>
      </c>
      <c r="I521" t="s">
        <v>17</v>
      </c>
      <c r="K521" t="s">
        <v>1494</v>
      </c>
      <c r="L521">
        <v>92</v>
      </c>
      <c r="M521" t="s">
        <v>1495</v>
      </c>
    </row>
    <row r="522" spans="1:13" x14ac:dyDescent="0.35">
      <c r="A522" t="s">
        <v>13</v>
      </c>
      <c r="B522">
        <v>536217</v>
      </c>
      <c r="C522">
        <v>536579</v>
      </c>
      <c r="E522" t="s">
        <v>14</v>
      </c>
      <c r="F522" t="s">
        <v>1496</v>
      </c>
      <c r="G522" t="s">
        <v>1497</v>
      </c>
      <c r="H522">
        <v>1021515</v>
      </c>
      <c r="I522" t="s">
        <v>17</v>
      </c>
      <c r="K522" t="s">
        <v>1498</v>
      </c>
      <c r="L522">
        <v>120</v>
      </c>
      <c r="M522" t="s">
        <v>1499</v>
      </c>
    </row>
    <row r="523" spans="1:13" x14ac:dyDescent="0.35">
      <c r="A523" t="s">
        <v>13</v>
      </c>
      <c r="B523">
        <v>536579</v>
      </c>
      <c r="C523">
        <v>537325</v>
      </c>
      <c r="E523" t="s">
        <v>14</v>
      </c>
      <c r="F523" t="s">
        <v>1500</v>
      </c>
      <c r="G523" t="s">
        <v>1501</v>
      </c>
      <c r="H523">
        <v>1021517</v>
      </c>
      <c r="I523" t="s">
        <v>17</v>
      </c>
      <c r="K523" t="s">
        <v>1502</v>
      </c>
      <c r="L523">
        <v>248</v>
      </c>
      <c r="M523" t="s">
        <v>1503</v>
      </c>
    </row>
    <row r="524" spans="1:13" x14ac:dyDescent="0.35">
      <c r="A524" t="s">
        <v>13</v>
      </c>
      <c r="B524">
        <v>537328</v>
      </c>
      <c r="C524">
        <v>537744</v>
      </c>
      <c r="E524" t="s">
        <v>14</v>
      </c>
      <c r="F524" t="s">
        <v>1504</v>
      </c>
      <c r="G524" t="s">
        <v>1505</v>
      </c>
      <c r="H524">
        <v>1021516</v>
      </c>
      <c r="I524" t="s">
        <v>17</v>
      </c>
      <c r="K524" t="s">
        <v>1506</v>
      </c>
      <c r="L524">
        <v>138</v>
      </c>
      <c r="M524" t="s">
        <v>1507</v>
      </c>
    </row>
    <row r="525" spans="1:13" x14ac:dyDescent="0.35">
      <c r="A525" t="s">
        <v>13</v>
      </c>
      <c r="B525">
        <v>537744</v>
      </c>
      <c r="C525">
        <v>537974</v>
      </c>
      <c r="E525" t="s">
        <v>14</v>
      </c>
      <c r="F525" t="s">
        <v>1508</v>
      </c>
      <c r="G525" t="s">
        <v>1509</v>
      </c>
      <c r="H525">
        <v>1021518</v>
      </c>
      <c r="I525" t="s">
        <v>17</v>
      </c>
      <c r="K525" t="s">
        <v>1510</v>
      </c>
      <c r="L525">
        <v>76</v>
      </c>
      <c r="M525" t="s">
        <v>1511</v>
      </c>
    </row>
    <row r="526" spans="1:13" x14ac:dyDescent="0.35">
      <c r="A526" t="s">
        <v>13</v>
      </c>
      <c r="B526">
        <v>537977</v>
      </c>
      <c r="C526">
        <v>538255</v>
      </c>
      <c r="E526" t="s">
        <v>14</v>
      </c>
      <c r="F526" t="s">
        <v>1512</v>
      </c>
      <c r="G526" t="s">
        <v>1513</v>
      </c>
      <c r="H526">
        <v>1021513</v>
      </c>
      <c r="I526" t="s">
        <v>17</v>
      </c>
      <c r="K526" t="s">
        <v>1514</v>
      </c>
      <c r="L526">
        <v>92</v>
      </c>
      <c r="M526" t="s">
        <v>1515</v>
      </c>
    </row>
    <row r="527" spans="1:13" x14ac:dyDescent="0.35">
      <c r="A527" t="s">
        <v>13</v>
      </c>
      <c r="B527">
        <v>538378</v>
      </c>
      <c r="C527">
        <v>538647</v>
      </c>
      <c r="E527" t="s">
        <v>38</v>
      </c>
      <c r="F527" t="s">
        <v>49</v>
      </c>
      <c r="H527">
        <v>1021519</v>
      </c>
      <c r="I527" t="s">
        <v>17</v>
      </c>
      <c r="K527" t="s">
        <v>1516</v>
      </c>
      <c r="L527">
        <v>89</v>
      </c>
      <c r="M527" t="s">
        <v>1517</v>
      </c>
    </row>
    <row r="528" spans="1:13" x14ac:dyDescent="0.35">
      <c r="A528" t="s">
        <v>13</v>
      </c>
      <c r="B528">
        <v>538715</v>
      </c>
      <c r="C528">
        <v>539413</v>
      </c>
      <c r="E528" t="s">
        <v>38</v>
      </c>
      <c r="F528" t="s">
        <v>1518</v>
      </c>
      <c r="H528">
        <v>1021521</v>
      </c>
      <c r="I528" t="s">
        <v>17</v>
      </c>
      <c r="K528" t="s">
        <v>1519</v>
      </c>
      <c r="L528">
        <v>232</v>
      </c>
      <c r="M528" t="s">
        <v>1520</v>
      </c>
    </row>
    <row r="529" spans="1:13" x14ac:dyDescent="0.35">
      <c r="A529" t="s">
        <v>13</v>
      </c>
      <c r="B529">
        <v>539741</v>
      </c>
      <c r="C529">
        <v>540109</v>
      </c>
      <c r="E529" t="s">
        <v>14</v>
      </c>
      <c r="F529" t="s">
        <v>1521</v>
      </c>
      <c r="G529" t="s">
        <v>1522</v>
      </c>
      <c r="H529">
        <v>1021522</v>
      </c>
      <c r="I529" t="s">
        <v>17</v>
      </c>
      <c r="K529" t="s">
        <v>1523</v>
      </c>
      <c r="L529">
        <v>122</v>
      </c>
      <c r="M529" t="s">
        <v>1524</v>
      </c>
    </row>
    <row r="530" spans="1:13" x14ac:dyDescent="0.35">
      <c r="A530" t="s">
        <v>13</v>
      </c>
      <c r="B530">
        <v>540112</v>
      </c>
      <c r="C530">
        <v>540426</v>
      </c>
      <c r="E530" t="s">
        <v>14</v>
      </c>
      <c r="F530" t="s">
        <v>1525</v>
      </c>
      <c r="G530" t="s">
        <v>1526</v>
      </c>
      <c r="H530">
        <v>1021520</v>
      </c>
      <c r="I530" t="s">
        <v>17</v>
      </c>
      <c r="K530" t="s">
        <v>1527</v>
      </c>
      <c r="L530">
        <v>104</v>
      </c>
      <c r="M530" t="s">
        <v>1528</v>
      </c>
    </row>
    <row r="531" spans="1:13" x14ac:dyDescent="0.35">
      <c r="A531" t="s">
        <v>13</v>
      </c>
      <c r="B531">
        <v>540426</v>
      </c>
      <c r="C531">
        <v>541001</v>
      </c>
      <c r="E531" t="s">
        <v>14</v>
      </c>
      <c r="F531" t="s">
        <v>1529</v>
      </c>
      <c r="G531" t="s">
        <v>1530</v>
      </c>
      <c r="H531">
        <v>1021523</v>
      </c>
      <c r="I531" t="s">
        <v>17</v>
      </c>
      <c r="K531" t="s">
        <v>1531</v>
      </c>
      <c r="L531">
        <v>191</v>
      </c>
      <c r="M531" t="s">
        <v>1532</v>
      </c>
    </row>
    <row r="532" spans="1:13" x14ac:dyDescent="0.35">
      <c r="A532" t="s">
        <v>13</v>
      </c>
      <c r="B532">
        <v>541108</v>
      </c>
      <c r="C532">
        <v>542082</v>
      </c>
      <c r="E532" t="s">
        <v>14</v>
      </c>
      <c r="F532" t="s">
        <v>1533</v>
      </c>
      <c r="H532">
        <v>1021525</v>
      </c>
      <c r="I532" t="s">
        <v>17</v>
      </c>
      <c r="K532" t="s">
        <v>1534</v>
      </c>
      <c r="L532">
        <v>324</v>
      </c>
      <c r="M532" t="s">
        <v>1535</v>
      </c>
    </row>
    <row r="533" spans="1:13" x14ac:dyDescent="0.35">
      <c r="A533" t="s">
        <v>13</v>
      </c>
      <c r="B533">
        <v>542087</v>
      </c>
      <c r="C533">
        <v>542896</v>
      </c>
      <c r="E533" t="s">
        <v>38</v>
      </c>
      <c r="F533" t="s">
        <v>336</v>
      </c>
      <c r="H533">
        <v>1021524</v>
      </c>
      <c r="I533" t="s">
        <v>17</v>
      </c>
      <c r="K533" t="s">
        <v>1536</v>
      </c>
      <c r="L533">
        <v>269</v>
      </c>
      <c r="M533" t="s">
        <v>1537</v>
      </c>
    </row>
    <row r="534" spans="1:13" x14ac:dyDescent="0.35">
      <c r="A534" t="s">
        <v>13</v>
      </c>
      <c r="B534">
        <v>542918</v>
      </c>
      <c r="C534">
        <v>543412</v>
      </c>
      <c r="E534" t="s">
        <v>38</v>
      </c>
      <c r="F534" t="s">
        <v>49</v>
      </c>
      <c r="H534">
        <v>1021528</v>
      </c>
      <c r="I534" t="s">
        <v>17</v>
      </c>
      <c r="K534" t="s">
        <v>1538</v>
      </c>
      <c r="L534">
        <v>164</v>
      </c>
      <c r="M534" t="s">
        <v>1539</v>
      </c>
    </row>
    <row r="535" spans="1:13" x14ac:dyDescent="0.35">
      <c r="A535" t="s">
        <v>13</v>
      </c>
      <c r="B535">
        <v>543412</v>
      </c>
      <c r="C535">
        <v>544329</v>
      </c>
      <c r="E535" t="s">
        <v>38</v>
      </c>
      <c r="F535" t="s">
        <v>1540</v>
      </c>
      <c r="G535" t="s">
        <v>1541</v>
      </c>
      <c r="H535">
        <v>1021529</v>
      </c>
      <c r="I535" t="s">
        <v>17</v>
      </c>
      <c r="K535" t="s">
        <v>1542</v>
      </c>
      <c r="L535">
        <v>305</v>
      </c>
      <c r="M535" t="s">
        <v>1543</v>
      </c>
    </row>
    <row r="536" spans="1:13" x14ac:dyDescent="0.35">
      <c r="A536" t="s">
        <v>13</v>
      </c>
      <c r="B536">
        <v>544332</v>
      </c>
      <c r="C536">
        <v>544640</v>
      </c>
      <c r="E536" t="s">
        <v>38</v>
      </c>
      <c r="F536" t="s">
        <v>1544</v>
      </c>
      <c r="H536">
        <v>1021526</v>
      </c>
      <c r="I536" t="s">
        <v>17</v>
      </c>
      <c r="K536" t="s">
        <v>1545</v>
      </c>
      <c r="L536">
        <v>102</v>
      </c>
      <c r="M536" t="s">
        <v>1546</v>
      </c>
    </row>
    <row r="537" spans="1:13" x14ac:dyDescent="0.35">
      <c r="A537" t="s">
        <v>13</v>
      </c>
      <c r="B537">
        <v>544754</v>
      </c>
      <c r="C537">
        <v>547042</v>
      </c>
      <c r="E537" t="s">
        <v>38</v>
      </c>
      <c r="F537" t="s">
        <v>1547</v>
      </c>
      <c r="G537" t="s">
        <v>1548</v>
      </c>
      <c r="H537">
        <v>1021531</v>
      </c>
      <c r="I537" t="s">
        <v>17</v>
      </c>
      <c r="K537" t="s">
        <v>1549</v>
      </c>
      <c r="L537">
        <v>762</v>
      </c>
      <c r="M537" t="s">
        <v>1550</v>
      </c>
    </row>
    <row r="538" spans="1:13" x14ac:dyDescent="0.35">
      <c r="A538" t="s">
        <v>13</v>
      </c>
      <c r="B538">
        <v>547458</v>
      </c>
      <c r="C538">
        <v>548087</v>
      </c>
      <c r="E538" t="s">
        <v>14</v>
      </c>
      <c r="F538" t="s">
        <v>49</v>
      </c>
      <c r="H538">
        <v>1021532</v>
      </c>
      <c r="I538" t="s">
        <v>17</v>
      </c>
      <c r="K538" t="s">
        <v>1551</v>
      </c>
      <c r="L538">
        <v>209</v>
      </c>
      <c r="M538" t="s">
        <v>1552</v>
      </c>
    </row>
    <row r="539" spans="1:13" x14ac:dyDescent="0.35">
      <c r="A539" t="s">
        <v>13</v>
      </c>
      <c r="B539">
        <v>548184</v>
      </c>
      <c r="C539">
        <v>548990</v>
      </c>
      <c r="E539" t="s">
        <v>38</v>
      </c>
      <c r="F539" t="s">
        <v>1553</v>
      </c>
      <c r="H539">
        <v>1021530</v>
      </c>
      <c r="I539" t="s">
        <v>17</v>
      </c>
      <c r="K539" t="s">
        <v>1554</v>
      </c>
      <c r="L539">
        <v>268</v>
      </c>
      <c r="M539" t="s">
        <v>1555</v>
      </c>
    </row>
    <row r="540" spans="1:13" x14ac:dyDescent="0.35">
      <c r="A540" t="s">
        <v>13</v>
      </c>
      <c r="B540">
        <v>548987</v>
      </c>
      <c r="C540">
        <v>550696</v>
      </c>
      <c r="E540" t="s">
        <v>38</v>
      </c>
      <c r="F540" t="s">
        <v>147</v>
      </c>
      <c r="H540">
        <v>1021527</v>
      </c>
      <c r="I540" t="s">
        <v>17</v>
      </c>
      <c r="K540" t="s">
        <v>1556</v>
      </c>
      <c r="L540">
        <v>569</v>
      </c>
      <c r="M540" t="s">
        <v>1557</v>
      </c>
    </row>
    <row r="541" spans="1:13" x14ac:dyDescent="0.35">
      <c r="A541" t="s">
        <v>13</v>
      </c>
      <c r="B541">
        <v>550696</v>
      </c>
      <c r="C541">
        <v>551808</v>
      </c>
      <c r="E541" t="s">
        <v>38</v>
      </c>
      <c r="F541" t="s">
        <v>1558</v>
      </c>
      <c r="H541">
        <v>1021534</v>
      </c>
      <c r="I541" t="s">
        <v>17</v>
      </c>
      <c r="K541" t="s">
        <v>1559</v>
      </c>
      <c r="L541">
        <v>370</v>
      </c>
      <c r="M541" t="s">
        <v>1560</v>
      </c>
    </row>
    <row r="542" spans="1:13" x14ac:dyDescent="0.35">
      <c r="A542" t="s">
        <v>13</v>
      </c>
      <c r="B542">
        <v>551851</v>
      </c>
      <c r="C542">
        <v>552924</v>
      </c>
      <c r="E542" t="s">
        <v>38</v>
      </c>
      <c r="F542" t="s">
        <v>49</v>
      </c>
      <c r="H542">
        <v>1021535</v>
      </c>
      <c r="I542" t="s">
        <v>17</v>
      </c>
      <c r="K542" t="s">
        <v>1561</v>
      </c>
      <c r="L542">
        <v>357</v>
      </c>
      <c r="M542" t="s">
        <v>1562</v>
      </c>
    </row>
    <row r="543" spans="1:13" x14ac:dyDescent="0.35">
      <c r="A543" t="s">
        <v>13</v>
      </c>
      <c r="B543">
        <v>552945</v>
      </c>
      <c r="C543">
        <v>554129</v>
      </c>
      <c r="E543" t="s">
        <v>38</v>
      </c>
      <c r="F543" t="s">
        <v>1563</v>
      </c>
      <c r="H543">
        <v>1021533</v>
      </c>
      <c r="I543" t="s">
        <v>17</v>
      </c>
      <c r="K543" t="s">
        <v>1564</v>
      </c>
      <c r="L543">
        <v>394</v>
      </c>
      <c r="M543" t="s">
        <v>1565</v>
      </c>
    </row>
    <row r="544" spans="1:13" x14ac:dyDescent="0.35">
      <c r="A544" t="s">
        <v>13</v>
      </c>
      <c r="B544">
        <v>554449</v>
      </c>
      <c r="C544">
        <v>554973</v>
      </c>
      <c r="E544" t="s">
        <v>38</v>
      </c>
      <c r="F544" t="s">
        <v>549</v>
      </c>
      <c r="H544">
        <v>1021536</v>
      </c>
      <c r="I544" t="s">
        <v>17</v>
      </c>
      <c r="K544" t="s">
        <v>1566</v>
      </c>
      <c r="L544">
        <v>174</v>
      </c>
      <c r="M544" t="s">
        <v>1567</v>
      </c>
    </row>
    <row r="545" spans="1:13" x14ac:dyDescent="0.35">
      <c r="A545" t="s">
        <v>13</v>
      </c>
      <c r="B545">
        <v>555331</v>
      </c>
      <c r="C545">
        <v>555729</v>
      </c>
      <c r="E545" t="s">
        <v>14</v>
      </c>
      <c r="F545" t="s">
        <v>1568</v>
      </c>
      <c r="G545" t="s">
        <v>1569</v>
      </c>
      <c r="H545">
        <v>1021538</v>
      </c>
      <c r="I545" t="s">
        <v>17</v>
      </c>
      <c r="K545" t="s">
        <v>1570</v>
      </c>
      <c r="L545">
        <v>132</v>
      </c>
      <c r="M545" t="s">
        <v>1571</v>
      </c>
    </row>
    <row r="546" spans="1:13" x14ac:dyDescent="0.35">
      <c r="A546" t="s">
        <v>13</v>
      </c>
      <c r="B546">
        <v>555749</v>
      </c>
      <c r="C546">
        <v>556285</v>
      </c>
      <c r="E546" t="s">
        <v>14</v>
      </c>
      <c r="F546" t="s">
        <v>1572</v>
      </c>
      <c r="G546" t="s">
        <v>1573</v>
      </c>
      <c r="H546">
        <v>1021537</v>
      </c>
      <c r="I546" t="s">
        <v>17</v>
      </c>
      <c r="K546" t="s">
        <v>1574</v>
      </c>
      <c r="L546">
        <v>178</v>
      </c>
      <c r="M546" t="s">
        <v>1575</v>
      </c>
    </row>
    <row r="547" spans="1:13" x14ac:dyDescent="0.35">
      <c r="A547" t="s">
        <v>13</v>
      </c>
      <c r="B547">
        <v>556289</v>
      </c>
      <c r="C547">
        <v>556693</v>
      </c>
      <c r="E547" t="s">
        <v>14</v>
      </c>
      <c r="F547" t="s">
        <v>1576</v>
      </c>
      <c r="G547" t="s">
        <v>1577</v>
      </c>
      <c r="H547">
        <v>1021541</v>
      </c>
      <c r="I547" t="s">
        <v>17</v>
      </c>
      <c r="K547" t="s">
        <v>1578</v>
      </c>
      <c r="L547">
        <v>134</v>
      </c>
      <c r="M547" t="s">
        <v>1579</v>
      </c>
    </row>
    <row r="548" spans="1:13" x14ac:dyDescent="0.35">
      <c r="A548" t="s">
        <v>13</v>
      </c>
      <c r="B548">
        <v>556734</v>
      </c>
      <c r="C548">
        <v>557369</v>
      </c>
      <c r="E548" t="s">
        <v>14</v>
      </c>
      <c r="F548" t="s">
        <v>1580</v>
      </c>
      <c r="G548" t="s">
        <v>1581</v>
      </c>
      <c r="H548">
        <v>1021540</v>
      </c>
      <c r="I548" t="s">
        <v>17</v>
      </c>
      <c r="K548" t="s">
        <v>1582</v>
      </c>
      <c r="L548">
        <v>211</v>
      </c>
      <c r="M548" t="s">
        <v>1583</v>
      </c>
    </row>
    <row r="549" spans="1:13" x14ac:dyDescent="0.35">
      <c r="A549" t="s">
        <v>13</v>
      </c>
      <c r="B549">
        <v>557373</v>
      </c>
      <c r="C549">
        <v>557558</v>
      </c>
      <c r="E549" t="s">
        <v>14</v>
      </c>
      <c r="F549" t="s">
        <v>1584</v>
      </c>
      <c r="G549" t="s">
        <v>1585</v>
      </c>
      <c r="H549">
        <v>1021542</v>
      </c>
      <c r="I549" t="s">
        <v>17</v>
      </c>
      <c r="K549" t="s">
        <v>1586</v>
      </c>
      <c r="L549">
        <v>61</v>
      </c>
      <c r="M549" t="s">
        <v>1587</v>
      </c>
    </row>
    <row r="550" spans="1:13" x14ac:dyDescent="0.35">
      <c r="A550" t="s">
        <v>13</v>
      </c>
      <c r="B550">
        <v>557565</v>
      </c>
      <c r="C550">
        <v>558011</v>
      </c>
      <c r="E550" t="s">
        <v>14</v>
      </c>
      <c r="F550" t="s">
        <v>1588</v>
      </c>
      <c r="G550" t="s">
        <v>1589</v>
      </c>
      <c r="H550">
        <v>1021539</v>
      </c>
      <c r="I550" t="s">
        <v>17</v>
      </c>
      <c r="K550" t="s">
        <v>1590</v>
      </c>
      <c r="L550">
        <v>148</v>
      </c>
      <c r="M550" t="s">
        <v>1591</v>
      </c>
    </row>
    <row r="551" spans="1:13" x14ac:dyDescent="0.35">
      <c r="A551" t="s">
        <v>13</v>
      </c>
      <c r="B551">
        <v>558194</v>
      </c>
      <c r="C551">
        <v>558406</v>
      </c>
      <c r="E551" t="s">
        <v>38</v>
      </c>
      <c r="F551" t="s">
        <v>1592</v>
      </c>
      <c r="H551">
        <v>1018550</v>
      </c>
      <c r="I551" t="s">
        <v>17</v>
      </c>
      <c r="K551" t="s">
        <v>1593</v>
      </c>
      <c r="L551">
        <v>70</v>
      </c>
      <c r="M551" t="s">
        <v>1594</v>
      </c>
    </row>
    <row r="552" spans="1:13" x14ac:dyDescent="0.35">
      <c r="A552" t="s">
        <v>13</v>
      </c>
      <c r="B552">
        <v>558604</v>
      </c>
      <c r="C552">
        <v>558969</v>
      </c>
      <c r="E552" t="s">
        <v>38</v>
      </c>
      <c r="F552" t="s">
        <v>49</v>
      </c>
      <c r="H552">
        <v>1018551</v>
      </c>
      <c r="I552" t="s">
        <v>17</v>
      </c>
      <c r="K552" t="s">
        <v>1595</v>
      </c>
      <c r="L552">
        <v>121</v>
      </c>
      <c r="M552" t="s">
        <v>1596</v>
      </c>
    </row>
    <row r="553" spans="1:13" x14ac:dyDescent="0.35">
      <c r="A553" t="s">
        <v>13</v>
      </c>
      <c r="B553">
        <v>559141</v>
      </c>
      <c r="C553">
        <v>560634</v>
      </c>
      <c r="E553" t="s">
        <v>38</v>
      </c>
      <c r="F553" t="s">
        <v>1592</v>
      </c>
      <c r="H553">
        <v>1018552</v>
      </c>
      <c r="I553" t="s">
        <v>17</v>
      </c>
      <c r="K553" t="s">
        <v>1597</v>
      </c>
      <c r="L553">
        <v>497</v>
      </c>
      <c r="M553" t="s">
        <v>1598</v>
      </c>
    </row>
    <row r="554" spans="1:13" x14ac:dyDescent="0.35">
      <c r="A554" t="s">
        <v>13</v>
      </c>
      <c r="B554">
        <v>560631</v>
      </c>
      <c r="C554">
        <v>561368</v>
      </c>
      <c r="E554" t="s">
        <v>38</v>
      </c>
      <c r="F554" t="s">
        <v>1599</v>
      </c>
      <c r="H554">
        <v>1018553</v>
      </c>
      <c r="I554" t="s">
        <v>17</v>
      </c>
      <c r="K554" t="s">
        <v>1600</v>
      </c>
      <c r="L554">
        <v>245</v>
      </c>
      <c r="M554" t="s">
        <v>1601</v>
      </c>
    </row>
    <row r="555" spans="1:13" x14ac:dyDescent="0.35">
      <c r="A555" t="s">
        <v>13</v>
      </c>
      <c r="B555">
        <v>561365</v>
      </c>
      <c r="C555">
        <v>562633</v>
      </c>
      <c r="E555" t="s">
        <v>38</v>
      </c>
      <c r="F555" t="s">
        <v>1602</v>
      </c>
      <c r="H555">
        <v>1018554</v>
      </c>
      <c r="I555" t="s">
        <v>17</v>
      </c>
      <c r="K555" t="s">
        <v>1603</v>
      </c>
      <c r="L555">
        <v>422</v>
      </c>
      <c r="M555" t="s">
        <v>1604</v>
      </c>
    </row>
    <row r="556" spans="1:13" x14ac:dyDescent="0.35">
      <c r="A556" t="s">
        <v>13</v>
      </c>
      <c r="B556">
        <v>562643</v>
      </c>
      <c r="C556">
        <v>562963</v>
      </c>
      <c r="E556" t="s">
        <v>38</v>
      </c>
      <c r="F556" t="s">
        <v>624</v>
      </c>
      <c r="H556">
        <v>1018555</v>
      </c>
      <c r="I556" t="s">
        <v>17</v>
      </c>
      <c r="K556" t="s">
        <v>1605</v>
      </c>
      <c r="L556">
        <v>106</v>
      </c>
      <c r="M556" t="s">
        <v>1606</v>
      </c>
    </row>
    <row r="557" spans="1:13" x14ac:dyDescent="0.35">
      <c r="A557" t="s">
        <v>13</v>
      </c>
      <c r="B557">
        <v>562990</v>
      </c>
      <c r="C557">
        <v>563736</v>
      </c>
      <c r="E557" t="s">
        <v>38</v>
      </c>
      <c r="F557" t="s">
        <v>871</v>
      </c>
      <c r="H557">
        <v>1018556</v>
      </c>
      <c r="I557" t="s">
        <v>17</v>
      </c>
      <c r="K557" t="s">
        <v>1607</v>
      </c>
      <c r="L557">
        <v>248</v>
      </c>
      <c r="M557" t="s">
        <v>1608</v>
      </c>
    </row>
    <row r="558" spans="1:13" x14ac:dyDescent="0.35">
      <c r="A558" t="s">
        <v>13</v>
      </c>
      <c r="B558">
        <v>563729</v>
      </c>
      <c r="C558">
        <v>565630</v>
      </c>
      <c r="E558" t="s">
        <v>38</v>
      </c>
      <c r="F558" t="s">
        <v>1609</v>
      </c>
      <c r="H558">
        <v>1018557</v>
      </c>
      <c r="I558" t="s">
        <v>17</v>
      </c>
      <c r="K558" t="s">
        <v>1610</v>
      </c>
      <c r="L558">
        <v>633</v>
      </c>
      <c r="M558" t="s">
        <v>1611</v>
      </c>
    </row>
    <row r="559" spans="1:13" x14ac:dyDescent="0.35">
      <c r="A559" t="s">
        <v>13</v>
      </c>
      <c r="B559">
        <v>565677</v>
      </c>
      <c r="C559">
        <v>566771</v>
      </c>
      <c r="E559" t="s">
        <v>38</v>
      </c>
      <c r="F559" t="s">
        <v>1612</v>
      </c>
      <c r="H559">
        <v>1018558</v>
      </c>
      <c r="I559" t="s">
        <v>17</v>
      </c>
      <c r="K559" t="s">
        <v>1613</v>
      </c>
      <c r="L559">
        <v>364</v>
      </c>
      <c r="M559" t="s">
        <v>1614</v>
      </c>
    </row>
    <row r="560" spans="1:13" x14ac:dyDescent="0.35">
      <c r="A560" t="s">
        <v>13</v>
      </c>
      <c r="B560">
        <v>566796</v>
      </c>
      <c r="C560">
        <v>568082</v>
      </c>
      <c r="E560" t="s">
        <v>38</v>
      </c>
      <c r="F560" t="s">
        <v>1615</v>
      </c>
      <c r="H560">
        <v>1018559</v>
      </c>
      <c r="I560" t="s">
        <v>17</v>
      </c>
      <c r="K560" t="s">
        <v>1616</v>
      </c>
      <c r="L560">
        <v>428</v>
      </c>
      <c r="M560" t="s">
        <v>1617</v>
      </c>
    </row>
    <row r="561" spans="1:13" x14ac:dyDescent="0.35">
      <c r="A561" t="s">
        <v>13</v>
      </c>
      <c r="B561">
        <v>568269</v>
      </c>
      <c r="C561">
        <v>569075</v>
      </c>
      <c r="E561" t="s">
        <v>38</v>
      </c>
      <c r="F561" t="s">
        <v>1618</v>
      </c>
      <c r="H561">
        <v>1018560</v>
      </c>
      <c r="I561" t="s">
        <v>17</v>
      </c>
      <c r="K561" t="s">
        <v>1619</v>
      </c>
      <c r="L561">
        <v>268</v>
      </c>
      <c r="M561" t="s">
        <v>1620</v>
      </c>
    </row>
    <row r="562" spans="1:13" x14ac:dyDescent="0.35">
      <c r="A562" t="s">
        <v>13</v>
      </c>
      <c r="B562">
        <v>569452</v>
      </c>
      <c r="C562">
        <v>570774</v>
      </c>
      <c r="E562" t="s">
        <v>14</v>
      </c>
      <c r="F562" t="s">
        <v>1621</v>
      </c>
      <c r="G562" t="s">
        <v>1622</v>
      </c>
      <c r="H562">
        <v>1018561</v>
      </c>
      <c r="I562" t="s">
        <v>17</v>
      </c>
      <c r="K562" t="s">
        <v>1623</v>
      </c>
      <c r="L562">
        <v>440</v>
      </c>
      <c r="M562" t="s">
        <v>1624</v>
      </c>
    </row>
    <row r="563" spans="1:13" x14ac:dyDescent="0.35">
      <c r="A563" t="s">
        <v>13</v>
      </c>
      <c r="B563">
        <v>570774</v>
      </c>
      <c r="C563">
        <v>571319</v>
      </c>
      <c r="E563" t="s">
        <v>14</v>
      </c>
      <c r="F563" t="s">
        <v>955</v>
      </c>
      <c r="H563">
        <v>1018562</v>
      </c>
      <c r="I563" t="s">
        <v>17</v>
      </c>
      <c r="K563" t="s">
        <v>1625</v>
      </c>
      <c r="L563">
        <v>181</v>
      </c>
      <c r="M563" t="s">
        <v>1626</v>
      </c>
    </row>
    <row r="564" spans="1:13" x14ac:dyDescent="0.35">
      <c r="A564" t="s">
        <v>13</v>
      </c>
      <c r="B564">
        <v>571476</v>
      </c>
      <c r="C564">
        <v>572270</v>
      </c>
      <c r="E564" t="s">
        <v>14</v>
      </c>
      <c r="F564" t="s">
        <v>1627</v>
      </c>
      <c r="G564" t="s">
        <v>1628</v>
      </c>
      <c r="H564">
        <v>1018563</v>
      </c>
      <c r="I564" t="s">
        <v>17</v>
      </c>
      <c r="K564" t="s">
        <v>1629</v>
      </c>
      <c r="L564">
        <v>264</v>
      </c>
      <c r="M564" t="s">
        <v>1630</v>
      </c>
    </row>
    <row r="565" spans="1:13" x14ac:dyDescent="0.35">
      <c r="A565" t="s">
        <v>13</v>
      </c>
      <c r="B565">
        <v>572430</v>
      </c>
      <c r="C565">
        <v>573179</v>
      </c>
      <c r="E565" t="s">
        <v>14</v>
      </c>
      <c r="F565" t="s">
        <v>1631</v>
      </c>
      <c r="H565">
        <v>1018564</v>
      </c>
      <c r="I565" t="s">
        <v>17</v>
      </c>
      <c r="K565" t="s">
        <v>1632</v>
      </c>
      <c r="L565">
        <v>249</v>
      </c>
      <c r="M565" t="s">
        <v>1633</v>
      </c>
    </row>
    <row r="566" spans="1:13" x14ac:dyDescent="0.35">
      <c r="A566" t="s">
        <v>13</v>
      </c>
      <c r="B566">
        <v>573407</v>
      </c>
      <c r="C566">
        <v>573625</v>
      </c>
      <c r="E566" t="s">
        <v>14</v>
      </c>
      <c r="F566" t="s">
        <v>1634</v>
      </c>
      <c r="G566" t="s">
        <v>1635</v>
      </c>
      <c r="H566">
        <v>1018565</v>
      </c>
      <c r="I566" t="s">
        <v>17</v>
      </c>
      <c r="K566" t="s">
        <v>1636</v>
      </c>
      <c r="L566">
        <v>72</v>
      </c>
      <c r="M566" t="s">
        <v>1637</v>
      </c>
    </row>
    <row r="567" spans="1:13" x14ac:dyDescent="0.35">
      <c r="A567" t="s">
        <v>13</v>
      </c>
      <c r="B567">
        <v>573816</v>
      </c>
      <c r="C567">
        <v>574184</v>
      </c>
      <c r="E567" t="s">
        <v>14</v>
      </c>
      <c r="F567" t="s">
        <v>1638</v>
      </c>
      <c r="G567" t="s">
        <v>1639</v>
      </c>
      <c r="H567">
        <v>1018566</v>
      </c>
      <c r="I567" t="s">
        <v>17</v>
      </c>
      <c r="K567" t="s">
        <v>1640</v>
      </c>
      <c r="L567">
        <v>122</v>
      </c>
      <c r="M567" t="s">
        <v>1641</v>
      </c>
    </row>
    <row r="568" spans="1:13" x14ac:dyDescent="0.35">
      <c r="A568" t="s">
        <v>13</v>
      </c>
      <c r="B568">
        <v>574187</v>
      </c>
      <c r="C568">
        <v>574591</v>
      </c>
      <c r="E568" t="s">
        <v>14</v>
      </c>
      <c r="F568" t="s">
        <v>1642</v>
      </c>
      <c r="G568" t="s">
        <v>1643</v>
      </c>
      <c r="H568">
        <v>1018567</v>
      </c>
      <c r="I568" t="s">
        <v>17</v>
      </c>
      <c r="K568" t="s">
        <v>1644</v>
      </c>
      <c r="L568">
        <v>134</v>
      </c>
      <c r="M568" t="s">
        <v>1645</v>
      </c>
    </row>
    <row r="569" spans="1:13" x14ac:dyDescent="0.35">
      <c r="A569" t="s">
        <v>13</v>
      </c>
      <c r="B569">
        <v>574615</v>
      </c>
      <c r="C569">
        <v>575220</v>
      </c>
      <c r="E569" t="s">
        <v>14</v>
      </c>
      <c r="F569" t="s">
        <v>1646</v>
      </c>
      <c r="G569" t="s">
        <v>1647</v>
      </c>
      <c r="H569">
        <v>1018568</v>
      </c>
      <c r="I569" t="s">
        <v>17</v>
      </c>
      <c r="K569" t="s">
        <v>1648</v>
      </c>
      <c r="L569">
        <v>201</v>
      </c>
      <c r="M569" t="s">
        <v>1649</v>
      </c>
    </row>
    <row r="570" spans="1:13" x14ac:dyDescent="0.35">
      <c r="A570" t="s">
        <v>13</v>
      </c>
      <c r="B570">
        <v>575338</v>
      </c>
      <c r="C570">
        <v>576354</v>
      </c>
      <c r="E570" t="s">
        <v>14</v>
      </c>
      <c r="F570" t="s">
        <v>1650</v>
      </c>
      <c r="H570">
        <v>1018569</v>
      </c>
      <c r="I570" t="s">
        <v>17</v>
      </c>
      <c r="K570" t="s">
        <v>1651</v>
      </c>
      <c r="L570">
        <v>338</v>
      </c>
      <c r="M570" t="s">
        <v>1652</v>
      </c>
    </row>
    <row r="571" spans="1:13" x14ac:dyDescent="0.35">
      <c r="A571" t="s">
        <v>13</v>
      </c>
      <c r="B571">
        <v>576410</v>
      </c>
      <c r="C571">
        <v>576901</v>
      </c>
      <c r="E571" t="s">
        <v>14</v>
      </c>
      <c r="F571" t="s">
        <v>1653</v>
      </c>
      <c r="G571" t="s">
        <v>1654</v>
      </c>
      <c r="H571">
        <v>1018570</v>
      </c>
      <c r="I571" t="s">
        <v>17</v>
      </c>
      <c r="K571" t="s">
        <v>1655</v>
      </c>
      <c r="L571">
        <v>163</v>
      </c>
      <c r="M571" t="s">
        <v>1656</v>
      </c>
    </row>
    <row r="572" spans="1:13" x14ac:dyDescent="0.35">
      <c r="A572" t="s">
        <v>13</v>
      </c>
      <c r="B572">
        <v>577042</v>
      </c>
      <c r="C572">
        <v>577926</v>
      </c>
      <c r="E572" t="s">
        <v>14</v>
      </c>
      <c r="F572" t="s">
        <v>1657</v>
      </c>
      <c r="G572" t="s">
        <v>1658</v>
      </c>
      <c r="H572">
        <v>1018571</v>
      </c>
      <c r="I572" t="s">
        <v>17</v>
      </c>
      <c r="K572" t="s">
        <v>1659</v>
      </c>
      <c r="L572">
        <v>294</v>
      </c>
      <c r="M572" t="s">
        <v>1660</v>
      </c>
    </row>
    <row r="573" spans="1:13" x14ac:dyDescent="0.35">
      <c r="A573" t="s">
        <v>13</v>
      </c>
      <c r="B573">
        <v>578033</v>
      </c>
      <c r="C573">
        <v>580432</v>
      </c>
      <c r="E573" t="s">
        <v>14</v>
      </c>
      <c r="F573" t="s">
        <v>1661</v>
      </c>
      <c r="H573">
        <v>1018572</v>
      </c>
      <c r="I573" t="s">
        <v>17</v>
      </c>
      <c r="K573" t="s">
        <v>1662</v>
      </c>
      <c r="L573">
        <v>799</v>
      </c>
      <c r="M573" t="s">
        <v>1663</v>
      </c>
    </row>
    <row r="574" spans="1:13" x14ac:dyDescent="0.35">
      <c r="A574" t="s">
        <v>13</v>
      </c>
      <c r="B574">
        <v>580433</v>
      </c>
      <c r="C574">
        <v>580891</v>
      </c>
      <c r="E574" t="s">
        <v>38</v>
      </c>
      <c r="F574" t="s">
        <v>549</v>
      </c>
      <c r="H574">
        <v>1018573</v>
      </c>
      <c r="I574" t="s">
        <v>17</v>
      </c>
      <c r="K574" t="s">
        <v>1664</v>
      </c>
      <c r="L574">
        <v>152</v>
      </c>
      <c r="M574" t="s">
        <v>1665</v>
      </c>
    </row>
    <row r="575" spans="1:13" x14ac:dyDescent="0.35">
      <c r="A575" t="s">
        <v>13</v>
      </c>
      <c r="B575">
        <v>580916</v>
      </c>
      <c r="C575">
        <v>581221</v>
      </c>
      <c r="E575" t="s">
        <v>38</v>
      </c>
      <c r="F575" t="s">
        <v>49</v>
      </c>
      <c r="H575">
        <v>1018574</v>
      </c>
      <c r="I575" t="s">
        <v>17</v>
      </c>
      <c r="K575" t="s">
        <v>1666</v>
      </c>
      <c r="L575">
        <v>101</v>
      </c>
      <c r="M575" t="s">
        <v>1667</v>
      </c>
    </row>
    <row r="576" spans="1:13" x14ac:dyDescent="0.35">
      <c r="A576" t="s">
        <v>13</v>
      </c>
      <c r="B576">
        <v>581406</v>
      </c>
      <c r="C576">
        <v>582665</v>
      </c>
      <c r="E576" t="s">
        <v>14</v>
      </c>
      <c r="F576" t="s">
        <v>1668</v>
      </c>
      <c r="G576" t="s">
        <v>1669</v>
      </c>
      <c r="H576">
        <v>1018575</v>
      </c>
      <c r="I576" t="s">
        <v>17</v>
      </c>
      <c r="K576" t="s">
        <v>1670</v>
      </c>
      <c r="L576">
        <v>419</v>
      </c>
      <c r="M576" t="s">
        <v>1671</v>
      </c>
    </row>
    <row r="577" spans="1:13" x14ac:dyDescent="0.35">
      <c r="A577" t="s">
        <v>13</v>
      </c>
      <c r="B577">
        <v>582684</v>
      </c>
      <c r="C577">
        <v>584231</v>
      </c>
      <c r="E577" t="s">
        <v>14</v>
      </c>
      <c r="F577" t="s">
        <v>584</v>
      </c>
      <c r="H577">
        <v>1018576</v>
      </c>
      <c r="I577" t="s">
        <v>17</v>
      </c>
      <c r="K577" t="s">
        <v>1672</v>
      </c>
      <c r="L577">
        <v>515</v>
      </c>
      <c r="M577" t="s">
        <v>1673</v>
      </c>
    </row>
    <row r="578" spans="1:13" x14ac:dyDescent="0.35">
      <c r="A578" t="s">
        <v>13</v>
      </c>
      <c r="B578">
        <v>584316</v>
      </c>
      <c r="C578">
        <v>585623</v>
      </c>
      <c r="E578" t="s">
        <v>14</v>
      </c>
      <c r="F578" t="s">
        <v>1674</v>
      </c>
      <c r="H578">
        <v>1018577</v>
      </c>
      <c r="I578" t="s">
        <v>17</v>
      </c>
      <c r="K578" t="s">
        <v>1675</v>
      </c>
      <c r="L578">
        <v>435</v>
      </c>
      <c r="M578" t="s">
        <v>1676</v>
      </c>
    </row>
    <row r="579" spans="1:13" x14ac:dyDescent="0.35">
      <c r="A579" t="s">
        <v>13</v>
      </c>
      <c r="B579">
        <v>585823</v>
      </c>
      <c r="C579">
        <v>586251</v>
      </c>
      <c r="E579" t="s">
        <v>14</v>
      </c>
      <c r="F579" t="s">
        <v>1677</v>
      </c>
      <c r="H579">
        <v>1018578</v>
      </c>
      <c r="I579" t="s">
        <v>17</v>
      </c>
      <c r="K579" t="s">
        <v>1678</v>
      </c>
      <c r="L579">
        <v>142</v>
      </c>
      <c r="M579" t="s">
        <v>1679</v>
      </c>
    </row>
    <row r="580" spans="1:13" x14ac:dyDescent="0.35">
      <c r="A580" t="s">
        <v>13</v>
      </c>
      <c r="B580">
        <v>586396</v>
      </c>
      <c r="C580">
        <v>587640</v>
      </c>
      <c r="E580" t="s">
        <v>38</v>
      </c>
      <c r="F580" t="s">
        <v>1680</v>
      </c>
      <c r="G580" t="s">
        <v>1681</v>
      </c>
      <c r="H580">
        <v>1018579</v>
      </c>
      <c r="I580" t="s">
        <v>17</v>
      </c>
      <c r="K580" t="s">
        <v>1682</v>
      </c>
      <c r="L580">
        <v>414</v>
      </c>
      <c r="M580" t="s">
        <v>1683</v>
      </c>
    </row>
    <row r="581" spans="1:13" x14ac:dyDescent="0.35">
      <c r="A581" t="s">
        <v>13</v>
      </c>
      <c r="B581">
        <v>587642</v>
      </c>
      <c r="C581">
        <v>589024</v>
      </c>
      <c r="E581" t="s">
        <v>38</v>
      </c>
      <c r="F581" t="s">
        <v>1684</v>
      </c>
      <c r="G581" t="s">
        <v>1685</v>
      </c>
      <c r="H581">
        <v>1018580</v>
      </c>
      <c r="I581" t="s">
        <v>17</v>
      </c>
      <c r="K581" t="s">
        <v>1686</v>
      </c>
      <c r="L581">
        <v>460</v>
      </c>
      <c r="M581" t="s">
        <v>1687</v>
      </c>
    </row>
    <row r="582" spans="1:13" x14ac:dyDescent="0.35">
      <c r="A582" t="s">
        <v>13</v>
      </c>
      <c r="B582">
        <v>589239</v>
      </c>
      <c r="C582">
        <v>592865</v>
      </c>
      <c r="E582" t="s">
        <v>14</v>
      </c>
      <c r="F582" t="s">
        <v>1688</v>
      </c>
      <c r="H582">
        <v>1018581</v>
      </c>
      <c r="I582" t="s">
        <v>17</v>
      </c>
      <c r="K582" t="s">
        <v>1689</v>
      </c>
      <c r="L582">
        <v>1208</v>
      </c>
      <c r="M582" t="s">
        <v>1690</v>
      </c>
    </row>
    <row r="583" spans="1:13" x14ac:dyDescent="0.35">
      <c r="A583" t="s">
        <v>13</v>
      </c>
      <c r="B583">
        <v>592862</v>
      </c>
      <c r="C583">
        <v>593764</v>
      </c>
      <c r="E583" t="s">
        <v>14</v>
      </c>
      <c r="F583" t="s">
        <v>1691</v>
      </c>
      <c r="H583">
        <v>1018582</v>
      </c>
      <c r="I583" t="s">
        <v>17</v>
      </c>
      <c r="K583" t="s">
        <v>1692</v>
      </c>
      <c r="L583">
        <v>300</v>
      </c>
      <c r="M583" t="s">
        <v>1693</v>
      </c>
    </row>
    <row r="584" spans="1:13" x14ac:dyDescent="0.35">
      <c r="A584" t="s">
        <v>13</v>
      </c>
      <c r="B584">
        <v>593935</v>
      </c>
      <c r="C584">
        <v>594261</v>
      </c>
      <c r="E584" t="s">
        <v>14</v>
      </c>
      <c r="F584" t="s">
        <v>1694</v>
      </c>
      <c r="H584">
        <v>1018583</v>
      </c>
      <c r="I584" t="s">
        <v>17</v>
      </c>
      <c r="K584" t="s">
        <v>1695</v>
      </c>
      <c r="L584">
        <v>108</v>
      </c>
      <c r="M584" t="s">
        <v>1696</v>
      </c>
    </row>
    <row r="585" spans="1:13" x14ac:dyDescent="0.35">
      <c r="A585" t="s">
        <v>13</v>
      </c>
      <c r="B585">
        <v>594293</v>
      </c>
      <c r="C585">
        <v>594583</v>
      </c>
      <c r="E585" t="s">
        <v>14</v>
      </c>
      <c r="F585" t="s">
        <v>1694</v>
      </c>
      <c r="H585">
        <v>1018584</v>
      </c>
      <c r="I585" t="s">
        <v>17</v>
      </c>
      <c r="K585" t="s">
        <v>1697</v>
      </c>
      <c r="L585">
        <v>96</v>
      </c>
      <c r="M585" t="s">
        <v>1698</v>
      </c>
    </row>
    <row r="586" spans="1:13" x14ac:dyDescent="0.35">
      <c r="A586" t="s">
        <v>13</v>
      </c>
      <c r="B586">
        <v>594939</v>
      </c>
      <c r="C586">
        <v>595382</v>
      </c>
      <c r="E586" t="s">
        <v>14</v>
      </c>
      <c r="F586" t="s">
        <v>1699</v>
      </c>
      <c r="G586" t="s">
        <v>1700</v>
      </c>
      <c r="H586">
        <v>1018585</v>
      </c>
      <c r="I586" t="s">
        <v>17</v>
      </c>
      <c r="K586" t="s">
        <v>1701</v>
      </c>
      <c r="L586">
        <v>147</v>
      </c>
      <c r="M586" t="s">
        <v>1702</v>
      </c>
    </row>
    <row r="587" spans="1:13" x14ac:dyDescent="0.35">
      <c r="A587" t="s">
        <v>13</v>
      </c>
      <c r="B587">
        <v>595382</v>
      </c>
      <c r="C587">
        <v>595930</v>
      </c>
      <c r="E587" t="s">
        <v>14</v>
      </c>
      <c r="F587" t="s">
        <v>1703</v>
      </c>
      <c r="G587" t="s">
        <v>1704</v>
      </c>
      <c r="H587">
        <v>1018586</v>
      </c>
      <c r="I587" t="s">
        <v>17</v>
      </c>
      <c r="K587" t="s">
        <v>1705</v>
      </c>
      <c r="L587">
        <v>182</v>
      </c>
      <c r="M587" t="s">
        <v>1706</v>
      </c>
    </row>
    <row r="588" spans="1:13" x14ac:dyDescent="0.35">
      <c r="A588" t="s">
        <v>13</v>
      </c>
      <c r="B588">
        <v>596109</v>
      </c>
      <c r="C588">
        <v>597452</v>
      </c>
      <c r="E588" t="s">
        <v>14</v>
      </c>
      <c r="F588" t="s">
        <v>1707</v>
      </c>
      <c r="G588" t="s">
        <v>1708</v>
      </c>
      <c r="H588">
        <v>1018587</v>
      </c>
      <c r="I588" t="s">
        <v>17</v>
      </c>
      <c r="K588" t="s">
        <v>1709</v>
      </c>
      <c r="L588">
        <v>447</v>
      </c>
      <c r="M588" t="s">
        <v>1710</v>
      </c>
    </row>
    <row r="589" spans="1:13" x14ac:dyDescent="0.35">
      <c r="A589" t="s">
        <v>13</v>
      </c>
      <c r="B589">
        <v>597892</v>
      </c>
      <c r="C589">
        <v>598197</v>
      </c>
      <c r="E589" t="s">
        <v>14</v>
      </c>
      <c r="F589" t="s">
        <v>49</v>
      </c>
      <c r="H589">
        <v>1018588</v>
      </c>
      <c r="I589" t="s">
        <v>17</v>
      </c>
      <c r="K589" t="s">
        <v>1711</v>
      </c>
      <c r="L589">
        <v>101</v>
      </c>
      <c r="M589" t="s">
        <v>1712</v>
      </c>
    </row>
    <row r="590" spans="1:13" x14ac:dyDescent="0.35">
      <c r="A590" t="s">
        <v>13</v>
      </c>
      <c r="B590">
        <v>598194</v>
      </c>
      <c r="C590">
        <v>599705</v>
      </c>
      <c r="E590" t="s">
        <v>14</v>
      </c>
      <c r="F590" t="s">
        <v>49</v>
      </c>
      <c r="H590">
        <v>1018589</v>
      </c>
      <c r="I590" t="s">
        <v>17</v>
      </c>
      <c r="K590" t="s">
        <v>1713</v>
      </c>
      <c r="L590">
        <v>503</v>
      </c>
      <c r="M590" t="s">
        <v>1714</v>
      </c>
    </row>
    <row r="591" spans="1:13" x14ac:dyDescent="0.35">
      <c r="A591" t="s">
        <v>13</v>
      </c>
      <c r="B591">
        <v>599759</v>
      </c>
      <c r="C591">
        <v>599935</v>
      </c>
      <c r="E591" t="s">
        <v>14</v>
      </c>
      <c r="F591" t="s">
        <v>49</v>
      </c>
      <c r="H591">
        <v>1018590</v>
      </c>
      <c r="I591" t="s">
        <v>17</v>
      </c>
      <c r="K591" t="s">
        <v>1715</v>
      </c>
      <c r="L591">
        <v>58</v>
      </c>
      <c r="M591" t="s">
        <v>1716</v>
      </c>
    </row>
    <row r="592" spans="1:13" x14ac:dyDescent="0.35">
      <c r="A592" t="s">
        <v>13</v>
      </c>
      <c r="B592">
        <v>600019</v>
      </c>
      <c r="C592">
        <v>600876</v>
      </c>
      <c r="E592" t="s">
        <v>38</v>
      </c>
      <c r="F592" t="s">
        <v>1717</v>
      </c>
      <c r="H592">
        <v>1018591</v>
      </c>
      <c r="I592" t="s">
        <v>17</v>
      </c>
      <c r="K592" t="s">
        <v>1718</v>
      </c>
      <c r="L592">
        <v>285</v>
      </c>
      <c r="M592" t="s">
        <v>1719</v>
      </c>
    </row>
    <row r="593" spans="1:13" x14ac:dyDescent="0.35">
      <c r="A593" t="s">
        <v>13</v>
      </c>
      <c r="B593">
        <v>600971</v>
      </c>
      <c r="C593">
        <v>602056</v>
      </c>
      <c r="E593" t="s">
        <v>14</v>
      </c>
      <c r="F593" t="s">
        <v>1720</v>
      </c>
      <c r="G593" t="s">
        <v>1721</v>
      </c>
      <c r="H593">
        <v>1018592</v>
      </c>
      <c r="I593" t="s">
        <v>17</v>
      </c>
      <c r="K593" t="s">
        <v>1722</v>
      </c>
      <c r="L593">
        <v>361</v>
      </c>
      <c r="M593" t="s">
        <v>1723</v>
      </c>
    </row>
    <row r="594" spans="1:13" x14ac:dyDescent="0.35">
      <c r="A594" t="s">
        <v>13</v>
      </c>
      <c r="B594">
        <v>602080</v>
      </c>
      <c r="C594">
        <v>602577</v>
      </c>
      <c r="E594" t="s">
        <v>14</v>
      </c>
      <c r="F594" t="s">
        <v>1724</v>
      </c>
      <c r="G594" t="s">
        <v>1725</v>
      </c>
      <c r="H594">
        <v>1018593</v>
      </c>
      <c r="I594" t="s">
        <v>17</v>
      </c>
      <c r="K594" t="s">
        <v>1726</v>
      </c>
      <c r="L594">
        <v>165</v>
      </c>
      <c r="M594" t="s">
        <v>1727</v>
      </c>
    </row>
    <row r="595" spans="1:13" x14ac:dyDescent="0.35">
      <c r="A595" t="s">
        <v>13</v>
      </c>
      <c r="B595">
        <v>602811</v>
      </c>
      <c r="C595">
        <v>604412</v>
      </c>
      <c r="E595" t="s">
        <v>14</v>
      </c>
      <c r="F595" t="s">
        <v>1728</v>
      </c>
      <c r="H595">
        <v>1018594</v>
      </c>
      <c r="I595" t="s">
        <v>17</v>
      </c>
      <c r="K595" t="s">
        <v>1729</v>
      </c>
      <c r="L595">
        <v>533</v>
      </c>
      <c r="M595" t="s">
        <v>1730</v>
      </c>
    </row>
    <row r="596" spans="1:13" x14ac:dyDescent="0.35">
      <c r="A596" t="s">
        <v>13</v>
      </c>
      <c r="B596">
        <v>604428</v>
      </c>
      <c r="C596">
        <v>605711</v>
      </c>
      <c r="E596" t="s">
        <v>14</v>
      </c>
      <c r="F596" t="s">
        <v>35</v>
      </c>
      <c r="H596">
        <v>1018595</v>
      </c>
      <c r="I596" t="s">
        <v>17</v>
      </c>
      <c r="K596" t="s">
        <v>1731</v>
      </c>
      <c r="L596">
        <v>427</v>
      </c>
      <c r="M596" t="s">
        <v>1732</v>
      </c>
    </row>
    <row r="597" spans="1:13" x14ac:dyDescent="0.35">
      <c r="A597" t="s">
        <v>13</v>
      </c>
      <c r="B597">
        <v>605718</v>
      </c>
      <c r="C597">
        <v>606395</v>
      </c>
      <c r="E597" t="s">
        <v>14</v>
      </c>
      <c r="F597" t="s">
        <v>1733</v>
      </c>
      <c r="G597" t="s">
        <v>1734</v>
      </c>
      <c r="H597">
        <v>1018596</v>
      </c>
      <c r="I597" t="s">
        <v>17</v>
      </c>
      <c r="K597" t="s">
        <v>1735</v>
      </c>
      <c r="L597">
        <v>225</v>
      </c>
      <c r="M597" t="s">
        <v>1736</v>
      </c>
    </row>
    <row r="598" spans="1:13" x14ac:dyDescent="0.35">
      <c r="A598" t="s">
        <v>13</v>
      </c>
      <c r="B598">
        <v>606392</v>
      </c>
      <c r="C598">
        <v>606901</v>
      </c>
      <c r="E598" t="s">
        <v>14</v>
      </c>
      <c r="F598" t="s">
        <v>1737</v>
      </c>
      <c r="G598" t="s">
        <v>1738</v>
      </c>
      <c r="H598">
        <v>1018597</v>
      </c>
      <c r="I598" t="s">
        <v>17</v>
      </c>
      <c r="K598" t="s">
        <v>1739</v>
      </c>
      <c r="L598">
        <v>169</v>
      </c>
      <c r="M598" t="s">
        <v>1740</v>
      </c>
    </row>
    <row r="599" spans="1:13" x14ac:dyDescent="0.35">
      <c r="A599" t="s">
        <v>13</v>
      </c>
      <c r="B599">
        <v>606905</v>
      </c>
      <c r="C599">
        <v>607939</v>
      </c>
      <c r="E599" t="s">
        <v>14</v>
      </c>
      <c r="F599" t="s">
        <v>1741</v>
      </c>
      <c r="G599" t="s">
        <v>1742</v>
      </c>
      <c r="H599">
        <v>1018598</v>
      </c>
      <c r="I599" t="s">
        <v>17</v>
      </c>
      <c r="K599" t="s">
        <v>1743</v>
      </c>
      <c r="L599">
        <v>344</v>
      </c>
      <c r="M599" t="s">
        <v>1744</v>
      </c>
    </row>
    <row r="600" spans="1:13" x14ac:dyDescent="0.35">
      <c r="A600" t="s">
        <v>13</v>
      </c>
      <c r="B600">
        <v>607958</v>
      </c>
      <c r="C600">
        <v>609682</v>
      </c>
      <c r="E600" t="s">
        <v>14</v>
      </c>
      <c r="F600" t="s">
        <v>1745</v>
      </c>
      <c r="H600">
        <v>1018599</v>
      </c>
      <c r="I600" t="s">
        <v>17</v>
      </c>
      <c r="K600" t="s">
        <v>1746</v>
      </c>
      <c r="L600">
        <v>574</v>
      </c>
      <c r="M600" t="s">
        <v>1747</v>
      </c>
    </row>
    <row r="601" spans="1:13" x14ac:dyDescent="0.35">
      <c r="A601" t="s">
        <v>13</v>
      </c>
      <c r="B601">
        <v>609756</v>
      </c>
      <c r="C601">
        <v>610178</v>
      </c>
      <c r="E601" t="s">
        <v>14</v>
      </c>
      <c r="F601" t="s">
        <v>49</v>
      </c>
      <c r="H601">
        <v>1018600</v>
      </c>
      <c r="I601" t="s">
        <v>17</v>
      </c>
      <c r="K601" t="s">
        <v>1748</v>
      </c>
      <c r="L601">
        <v>140</v>
      </c>
      <c r="M601" t="s">
        <v>1749</v>
      </c>
    </row>
    <row r="602" spans="1:13" x14ac:dyDescent="0.35">
      <c r="A602" t="s">
        <v>13</v>
      </c>
      <c r="B602">
        <v>610348</v>
      </c>
      <c r="C602">
        <v>610647</v>
      </c>
      <c r="E602" t="s">
        <v>14</v>
      </c>
      <c r="F602" t="s">
        <v>1750</v>
      </c>
      <c r="G602" t="s">
        <v>1751</v>
      </c>
      <c r="H602">
        <v>1018601</v>
      </c>
      <c r="I602" t="s">
        <v>17</v>
      </c>
      <c r="K602" t="s">
        <v>1752</v>
      </c>
      <c r="L602">
        <v>99</v>
      </c>
      <c r="M602" t="s">
        <v>1753</v>
      </c>
    </row>
    <row r="603" spans="1:13" x14ac:dyDescent="0.35">
      <c r="A603" t="s">
        <v>13</v>
      </c>
      <c r="B603">
        <v>610659</v>
      </c>
      <c r="C603">
        <v>612275</v>
      </c>
      <c r="E603" t="s">
        <v>14</v>
      </c>
      <c r="F603" t="s">
        <v>1754</v>
      </c>
      <c r="G603" t="s">
        <v>1755</v>
      </c>
      <c r="H603">
        <v>1018602</v>
      </c>
      <c r="I603" t="s">
        <v>17</v>
      </c>
      <c r="K603" t="s">
        <v>1756</v>
      </c>
      <c r="L603">
        <v>538</v>
      </c>
      <c r="M603" t="s">
        <v>1757</v>
      </c>
    </row>
    <row r="604" spans="1:13" x14ac:dyDescent="0.35">
      <c r="A604" t="s">
        <v>13</v>
      </c>
      <c r="B604">
        <v>612415</v>
      </c>
      <c r="C604">
        <v>612714</v>
      </c>
      <c r="E604" t="s">
        <v>38</v>
      </c>
      <c r="F604" t="s">
        <v>1758</v>
      </c>
      <c r="G604" t="s">
        <v>1759</v>
      </c>
      <c r="H604">
        <v>1018603</v>
      </c>
      <c r="I604" t="s">
        <v>17</v>
      </c>
      <c r="K604" t="s">
        <v>1760</v>
      </c>
      <c r="L604">
        <v>99</v>
      </c>
      <c r="M604" t="s">
        <v>1761</v>
      </c>
    </row>
    <row r="605" spans="1:13" x14ac:dyDescent="0.35">
      <c r="A605" t="s">
        <v>13</v>
      </c>
      <c r="B605">
        <v>613156</v>
      </c>
      <c r="C605">
        <v>613722</v>
      </c>
      <c r="E605" t="s">
        <v>14</v>
      </c>
      <c r="F605" t="s">
        <v>1762</v>
      </c>
      <c r="H605">
        <v>1018604</v>
      </c>
      <c r="I605" t="s">
        <v>17</v>
      </c>
      <c r="K605" t="s">
        <v>1763</v>
      </c>
      <c r="L605">
        <v>188</v>
      </c>
      <c r="M605" t="s">
        <v>1764</v>
      </c>
    </row>
    <row r="606" spans="1:13" x14ac:dyDescent="0.35">
      <c r="A606" t="s">
        <v>13</v>
      </c>
      <c r="B606">
        <v>613722</v>
      </c>
      <c r="C606">
        <v>614750</v>
      </c>
      <c r="E606" t="s">
        <v>14</v>
      </c>
      <c r="F606" t="s">
        <v>49</v>
      </c>
      <c r="H606">
        <v>1018605</v>
      </c>
      <c r="I606" t="s">
        <v>17</v>
      </c>
      <c r="K606" t="s">
        <v>1765</v>
      </c>
      <c r="L606">
        <v>342</v>
      </c>
      <c r="M606" t="s">
        <v>1766</v>
      </c>
    </row>
    <row r="607" spans="1:13" x14ac:dyDescent="0.35">
      <c r="A607" t="s">
        <v>13</v>
      </c>
      <c r="B607">
        <v>614800</v>
      </c>
      <c r="C607">
        <v>615180</v>
      </c>
      <c r="E607" t="s">
        <v>38</v>
      </c>
      <c r="F607" t="s">
        <v>1767</v>
      </c>
      <c r="H607">
        <v>1018606</v>
      </c>
      <c r="I607" t="s">
        <v>17</v>
      </c>
      <c r="K607" t="s">
        <v>1768</v>
      </c>
      <c r="L607">
        <v>126</v>
      </c>
      <c r="M607" t="s">
        <v>1769</v>
      </c>
    </row>
    <row r="608" spans="1:13" x14ac:dyDescent="0.35">
      <c r="A608" t="s">
        <v>13</v>
      </c>
      <c r="B608">
        <v>615336</v>
      </c>
      <c r="C608">
        <v>616856</v>
      </c>
      <c r="E608" t="s">
        <v>14</v>
      </c>
      <c r="F608" t="s">
        <v>1770</v>
      </c>
      <c r="G608" t="s">
        <v>1771</v>
      </c>
      <c r="H608">
        <v>1018607</v>
      </c>
      <c r="I608" t="s">
        <v>17</v>
      </c>
      <c r="K608" t="s">
        <v>1772</v>
      </c>
      <c r="L608">
        <v>506</v>
      </c>
      <c r="M608" t="s">
        <v>1773</v>
      </c>
    </row>
    <row r="609" spans="1:13" x14ac:dyDescent="0.35">
      <c r="A609" t="s">
        <v>13</v>
      </c>
      <c r="B609">
        <v>616973</v>
      </c>
      <c r="C609">
        <v>618097</v>
      </c>
      <c r="E609" t="s">
        <v>14</v>
      </c>
      <c r="F609" t="s">
        <v>1774</v>
      </c>
      <c r="H609">
        <v>1018608</v>
      </c>
      <c r="I609" t="s">
        <v>17</v>
      </c>
      <c r="K609" t="s">
        <v>1775</v>
      </c>
      <c r="L609">
        <v>374</v>
      </c>
      <c r="M609" t="s">
        <v>1776</v>
      </c>
    </row>
    <row r="610" spans="1:13" x14ac:dyDescent="0.35">
      <c r="A610" t="s">
        <v>13</v>
      </c>
      <c r="B610">
        <v>618090</v>
      </c>
      <c r="C610">
        <v>618995</v>
      </c>
      <c r="E610" t="s">
        <v>38</v>
      </c>
      <c r="F610" t="s">
        <v>425</v>
      </c>
      <c r="H610">
        <v>1018609</v>
      </c>
      <c r="I610" t="s">
        <v>17</v>
      </c>
      <c r="K610" t="s">
        <v>1777</v>
      </c>
      <c r="L610">
        <v>301</v>
      </c>
      <c r="M610" t="s">
        <v>1778</v>
      </c>
    </row>
    <row r="611" spans="1:13" x14ac:dyDescent="0.35">
      <c r="A611" t="s">
        <v>13</v>
      </c>
      <c r="B611">
        <v>619086</v>
      </c>
      <c r="C611">
        <v>619997</v>
      </c>
      <c r="E611" t="s">
        <v>14</v>
      </c>
      <c r="F611" t="s">
        <v>1779</v>
      </c>
      <c r="H611">
        <v>1018610</v>
      </c>
      <c r="I611" t="s">
        <v>17</v>
      </c>
      <c r="K611" t="s">
        <v>1780</v>
      </c>
      <c r="L611">
        <v>303</v>
      </c>
      <c r="M611" t="s">
        <v>1781</v>
      </c>
    </row>
    <row r="612" spans="1:13" x14ac:dyDescent="0.35">
      <c r="A612" t="s">
        <v>13</v>
      </c>
      <c r="B612">
        <v>620004</v>
      </c>
      <c r="C612">
        <v>621575</v>
      </c>
      <c r="E612" t="s">
        <v>14</v>
      </c>
      <c r="F612" t="s">
        <v>1782</v>
      </c>
      <c r="G612" t="s">
        <v>1783</v>
      </c>
      <c r="H612">
        <v>1018611</v>
      </c>
      <c r="I612" t="s">
        <v>17</v>
      </c>
      <c r="K612" t="s">
        <v>1784</v>
      </c>
      <c r="L612">
        <v>523</v>
      </c>
      <c r="M612" t="s">
        <v>1785</v>
      </c>
    </row>
    <row r="613" spans="1:13" x14ac:dyDescent="0.35">
      <c r="A613" t="s">
        <v>13</v>
      </c>
      <c r="B613">
        <v>621717</v>
      </c>
      <c r="C613">
        <v>622160</v>
      </c>
      <c r="E613" t="s">
        <v>14</v>
      </c>
      <c r="F613" t="s">
        <v>1786</v>
      </c>
      <c r="H613">
        <v>1018612</v>
      </c>
      <c r="I613" t="s">
        <v>17</v>
      </c>
      <c r="K613" t="s">
        <v>1787</v>
      </c>
      <c r="L613">
        <v>147</v>
      </c>
      <c r="M613" t="s">
        <v>1788</v>
      </c>
    </row>
    <row r="614" spans="1:13" x14ac:dyDescent="0.35">
      <c r="A614" t="s">
        <v>13</v>
      </c>
      <c r="B614">
        <v>622457</v>
      </c>
      <c r="C614">
        <v>623635</v>
      </c>
      <c r="E614" t="s">
        <v>38</v>
      </c>
      <c r="F614" t="s">
        <v>1789</v>
      </c>
      <c r="G614" t="s">
        <v>1790</v>
      </c>
      <c r="H614">
        <v>1018613</v>
      </c>
      <c r="I614" t="s">
        <v>17</v>
      </c>
      <c r="K614" t="s">
        <v>1791</v>
      </c>
      <c r="L614">
        <v>392</v>
      </c>
      <c r="M614" t="s">
        <v>1792</v>
      </c>
    </row>
    <row r="615" spans="1:13" x14ac:dyDescent="0.35">
      <c r="A615" t="s">
        <v>13</v>
      </c>
      <c r="B615">
        <v>623800</v>
      </c>
      <c r="C615">
        <v>624942</v>
      </c>
      <c r="E615" t="s">
        <v>14</v>
      </c>
      <c r="F615" t="s">
        <v>1793</v>
      </c>
      <c r="G615" t="s">
        <v>1794</v>
      </c>
      <c r="H615">
        <v>1018614</v>
      </c>
      <c r="I615" t="s">
        <v>17</v>
      </c>
      <c r="K615" t="s">
        <v>1795</v>
      </c>
      <c r="L615">
        <v>380</v>
      </c>
      <c r="M615" t="s">
        <v>1796</v>
      </c>
    </row>
    <row r="616" spans="1:13" x14ac:dyDescent="0.35">
      <c r="A616" t="s">
        <v>13</v>
      </c>
      <c r="B616">
        <v>624985</v>
      </c>
      <c r="C616">
        <v>625677</v>
      </c>
      <c r="E616" t="s">
        <v>14</v>
      </c>
      <c r="F616" t="s">
        <v>1797</v>
      </c>
      <c r="G616" t="s">
        <v>1798</v>
      </c>
      <c r="H616">
        <v>1018615</v>
      </c>
      <c r="I616" t="s">
        <v>17</v>
      </c>
      <c r="K616" t="s">
        <v>1799</v>
      </c>
      <c r="L616">
        <v>230</v>
      </c>
      <c r="M616" t="s">
        <v>1800</v>
      </c>
    </row>
    <row r="617" spans="1:13" x14ac:dyDescent="0.35">
      <c r="A617" t="s">
        <v>13</v>
      </c>
      <c r="B617">
        <v>625677</v>
      </c>
      <c r="C617">
        <v>626003</v>
      </c>
      <c r="E617" t="s">
        <v>14</v>
      </c>
      <c r="F617" t="s">
        <v>49</v>
      </c>
      <c r="H617">
        <v>1018616</v>
      </c>
      <c r="I617" t="s">
        <v>17</v>
      </c>
      <c r="K617" t="s">
        <v>1801</v>
      </c>
      <c r="L617">
        <v>108</v>
      </c>
      <c r="M617" t="s">
        <v>1802</v>
      </c>
    </row>
    <row r="618" spans="1:13" x14ac:dyDescent="0.35">
      <c r="A618" t="s">
        <v>13</v>
      </c>
      <c r="B618">
        <v>626067</v>
      </c>
      <c r="C618">
        <v>626510</v>
      </c>
      <c r="E618" t="s">
        <v>38</v>
      </c>
      <c r="F618" t="s">
        <v>49</v>
      </c>
      <c r="H618">
        <v>1018617</v>
      </c>
      <c r="I618" t="s">
        <v>17</v>
      </c>
      <c r="K618" t="s">
        <v>1803</v>
      </c>
      <c r="L618">
        <v>147</v>
      </c>
      <c r="M618" t="s">
        <v>1804</v>
      </c>
    </row>
    <row r="619" spans="1:13" x14ac:dyDescent="0.35">
      <c r="A619" t="s">
        <v>13</v>
      </c>
      <c r="B619">
        <v>626574</v>
      </c>
      <c r="C619">
        <v>627539</v>
      </c>
      <c r="E619" t="s">
        <v>38</v>
      </c>
      <c r="F619" t="s">
        <v>49</v>
      </c>
      <c r="H619">
        <v>1018618</v>
      </c>
      <c r="I619" t="s">
        <v>17</v>
      </c>
      <c r="K619" t="s">
        <v>1805</v>
      </c>
      <c r="L619">
        <v>321</v>
      </c>
      <c r="M619" t="s">
        <v>1806</v>
      </c>
    </row>
    <row r="620" spans="1:13" x14ac:dyDescent="0.35">
      <c r="A620" t="s">
        <v>13</v>
      </c>
      <c r="B620">
        <v>627763</v>
      </c>
      <c r="C620">
        <v>628554</v>
      </c>
      <c r="E620" t="s">
        <v>14</v>
      </c>
      <c r="F620" t="s">
        <v>49</v>
      </c>
      <c r="H620">
        <v>1018619</v>
      </c>
      <c r="I620" t="s">
        <v>17</v>
      </c>
      <c r="K620" t="s">
        <v>1807</v>
      </c>
      <c r="L620">
        <v>263</v>
      </c>
      <c r="M620" t="s">
        <v>1808</v>
      </c>
    </row>
    <row r="621" spans="1:13" x14ac:dyDescent="0.35">
      <c r="A621" t="s">
        <v>13</v>
      </c>
      <c r="B621">
        <v>628563</v>
      </c>
      <c r="C621">
        <v>630143</v>
      </c>
      <c r="E621" t="s">
        <v>14</v>
      </c>
      <c r="F621" t="s">
        <v>1809</v>
      </c>
      <c r="H621">
        <v>1018620</v>
      </c>
      <c r="I621" t="s">
        <v>17</v>
      </c>
      <c r="K621" t="s">
        <v>1810</v>
      </c>
      <c r="L621">
        <v>526</v>
      </c>
      <c r="M621" t="s">
        <v>1811</v>
      </c>
    </row>
    <row r="622" spans="1:13" x14ac:dyDescent="0.35">
      <c r="A622" t="s">
        <v>13</v>
      </c>
      <c r="B622">
        <v>630148</v>
      </c>
      <c r="C622">
        <v>630810</v>
      </c>
      <c r="E622" t="s">
        <v>38</v>
      </c>
      <c r="F622" t="s">
        <v>1812</v>
      </c>
      <c r="H622">
        <v>1018621</v>
      </c>
      <c r="I622" t="s">
        <v>17</v>
      </c>
      <c r="K622" t="s">
        <v>1813</v>
      </c>
      <c r="L622">
        <v>220</v>
      </c>
      <c r="M622" t="s">
        <v>1814</v>
      </c>
    </row>
    <row r="623" spans="1:13" x14ac:dyDescent="0.35">
      <c r="A623" t="s">
        <v>13</v>
      </c>
      <c r="B623">
        <v>630949</v>
      </c>
      <c r="C623">
        <v>631812</v>
      </c>
      <c r="E623" t="s">
        <v>14</v>
      </c>
      <c r="F623" t="s">
        <v>1815</v>
      </c>
      <c r="H623">
        <v>1018622</v>
      </c>
      <c r="I623" t="s">
        <v>17</v>
      </c>
      <c r="K623" t="s">
        <v>1816</v>
      </c>
      <c r="L623">
        <v>287</v>
      </c>
      <c r="M623" t="s">
        <v>1817</v>
      </c>
    </row>
    <row r="624" spans="1:13" x14ac:dyDescent="0.35">
      <c r="A624" t="s">
        <v>13</v>
      </c>
      <c r="B624">
        <v>631821</v>
      </c>
      <c r="C624">
        <v>632684</v>
      </c>
      <c r="E624" t="s">
        <v>38</v>
      </c>
      <c r="F624" t="s">
        <v>1818</v>
      </c>
      <c r="H624">
        <v>1018623</v>
      </c>
      <c r="I624" t="s">
        <v>17</v>
      </c>
      <c r="K624" t="s">
        <v>1819</v>
      </c>
      <c r="L624">
        <v>287</v>
      </c>
      <c r="M624" t="s">
        <v>1820</v>
      </c>
    </row>
    <row r="625" spans="1:13" x14ac:dyDescent="0.35">
      <c r="A625" t="s">
        <v>13</v>
      </c>
      <c r="B625">
        <v>632687</v>
      </c>
      <c r="C625">
        <v>633079</v>
      </c>
      <c r="E625" t="s">
        <v>38</v>
      </c>
      <c r="F625" t="s">
        <v>1821</v>
      </c>
      <c r="H625">
        <v>1018624</v>
      </c>
      <c r="I625" t="s">
        <v>17</v>
      </c>
      <c r="K625" t="s">
        <v>1822</v>
      </c>
      <c r="L625">
        <v>130</v>
      </c>
      <c r="M625" t="s">
        <v>1823</v>
      </c>
    </row>
    <row r="626" spans="1:13" x14ac:dyDescent="0.35">
      <c r="A626" t="s">
        <v>13</v>
      </c>
      <c r="B626">
        <v>633076</v>
      </c>
      <c r="C626">
        <v>633525</v>
      </c>
      <c r="E626" t="s">
        <v>38</v>
      </c>
      <c r="F626" t="s">
        <v>1821</v>
      </c>
      <c r="H626">
        <v>1018625</v>
      </c>
      <c r="I626" t="s">
        <v>17</v>
      </c>
      <c r="K626" t="s">
        <v>1824</v>
      </c>
      <c r="L626">
        <v>149</v>
      </c>
      <c r="M626" t="s">
        <v>1825</v>
      </c>
    </row>
    <row r="627" spans="1:13" x14ac:dyDescent="0.35">
      <c r="A627" t="s">
        <v>13</v>
      </c>
      <c r="B627">
        <v>633529</v>
      </c>
      <c r="C627">
        <v>635175</v>
      </c>
      <c r="E627" t="s">
        <v>38</v>
      </c>
      <c r="F627" t="s">
        <v>1826</v>
      </c>
      <c r="H627">
        <v>1018626</v>
      </c>
      <c r="I627" t="s">
        <v>17</v>
      </c>
      <c r="K627" t="s">
        <v>1827</v>
      </c>
      <c r="L627">
        <v>548</v>
      </c>
      <c r="M627" t="s">
        <v>1828</v>
      </c>
    </row>
    <row r="628" spans="1:13" x14ac:dyDescent="0.35">
      <c r="A628" t="s">
        <v>13</v>
      </c>
      <c r="B628">
        <v>635175</v>
      </c>
      <c r="C628">
        <v>636089</v>
      </c>
      <c r="E628" t="s">
        <v>38</v>
      </c>
      <c r="F628" t="s">
        <v>1829</v>
      </c>
      <c r="H628">
        <v>1018627</v>
      </c>
      <c r="I628" t="s">
        <v>17</v>
      </c>
      <c r="K628" t="s">
        <v>1830</v>
      </c>
      <c r="L628">
        <v>304</v>
      </c>
      <c r="M628" t="s">
        <v>1831</v>
      </c>
    </row>
    <row r="629" spans="1:13" x14ac:dyDescent="0.35">
      <c r="A629" t="s">
        <v>13</v>
      </c>
      <c r="B629">
        <v>636086</v>
      </c>
      <c r="C629">
        <v>638224</v>
      </c>
      <c r="E629" t="s">
        <v>38</v>
      </c>
      <c r="F629" t="s">
        <v>708</v>
      </c>
      <c r="H629">
        <v>1018628</v>
      </c>
      <c r="I629" t="s">
        <v>17</v>
      </c>
      <c r="K629" t="s">
        <v>1832</v>
      </c>
      <c r="L629">
        <v>712</v>
      </c>
      <c r="M629" t="s">
        <v>1833</v>
      </c>
    </row>
    <row r="630" spans="1:13" x14ac:dyDescent="0.35">
      <c r="A630" t="s">
        <v>13</v>
      </c>
      <c r="B630">
        <v>638314</v>
      </c>
      <c r="C630">
        <v>639237</v>
      </c>
      <c r="E630" t="s">
        <v>38</v>
      </c>
      <c r="F630" t="s">
        <v>1375</v>
      </c>
      <c r="H630">
        <v>1018629</v>
      </c>
      <c r="I630" t="s">
        <v>17</v>
      </c>
      <c r="K630" t="s">
        <v>1834</v>
      </c>
      <c r="L630">
        <v>307</v>
      </c>
      <c r="M630" t="s">
        <v>1835</v>
      </c>
    </row>
    <row r="631" spans="1:13" x14ac:dyDescent="0.35">
      <c r="A631" t="s">
        <v>13</v>
      </c>
      <c r="B631">
        <v>639624</v>
      </c>
      <c r="C631">
        <v>640211</v>
      </c>
      <c r="E631" t="s">
        <v>14</v>
      </c>
      <c r="F631" t="s">
        <v>285</v>
      </c>
      <c r="H631">
        <v>1018630</v>
      </c>
      <c r="I631" t="s">
        <v>17</v>
      </c>
      <c r="K631" t="s">
        <v>1836</v>
      </c>
      <c r="L631">
        <v>195</v>
      </c>
      <c r="M631" t="s">
        <v>1837</v>
      </c>
    </row>
    <row r="632" spans="1:13" x14ac:dyDescent="0.35">
      <c r="A632" t="s">
        <v>13</v>
      </c>
      <c r="B632">
        <v>640229</v>
      </c>
      <c r="C632">
        <v>640879</v>
      </c>
      <c r="E632" t="s">
        <v>38</v>
      </c>
      <c r="F632" t="s">
        <v>1838</v>
      </c>
      <c r="H632">
        <v>1018631</v>
      </c>
      <c r="I632" t="s">
        <v>17</v>
      </c>
      <c r="K632" t="s">
        <v>1839</v>
      </c>
      <c r="L632">
        <v>216</v>
      </c>
      <c r="M632" t="s">
        <v>1840</v>
      </c>
    </row>
    <row r="633" spans="1:13" x14ac:dyDescent="0.35">
      <c r="A633" t="s">
        <v>13</v>
      </c>
      <c r="B633">
        <v>641037</v>
      </c>
      <c r="C633">
        <v>642560</v>
      </c>
      <c r="E633" t="s">
        <v>14</v>
      </c>
      <c r="F633" t="s">
        <v>1841</v>
      </c>
      <c r="H633">
        <v>1018632</v>
      </c>
      <c r="I633" t="s">
        <v>17</v>
      </c>
      <c r="K633" t="s">
        <v>1842</v>
      </c>
      <c r="L633">
        <v>507</v>
      </c>
      <c r="M633" t="s">
        <v>1843</v>
      </c>
    </row>
    <row r="634" spans="1:13" x14ac:dyDescent="0.35">
      <c r="A634" t="s">
        <v>13</v>
      </c>
      <c r="B634">
        <v>642553</v>
      </c>
      <c r="C634">
        <v>644001</v>
      </c>
      <c r="E634" t="s">
        <v>38</v>
      </c>
      <c r="F634" t="s">
        <v>1844</v>
      </c>
      <c r="H634">
        <v>1018633</v>
      </c>
      <c r="I634" t="s">
        <v>17</v>
      </c>
      <c r="K634" t="s">
        <v>1845</v>
      </c>
      <c r="L634">
        <v>482</v>
      </c>
      <c r="M634" t="s">
        <v>1846</v>
      </c>
    </row>
    <row r="635" spans="1:13" x14ac:dyDescent="0.35">
      <c r="A635" t="s">
        <v>13</v>
      </c>
      <c r="B635">
        <v>644026</v>
      </c>
      <c r="C635">
        <v>644781</v>
      </c>
      <c r="E635" t="s">
        <v>14</v>
      </c>
      <c r="F635" t="s">
        <v>1847</v>
      </c>
      <c r="G635" t="s">
        <v>1848</v>
      </c>
      <c r="H635">
        <v>1018634</v>
      </c>
      <c r="I635" t="s">
        <v>17</v>
      </c>
      <c r="K635" t="s">
        <v>1849</v>
      </c>
      <c r="L635">
        <v>251</v>
      </c>
      <c r="M635" t="s">
        <v>1850</v>
      </c>
    </row>
    <row r="636" spans="1:13" x14ac:dyDescent="0.35">
      <c r="A636" t="s">
        <v>13</v>
      </c>
      <c r="B636">
        <v>645173</v>
      </c>
      <c r="C636">
        <v>647470</v>
      </c>
      <c r="E636" t="s">
        <v>38</v>
      </c>
      <c r="F636" t="s">
        <v>1851</v>
      </c>
      <c r="H636">
        <v>1018635</v>
      </c>
      <c r="I636" t="s">
        <v>17</v>
      </c>
      <c r="K636" t="s">
        <v>1852</v>
      </c>
      <c r="L636">
        <v>765</v>
      </c>
      <c r="M636" t="s">
        <v>1853</v>
      </c>
    </row>
    <row r="637" spans="1:13" x14ac:dyDescent="0.35">
      <c r="A637" t="s">
        <v>13</v>
      </c>
      <c r="B637">
        <v>647590</v>
      </c>
      <c r="C637">
        <v>648309</v>
      </c>
      <c r="E637" t="s">
        <v>38</v>
      </c>
      <c r="F637" t="s">
        <v>147</v>
      </c>
      <c r="H637">
        <v>1018636</v>
      </c>
      <c r="I637" t="s">
        <v>17</v>
      </c>
      <c r="K637" t="s">
        <v>1854</v>
      </c>
      <c r="L637">
        <v>239</v>
      </c>
      <c r="M637" t="s">
        <v>1855</v>
      </c>
    </row>
    <row r="638" spans="1:13" x14ac:dyDescent="0.35">
      <c r="A638" t="s">
        <v>13</v>
      </c>
      <c r="B638">
        <v>648437</v>
      </c>
      <c r="C638">
        <v>649114</v>
      </c>
      <c r="E638" t="s">
        <v>38</v>
      </c>
      <c r="F638" t="s">
        <v>1856</v>
      </c>
      <c r="H638">
        <v>1018637</v>
      </c>
      <c r="I638" t="s">
        <v>17</v>
      </c>
      <c r="K638" t="s">
        <v>1857</v>
      </c>
      <c r="L638">
        <v>225</v>
      </c>
      <c r="M638" t="s">
        <v>1858</v>
      </c>
    </row>
    <row r="639" spans="1:13" x14ac:dyDescent="0.35">
      <c r="A639" t="s">
        <v>13</v>
      </c>
      <c r="B639">
        <v>649111</v>
      </c>
      <c r="C639">
        <v>650193</v>
      </c>
      <c r="E639" t="s">
        <v>38</v>
      </c>
      <c r="F639" t="s">
        <v>1859</v>
      </c>
      <c r="H639">
        <v>1018638</v>
      </c>
      <c r="I639" t="s">
        <v>17</v>
      </c>
      <c r="K639" t="s">
        <v>1860</v>
      </c>
      <c r="L639">
        <v>360</v>
      </c>
      <c r="M639" t="s">
        <v>1861</v>
      </c>
    </row>
    <row r="640" spans="1:13" x14ac:dyDescent="0.35">
      <c r="A640" t="s">
        <v>13</v>
      </c>
      <c r="B640">
        <v>650389</v>
      </c>
      <c r="C640">
        <v>651288</v>
      </c>
      <c r="E640" t="s">
        <v>38</v>
      </c>
      <c r="F640" t="s">
        <v>1862</v>
      </c>
      <c r="H640">
        <v>1018639</v>
      </c>
      <c r="I640" t="s">
        <v>17</v>
      </c>
      <c r="K640" t="s">
        <v>1863</v>
      </c>
      <c r="L640">
        <v>299</v>
      </c>
      <c r="M640" t="s">
        <v>1864</v>
      </c>
    </row>
    <row r="641" spans="1:13" x14ac:dyDescent="0.35">
      <c r="A641" t="s">
        <v>13</v>
      </c>
      <c r="B641">
        <v>651448</v>
      </c>
      <c r="C641">
        <v>654615</v>
      </c>
      <c r="E641" t="s">
        <v>14</v>
      </c>
      <c r="F641" t="s">
        <v>1865</v>
      </c>
      <c r="H641">
        <v>1018640</v>
      </c>
      <c r="I641" t="s">
        <v>17</v>
      </c>
      <c r="K641" t="s">
        <v>1866</v>
      </c>
      <c r="L641">
        <v>1055</v>
      </c>
      <c r="M641" t="s">
        <v>1867</v>
      </c>
    </row>
    <row r="642" spans="1:13" x14ac:dyDescent="0.35">
      <c r="A642" t="s">
        <v>13</v>
      </c>
      <c r="B642">
        <v>654676</v>
      </c>
      <c r="C642">
        <v>655125</v>
      </c>
      <c r="E642" t="s">
        <v>14</v>
      </c>
      <c r="F642" t="s">
        <v>1868</v>
      </c>
      <c r="H642">
        <v>1018641</v>
      </c>
      <c r="I642" t="s">
        <v>17</v>
      </c>
      <c r="K642" t="s">
        <v>1869</v>
      </c>
      <c r="L642">
        <v>149</v>
      </c>
      <c r="M642" t="s">
        <v>1870</v>
      </c>
    </row>
    <row r="643" spans="1:13" x14ac:dyDescent="0.35">
      <c r="A643" t="s">
        <v>13</v>
      </c>
      <c r="B643">
        <v>655122</v>
      </c>
      <c r="C643">
        <v>656537</v>
      </c>
      <c r="E643" t="s">
        <v>14</v>
      </c>
      <c r="F643" t="s">
        <v>1868</v>
      </c>
      <c r="H643">
        <v>1018642</v>
      </c>
      <c r="I643" t="s">
        <v>17</v>
      </c>
      <c r="K643" t="s">
        <v>1871</v>
      </c>
      <c r="L643">
        <v>471</v>
      </c>
      <c r="M643" t="s">
        <v>1872</v>
      </c>
    </row>
    <row r="644" spans="1:13" x14ac:dyDescent="0.35">
      <c r="A644" t="s">
        <v>13</v>
      </c>
      <c r="B644">
        <v>656547</v>
      </c>
      <c r="C644">
        <v>657218</v>
      </c>
      <c r="E644" t="s">
        <v>14</v>
      </c>
      <c r="F644" t="s">
        <v>1873</v>
      </c>
      <c r="H644">
        <v>1018643</v>
      </c>
      <c r="I644" t="s">
        <v>17</v>
      </c>
      <c r="K644" t="s">
        <v>1874</v>
      </c>
      <c r="L644">
        <v>223</v>
      </c>
      <c r="M644" t="s">
        <v>1875</v>
      </c>
    </row>
    <row r="645" spans="1:13" x14ac:dyDescent="0.35">
      <c r="A645" t="s">
        <v>13</v>
      </c>
      <c r="B645">
        <v>657202</v>
      </c>
      <c r="C645">
        <v>657978</v>
      </c>
      <c r="E645" t="s">
        <v>38</v>
      </c>
      <c r="F645" t="s">
        <v>1876</v>
      </c>
      <c r="H645">
        <v>1018644</v>
      </c>
      <c r="I645" t="s">
        <v>17</v>
      </c>
      <c r="K645" t="s">
        <v>1877</v>
      </c>
      <c r="L645">
        <v>258</v>
      </c>
      <c r="M645" t="s">
        <v>1878</v>
      </c>
    </row>
    <row r="646" spans="1:13" x14ac:dyDescent="0.35">
      <c r="A646" t="s">
        <v>13</v>
      </c>
      <c r="B646">
        <v>658155</v>
      </c>
      <c r="C646">
        <v>658931</v>
      </c>
      <c r="E646" t="s">
        <v>14</v>
      </c>
      <c r="F646" t="s">
        <v>1879</v>
      </c>
      <c r="H646">
        <v>1018645</v>
      </c>
      <c r="I646" t="s">
        <v>17</v>
      </c>
      <c r="K646" t="s">
        <v>1880</v>
      </c>
      <c r="L646">
        <v>258</v>
      </c>
      <c r="M646" t="s">
        <v>1881</v>
      </c>
    </row>
    <row r="647" spans="1:13" x14ac:dyDescent="0.35">
      <c r="A647" t="s">
        <v>13</v>
      </c>
      <c r="B647">
        <v>658933</v>
      </c>
      <c r="C647">
        <v>659427</v>
      </c>
      <c r="E647" t="s">
        <v>14</v>
      </c>
      <c r="F647" t="s">
        <v>1882</v>
      </c>
      <c r="H647">
        <v>1018646</v>
      </c>
      <c r="I647" t="s">
        <v>17</v>
      </c>
      <c r="K647" t="s">
        <v>1883</v>
      </c>
      <c r="L647">
        <v>164</v>
      </c>
      <c r="M647" t="s">
        <v>1884</v>
      </c>
    </row>
    <row r="648" spans="1:13" x14ac:dyDescent="0.35">
      <c r="A648" t="s">
        <v>13</v>
      </c>
      <c r="B648">
        <v>659543</v>
      </c>
      <c r="C648">
        <v>660541</v>
      </c>
      <c r="E648" t="s">
        <v>14</v>
      </c>
      <c r="F648" t="s">
        <v>1885</v>
      </c>
      <c r="H648">
        <v>1018647</v>
      </c>
      <c r="I648" t="s">
        <v>17</v>
      </c>
      <c r="K648" t="s">
        <v>1886</v>
      </c>
      <c r="L648">
        <v>332</v>
      </c>
      <c r="M648" t="s">
        <v>1887</v>
      </c>
    </row>
    <row r="649" spans="1:13" x14ac:dyDescent="0.35">
      <c r="A649" t="s">
        <v>13</v>
      </c>
      <c r="B649">
        <v>660647</v>
      </c>
      <c r="C649">
        <v>661120</v>
      </c>
      <c r="E649" t="s">
        <v>38</v>
      </c>
      <c r="F649" t="s">
        <v>1888</v>
      </c>
      <c r="H649">
        <v>1018648</v>
      </c>
      <c r="I649" t="s">
        <v>17</v>
      </c>
      <c r="K649" t="s">
        <v>1889</v>
      </c>
      <c r="L649">
        <v>157</v>
      </c>
      <c r="M649" t="s">
        <v>1890</v>
      </c>
    </row>
    <row r="650" spans="1:13" x14ac:dyDescent="0.35">
      <c r="A650" t="s">
        <v>13</v>
      </c>
      <c r="B650">
        <v>661166</v>
      </c>
      <c r="C650">
        <v>662020</v>
      </c>
      <c r="E650" t="s">
        <v>14</v>
      </c>
      <c r="F650" t="s">
        <v>1891</v>
      </c>
      <c r="H650">
        <v>1018649</v>
      </c>
      <c r="I650" t="s">
        <v>17</v>
      </c>
      <c r="K650" t="s">
        <v>1892</v>
      </c>
      <c r="L650">
        <v>284</v>
      </c>
      <c r="M650" t="s">
        <v>1893</v>
      </c>
    </row>
    <row r="651" spans="1:13" x14ac:dyDescent="0.35">
      <c r="A651" t="s">
        <v>13</v>
      </c>
      <c r="B651">
        <v>662027</v>
      </c>
      <c r="C651">
        <v>662377</v>
      </c>
      <c r="E651" t="s">
        <v>14</v>
      </c>
      <c r="F651" t="s">
        <v>1894</v>
      </c>
      <c r="H651">
        <v>1018650</v>
      </c>
      <c r="I651" t="s">
        <v>17</v>
      </c>
      <c r="K651" t="s">
        <v>1895</v>
      </c>
      <c r="L651">
        <v>116</v>
      </c>
      <c r="M651" t="s">
        <v>1896</v>
      </c>
    </row>
    <row r="652" spans="1:13" x14ac:dyDescent="0.35">
      <c r="A652" t="s">
        <v>13</v>
      </c>
      <c r="B652">
        <v>662379</v>
      </c>
      <c r="C652">
        <v>663761</v>
      </c>
      <c r="E652" t="s">
        <v>38</v>
      </c>
      <c r="F652" t="s">
        <v>1897</v>
      </c>
      <c r="H652">
        <v>1018651</v>
      </c>
      <c r="I652" t="s">
        <v>17</v>
      </c>
      <c r="K652" t="s">
        <v>1898</v>
      </c>
      <c r="L652">
        <v>460</v>
      </c>
      <c r="M652" t="s">
        <v>1899</v>
      </c>
    </row>
    <row r="653" spans="1:13" x14ac:dyDescent="0.35">
      <c r="A653" t="s">
        <v>13</v>
      </c>
      <c r="B653">
        <v>664123</v>
      </c>
      <c r="C653">
        <v>664947</v>
      </c>
      <c r="E653" t="s">
        <v>38</v>
      </c>
      <c r="F653" t="s">
        <v>1900</v>
      </c>
      <c r="H653">
        <v>1018652</v>
      </c>
      <c r="I653" t="s">
        <v>17</v>
      </c>
      <c r="K653" t="s">
        <v>1901</v>
      </c>
      <c r="L653">
        <v>274</v>
      </c>
      <c r="M653" t="s">
        <v>1902</v>
      </c>
    </row>
    <row r="654" spans="1:13" x14ac:dyDescent="0.35">
      <c r="A654" t="s">
        <v>13</v>
      </c>
      <c r="B654">
        <v>665180</v>
      </c>
      <c r="C654">
        <v>666313</v>
      </c>
      <c r="E654" t="s">
        <v>38</v>
      </c>
      <c r="F654" t="s">
        <v>1903</v>
      </c>
      <c r="H654">
        <v>1018653</v>
      </c>
      <c r="I654" t="s">
        <v>17</v>
      </c>
      <c r="K654" t="s">
        <v>1904</v>
      </c>
      <c r="L654">
        <v>377</v>
      </c>
      <c r="M654" t="s">
        <v>1905</v>
      </c>
    </row>
    <row r="655" spans="1:13" x14ac:dyDescent="0.35">
      <c r="A655" t="s">
        <v>13</v>
      </c>
      <c r="B655">
        <v>666457</v>
      </c>
      <c r="C655">
        <v>667770</v>
      </c>
      <c r="E655" t="s">
        <v>38</v>
      </c>
      <c r="F655" t="s">
        <v>1906</v>
      </c>
      <c r="H655">
        <v>1018654</v>
      </c>
      <c r="I655" t="s">
        <v>17</v>
      </c>
      <c r="K655" t="s">
        <v>1907</v>
      </c>
      <c r="L655">
        <v>437</v>
      </c>
      <c r="M655" t="s">
        <v>1908</v>
      </c>
    </row>
    <row r="656" spans="1:13" x14ac:dyDescent="0.35">
      <c r="A656" t="s">
        <v>13</v>
      </c>
      <c r="B656">
        <v>668189</v>
      </c>
      <c r="C656">
        <v>670468</v>
      </c>
      <c r="E656" t="s">
        <v>14</v>
      </c>
      <c r="F656" t="s">
        <v>1909</v>
      </c>
      <c r="H656">
        <v>1018655</v>
      </c>
      <c r="I656" t="s">
        <v>17</v>
      </c>
      <c r="K656" t="s">
        <v>1910</v>
      </c>
      <c r="L656">
        <v>759</v>
      </c>
      <c r="M656" t="s">
        <v>1911</v>
      </c>
    </row>
    <row r="657" spans="1:13" x14ac:dyDescent="0.35">
      <c r="A657" t="s">
        <v>13</v>
      </c>
      <c r="B657">
        <v>670472</v>
      </c>
      <c r="C657">
        <v>670675</v>
      </c>
      <c r="E657" t="s">
        <v>14</v>
      </c>
      <c r="F657" t="s">
        <v>1912</v>
      </c>
      <c r="H657">
        <v>44144932</v>
      </c>
      <c r="I657" t="s">
        <v>17</v>
      </c>
      <c r="K657" t="s">
        <v>1913</v>
      </c>
      <c r="L657">
        <v>67</v>
      </c>
      <c r="M657" t="s">
        <v>1914</v>
      </c>
    </row>
    <row r="658" spans="1:13" x14ac:dyDescent="0.35">
      <c r="A658" t="s">
        <v>13</v>
      </c>
      <c r="B658">
        <v>671141</v>
      </c>
      <c r="C658">
        <v>672656</v>
      </c>
      <c r="E658" t="s">
        <v>14</v>
      </c>
      <c r="F658" t="s">
        <v>141</v>
      </c>
      <c r="G658" t="s">
        <v>1915</v>
      </c>
      <c r="H658">
        <v>18194956</v>
      </c>
      <c r="I658" t="s">
        <v>142</v>
      </c>
      <c r="M658" t="s">
        <v>1916</v>
      </c>
    </row>
    <row r="659" spans="1:13" x14ac:dyDescent="0.35">
      <c r="A659" t="s">
        <v>13</v>
      </c>
      <c r="B659">
        <v>672656</v>
      </c>
      <c r="C659">
        <v>673579</v>
      </c>
      <c r="E659" t="s">
        <v>14</v>
      </c>
      <c r="F659" t="s">
        <v>1917</v>
      </c>
      <c r="G659" t="s">
        <v>1918</v>
      </c>
      <c r="H659">
        <v>1018658</v>
      </c>
      <c r="I659" t="s">
        <v>17</v>
      </c>
      <c r="K659" t="s">
        <v>1919</v>
      </c>
      <c r="L659">
        <v>307</v>
      </c>
      <c r="M659" t="s">
        <v>1920</v>
      </c>
    </row>
    <row r="660" spans="1:13" x14ac:dyDescent="0.35">
      <c r="A660" t="s">
        <v>13</v>
      </c>
      <c r="B660">
        <v>673608</v>
      </c>
      <c r="C660">
        <v>674759</v>
      </c>
      <c r="E660" t="s">
        <v>14</v>
      </c>
      <c r="F660" t="s">
        <v>1921</v>
      </c>
      <c r="H660">
        <v>1018659</v>
      </c>
      <c r="I660" t="s">
        <v>17</v>
      </c>
      <c r="K660" t="s">
        <v>1922</v>
      </c>
      <c r="L660">
        <v>383</v>
      </c>
      <c r="M660" t="s">
        <v>1923</v>
      </c>
    </row>
    <row r="661" spans="1:13" x14ac:dyDescent="0.35">
      <c r="A661" t="s">
        <v>13</v>
      </c>
      <c r="B661">
        <v>674796</v>
      </c>
      <c r="C661">
        <v>675077</v>
      </c>
      <c r="E661" t="s">
        <v>38</v>
      </c>
      <c r="F661" t="s">
        <v>1924</v>
      </c>
      <c r="H661">
        <v>44144933</v>
      </c>
      <c r="I661" t="s">
        <v>17</v>
      </c>
      <c r="K661" t="s">
        <v>1925</v>
      </c>
      <c r="L661">
        <v>93</v>
      </c>
      <c r="M661" t="s">
        <v>1926</v>
      </c>
    </row>
    <row r="662" spans="1:13" x14ac:dyDescent="0.35">
      <c r="A662" t="s">
        <v>13</v>
      </c>
      <c r="B662">
        <v>675079</v>
      </c>
      <c r="C662">
        <v>676122</v>
      </c>
      <c r="E662" t="s">
        <v>38</v>
      </c>
      <c r="F662" t="s">
        <v>1927</v>
      </c>
      <c r="H662">
        <v>1018660</v>
      </c>
      <c r="I662" t="s">
        <v>17</v>
      </c>
      <c r="K662" t="s">
        <v>1928</v>
      </c>
      <c r="L662">
        <v>347</v>
      </c>
      <c r="M662" t="s">
        <v>1929</v>
      </c>
    </row>
    <row r="663" spans="1:13" x14ac:dyDescent="0.35">
      <c r="A663" t="s">
        <v>13</v>
      </c>
      <c r="B663">
        <v>676215</v>
      </c>
      <c r="C663">
        <v>676937</v>
      </c>
      <c r="E663" t="s">
        <v>38</v>
      </c>
      <c r="F663" t="s">
        <v>1930</v>
      </c>
      <c r="H663">
        <v>1018661</v>
      </c>
      <c r="I663" t="s">
        <v>17</v>
      </c>
      <c r="K663" t="s">
        <v>1931</v>
      </c>
      <c r="L663">
        <v>240</v>
      </c>
      <c r="M663" t="s">
        <v>1932</v>
      </c>
    </row>
    <row r="664" spans="1:13" x14ac:dyDescent="0.35">
      <c r="A664" t="s">
        <v>13</v>
      </c>
      <c r="B664">
        <v>677044</v>
      </c>
      <c r="C664">
        <v>677748</v>
      </c>
      <c r="E664" t="s">
        <v>38</v>
      </c>
      <c r="F664" t="s">
        <v>49</v>
      </c>
      <c r="H664">
        <v>1018662</v>
      </c>
      <c r="I664" t="s">
        <v>17</v>
      </c>
      <c r="K664" t="s">
        <v>1933</v>
      </c>
      <c r="L664">
        <v>234</v>
      </c>
      <c r="M664" t="s">
        <v>1934</v>
      </c>
    </row>
    <row r="665" spans="1:13" x14ac:dyDescent="0.35">
      <c r="A665" t="s">
        <v>13</v>
      </c>
      <c r="B665">
        <v>677828</v>
      </c>
      <c r="C665">
        <v>680044</v>
      </c>
      <c r="E665" t="s">
        <v>38</v>
      </c>
      <c r="F665" t="s">
        <v>1935</v>
      </c>
      <c r="H665">
        <v>1018663</v>
      </c>
      <c r="I665" t="s">
        <v>17</v>
      </c>
      <c r="K665" t="s">
        <v>1936</v>
      </c>
      <c r="L665">
        <v>738</v>
      </c>
      <c r="M665" t="s">
        <v>1937</v>
      </c>
    </row>
    <row r="666" spans="1:13" x14ac:dyDescent="0.35">
      <c r="A666" t="s">
        <v>13</v>
      </c>
      <c r="B666">
        <v>680128</v>
      </c>
      <c r="C666">
        <v>681027</v>
      </c>
      <c r="E666" t="s">
        <v>38</v>
      </c>
      <c r="F666" t="s">
        <v>150</v>
      </c>
      <c r="H666">
        <v>1018664</v>
      </c>
      <c r="I666" t="s">
        <v>17</v>
      </c>
      <c r="K666" t="s">
        <v>1938</v>
      </c>
      <c r="L666">
        <v>299</v>
      </c>
      <c r="M666" t="s">
        <v>1939</v>
      </c>
    </row>
    <row r="667" spans="1:13" x14ac:dyDescent="0.35">
      <c r="A667" t="s">
        <v>13</v>
      </c>
      <c r="B667">
        <v>681037</v>
      </c>
      <c r="C667">
        <v>681846</v>
      </c>
      <c r="E667" t="s">
        <v>38</v>
      </c>
      <c r="F667" t="s">
        <v>147</v>
      </c>
      <c r="H667">
        <v>1018665</v>
      </c>
      <c r="I667" t="s">
        <v>17</v>
      </c>
      <c r="K667" t="s">
        <v>1940</v>
      </c>
      <c r="L667">
        <v>269</v>
      </c>
      <c r="M667" t="s">
        <v>1941</v>
      </c>
    </row>
    <row r="668" spans="1:13" x14ac:dyDescent="0.35">
      <c r="A668" t="s">
        <v>13</v>
      </c>
      <c r="B668">
        <v>681843</v>
      </c>
      <c r="C668">
        <v>682871</v>
      </c>
      <c r="E668" t="s">
        <v>38</v>
      </c>
      <c r="F668" t="s">
        <v>144</v>
      </c>
      <c r="H668">
        <v>1018666</v>
      </c>
      <c r="I668" t="s">
        <v>17</v>
      </c>
      <c r="K668" t="s">
        <v>1942</v>
      </c>
      <c r="L668">
        <v>342</v>
      </c>
      <c r="M668" t="s">
        <v>1943</v>
      </c>
    </row>
    <row r="669" spans="1:13" x14ac:dyDescent="0.35">
      <c r="A669" t="s">
        <v>13</v>
      </c>
      <c r="B669">
        <v>682868</v>
      </c>
      <c r="C669">
        <v>683863</v>
      </c>
      <c r="E669" t="s">
        <v>38</v>
      </c>
      <c r="F669" t="s">
        <v>144</v>
      </c>
      <c r="H669">
        <v>1018667</v>
      </c>
      <c r="I669" t="s">
        <v>17</v>
      </c>
      <c r="K669" t="s">
        <v>1944</v>
      </c>
      <c r="L669">
        <v>331</v>
      </c>
      <c r="M669" t="s">
        <v>1945</v>
      </c>
    </row>
    <row r="670" spans="1:13" x14ac:dyDescent="0.35">
      <c r="A670" t="s">
        <v>13</v>
      </c>
      <c r="B670">
        <v>683873</v>
      </c>
      <c r="C670">
        <v>684925</v>
      </c>
      <c r="E670" t="s">
        <v>38</v>
      </c>
      <c r="F670" t="s">
        <v>1885</v>
      </c>
      <c r="H670">
        <v>1018668</v>
      </c>
      <c r="I670" t="s">
        <v>17</v>
      </c>
      <c r="K670" t="s">
        <v>1946</v>
      </c>
      <c r="L670">
        <v>350</v>
      </c>
      <c r="M670" t="s">
        <v>1947</v>
      </c>
    </row>
    <row r="671" spans="1:13" x14ac:dyDescent="0.35">
      <c r="A671" t="s">
        <v>13</v>
      </c>
      <c r="B671">
        <v>685109</v>
      </c>
      <c r="C671">
        <v>686383</v>
      </c>
      <c r="E671" t="s">
        <v>14</v>
      </c>
      <c r="F671" t="s">
        <v>265</v>
      </c>
      <c r="H671">
        <v>1018669</v>
      </c>
      <c r="I671" t="s">
        <v>17</v>
      </c>
      <c r="K671" t="s">
        <v>1948</v>
      </c>
      <c r="L671">
        <v>424</v>
      </c>
      <c r="M671" t="s">
        <v>1949</v>
      </c>
    </row>
    <row r="672" spans="1:13" x14ac:dyDescent="0.35">
      <c r="A672" t="s">
        <v>13</v>
      </c>
      <c r="B672">
        <v>686435</v>
      </c>
      <c r="C672">
        <v>687349</v>
      </c>
      <c r="E672" t="s">
        <v>14</v>
      </c>
      <c r="F672" t="s">
        <v>1950</v>
      </c>
      <c r="H672">
        <v>1018670</v>
      </c>
      <c r="I672" t="s">
        <v>17</v>
      </c>
      <c r="K672" t="s">
        <v>1951</v>
      </c>
      <c r="L672">
        <v>304</v>
      </c>
      <c r="M672" t="s">
        <v>1952</v>
      </c>
    </row>
    <row r="673" spans="1:13" x14ac:dyDescent="0.35">
      <c r="A673" t="s">
        <v>13</v>
      </c>
      <c r="B673">
        <v>687351</v>
      </c>
      <c r="C673">
        <v>688010</v>
      </c>
      <c r="E673" t="s">
        <v>14</v>
      </c>
      <c r="F673" t="s">
        <v>428</v>
      </c>
      <c r="H673">
        <v>1018671</v>
      </c>
      <c r="I673" t="s">
        <v>17</v>
      </c>
      <c r="K673" t="s">
        <v>1953</v>
      </c>
      <c r="L673">
        <v>219</v>
      </c>
      <c r="M673" t="s">
        <v>1954</v>
      </c>
    </row>
    <row r="674" spans="1:13" x14ac:dyDescent="0.35">
      <c r="A674" t="s">
        <v>13</v>
      </c>
      <c r="B674">
        <v>688147</v>
      </c>
      <c r="C674">
        <v>688338</v>
      </c>
      <c r="E674" t="s">
        <v>14</v>
      </c>
      <c r="F674" t="s">
        <v>49</v>
      </c>
      <c r="H674">
        <v>1018672</v>
      </c>
      <c r="I674" t="s">
        <v>17</v>
      </c>
      <c r="K674" t="s">
        <v>1955</v>
      </c>
      <c r="L674">
        <v>63</v>
      </c>
      <c r="M674" t="s">
        <v>1956</v>
      </c>
    </row>
    <row r="675" spans="1:13" x14ac:dyDescent="0.35">
      <c r="A675" t="s">
        <v>13</v>
      </c>
      <c r="B675">
        <v>688913</v>
      </c>
      <c r="C675">
        <v>689890</v>
      </c>
      <c r="E675" t="s">
        <v>38</v>
      </c>
      <c r="F675" t="s">
        <v>1008</v>
      </c>
      <c r="H675">
        <v>1018673</v>
      </c>
      <c r="I675" t="s">
        <v>17</v>
      </c>
      <c r="K675" t="s">
        <v>1957</v>
      </c>
      <c r="L675">
        <v>325</v>
      </c>
      <c r="M675" t="s">
        <v>1958</v>
      </c>
    </row>
    <row r="676" spans="1:13" x14ac:dyDescent="0.35">
      <c r="A676" t="s">
        <v>13</v>
      </c>
      <c r="B676">
        <v>689914</v>
      </c>
      <c r="C676">
        <v>690696</v>
      </c>
      <c r="E676" t="s">
        <v>38</v>
      </c>
      <c r="F676" t="s">
        <v>147</v>
      </c>
      <c r="H676">
        <v>1018674</v>
      </c>
      <c r="I676" t="s">
        <v>17</v>
      </c>
      <c r="K676" t="s">
        <v>1959</v>
      </c>
      <c r="L676">
        <v>260</v>
      </c>
      <c r="M676" t="s">
        <v>1960</v>
      </c>
    </row>
    <row r="677" spans="1:13" x14ac:dyDescent="0.35">
      <c r="A677" t="s">
        <v>13</v>
      </c>
      <c r="B677">
        <v>690703</v>
      </c>
      <c r="C677">
        <v>691722</v>
      </c>
      <c r="E677" t="s">
        <v>38</v>
      </c>
      <c r="F677" t="s">
        <v>144</v>
      </c>
      <c r="H677">
        <v>1018675</v>
      </c>
      <c r="I677" t="s">
        <v>17</v>
      </c>
      <c r="K677" t="s">
        <v>1961</v>
      </c>
      <c r="L677">
        <v>339</v>
      </c>
      <c r="M677" t="s">
        <v>1962</v>
      </c>
    </row>
    <row r="678" spans="1:13" x14ac:dyDescent="0.35">
      <c r="A678" t="s">
        <v>13</v>
      </c>
      <c r="B678">
        <v>691882</v>
      </c>
      <c r="C678">
        <v>692919</v>
      </c>
      <c r="E678" t="s">
        <v>14</v>
      </c>
      <c r="F678" t="s">
        <v>1963</v>
      </c>
      <c r="G678" t="s">
        <v>1964</v>
      </c>
      <c r="H678">
        <v>1018676</v>
      </c>
      <c r="I678" t="s">
        <v>17</v>
      </c>
      <c r="K678" t="s">
        <v>1965</v>
      </c>
      <c r="L678">
        <v>345</v>
      </c>
      <c r="M678" t="s">
        <v>1966</v>
      </c>
    </row>
    <row r="679" spans="1:13" x14ac:dyDescent="0.35">
      <c r="A679" t="s">
        <v>13</v>
      </c>
      <c r="B679">
        <v>693028</v>
      </c>
      <c r="C679">
        <v>694113</v>
      </c>
      <c r="E679" t="s">
        <v>14</v>
      </c>
      <c r="F679" t="s">
        <v>1967</v>
      </c>
      <c r="H679">
        <v>1018677</v>
      </c>
      <c r="I679" t="s">
        <v>17</v>
      </c>
      <c r="K679" t="s">
        <v>1968</v>
      </c>
      <c r="L679">
        <v>361</v>
      </c>
      <c r="M679" t="s">
        <v>1969</v>
      </c>
    </row>
    <row r="680" spans="1:13" x14ac:dyDescent="0.35">
      <c r="A680" t="s">
        <v>13</v>
      </c>
      <c r="B680">
        <v>694172</v>
      </c>
      <c r="C680">
        <v>695077</v>
      </c>
      <c r="E680" t="s">
        <v>14</v>
      </c>
      <c r="F680" t="s">
        <v>1970</v>
      </c>
      <c r="H680">
        <v>1018678</v>
      </c>
      <c r="I680" t="s">
        <v>17</v>
      </c>
      <c r="K680" t="s">
        <v>1971</v>
      </c>
      <c r="L680">
        <v>301</v>
      </c>
      <c r="M680" t="s">
        <v>1972</v>
      </c>
    </row>
    <row r="681" spans="1:13" x14ac:dyDescent="0.35">
      <c r="A681" t="s">
        <v>13</v>
      </c>
      <c r="B681">
        <v>695074</v>
      </c>
      <c r="C681">
        <v>696279</v>
      </c>
      <c r="E681" t="s">
        <v>38</v>
      </c>
      <c r="F681" t="s">
        <v>1973</v>
      </c>
      <c r="H681">
        <v>1018679</v>
      </c>
      <c r="I681" t="s">
        <v>17</v>
      </c>
      <c r="K681" t="s">
        <v>1974</v>
      </c>
      <c r="L681">
        <v>401</v>
      </c>
      <c r="M681" t="s">
        <v>1975</v>
      </c>
    </row>
    <row r="682" spans="1:13" x14ac:dyDescent="0.35">
      <c r="A682" t="s">
        <v>13</v>
      </c>
      <c r="B682">
        <v>696766</v>
      </c>
      <c r="C682">
        <v>697995</v>
      </c>
      <c r="E682" t="s">
        <v>38</v>
      </c>
      <c r="F682" t="s">
        <v>49</v>
      </c>
      <c r="H682">
        <v>1018680</v>
      </c>
      <c r="I682" t="s">
        <v>17</v>
      </c>
      <c r="K682" t="s">
        <v>1976</v>
      </c>
      <c r="L682">
        <v>409</v>
      </c>
      <c r="M682" t="s">
        <v>1977</v>
      </c>
    </row>
    <row r="683" spans="1:13" x14ac:dyDescent="0.35">
      <c r="A683" t="s">
        <v>13</v>
      </c>
      <c r="B683">
        <v>698062</v>
      </c>
      <c r="C683">
        <v>698922</v>
      </c>
      <c r="E683" t="s">
        <v>38</v>
      </c>
      <c r="F683" t="s">
        <v>1978</v>
      </c>
      <c r="H683">
        <v>1018681</v>
      </c>
      <c r="I683" t="s">
        <v>17</v>
      </c>
      <c r="K683" t="s">
        <v>1979</v>
      </c>
      <c r="L683">
        <v>286</v>
      </c>
      <c r="M683" t="s">
        <v>1980</v>
      </c>
    </row>
    <row r="684" spans="1:13" x14ac:dyDescent="0.35">
      <c r="A684" t="s">
        <v>13</v>
      </c>
      <c r="B684">
        <v>698919</v>
      </c>
      <c r="C684">
        <v>699170</v>
      </c>
      <c r="E684" t="s">
        <v>38</v>
      </c>
      <c r="F684" t="s">
        <v>49</v>
      </c>
      <c r="H684">
        <v>1018682</v>
      </c>
      <c r="I684" t="s">
        <v>17</v>
      </c>
      <c r="K684" t="s">
        <v>1981</v>
      </c>
      <c r="L684">
        <v>83</v>
      </c>
      <c r="M684" t="s">
        <v>1982</v>
      </c>
    </row>
    <row r="685" spans="1:13" x14ac:dyDescent="0.35">
      <c r="A685" t="s">
        <v>13</v>
      </c>
      <c r="B685">
        <v>699281</v>
      </c>
      <c r="C685">
        <v>699916</v>
      </c>
      <c r="E685" t="s">
        <v>14</v>
      </c>
      <c r="F685" t="s">
        <v>1983</v>
      </c>
      <c r="G685" t="s">
        <v>1984</v>
      </c>
      <c r="H685">
        <v>1018683</v>
      </c>
      <c r="I685" t="s">
        <v>17</v>
      </c>
      <c r="K685" t="s">
        <v>1985</v>
      </c>
      <c r="L685">
        <v>211</v>
      </c>
      <c r="M685" t="s">
        <v>1986</v>
      </c>
    </row>
    <row r="686" spans="1:13" x14ac:dyDescent="0.35">
      <c r="A686" t="s">
        <v>13</v>
      </c>
      <c r="B686">
        <v>700010</v>
      </c>
      <c r="C686">
        <v>700384</v>
      </c>
      <c r="E686" t="s">
        <v>14</v>
      </c>
      <c r="F686" t="s">
        <v>138</v>
      </c>
      <c r="H686">
        <v>1018684</v>
      </c>
      <c r="I686" t="s">
        <v>17</v>
      </c>
      <c r="K686" t="s">
        <v>1987</v>
      </c>
      <c r="L686">
        <v>124</v>
      </c>
      <c r="M686" t="s">
        <v>1988</v>
      </c>
    </row>
    <row r="687" spans="1:13" x14ac:dyDescent="0.35">
      <c r="A687" t="s">
        <v>13</v>
      </c>
      <c r="B687">
        <v>700381</v>
      </c>
      <c r="C687">
        <v>701973</v>
      </c>
      <c r="E687" t="s">
        <v>38</v>
      </c>
      <c r="F687" t="s">
        <v>1989</v>
      </c>
      <c r="H687">
        <v>1018685</v>
      </c>
      <c r="I687" t="s">
        <v>17</v>
      </c>
      <c r="K687" t="s">
        <v>1990</v>
      </c>
      <c r="L687">
        <v>530</v>
      </c>
      <c r="M687" t="s">
        <v>1991</v>
      </c>
    </row>
    <row r="688" spans="1:13" x14ac:dyDescent="0.35">
      <c r="A688" t="s">
        <v>13</v>
      </c>
      <c r="B688">
        <v>702081</v>
      </c>
      <c r="C688">
        <v>703265</v>
      </c>
      <c r="E688" t="s">
        <v>14</v>
      </c>
      <c r="F688" t="s">
        <v>342</v>
      </c>
      <c r="H688">
        <v>1018686</v>
      </c>
      <c r="I688" t="s">
        <v>17</v>
      </c>
      <c r="K688" t="s">
        <v>1992</v>
      </c>
      <c r="L688">
        <v>394</v>
      </c>
      <c r="M688" t="s">
        <v>1993</v>
      </c>
    </row>
    <row r="689" spans="1:13" x14ac:dyDescent="0.35">
      <c r="A689" t="s">
        <v>13</v>
      </c>
      <c r="B689">
        <v>703405</v>
      </c>
      <c r="C689">
        <v>704814</v>
      </c>
      <c r="E689" t="s">
        <v>14</v>
      </c>
      <c r="F689" t="s">
        <v>1994</v>
      </c>
      <c r="H689">
        <v>1018687</v>
      </c>
      <c r="I689" t="s">
        <v>17</v>
      </c>
      <c r="K689" t="s">
        <v>1995</v>
      </c>
      <c r="L689">
        <v>469</v>
      </c>
      <c r="M689" t="s">
        <v>1996</v>
      </c>
    </row>
    <row r="690" spans="1:13" x14ac:dyDescent="0.35">
      <c r="A690" t="s">
        <v>13</v>
      </c>
      <c r="B690">
        <v>705211</v>
      </c>
      <c r="C690">
        <v>708633</v>
      </c>
      <c r="E690" t="s">
        <v>14</v>
      </c>
      <c r="F690" t="s">
        <v>1997</v>
      </c>
      <c r="H690">
        <v>1018688</v>
      </c>
      <c r="I690" t="s">
        <v>17</v>
      </c>
      <c r="K690" t="s">
        <v>1998</v>
      </c>
      <c r="L690">
        <v>1140</v>
      </c>
      <c r="M690" t="s">
        <v>1999</v>
      </c>
    </row>
    <row r="691" spans="1:13" x14ac:dyDescent="0.35">
      <c r="A691" t="s">
        <v>13</v>
      </c>
      <c r="B691">
        <v>708839</v>
      </c>
      <c r="C691">
        <v>709711</v>
      </c>
      <c r="E691" t="s">
        <v>14</v>
      </c>
      <c r="F691" t="s">
        <v>2000</v>
      </c>
      <c r="H691">
        <v>1018689</v>
      </c>
      <c r="I691" t="s">
        <v>17</v>
      </c>
      <c r="K691" t="s">
        <v>2001</v>
      </c>
      <c r="L691">
        <v>290</v>
      </c>
      <c r="M691" t="s">
        <v>2002</v>
      </c>
    </row>
    <row r="692" spans="1:13" x14ac:dyDescent="0.35">
      <c r="A692" t="s">
        <v>13</v>
      </c>
      <c r="B692">
        <v>709793</v>
      </c>
      <c r="C692">
        <v>710281</v>
      </c>
      <c r="E692" t="s">
        <v>14</v>
      </c>
      <c r="F692" t="s">
        <v>2003</v>
      </c>
      <c r="H692">
        <v>1018690</v>
      </c>
      <c r="I692" t="s">
        <v>17</v>
      </c>
      <c r="K692" t="s">
        <v>2004</v>
      </c>
      <c r="L692">
        <v>162</v>
      </c>
      <c r="M692" t="s">
        <v>2005</v>
      </c>
    </row>
    <row r="693" spans="1:13" x14ac:dyDescent="0.35">
      <c r="A693" t="s">
        <v>13</v>
      </c>
      <c r="B693">
        <v>710517</v>
      </c>
      <c r="C693">
        <v>711605</v>
      </c>
      <c r="E693" t="s">
        <v>38</v>
      </c>
      <c r="F693" t="s">
        <v>2006</v>
      </c>
      <c r="H693">
        <v>1018691</v>
      </c>
      <c r="I693" t="s">
        <v>17</v>
      </c>
      <c r="K693" t="s">
        <v>2007</v>
      </c>
      <c r="L693">
        <v>362</v>
      </c>
      <c r="M693" t="s">
        <v>2008</v>
      </c>
    </row>
    <row r="694" spans="1:13" x14ac:dyDescent="0.35">
      <c r="A694" t="s">
        <v>13</v>
      </c>
      <c r="B694">
        <v>711724</v>
      </c>
      <c r="C694">
        <v>712650</v>
      </c>
      <c r="E694" t="s">
        <v>14</v>
      </c>
      <c r="F694" t="s">
        <v>1602</v>
      </c>
      <c r="H694">
        <v>1018692</v>
      </c>
      <c r="I694" t="s">
        <v>17</v>
      </c>
      <c r="K694" t="s">
        <v>2009</v>
      </c>
      <c r="L694">
        <v>308</v>
      </c>
      <c r="M694" t="s">
        <v>2010</v>
      </c>
    </row>
    <row r="695" spans="1:13" x14ac:dyDescent="0.35">
      <c r="A695" t="s">
        <v>13</v>
      </c>
      <c r="B695">
        <v>712738</v>
      </c>
      <c r="C695">
        <v>714234</v>
      </c>
      <c r="E695" t="s">
        <v>14</v>
      </c>
      <c r="F695" t="s">
        <v>2011</v>
      </c>
      <c r="G695" t="s">
        <v>1915</v>
      </c>
      <c r="H695">
        <v>1018693</v>
      </c>
      <c r="I695" t="s">
        <v>17</v>
      </c>
      <c r="K695" t="s">
        <v>2012</v>
      </c>
      <c r="L695">
        <v>498</v>
      </c>
      <c r="M695" t="s">
        <v>2013</v>
      </c>
    </row>
    <row r="696" spans="1:13" x14ac:dyDescent="0.35">
      <c r="A696" t="s">
        <v>13</v>
      </c>
      <c r="B696">
        <v>714231</v>
      </c>
      <c r="C696">
        <v>715148</v>
      </c>
      <c r="E696" t="s">
        <v>14</v>
      </c>
      <c r="F696" t="s">
        <v>1917</v>
      </c>
      <c r="G696" t="s">
        <v>1918</v>
      </c>
      <c r="H696">
        <v>1018694</v>
      </c>
      <c r="I696" t="s">
        <v>17</v>
      </c>
      <c r="K696" t="s">
        <v>2014</v>
      </c>
      <c r="L696">
        <v>305</v>
      </c>
      <c r="M696" t="s">
        <v>2015</v>
      </c>
    </row>
    <row r="697" spans="1:13" x14ac:dyDescent="0.35">
      <c r="A697" t="s">
        <v>13</v>
      </c>
      <c r="B697">
        <v>715141</v>
      </c>
      <c r="C697">
        <v>716286</v>
      </c>
      <c r="E697" t="s">
        <v>14</v>
      </c>
      <c r="F697" t="s">
        <v>1921</v>
      </c>
      <c r="H697">
        <v>1018695</v>
      </c>
      <c r="I697" t="s">
        <v>17</v>
      </c>
      <c r="K697" t="s">
        <v>2016</v>
      </c>
      <c r="L697">
        <v>381</v>
      </c>
      <c r="M697" t="s">
        <v>2017</v>
      </c>
    </row>
    <row r="698" spans="1:13" x14ac:dyDescent="0.35">
      <c r="A698" t="s">
        <v>13</v>
      </c>
      <c r="B698">
        <v>716283</v>
      </c>
      <c r="C698">
        <v>716660</v>
      </c>
      <c r="E698" t="s">
        <v>38</v>
      </c>
      <c r="F698" t="s">
        <v>49</v>
      </c>
      <c r="H698">
        <v>1018696</v>
      </c>
      <c r="I698" t="s">
        <v>17</v>
      </c>
      <c r="K698" t="s">
        <v>2018</v>
      </c>
      <c r="L698">
        <v>125</v>
      </c>
      <c r="M698" t="s">
        <v>2019</v>
      </c>
    </row>
    <row r="699" spans="1:13" x14ac:dyDescent="0.35">
      <c r="A699" t="s">
        <v>13</v>
      </c>
      <c r="B699">
        <v>716684</v>
      </c>
      <c r="C699">
        <v>718009</v>
      </c>
      <c r="E699" t="s">
        <v>38</v>
      </c>
      <c r="F699" t="s">
        <v>138</v>
      </c>
      <c r="H699">
        <v>1018697</v>
      </c>
      <c r="I699" t="s">
        <v>17</v>
      </c>
      <c r="K699" t="s">
        <v>2020</v>
      </c>
      <c r="L699">
        <v>441</v>
      </c>
      <c r="M699" t="s">
        <v>2021</v>
      </c>
    </row>
    <row r="700" spans="1:13" x14ac:dyDescent="0.35">
      <c r="A700" t="s">
        <v>13</v>
      </c>
      <c r="B700">
        <v>718171</v>
      </c>
      <c r="C700">
        <v>718353</v>
      </c>
      <c r="E700" t="s">
        <v>14</v>
      </c>
      <c r="F700" t="s">
        <v>49</v>
      </c>
      <c r="H700">
        <v>1018698</v>
      </c>
      <c r="I700" t="s">
        <v>17</v>
      </c>
      <c r="K700" t="s">
        <v>2022</v>
      </c>
      <c r="L700">
        <v>60</v>
      </c>
      <c r="M700" t="s">
        <v>2023</v>
      </c>
    </row>
    <row r="701" spans="1:13" x14ac:dyDescent="0.35">
      <c r="A701" t="s">
        <v>13</v>
      </c>
      <c r="B701">
        <v>718577</v>
      </c>
      <c r="C701">
        <v>720352</v>
      </c>
      <c r="E701" t="s">
        <v>38</v>
      </c>
      <c r="F701" t="s">
        <v>2024</v>
      </c>
      <c r="H701">
        <v>1018699</v>
      </c>
      <c r="I701" t="s">
        <v>17</v>
      </c>
      <c r="K701" t="s">
        <v>2025</v>
      </c>
      <c r="L701">
        <v>591</v>
      </c>
      <c r="M701" t="s">
        <v>2026</v>
      </c>
    </row>
    <row r="702" spans="1:13" x14ac:dyDescent="0.35">
      <c r="A702" t="s">
        <v>13</v>
      </c>
      <c r="B702">
        <v>720544</v>
      </c>
      <c r="C702">
        <v>721449</v>
      </c>
      <c r="E702" t="s">
        <v>38</v>
      </c>
      <c r="F702" t="s">
        <v>2027</v>
      </c>
      <c r="H702">
        <v>1018700</v>
      </c>
      <c r="I702" t="s">
        <v>17</v>
      </c>
      <c r="K702" t="s">
        <v>2028</v>
      </c>
      <c r="L702">
        <v>301</v>
      </c>
      <c r="M702" t="s">
        <v>2029</v>
      </c>
    </row>
    <row r="703" spans="1:13" x14ac:dyDescent="0.35">
      <c r="A703" t="s">
        <v>13</v>
      </c>
      <c r="B703">
        <v>721777</v>
      </c>
      <c r="C703">
        <v>722844</v>
      </c>
      <c r="E703" t="s">
        <v>14</v>
      </c>
      <c r="F703" t="s">
        <v>2030</v>
      </c>
      <c r="H703">
        <v>1018701</v>
      </c>
      <c r="I703" t="s">
        <v>17</v>
      </c>
      <c r="K703" t="s">
        <v>2031</v>
      </c>
      <c r="L703">
        <v>355</v>
      </c>
      <c r="M703" t="s">
        <v>2032</v>
      </c>
    </row>
    <row r="704" spans="1:13" x14ac:dyDescent="0.35">
      <c r="A704" t="s">
        <v>13</v>
      </c>
      <c r="B704">
        <v>722922</v>
      </c>
      <c r="C704">
        <v>723338</v>
      </c>
      <c r="E704" t="s">
        <v>38</v>
      </c>
      <c r="F704" t="s">
        <v>2033</v>
      </c>
      <c r="H704">
        <v>1018702</v>
      </c>
      <c r="I704" t="s">
        <v>17</v>
      </c>
      <c r="K704" t="s">
        <v>2034</v>
      </c>
      <c r="L704">
        <v>138</v>
      </c>
      <c r="M704" t="s">
        <v>2035</v>
      </c>
    </row>
    <row r="705" spans="1:13" x14ac:dyDescent="0.35">
      <c r="A705" t="s">
        <v>13</v>
      </c>
      <c r="B705">
        <v>723412</v>
      </c>
      <c r="C705">
        <v>725562</v>
      </c>
      <c r="E705" t="s">
        <v>14</v>
      </c>
      <c r="F705" t="s">
        <v>1071</v>
      </c>
      <c r="H705">
        <v>1018703</v>
      </c>
      <c r="I705" t="s">
        <v>17</v>
      </c>
      <c r="K705" t="s">
        <v>2036</v>
      </c>
      <c r="L705">
        <v>716</v>
      </c>
      <c r="M705" t="s">
        <v>2037</v>
      </c>
    </row>
    <row r="706" spans="1:13" x14ac:dyDescent="0.35">
      <c r="A706" t="s">
        <v>13</v>
      </c>
      <c r="B706">
        <v>725869</v>
      </c>
      <c r="C706">
        <v>726462</v>
      </c>
      <c r="E706" t="s">
        <v>38</v>
      </c>
      <c r="F706" t="s">
        <v>2038</v>
      </c>
      <c r="H706">
        <v>1018704</v>
      </c>
      <c r="I706" t="s">
        <v>17</v>
      </c>
      <c r="K706" t="s">
        <v>2039</v>
      </c>
      <c r="L706">
        <v>197</v>
      </c>
      <c r="M706" t="s">
        <v>2040</v>
      </c>
    </row>
    <row r="707" spans="1:13" x14ac:dyDescent="0.35">
      <c r="A707" t="s">
        <v>13</v>
      </c>
      <c r="B707">
        <v>726467</v>
      </c>
      <c r="C707">
        <v>726715</v>
      </c>
      <c r="E707" t="s">
        <v>38</v>
      </c>
      <c r="F707" t="s">
        <v>2041</v>
      </c>
      <c r="H707">
        <v>1018705</v>
      </c>
      <c r="I707" t="s">
        <v>17</v>
      </c>
      <c r="K707" t="s">
        <v>2042</v>
      </c>
      <c r="L707">
        <v>82</v>
      </c>
      <c r="M707" t="s">
        <v>2043</v>
      </c>
    </row>
    <row r="708" spans="1:13" x14ac:dyDescent="0.35">
      <c r="A708" t="s">
        <v>13</v>
      </c>
      <c r="B708">
        <v>726739</v>
      </c>
      <c r="C708">
        <v>728352</v>
      </c>
      <c r="E708" t="s">
        <v>38</v>
      </c>
      <c r="F708" t="s">
        <v>2044</v>
      </c>
      <c r="H708">
        <v>1018706</v>
      </c>
      <c r="I708" t="s">
        <v>17</v>
      </c>
      <c r="K708" t="s">
        <v>2045</v>
      </c>
      <c r="L708">
        <v>537</v>
      </c>
      <c r="M708" t="s">
        <v>2046</v>
      </c>
    </row>
    <row r="709" spans="1:13" x14ac:dyDescent="0.35">
      <c r="A709" t="s">
        <v>13</v>
      </c>
      <c r="B709">
        <v>728693</v>
      </c>
      <c r="C709">
        <v>730324</v>
      </c>
      <c r="E709" t="s">
        <v>38</v>
      </c>
      <c r="F709" t="s">
        <v>2044</v>
      </c>
      <c r="H709">
        <v>1018707</v>
      </c>
      <c r="I709" t="s">
        <v>17</v>
      </c>
      <c r="K709" t="s">
        <v>2047</v>
      </c>
      <c r="L709">
        <v>543</v>
      </c>
      <c r="M709" t="s">
        <v>2048</v>
      </c>
    </row>
    <row r="710" spans="1:13" x14ac:dyDescent="0.35">
      <c r="A710" t="s">
        <v>13</v>
      </c>
      <c r="B710">
        <v>730436</v>
      </c>
      <c r="C710">
        <v>731302</v>
      </c>
      <c r="E710" t="s">
        <v>14</v>
      </c>
      <c r="F710" t="s">
        <v>2049</v>
      </c>
      <c r="H710">
        <v>1018708</v>
      </c>
      <c r="I710" t="s">
        <v>17</v>
      </c>
      <c r="K710" t="s">
        <v>2050</v>
      </c>
      <c r="L710">
        <v>288</v>
      </c>
      <c r="M710" t="s">
        <v>2051</v>
      </c>
    </row>
    <row r="711" spans="1:13" x14ac:dyDescent="0.35">
      <c r="A711" t="s">
        <v>13</v>
      </c>
      <c r="B711">
        <v>731312</v>
      </c>
      <c r="C711">
        <v>731800</v>
      </c>
      <c r="E711" t="s">
        <v>14</v>
      </c>
      <c r="F711" t="s">
        <v>49</v>
      </c>
      <c r="H711">
        <v>1018709</v>
      </c>
      <c r="I711" t="s">
        <v>17</v>
      </c>
      <c r="K711" t="s">
        <v>2052</v>
      </c>
      <c r="L711">
        <v>162</v>
      </c>
      <c r="M711" t="s">
        <v>2053</v>
      </c>
    </row>
    <row r="712" spans="1:13" x14ac:dyDescent="0.35">
      <c r="A712" t="s">
        <v>13</v>
      </c>
      <c r="B712">
        <v>731857</v>
      </c>
      <c r="C712">
        <v>733020</v>
      </c>
      <c r="E712" t="s">
        <v>14</v>
      </c>
      <c r="F712" t="s">
        <v>2054</v>
      </c>
      <c r="H712">
        <v>1018710</v>
      </c>
      <c r="I712" t="s">
        <v>17</v>
      </c>
      <c r="K712" t="s">
        <v>2055</v>
      </c>
      <c r="L712">
        <v>387</v>
      </c>
      <c r="M712" t="s">
        <v>2056</v>
      </c>
    </row>
    <row r="713" spans="1:13" x14ac:dyDescent="0.35">
      <c r="A713" t="s">
        <v>13</v>
      </c>
      <c r="B713">
        <v>733060</v>
      </c>
      <c r="C713">
        <v>734946</v>
      </c>
      <c r="E713" t="s">
        <v>14</v>
      </c>
      <c r="F713" t="s">
        <v>2057</v>
      </c>
      <c r="H713">
        <v>1018711</v>
      </c>
      <c r="I713" t="s">
        <v>17</v>
      </c>
      <c r="K713" t="s">
        <v>2058</v>
      </c>
      <c r="L713">
        <v>628</v>
      </c>
      <c r="M713" t="s">
        <v>2059</v>
      </c>
    </row>
    <row r="714" spans="1:13" x14ac:dyDescent="0.35">
      <c r="A714" t="s">
        <v>13</v>
      </c>
      <c r="B714">
        <v>734984</v>
      </c>
      <c r="C714">
        <v>735343</v>
      </c>
      <c r="E714" t="s">
        <v>14</v>
      </c>
      <c r="F714" t="s">
        <v>49</v>
      </c>
      <c r="H714">
        <v>1018712</v>
      </c>
      <c r="I714" t="s">
        <v>17</v>
      </c>
      <c r="K714" t="s">
        <v>2060</v>
      </c>
      <c r="L714">
        <v>119</v>
      </c>
      <c r="M714" t="s">
        <v>2061</v>
      </c>
    </row>
    <row r="715" spans="1:13" x14ac:dyDescent="0.35">
      <c r="A715" t="s">
        <v>13</v>
      </c>
      <c r="B715">
        <v>735402</v>
      </c>
      <c r="C715">
        <v>735899</v>
      </c>
      <c r="E715" t="s">
        <v>14</v>
      </c>
      <c r="F715" t="s">
        <v>2062</v>
      </c>
      <c r="G715" t="s">
        <v>2063</v>
      </c>
      <c r="H715">
        <v>1018713</v>
      </c>
      <c r="I715" t="s">
        <v>17</v>
      </c>
      <c r="K715" t="s">
        <v>2064</v>
      </c>
      <c r="L715">
        <v>165</v>
      </c>
      <c r="M715" t="s">
        <v>2065</v>
      </c>
    </row>
    <row r="716" spans="1:13" x14ac:dyDescent="0.35">
      <c r="A716" t="s">
        <v>13</v>
      </c>
      <c r="B716">
        <v>735899</v>
      </c>
      <c r="C716">
        <v>736354</v>
      </c>
      <c r="E716" t="s">
        <v>14</v>
      </c>
      <c r="F716" t="s">
        <v>2066</v>
      </c>
      <c r="H716">
        <v>1018714</v>
      </c>
      <c r="I716" t="s">
        <v>17</v>
      </c>
      <c r="K716" t="s">
        <v>2067</v>
      </c>
      <c r="L716">
        <v>151</v>
      </c>
      <c r="M716" t="s">
        <v>2068</v>
      </c>
    </row>
    <row r="717" spans="1:13" x14ac:dyDescent="0.35">
      <c r="A717" t="s">
        <v>13</v>
      </c>
      <c r="B717">
        <v>736413</v>
      </c>
      <c r="C717">
        <v>737207</v>
      </c>
      <c r="E717" t="s">
        <v>14</v>
      </c>
      <c r="F717" t="s">
        <v>1332</v>
      </c>
      <c r="H717">
        <v>1018715</v>
      </c>
      <c r="I717" t="s">
        <v>17</v>
      </c>
      <c r="K717" t="s">
        <v>2069</v>
      </c>
      <c r="L717">
        <v>264</v>
      </c>
      <c r="M717" t="s">
        <v>2070</v>
      </c>
    </row>
    <row r="718" spans="1:13" x14ac:dyDescent="0.35">
      <c r="A718" t="s">
        <v>13</v>
      </c>
      <c r="B718">
        <v>737213</v>
      </c>
      <c r="C718">
        <v>738529</v>
      </c>
      <c r="E718" t="s">
        <v>38</v>
      </c>
      <c r="F718" t="s">
        <v>2071</v>
      </c>
      <c r="H718">
        <v>1018716</v>
      </c>
      <c r="I718" t="s">
        <v>17</v>
      </c>
      <c r="K718" t="s">
        <v>2072</v>
      </c>
      <c r="L718">
        <v>438</v>
      </c>
      <c r="M718" t="s">
        <v>2073</v>
      </c>
    </row>
    <row r="719" spans="1:13" x14ac:dyDescent="0.35">
      <c r="A719" t="s">
        <v>13</v>
      </c>
      <c r="B719">
        <v>738670</v>
      </c>
      <c r="C719">
        <v>740115</v>
      </c>
      <c r="E719" t="s">
        <v>38</v>
      </c>
      <c r="F719" t="s">
        <v>2074</v>
      </c>
      <c r="H719">
        <v>1018717</v>
      </c>
      <c r="I719" t="s">
        <v>17</v>
      </c>
      <c r="K719" t="s">
        <v>2075</v>
      </c>
      <c r="L719">
        <v>481</v>
      </c>
      <c r="M719" t="s">
        <v>2076</v>
      </c>
    </row>
    <row r="720" spans="1:13" x14ac:dyDescent="0.35">
      <c r="A720" t="s">
        <v>13</v>
      </c>
      <c r="B720">
        <v>740225</v>
      </c>
      <c r="C720">
        <v>741016</v>
      </c>
      <c r="E720" t="s">
        <v>38</v>
      </c>
      <c r="F720" t="s">
        <v>2077</v>
      </c>
      <c r="H720">
        <v>1018718</v>
      </c>
      <c r="I720" t="s">
        <v>17</v>
      </c>
      <c r="K720" t="s">
        <v>2078</v>
      </c>
      <c r="L720">
        <v>263</v>
      </c>
      <c r="M720" t="s">
        <v>2079</v>
      </c>
    </row>
    <row r="721" spans="1:13" x14ac:dyDescent="0.35">
      <c r="A721" t="s">
        <v>13</v>
      </c>
      <c r="B721">
        <v>741397</v>
      </c>
      <c r="C721">
        <v>741768</v>
      </c>
      <c r="E721" t="s">
        <v>14</v>
      </c>
      <c r="F721" t="s">
        <v>49</v>
      </c>
      <c r="H721">
        <v>1018719</v>
      </c>
      <c r="I721" t="s">
        <v>17</v>
      </c>
      <c r="K721" t="s">
        <v>2080</v>
      </c>
      <c r="L721">
        <v>123</v>
      </c>
      <c r="M721" t="s">
        <v>2081</v>
      </c>
    </row>
    <row r="722" spans="1:13" x14ac:dyDescent="0.35">
      <c r="A722" t="s">
        <v>13</v>
      </c>
      <c r="B722">
        <v>741815</v>
      </c>
      <c r="C722">
        <v>742381</v>
      </c>
      <c r="E722" t="s">
        <v>38</v>
      </c>
      <c r="F722" t="s">
        <v>2082</v>
      </c>
      <c r="H722">
        <v>1018720</v>
      </c>
      <c r="I722" t="s">
        <v>17</v>
      </c>
      <c r="K722" t="s">
        <v>2083</v>
      </c>
      <c r="L722">
        <v>188</v>
      </c>
      <c r="M722" t="s">
        <v>2084</v>
      </c>
    </row>
    <row r="723" spans="1:13" x14ac:dyDescent="0.35">
      <c r="A723" t="s">
        <v>13</v>
      </c>
      <c r="B723">
        <v>742409</v>
      </c>
      <c r="C723">
        <v>742831</v>
      </c>
      <c r="E723" t="s">
        <v>14</v>
      </c>
      <c r="F723" t="s">
        <v>356</v>
      </c>
      <c r="H723">
        <v>1018721</v>
      </c>
      <c r="I723" t="s">
        <v>17</v>
      </c>
      <c r="K723" t="s">
        <v>2085</v>
      </c>
      <c r="L723">
        <v>140</v>
      </c>
      <c r="M723" t="s">
        <v>2086</v>
      </c>
    </row>
    <row r="724" spans="1:13" x14ac:dyDescent="0.35">
      <c r="A724" t="s">
        <v>13</v>
      </c>
      <c r="B724">
        <v>742828</v>
      </c>
      <c r="C724">
        <v>743052</v>
      </c>
      <c r="E724" t="s">
        <v>38</v>
      </c>
      <c r="F724" t="s">
        <v>49</v>
      </c>
      <c r="H724">
        <v>1018722</v>
      </c>
      <c r="I724" t="s">
        <v>17</v>
      </c>
      <c r="K724" t="s">
        <v>2087</v>
      </c>
      <c r="L724">
        <v>74</v>
      </c>
      <c r="M724" t="s">
        <v>2088</v>
      </c>
    </row>
    <row r="725" spans="1:13" x14ac:dyDescent="0.35">
      <c r="A725" t="s">
        <v>13</v>
      </c>
      <c r="B725">
        <v>743064</v>
      </c>
      <c r="C725">
        <v>743900</v>
      </c>
      <c r="E725" t="s">
        <v>38</v>
      </c>
      <c r="F725" t="s">
        <v>2089</v>
      </c>
      <c r="H725">
        <v>1018723</v>
      </c>
      <c r="I725" t="s">
        <v>17</v>
      </c>
      <c r="K725" t="s">
        <v>2090</v>
      </c>
      <c r="L725">
        <v>278</v>
      </c>
      <c r="M725" t="s">
        <v>2091</v>
      </c>
    </row>
    <row r="726" spans="1:13" x14ac:dyDescent="0.35">
      <c r="A726" t="s">
        <v>13</v>
      </c>
      <c r="B726">
        <v>743897</v>
      </c>
      <c r="C726">
        <v>744931</v>
      </c>
      <c r="E726" t="s">
        <v>38</v>
      </c>
      <c r="F726" t="s">
        <v>2089</v>
      </c>
      <c r="H726">
        <v>1018724</v>
      </c>
      <c r="I726" t="s">
        <v>17</v>
      </c>
      <c r="K726" t="s">
        <v>2092</v>
      </c>
      <c r="L726">
        <v>344</v>
      </c>
      <c r="M726" t="s">
        <v>2093</v>
      </c>
    </row>
    <row r="727" spans="1:13" x14ac:dyDescent="0.35">
      <c r="A727" t="s">
        <v>13</v>
      </c>
      <c r="B727">
        <v>745043</v>
      </c>
      <c r="C727">
        <v>745498</v>
      </c>
      <c r="E727" t="s">
        <v>38</v>
      </c>
      <c r="F727" t="s">
        <v>2094</v>
      </c>
      <c r="H727">
        <v>1018725</v>
      </c>
      <c r="I727" t="s">
        <v>17</v>
      </c>
      <c r="K727" t="s">
        <v>2095</v>
      </c>
      <c r="L727">
        <v>151</v>
      </c>
      <c r="M727" t="s">
        <v>2096</v>
      </c>
    </row>
    <row r="728" spans="1:13" x14ac:dyDescent="0.35">
      <c r="A728" t="s">
        <v>13</v>
      </c>
      <c r="B728">
        <v>745619</v>
      </c>
      <c r="C728">
        <v>746893</v>
      </c>
      <c r="E728" t="s">
        <v>38</v>
      </c>
      <c r="F728" t="s">
        <v>1008</v>
      </c>
      <c r="H728">
        <v>1018726</v>
      </c>
      <c r="I728" t="s">
        <v>17</v>
      </c>
      <c r="K728" t="s">
        <v>2097</v>
      </c>
      <c r="L728">
        <v>424</v>
      </c>
      <c r="M728" t="s">
        <v>2098</v>
      </c>
    </row>
    <row r="729" spans="1:13" x14ac:dyDescent="0.35">
      <c r="A729" t="s">
        <v>13</v>
      </c>
      <c r="B729">
        <v>747028</v>
      </c>
      <c r="C729">
        <v>748026</v>
      </c>
      <c r="E729" t="s">
        <v>38</v>
      </c>
      <c r="F729" t="s">
        <v>147</v>
      </c>
      <c r="H729">
        <v>1018727</v>
      </c>
      <c r="I729" t="s">
        <v>17</v>
      </c>
      <c r="K729" t="s">
        <v>2099</v>
      </c>
      <c r="L729">
        <v>332</v>
      </c>
      <c r="M729" t="s">
        <v>2100</v>
      </c>
    </row>
    <row r="730" spans="1:13" x14ac:dyDescent="0.35">
      <c r="A730" t="s">
        <v>13</v>
      </c>
      <c r="B730">
        <v>748113</v>
      </c>
      <c r="C730">
        <v>748445</v>
      </c>
      <c r="E730" t="s">
        <v>14</v>
      </c>
      <c r="F730" t="s">
        <v>2101</v>
      </c>
      <c r="H730">
        <v>1018728</v>
      </c>
      <c r="I730" t="s">
        <v>17</v>
      </c>
      <c r="K730" t="s">
        <v>2102</v>
      </c>
      <c r="L730">
        <v>110</v>
      </c>
      <c r="M730" t="s">
        <v>2103</v>
      </c>
    </row>
    <row r="731" spans="1:13" x14ac:dyDescent="0.35">
      <c r="A731" t="s">
        <v>13</v>
      </c>
      <c r="B731">
        <v>748883</v>
      </c>
      <c r="C731">
        <v>753685</v>
      </c>
      <c r="E731" t="s">
        <v>38</v>
      </c>
      <c r="F731" t="s">
        <v>930</v>
      </c>
      <c r="H731">
        <v>1018729</v>
      </c>
      <c r="I731" t="s">
        <v>17</v>
      </c>
      <c r="K731" t="s">
        <v>2104</v>
      </c>
      <c r="L731">
        <v>1600</v>
      </c>
      <c r="M731" t="s">
        <v>2105</v>
      </c>
    </row>
    <row r="732" spans="1:13" x14ac:dyDescent="0.35">
      <c r="A732" t="s">
        <v>13</v>
      </c>
      <c r="B732">
        <v>753694</v>
      </c>
      <c r="C732">
        <v>757395</v>
      </c>
      <c r="E732" t="s">
        <v>38</v>
      </c>
      <c r="F732" t="s">
        <v>49</v>
      </c>
      <c r="H732">
        <v>1018730</v>
      </c>
      <c r="I732" t="s">
        <v>17</v>
      </c>
      <c r="K732" t="s">
        <v>2106</v>
      </c>
      <c r="L732">
        <v>1233</v>
      </c>
      <c r="M732" t="s">
        <v>2107</v>
      </c>
    </row>
    <row r="733" spans="1:13" x14ac:dyDescent="0.35">
      <c r="A733" t="s">
        <v>13</v>
      </c>
      <c r="B733">
        <v>757627</v>
      </c>
      <c r="C733">
        <v>758280</v>
      </c>
      <c r="E733" t="s">
        <v>38</v>
      </c>
      <c r="F733" t="s">
        <v>2108</v>
      </c>
      <c r="H733">
        <v>1018731</v>
      </c>
      <c r="I733" t="s">
        <v>17</v>
      </c>
      <c r="K733" t="s">
        <v>2109</v>
      </c>
      <c r="L733">
        <v>217</v>
      </c>
      <c r="M733" t="s">
        <v>2110</v>
      </c>
    </row>
    <row r="734" spans="1:13" x14ac:dyDescent="0.35">
      <c r="A734" t="s">
        <v>13</v>
      </c>
      <c r="B734">
        <v>758361</v>
      </c>
      <c r="C734">
        <v>760796</v>
      </c>
      <c r="E734" t="s">
        <v>38</v>
      </c>
      <c r="F734" t="s">
        <v>2111</v>
      </c>
      <c r="H734">
        <v>1018732</v>
      </c>
      <c r="I734" t="s">
        <v>17</v>
      </c>
      <c r="K734" t="s">
        <v>2112</v>
      </c>
      <c r="L734">
        <v>811</v>
      </c>
      <c r="M734" t="s">
        <v>2113</v>
      </c>
    </row>
    <row r="735" spans="1:13" x14ac:dyDescent="0.35">
      <c r="A735" t="s">
        <v>13</v>
      </c>
      <c r="B735">
        <v>760903</v>
      </c>
      <c r="C735">
        <v>763203</v>
      </c>
      <c r="E735" t="s">
        <v>38</v>
      </c>
      <c r="F735" t="s">
        <v>2114</v>
      </c>
      <c r="H735">
        <v>1018733</v>
      </c>
      <c r="I735" t="s">
        <v>17</v>
      </c>
      <c r="K735" t="s">
        <v>2115</v>
      </c>
      <c r="L735">
        <v>766</v>
      </c>
      <c r="M735" t="s">
        <v>2116</v>
      </c>
    </row>
    <row r="736" spans="1:13" x14ac:dyDescent="0.35">
      <c r="A736" t="s">
        <v>13</v>
      </c>
      <c r="B736">
        <v>763234</v>
      </c>
      <c r="C736">
        <v>769536</v>
      </c>
      <c r="E736" t="s">
        <v>38</v>
      </c>
      <c r="F736" t="s">
        <v>930</v>
      </c>
      <c r="H736">
        <v>1018734</v>
      </c>
      <c r="I736" t="s">
        <v>17</v>
      </c>
      <c r="K736" t="s">
        <v>2117</v>
      </c>
      <c r="L736">
        <v>2100</v>
      </c>
      <c r="M736" t="s">
        <v>2118</v>
      </c>
    </row>
    <row r="737" spans="1:13" x14ac:dyDescent="0.35">
      <c r="A737" t="s">
        <v>13</v>
      </c>
      <c r="B737">
        <v>769544</v>
      </c>
      <c r="C737">
        <v>774142</v>
      </c>
      <c r="E737" t="s">
        <v>38</v>
      </c>
      <c r="F737" t="s">
        <v>2119</v>
      </c>
      <c r="H737">
        <v>1018735</v>
      </c>
      <c r="I737" t="s">
        <v>17</v>
      </c>
      <c r="K737" t="s">
        <v>2120</v>
      </c>
      <c r="L737">
        <v>1532</v>
      </c>
      <c r="M737" t="s">
        <v>2121</v>
      </c>
    </row>
    <row r="738" spans="1:13" x14ac:dyDescent="0.35">
      <c r="A738" t="s">
        <v>13</v>
      </c>
      <c r="B738">
        <v>774147</v>
      </c>
      <c r="C738">
        <v>777035</v>
      </c>
      <c r="E738" t="s">
        <v>38</v>
      </c>
      <c r="F738" t="s">
        <v>930</v>
      </c>
      <c r="H738">
        <v>1018736</v>
      </c>
      <c r="I738" t="s">
        <v>17</v>
      </c>
      <c r="K738" t="s">
        <v>2122</v>
      </c>
      <c r="L738">
        <v>962</v>
      </c>
      <c r="M738" t="s">
        <v>2123</v>
      </c>
    </row>
    <row r="739" spans="1:13" x14ac:dyDescent="0.35">
      <c r="A739" t="s">
        <v>13</v>
      </c>
      <c r="B739">
        <v>777155</v>
      </c>
      <c r="C739">
        <v>778711</v>
      </c>
      <c r="E739" t="s">
        <v>38</v>
      </c>
      <c r="F739" t="s">
        <v>2124</v>
      </c>
      <c r="G739" t="s">
        <v>2125</v>
      </c>
      <c r="H739">
        <v>1018737</v>
      </c>
      <c r="I739" t="s">
        <v>17</v>
      </c>
      <c r="K739" t="s">
        <v>2126</v>
      </c>
      <c r="L739">
        <v>518</v>
      </c>
      <c r="M739" t="s">
        <v>2127</v>
      </c>
    </row>
    <row r="740" spans="1:13" x14ac:dyDescent="0.35">
      <c r="A740" t="s">
        <v>13</v>
      </c>
      <c r="B740">
        <v>779014</v>
      </c>
      <c r="C740">
        <v>779913</v>
      </c>
      <c r="E740" t="s">
        <v>14</v>
      </c>
      <c r="F740" t="s">
        <v>977</v>
      </c>
      <c r="H740">
        <v>1018738</v>
      </c>
      <c r="I740" t="s">
        <v>17</v>
      </c>
      <c r="K740" t="s">
        <v>2128</v>
      </c>
      <c r="L740">
        <v>299</v>
      </c>
      <c r="M740" t="s">
        <v>2129</v>
      </c>
    </row>
    <row r="741" spans="1:13" x14ac:dyDescent="0.35">
      <c r="A741" t="s">
        <v>13</v>
      </c>
      <c r="B741">
        <v>780086</v>
      </c>
      <c r="C741">
        <v>781174</v>
      </c>
      <c r="E741" t="s">
        <v>14</v>
      </c>
      <c r="F741" t="s">
        <v>2130</v>
      </c>
      <c r="H741">
        <v>1018739</v>
      </c>
      <c r="I741" t="s">
        <v>17</v>
      </c>
      <c r="K741" t="s">
        <v>2131</v>
      </c>
      <c r="L741">
        <v>362</v>
      </c>
      <c r="M741" t="s">
        <v>2132</v>
      </c>
    </row>
    <row r="742" spans="1:13" x14ac:dyDescent="0.35">
      <c r="A742" t="s">
        <v>13</v>
      </c>
      <c r="B742">
        <v>781564</v>
      </c>
      <c r="C742">
        <v>781878</v>
      </c>
      <c r="E742" t="s">
        <v>14</v>
      </c>
      <c r="F742" t="s">
        <v>2133</v>
      </c>
      <c r="H742">
        <v>1018740</v>
      </c>
      <c r="I742" t="s">
        <v>17</v>
      </c>
      <c r="K742" t="s">
        <v>2134</v>
      </c>
      <c r="L742">
        <v>104</v>
      </c>
      <c r="M742" t="s">
        <v>2135</v>
      </c>
    </row>
    <row r="743" spans="1:13" x14ac:dyDescent="0.35">
      <c r="A743" t="s">
        <v>13</v>
      </c>
      <c r="B743">
        <v>782159</v>
      </c>
      <c r="C743">
        <v>782617</v>
      </c>
      <c r="E743" t="s">
        <v>38</v>
      </c>
      <c r="F743" t="s">
        <v>2136</v>
      </c>
      <c r="H743">
        <v>1018741</v>
      </c>
      <c r="I743" t="s">
        <v>17</v>
      </c>
      <c r="K743" t="s">
        <v>2137</v>
      </c>
      <c r="L743">
        <v>152</v>
      </c>
      <c r="M743" t="s">
        <v>2138</v>
      </c>
    </row>
    <row r="744" spans="1:13" x14ac:dyDescent="0.35">
      <c r="A744" t="s">
        <v>13</v>
      </c>
      <c r="B744">
        <v>782712</v>
      </c>
      <c r="C744">
        <v>783104</v>
      </c>
      <c r="E744" t="s">
        <v>14</v>
      </c>
      <c r="F744" t="s">
        <v>2139</v>
      </c>
      <c r="H744">
        <v>1018742</v>
      </c>
      <c r="I744" t="s">
        <v>17</v>
      </c>
      <c r="K744" t="s">
        <v>2140</v>
      </c>
      <c r="L744">
        <v>130</v>
      </c>
      <c r="M744" t="s">
        <v>2141</v>
      </c>
    </row>
    <row r="745" spans="1:13" x14ac:dyDescent="0.35">
      <c r="A745" t="s">
        <v>13</v>
      </c>
      <c r="B745">
        <v>783184</v>
      </c>
      <c r="C745">
        <v>784560</v>
      </c>
      <c r="E745" t="s">
        <v>14</v>
      </c>
      <c r="F745" t="s">
        <v>2142</v>
      </c>
      <c r="H745">
        <v>1018743</v>
      </c>
      <c r="I745" t="s">
        <v>17</v>
      </c>
      <c r="K745" t="s">
        <v>2143</v>
      </c>
      <c r="L745">
        <v>458</v>
      </c>
      <c r="M745" t="s">
        <v>2144</v>
      </c>
    </row>
    <row r="746" spans="1:13" x14ac:dyDescent="0.35">
      <c r="A746" t="s">
        <v>13</v>
      </c>
      <c r="B746">
        <v>784635</v>
      </c>
      <c r="C746">
        <v>785642</v>
      </c>
      <c r="E746" t="s">
        <v>14</v>
      </c>
      <c r="F746" t="s">
        <v>49</v>
      </c>
      <c r="H746">
        <v>1018744</v>
      </c>
      <c r="I746" t="s">
        <v>17</v>
      </c>
      <c r="K746" t="s">
        <v>2145</v>
      </c>
      <c r="L746">
        <v>335</v>
      </c>
      <c r="M746" t="s">
        <v>2146</v>
      </c>
    </row>
    <row r="747" spans="1:13" x14ac:dyDescent="0.35">
      <c r="A747" t="s">
        <v>13</v>
      </c>
      <c r="B747">
        <v>785643</v>
      </c>
      <c r="C747">
        <v>786827</v>
      </c>
      <c r="E747" t="s">
        <v>14</v>
      </c>
      <c r="F747" t="s">
        <v>2147</v>
      </c>
      <c r="G747" t="s">
        <v>2148</v>
      </c>
      <c r="H747">
        <v>1018745</v>
      </c>
      <c r="I747" t="s">
        <v>17</v>
      </c>
      <c r="K747" t="s">
        <v>2149</v>
      </c>
      <c r="L747">
        <v>394</v>
      </c>
      <c r="M747" t="s">
        <v>2150</v>
      </c>
    </row>
    <row r="748" spans="1:13" x14ac:dyDescent="0.35">
      <c r="A748" t="s">
        <v>13</v>
      </c>
      <c r="B748">
        <v>787167</v>
      </c>
      <c r="C748">
        <v>787952</v>
      </c>
      <c r="E748" t="s">
        <v>38</v>
      </c>
      <c r="F748" t="s">
        <v>49</v>
      </c>
      <c r="H748">
        <v>1018746</v>
      </c>
      <c r="I748" t="s">
        <v>17</v>
      </c>
      <c r="K748" t="s">
        <v>2151</v>
      </c>
      <c r="L748">
        <v>261</v>
      </c>
      <c r="M748" t="s">
        <v>2152</v>
      </c>
    </row>
    <row r="749" spans="1:13" x14ac:dyDescent="0.35">
      <c r="A749" t="s">
        <v>13</v>
      </c>
      <c r="B749">
        <v>788196</v>
      </c>
      <c r="C749">
        <v>788549</v>
      </c>
      <c r="E749" t="s">
        <v>14</v>
      </c>
      <c r="F749" t="s">
        <v>49</v>
      </c>
      <c r="H749">
        <v>1018747</v>
      </c>
      <c r="I749" t="s">
        <v>17</v>
      </c>
      <c r="K749" t="s">
        <v>2153</v>
      </c>
      <c r="L749">
        <v>117</v>
      </c>
      <c r="M749" t="s">
        <v>2154</v>
      </c>
    </row>
    <row r="750" spans="1:13" x14ac:dyDescent="0.35">
      <c r="A750" t="s">
        <v>13</v>
      </c>
      <c r="B750">
        <v>788660</v>
      </c>
      <c r="C750">
        <v>790096</v>
      </c>
      <c r="E750" t="s">
        <v>14</v>
      </c>
      <c r="F750" t="s">
        <v>2155</v>
      </c>
      <c r="G750" t="s">
        <v>2156</v>
      </c>
      <c r="H750">
        <v>1018748</v>
      </c>
      <c r="I750" t="s">
        <v>17</v>
      </c>
      <c r="K750" t="s">
        <v>2157</v>
      </c>
      <c r="L750">
        <v>478</v>
      </c>
      <c r="M750" t="s">
        <v>2158</v>
      </c>
    </row>
    <row r="751" spans="1:13" x14ac:dyDescent="0.35">
      <c r="A751" t="s">
        <v>13</v>
      </c>
      <c r="B751">
        <v>790096</v>
      </c>
      <c r="C751">
        <v>790707</v>
      </c>
      <c r="E751" t="s">
        <v>14</v>
      </c>
      <c r="F751" t="s">
        <v>2159</v>
      </c>
      <c r="H751">
        <v>1018749</v>
      </c>
      <c r="I751" t="s">
        <v>17</v>
      </c>
      <c r="K751" t="s">
        <v>2160</v>
      </c>
      <c r="L751">
        <v>203</v>
      </c>
      <c r="M751" t="s">
        <v>2161</v>
      </c>
    </row>
    <row r="752" spans="1:13" x14ac:dyDescent="0.35">
      <c r="A752" t="s">
        <v>13</v>
      </c>
      <c r="B752">
        <v>790732</v>
      </c>
      <c r="C752">
        <v>791412</v>
      </c>
      <c r="E752" t="s">
        <v>14</v>
      </c>
      <c r="F752" t="s">
        <v>2162</v>
      </c>
      <c r="G752" t="s">
        <v>2163</v>
      </c>
      <c r="H752">
        <v>1018750</v>
      </c>
      <c r="I752" t="s">
        <v>17</v>
      </c>
      <c r="K752" t="s">
        <v>2164</v>
      </c>
      <c r="L752">
        <v>226</v>
      </c>
      <c r="M752" t="s">
        <v>2165</v>
      </c>
    </row>
    <row r="753" spans="1:13" x14ac:dyDescent="0.35">
      <c r="A753" t="s">
        <v>13</v>
      </c>
      <c r="B753">
        <v>791476</v>
      </c>
      <c r="C753">
        <v>793011</v>
      </c>
      <c r="E753" t="s">
        <v>14</v>
      </c>
      <c r="F753" t="s">
        <v>2166</v>
      </c>
      <c r="G753" t="s">
        <v>2167</v>
      </c>
      <c r="H753">
        <v>1018751</v>
      </c>
      <c r="I753" t="s">
        <v>17</v>
      </c>
      <c r="K753" t="s">
        <v>2168</v>
      </c>
      <c r="L753">
        <v>511</v>
      </c>
      <c r="M753" t="s">
        <v>2169</v>
      </c>
    </row>
    <row r="754" spans="1:13" x14ac:dyDescent="0.35">
      <c r="A754" t="s">
        <v>13</v>
      </c>
      <c r="B754">
        <v>793008</v>
      </c>
      <c r="C754">
        <v>794714</v>
      </c>
      <c r="E754" t="s">
        <v>14</v>
      </c>
      <c r="F754" t="s">
        <v>2170</v>
      </c>
      <c r="G754" t="s">
        <v>2171</v>
      </c>
      <c r="H754">
        <v>1018752</v>
      </c>
      <c r="I754" t="s">
        <v>17</v>
      </c>
      <c r="K754" t="s">
        <v>2172</v>
      </c>
      <c r="L754">
        <v>568</v>
      </c>
      <c r="M754" t="s">
        <v>2173</v>
      </c>
    </row>
    <row r="755" spans="1:13" x14ac:dyDescent="0.35">
      <c r="A755" t="s">
        <v>13</v>
      </c>
      <c r="B755">
        <v>794810</v>
      </c>
      <c r="C755">
        <v>795304</v>
      </c>
      <c r="E755" t="s">
        <v>14</v>
      </c>
      <c r="F755" t="s">
        <v>2174</v>
      </c>
      <c r="H755">
        <v>1018753</v>
      </c>
      <c r="I755" t="s">
        <v>17</v>
      </c>
      <c r="K755" t="s">
        <v>2175</v>
      </c>
      <c r="L755">
        <v>164</v>
      </c>
      <c r="M755" t="s">
        <v>2176</v>
      </c>
    </row>
    <row r="756" spans="1:13" x14ac:dyDescent="0.35">
      <c r="A756" t="s">
        <v>13</v>
      </c>
      <c r="B756">
        <v>795448</v>
      </c>
      <c r="C756">
        <v>796113</v>
      </c>
      <c r="E756" t="s">
        <v>14</v>
      </c>
      <c r="F756" t="s">
        <v>2177</v>
      </c>
      <c r="G756" t="s">
        <v>2178</v>
      </c>
      <c r="H756">
        <v>1018754</v>
      </c>
      <c r="I756" t="s">
        <v>17</v>
      </c>
      <c r="K756" t="s">
        <v>2179</v>
      </c>
      <c r="L756">
        <v>221</v>
      </c>
      <c r="M756" t="s">
        <v>2180</v>
      </c>
    </row>
    <row r="757" spans="1:13" x14ac:dyDescent="0.35">
      <c r="A757" t="s">
        <v>13</v>
      </c>
      <c r="B757">
        <v>796250</v>
      </c>
      <c r="C757">
        <v>798787</v>
      </c>
      <c r="E757" t="s">
        <v>14</v>
      </c>
      <c r="F757" t="s">
        <v>2181</v>
      </c>
      <c r="G757" t="s">
        <v>2182</v>
      </c>
      <c r="H757">
        <v>1018755</v>
      </c>
      <c r="I757" t="s">
        <v>17</v>
      </c>
      <c r="K757" t="s">
        <v>2183</v>
      </c>
      <c r="L757">
        <v>845</v>
      </c>
      <c r="M757" t="s">
        <v>2184</v>
      </c>
    </row>
    <row r="758" spans="1:13" x14ac:dyDescent="0.35">
      <c r="A758" t="s">
        <v>13</v>
      </c>
      <c r="B758">
        <v>798784</v>
      </c>
      <c r="C758">
        <v>799167</v>
      </c>
      <c r="E758" t="s">
        <v>38</v>
      </c>
      <c r="F758" t="s">
        <v>2185</v>
      </c>
      <c r="H758">
        <v>18194957</v>
      </c>
      <c r="I758" t="s">
        <v>17</v>
      </c>
      <c r="K758" t="s">
        <v>2186</v>
      </c>
      <c r="L758">
        <v>127</v>
      </c>
      <c r="M758" t="s">
        <v>2187</v>
      </c>
    </row>
    <row r="759" spans="1:13" x14ac:dyDescent="0.35">
      <c r="A759" t="s">
        <v>13</v>
      </c>
      <c r="B759">
        <v>799284</v>
      </c>
      <c r="C759">
        <v>799694</v>
      </c>
      <c r="E759" t="s">
        <v>14</v>
      </c>
      <c r="F759" t="s">
        <v>2188</v>
      </c>
      <c r="H759">
        <v>1018756</v>
      </c>
      <c r="I759" t="s">
        <v>17</v>
      </c>
      <c r="K759" t="s">
        <v>2189</v>
      </c>
      <c r="L759">
        <v>136</v>
      </c>
      <c r="M759" t="s">
        <v>2190</v>
      </c>
    </row>
    <row r="760" spans="1:13" x14ac:dyDescent="0.35">
      <c r="A760" t="s">
        <v>13</v>
      </c>
      <c r="B760">
        <v>799697</v>
      </c>
      <c r="C760">
        <v>800203</v>
      </c>
      <c r="E760" t="s">
        <v>14</v>
      </c>
      <c r="F760" t="s">
        <v>2191</v>
      </c>
      <c r="H760">
        <v>1018757</v>
      </c>
      <c r="I760" t="s">
        <v>17</v>
      </c>
      <c r="K760" t="s">
        <v>2192</v>
      </c>
      <c r="L760">
        <v>168</v>
      </c>
      <c r="M760" t="s">
        <v>2193</v>
      </c>
    </row>
    <row r="761" spans="1:13" x14ac:dyDescent="0.35">
      <c r="A761" t="s">
        <v>13</v>
      </c>
      <c r="B761">
        <v>800205</v>
      </c>
      <c r="C761">
        <v>801212</v>
      </c>
      <c r="E761" t="s">
        <v>38</v>
      </c>
      <c r="F761" t="s">
        <v>2194</v>
      </c>
      <c r="G761" t="s">
        <v>2195</v>
      </c>
      <c r="H761">
        <v>1018758</v>
      </c>
      <c r="I761" t="s">
        <v>17</v>
      </c>
      <c r="K761" t="s">
        <v>2196</v>
      </c>
      <c r="L761">
        <v>335</v>
      </c>
      <c r="M761" t="s">
        <v>2197</v>
      </c>
    </row>
    <row r="762" spans="1:13" x14ac:dyDescent="0.35">
      <c r="A762" t="s">
        <v>13</v>
      </c>
      <c r="B762">
        <v>801187</v>
      </c>
      <c r="C762">
        <v>802479</v>
      </c>
      <c r="E762" t="s">
        <v>38</v>
      </c>
      <c r="F762" t="s">
        <v>2198</v>
      </c>
      <c r="G762" t="s">
        <v>2199</v>
      </c>
      <c r="H762">
        <v>1018759</v>
      </c>
      <c r="I762" t="s">
        <v>17</v>
      </c>
      <c r="K762" t="s">
        <v>2200</v>
      </c>
      <c r="L762">
        <v>430</v>
      </c>
      <c r="M762" t="s">
        <v>2201</v>
      </c>
    </row>
    <row r="763" spans="1:13" x14ac:dyDescent="0.35">
      <c r="A763" t="s">
        <v>13</v>
      </c>
      <c r="B763">
        <v>802490</v>
      </c>
      <c r="C763">
        <v>803131</v>
      </c>
      <c r="E763" t="s">
        <v>14</v>
      </c>
      <c r="F763" t="s">
        <v>2202</v>
      </c>
      <c r="H763">
        <v>1018760</v>
      </c>
      <c r="I763" t="s">
        <v>17</v>
      </c>
      <c r="K763" t="s">
        <v>2203</v>
      </c>
      <c r="L763">
        <v>213</v>
      </c>
      <c r="M763" t="s">
        <v>2204</v>
      </c>
    </row>
    <row r="764" spans="1:13" x14ac:dyDescent="0.35">
      <c r="A764" t="s">
        <v>13</v>
      </c>
      <c r="B764">
        <v>803128</v>
      </c>
      <c r="C764">
        <v>804240</v>
      </c>
      <c r="E764" t="s">
        <v>38</v>
      </c>
      <c r="F764" t="s">
        <v>2205</v>
      </c>
      <c r="H764">
        <v>1018761</v>
      </c>
      <c r="I764" t="s">
        <v>17</v>
      </c>
      <c r="K764" t="s">
        <v>2206</v>
      </c>
      <c r="L764">
        <v>370</v>
      </c>
      <c r="M764" t="s">
        <v>2207</v>
      </c>
    </row>
    <row r="765" spans="1:13" x14ac:dyDescent="0.35">
      <c r="A765" t="s">
        <v>13</v>
      </c>
      <c r="B765">
        <v>804408</v>
      </c>
      <c r="C765">
        <v>805028</v>
      </c>
      <c r="E765" t="s">
        <v>14</v>
      </c>
      <c r="F765" t="s">
        <v>1762</v>
      </c>
      <c r="H765">
        <v>1018762</v>
      </c>
      <c r="I765" t="s">
        <v>17</v>
      </c>
      <c r="K765" t="s">
        <v>2208</v>
      </c>
      <c r="L765">
        <v>206</v>
      </c>
      <c r="M765" t="s">
        <v>2209</v>
      </c>
    </row>
    <row r="766" spans="1:13" x14ac:dyDescent="0.35">
      <c r="A766" t="s">
        <v>13</v>
      </c>
      <c r="B766">
        <v>805031</v>
      </c>
      <c r="C766">
        <v>805300</v>
      </c>
      <c r="E766" t="s">
        <v>14</v>
      </c>
      <c r="F766" t="s">
        <v>2210</v>
      </c>
      <c r="G766" t="s">
        <v>2211</v>
      </c>
      <c r="H766">
        <v>18194958</v>
      </c>
      <c r="I766" t="s">
        <v>17</v>
      </c>
      <c r="K766" t="s">
        <v>2212</v>
      </c>
      <c r="L766">
        <v>89</v>
      </c>
      <c r="M766" t="s">
        <v>2213</v>
      </c>
    </row>
    <row r="767" spans="1:13" x14ac:dyDescent="0.35">
      <c r="A767" t="s">
        <v>13</v>
      </c>
      <c r="B767">
        <v>805346</v>
      </c>
      <c r="C767">
        <v>805420</v>
      </c>
      <c r="E767" t="s">
        <v>38</v>
      </c>
      <c r="F767" t="s">
        <v>2214</v>
      </c>
      <c r="H767">
        <v>97006779</v>
      </c>
      <c r="I767" t="s">
        <v>17</v>
      </c>
      <c r="K767" t="s">
        <v>2215</v>
      </c>
      <c r="L767">
        <v>24</v>
      </c>
      <c r="M767" t="s">
        <v>2216</v>
      </c>
    </row>
    <row r="768" spans="1:13" x14ac:dyDescent="0.35">
      <c r="A768" t="s">
        <v>13</v>
      </c>
      <c r="B768">
        <v>805532</v>
      </c>
      <c r="C768">
        <v>805792</v>
      </c>
      <c r="E768" t="s">
        <v>38</v>
      </c>
      <c r="F768" t="s">
        <v>2217</v>
      </c>
      <c r="G768" t="s">
        <v>2218</v>
      </c>
      <c r="H768">
        <v>1018763</v>
      </c>
      <c r="I768" t="s">
        <v>17</v>
      </c>
      <c r="K768" t="s">
        <v>2219</v>
      </c>
      <c r="L768">
        <v>86</v>
      </c>
      <c r="M768" t="s">
        <v>2220</v>
      </c>
    </row>
    <row r="769" spans="1:13" x14ac:dyDescent="0.35">
      <c r="A769" t="s">
        <v>13</v>
      </c>
      <c r="B769">
        <v>806318</v>
      </c>
      <c r="C769">
        <v>806740</v>
      </c>
      <c r="E769" t="s">
        <v>14</v>
      </c>
      <c r="F769" t="s">
        <v>49</v>
      </c>
      <c r="H769">
        <v>1018764</v>
      </c>
      <c r="I769" t="s">
        <v>17</v>
      </c>
      <c r="K769" t="s">
        <v>2221</v>
      </c>
      <c r="L769">
        <v>140</v>
      </c>
      <c r="M769" t="s">
        <v>2222</v>
      </c>
    </row>
    <row r="770" spans="1:13" x14ac:dyDescent="0.35">
      <c r="A770" t="s">
        <v>13</v>
      </c>
      <c r="B770">
        <v>806737</v>
      </c>
      <c r="C770">
        <v>807939</v>
      </c>
      <c r="E770" t="s">
        <v>38</v>
      </c>
      <c r="F770" t="s">
        <v>2223</v>
      </c>
      <c r="H770">
        <v>1018765</v>
      </c>
      <c r="I770" t="s">
        <v>17</v>
      </c>
      <c r="K770" t="s">
        <v>2224</v>
      </c>
      <c r="L770">
        <v>400</v>
      </c>
      <c r="M770" t="s">
        <v>2225</v>
      </c>
    </row>
    <row r="771" spans="1:13" x14ac:dyDescent="0.35">
      <c r="A771" t="s">
        <v>13</v>
      </c>
      <c r="B771">
        <v>807943</v>
      </c>
      <c r="C771">
        <v>809217</v>
      </c>
      <c r="E771" t="s">
        <v>38</v>
      </c>
      <c r="F771" t="s">
        <v>930</v>
      </c>
      <c r="H771">
        <v>1018766</v>
      </c>
      <c r="I771" t="s">
        <v>17</v>
      </c>
      <c r="K771" t="s">
        <v>2226</v>
      </c>
      <c r="L771">
        <v>424</v>
      </c>
      <c r="M771" t="s">
        <v>2227</v>
      </c>
    </row>
    <row r="772" spans="1:13" x14ac:dyDescent="0.35">
      <c r="A772" t="s">
        <v>13</v>
      </c>
      <c r="B772">
        <v>809286</v>
      </c>
      <c r="C772">
        <v>809513</v>
      </c>
      <c r="E772" t="s">
        <v>14</v>
      </c>
      <c r="F772" t="s">
        <v>2228</v>
      </c>
      <c r="H772">
        <v>1018767</v>
      </c>
      <c r="I772" t="s">
        <v>17</v>
      </c>
      <c r="K772" t="s">
        <v>2229</v>
      </c>
      <c r="L772">
        <v>75</v>
      </c>
      <c r="M772" t="s">
        <v>2230</v>
      </c>
    </row>
    <row r="773" spans="1:13" x14ac:dyDescent="0.35">
      <c r="A773" t="s">
        <v>13</v>
      </c>
      <c r="B773">
        <v>809528</v>
      </c>
      <c r="C773">
        <v>810397</v>
      </c>
      <c r="E773" t="s">
        <v>14</v>
      </c>
      <c r="F773" t="s">
        <v>2231</v>
      </c>
      <c r="H773">
        <v>1018768</v>
      </c>
      <c r="I773" t="s">
        <v>17</v>
      </c>
      <c r="K773" t="s">
        <v>2232</v>
      </c>
      <c r="L773">
        <v>289</v>
      </c>
      <c r="M773" t="s">
        <v>2233</v>
      </c>
    </row>
    <row r="774" spans="1:13" x14ac:dyDescent="0.35">
      <c r="A774" t="s">
        <v>13</v>
      </c>
      <c r="B774">
        <v>810405</v>
      </c>
      <c r="C774">
        <v>811166</v>
      </c>
      <c r="E774" t="s">
        <v>14</v>
      </c>
      <c r="F774" t="s">
        <v>2234</v>
      </c>
      <c r="H774">
        <v>1018769</v>
      </c>
      <c r="I774" t="s">
        <v>17</v>
      </c>
      <c r="K774" t="s">
        <v>2235</v>
      </c>
      <c r="L774">
        <v>253</v>
      </c>
      <c r="M774" t="s">
        <v>2236</v>
      </c>
    </row>
    <row r="775" spans="1:13" x14ac:dyDescent="0.35">
      <c r="A775" t="s">
        <v>13</v>
      </c>
      <c r="B775">
        <v>811170</v>
      </c>
      <c r="C775">
        <v>814220</v>
      </c>
      <c r="E775" t="s">
        <v>14</v>
      </c>
      <c r="F775" t="s">
        <v>2237</v>
      </c>
      <c r="H775">
        <v>1018770</v>
      </c>
      <c r="I775" t="s">
        <v>17</v>
      </c>
      <c r="K775" t="s">
        <v>2238</v>
      </c>
      <c r="L775">
        <v>1016</v>
      </c>
      <c r="M775" t="s">
        <v>2239</v>
      </c>
    </row>
    <row r="776" spans="1:13" x14ac:dyDescent="0.35">
      <c r="A776" t="s">
        <v>13</v>
      </c>
      <c r="B776">
        <v>814213</v>
      </c>
      <c r="C776">
        <v>817425</v>
      </c>
      <c r="E776" t="s">
        <v>14</v>
      </c>
      <c r="F776" t="s">
        <v>2237</v>
      </c>
      <c r="H776">
        <v>1018771</v>
      </c>
      <c r="I776" t="s">
        <v>17</v>
      </c>
      <c r="K776" t="s">
        <v>2240</v>
      </c>
      <c r="L776">
        <v>1070</v>
      </c>
      <c r="M776" t="s">
        <v>2241</v>
      </c>
    </row>
    <row r="777" spans="1:13" x14ac:dyDescent="0.35">
      <c r="A777" t="s">
        <v>13</v>
      </c>
      <c r="B777">
        <v>817465</v>
      </c>
      <c r="C777">
        <v>818526</v>
      </c>
      <c r="E777" t="s">
        <v>14</v>
      </c>
      <c r="F777" t="s">
        <v>2242</v>
      </c>
      <c r="H777">
        <v>1018772</v>
      </c>
      <c r="I777" t="s">
        <v>17</v>
      </c>
      <c r="K777" t="s">
        <v>2243</v>
      </c>
      <c r="L777">
        <v>353</v>
      </c>
      <c r="M777" t="s">
        <v>2244</v>
      </c>
    </row>
    <row r="778" spans="1:13" x14ac:dyDescent="0.35">
      <c r="A778" t="s">
        <v>13</v>
      </c>
      <c r="B778">
        <v>818523</v>
      </c>
      <c r="C778">
        <v>819239</v>
      </c>
      <c r="E778" t="s">
        <v>14</v>
      </c>
      <c r="F778" t="s">
        <v>2245</v>
      </c>
      <c r="H778">
        <v>1018773</v>
      </c>
      <c r="I778" t="s">
        <v>17</v>
      </c>
      <c r="K778" t="s">
        <v>2246</v>
      </c>
      <c r="L778">
        <v>238</v>
      </c>
      <c r="M778" t="s">
        <v>2247</v>
      </c>
    </row>
    <row r="779" spans="1:13" x14ac:dyDescent="0.35">
      <c r="A779" t="s">
        <v>13</v>
      </c>
      <c r="B779">
        <v>819254</v>
      </c>
      <c r="C779">
        <v>821290</v>
      </c>
      <c r="E779" t="s">
        <v>14</v>
      </c>
      <c r="F779" t="s">
        <v>2248</v>
      </c>
      <c r="H779">
        <v>1018774</v>
      </c>
      <c r="I779" t="s">
        <v>17</v>
      </c>
      <c r="K779" t="s">
        <v>2249</v>
      </c>
      <c r="L779">
        <v>678</v>
      </c>
      <c r="M779" t="s">
        <v>2250</v>
      </c>
    </row>
    <row r="780" spans="1:13" x14ac:dyDescent="0.35">
      <c r="A780" t="s">
        <v>13</v>
      </c>
      <c r="B780">
        <v>821287</v>
      </c>
      <c r="C780">
        <v>822087</v>
      </c>
      <c r="E780" t="s">
        <v>38</v>
      </c>
      <c r="F780" t="s">
        <v>49</v>
      </c>
      <c r="H780">
        <v>1018775</v>
      </c>
      <c r="I780" t="s">
        <v>17</v>
      </c>
      <c r="K780" t="s">
        <v>2251</v>
      </c>
      <c r="L780">
        <v>266</v>
      </c>
      <c r="M780" t="s">
        <v>2252</v>
      </c>
    </row>
    <row r="781" spans="1:13" x14ac:dyDescent="0.35">
      <c r="A781" t="s">
        <v>13</v>
      </c>
      <c r="B781">
        <v>822184</v>
      </c>
      <c r="C781">
        <v>822672</v>
      </c>
      <c r="E781" t="s">
        <v>14</v>
      </c>
      <c r="F781" t="s">
        <v>2253</v>
      </c>
      <c r="H781">
        <v>1018776</v>
      </c>
      <c r="I781" t="s">
        <v>17</v>
      </c>
      <c r="K781" t="s">
        <v>2254</v>
      </c>
      <c r="L781">
        <v>162</v>
      </c>
      <c r="M781" t="s">
        <v>2255</v>
      </c>
    </row>
    <row r="782" spans="1:13" x14ac:dyDescent="0.35">
      <c r="A782" t="s">
        <v>13</v>
      </c>
      <c r="B782">
        <v>822677</v>
      </c>
      <c r="C782">
        <v>824104</v>
      </c>
      <c r="E782" t="s">
        <v>38</v>
      </c>
      <c r="F782" t="s">
        <v>2256</v>
      </c>
      <c r="H782">
        <v>1018777</v>
      </c>
      <c r="I782" t="s">
        <v>17</v>
      </c>
      <c r="K782" t="s">
        <v>2257</v>
      </c>
      <c r="L782">
        <v>475</v>
      </c>
      <c r="M782" t="s">
        <v>2258</v>
      </c>
    </row>
    <row r="783" spans="1:13" x14ac:dyDescent="0.35">
      <c r="A783" t="s">
        <v>13</v>
      </c>
      <c r="B783">
        <v>824190</v>
      </c>
      <c r="C783">
        <v>825242</v>
      </c>
      <c r="E783" t="s">
        <v>14</v>
      </c>
      <c r="F783" t="s">
        <v>2259</v>
      </c>
      <c r="H783">
        <v>1018778</v>
      </c>
      <c r="I783" t="s">
        <v>17</v>
      </c>
      <c r="K783" t="s">
        <v>2260</v>
      </c>
      <c r="L783">
        <v>350</v>
      </c>
      <c r="M783" t="s">
        <v>2261</v>
      </c>
    </row>
    <row r="784" spans="1:13" x14ac:dyDescent="0.35">
      <c r="A784" t="s">
        <v>13</v>
      </c>
      <c r="B784">
        <v>825239</v>
      </c>
      <c r="C784">
        <v>825916</v>
      </c>
      <c r="E784" t="s">
        <v>38</v>
      </c>
      <c r="F784" t="s">
        <v>49</v>
      </c>
      <c r="H784">
        <v>92792289</v>
      </c>
      <c r="I784" t="s">
        <v>17</v>
      </c>
      <c r="K784" t="s">
        <v>2262</v>
      </c>
      <c r="L784">
        <v>225</v>
      </c>
      <c r="M784" t="s">
        <v>2263</v>
      </c>
    </row>
    <row r="785" spans="1:13" x14ac:dyDescent="0.35">
      <c r="A785" t="s">
        <v>13</v>
      </c>
      <c r="B785">
        <v>825993</v>
      </c>
      <c r="C785">
        <v>826517</v>
      </c>
      <c r="E785" t="s">
        <v>38</v>
      </c>
      <c r="F785" t="s">
        <v>2264</v>
      </c>
      <c r="H785">
        <v>1018780</v>
      </c>
      <c r="I785" t="s">
        <v>17</v>
      </c>
      <c r="K785" t="s">
        <v>2265</v>
      </c>
      <c r="L785">
        <v>174</v>
      </c>
      <c r="M785" t="s">
        <v>2266</v>
      </c>
    </row>
    <row r="786" spans="1:13" x14ac:dyDescent="0.35">
      <c r="A786" t="s">
        <v>13</v>
      </c>
      <c r="B786">
        <v>826616</v>
      </c>
      <c r="C786">
        <v>829573</v>
      </c>
      <c r="E786" t="s">
        <v>14</v>
      </c>
      <c r="F786" t="s">
        <v>2267</v>
      </c>
      <c r="H786">
        <v>1018781</v>
      </c>
      <c r="I786" t="s">
        <v>17</v>
      </c>
      <c r="K786" t="s">
        <v>2268</v>
      </c>
      <c r="L786">
        <v>985</v>
      </c>
      <c r="M786" t="s">
        <v>2269</v>
      </c>
    </row>
    <row r="787" spans="1:13" x14ac:dyDescent="0.35">
      <c r="A787" t="s">
        <v>13</v>
      </c>
      <c r="B787">
        <v>829624</v>
      </c>
      <c r="C787">
        <v>830985</v>
      </c>
      <c r="E787" t="s">
        <v>38</v>
      </c>
      <c r="F787" t="s">
        <v>2270</v>
      </c>
      <c r="G787" t="s">
        <v>2271</v>
      </c>
      <c r="H787">
        <v>1018782</v>
      </c>
      <c r="I787" t="s">
        <v>17</v>
      </c>
      <c r="K787" t="s">
        <v>2272</v>
      </c>
      <c r="L787">
        <v>453</v>
      </c>
      <c r="M787" t="s">
        <v>2273</v>
      </c>
    </row>
    <row r="788" spans="1:13" x14ac:dyDescent="0.35">
      <c r="A788" t="s">
        <v>13</v>
      </c>
      <c r="B788">
        <v>831075</v>
      </c>
      <c r="C788">
        <v>831974</v>
      </c>
      <c r="E788" t="s">
        <v>14</v>
      </c>
      <c r="F788" t="s">
        <v>2274</v>
      </c>
      <c r="G788" t="s">
        <v>2275</v>
      </c>
      <c r="H788">
        <v>1018783</v>
      </c>
      <c r="I788" t="s">
        <v>17</v>
      </c>
      <c r="K788" t="s">
        <v>2276</v>
      </c>
      <c r="L788">
        <v>299</v>
      </c>
      <c r="M788" t="s">
        <v>2277</v>
      </c>
    </row>
    <row r="789" spans="1:13" x14ac:dyDescent="0.35">
      <c r="A789" t="s">
        <v>13</v>
      </c>
      <c r="B789">
        <v>831971</v>
      </c>
      <c r="C789">
        <v>832573</v>
      </c>
      <c r="E789" t="s">
        <v>14</v>
      </c>
      <c r="F789" t="s">
        <v>2278</v>
      </c>
      <c r="G789" t="s">
        <v>2279</v>
      </c>
      <c r="H789">
        <v>1018784</v>
      </c>
      <c r="I789" t="s">
        <v>17</v>
      </c>
      <c r="K789" t="s">
        <v>2280</v>
      </c>
      <c r="L789">
        <v>200</v>
      </c>
      <c r="M789" t="s">
        <v>2281</v>
      </c>
    </row>
    <row r="790" spans="1:13" x14ac:dyDescent="0.35">
      <c r="A790" t="s">
        <v>13</v>
      </c>
      <c r="B790">
        <v>832667</v>
      </c>
      <c r="C790">
        <v>832740</v>
      </c>
      <c r="E790" t="s">
        <v>14</v>
      </c>
      <c r="F790" t="s">
        <v>1382</v>
      </c>
      <c r="H790">
        <v>2745363</v>
      </c>
      <c r="I790" t="s">
        <v>62</v>
      </c>
      <c r="M790" t="s">
        <v>2282</v>
      </c>
    </row>
    <row r="791" spans="1:13" x14ac:dyDescent="0.35">
      <c r="A791" t="s">
        <v>13</v>
      </c>
      <c r="B791">
        <v>832792</v>
      </c>
      <c r="C791">
        <v>833157</v>
      </c>
      <c r="E791" t="s">
        <v>38</v>
      </c>
      <c r="F791" t="s">
        <v>2283</v>
      </c>
      <c r="H791">
        <v>1018785</v>
      </c>
      <c r="I791" t="s">
        <v>17</v>
      </c>
      <c r="K791" t="s">
        <v>2284</v>
      </c>
      <c r="L791">
        <v>121</v>
      </c>
      <c r="M791" t="s">
        <v>2285</v>
      </c>
    </row>
    <row r="792" spans="1:13" x14ac:dyDescent="0.35">
      <c r="A792" t="s">
        <v>13</v>
      </c>
      <c r="B792">
        <v>833572</v>
      </c>
      <c r="C792">
        <v>834636</v>
      </c>
      <c r="E792" t="s">
        <v>14</v>
      </c>
      <c r="F792" t="s">
        <v>2286</v>
      </c>
      <c r="H792">
        <v>1018786</v>
      </c>
      <c r="I792" t="s">
        <v>17</v>
      </c>
      <c r="K792" t="s">
        <v>2287</v>
      </c>
      <c r="L792">
        <v>354</v>
      </c>
      <c r="M792" t="s">
        <v>2288</v>
      </c>
    </row>
    <row r="793" spans="1:13" x14ac:dyDescent="0.35">
      <c r="A793" t="s">
        <v>13</v>
      </c>
      <c r="B793">
        <v>834927</v>
      </c>
      <c r="C793">
        <v>835391</v>
      </c>
      <c r="E793" t="s">
        <v>14</v>
      </c>
      <c r="F793" t="s">
        <v>49</v>
      </c>
      <c r="H793">
        <v>1018787</v>
      </c>
      <c r="I793" t="s">
        <v>17</v>
      </c>
      <c r="K793" t="s">
        <v>2289</v>
      </c>
      <c r="L793">
        <v>154</v>
      </c>
      <c r="M793" t="s">
        <v>2290</v>
      </c>
    </row>
    <row r="794" spans="1:13" x14ac:dyDescent="0.35">
      <c r="A794" t="s">
        <v>13</v>
      </c>
      <c r="B794">
        <v>835385</v>
      </c>
      <c r="C794">
        <v>835840</v>
      </c>
      <c r="E794" t="s">
        <v>14</v>
      </c>
      <c r="F794" t="s">
        <v>49</v>
      </c>
      <c r="H794">
        <v>1018788</v>
      </c>
      <c r="I794" t="s">
        <v>17</v>
      </c>
      <c r="K794" t="s">
        <v>2291</v>
      </c>
      <c r="L794">
        <v>151</v>
      </c>
      <c r="M794" t="s">
        <v>2292</v>
      </c>
    </row>
    <row r="795" spans="1:13" x14ac:dyDescent="0.35">
      <c r="A795" t="s">
        <v>13</v>
      </c>
      <c r="B795">
        <v>836090</v>
      </c>
      <c r="C795">
        <v>836251</v>
      </c>
      <c r="E795" t="s">
        <v>14</v>
      </c>
      <c r="F795" t="s">
        <v>49</v>
      </c>
      <c r="H795">
        <v>44144935</v>
      </c>
      <c r="I795" t="s">
        <v>17</v>
      </c>
      <c r="K795" t="s">
        <v>2293</v>
      </c>
      <c r="L795">
        <v>53</v>
      </c>
      <c r="M795" t="s">
        <v>2294</v>
      </c>
    </row>
    <row r="796" spans="1:13" x14ac:dyDescent="0.35">
      <c r="A796" t="s">
        <v>13</v>
      </c>
      <c r="B796">
        <v>837312</v>
      </c>
      <c r="C796">
        <v>838895</v>
      </c>
      <c r="E796" t="s">
        <v>14</v>
      </c>
      <c r="F796" t="s">
        <v>2295</v>
      </c>
      <c r="H796">
        <v>1018789</v>
      </c>
      <c r="I796" t="s">
        <v>17</v>
      </c>
      <c r="K796" t="s">
        <v>2296</v>
      </c>
      <c r="L796">
        <v>527</v>
      </c>
      <c r="M796" t="s">
        <v>2297</v>
      </c>
    </row>
    <row r="797" spans="1:13" x14ac:dyDescent="0.35">
      <c r="A797" t="s">
        <v>13</v>
      </c>
      <c r="B797">
        <v>838925</v>
      </c>
      <c r="C797">
        <v>839356</v>
      </c>
      <c r="E797" t="s">
        <v>14</v>
      </c>
      <c r="F797" t="s">
        <v>49</v>
      </c>
      <c r="H797">
        <v>1018790</v>
      </c>
      <c r="I797" t="s">
        <v>17</v>
      </c>
      <c r="K797" t="s">
        <v>2298</v>
      </c>
      <c r="L797">
        <v>143</v>
      </c>
      <c r="M797" t="s">
        <v>2299</v>
      </c>
    </row>
    <row r="798" spans="1:13" x14ac:dyDescent="0.35">
      <c r="A798" t="s">
        <v>13</v>
      </c>
      <c r="B798">
        <v>839630</v>
      </c>
      <c r="C798">
        <v>840142</v>
      </c>
      <c r="E798" t="s">
        <v>14</v>
      </c>
      <c r="F798" t="s">
        <v>49</v>
      </c>
      <c r="H798">
        <v>1018792</v>
      </c>
      <c r="I798" t="s">
        <v>17</v>
      </c>
      <c r="K798" t="s">
        <v>2300</v>
      </c>
      <c r="L798">
        <v>170</v>
      </c>
      <c r="M798" t="s">
        <v>2301</v>
      </c>
    </row>
    <row r="799" spans="1:13" x14ac:dyDescent="0.35">
      <c r="A799" t="s">
        <v>13</v>
      </c>
      <c r="B799">
        <v>840434</v>
      </c>
      <c r="C799">
        <v>840709</v>
      </c>
      <c r="E799" t="s">
        <v>38</v>
      </c>
      <c r="F799" t="s">
        <v>49</v>
      </c>
      <c r="H799">
        <v>92792274</v>
      </c>
      <c r="I799" t="s">
        <v>17</v>
      </c>
      <c r="K799" t="s">
        <v>2302</v>
      </c>
      <c r="L799">
        <v>91</v>
      </c>
      <c r="M799" t="s">
        <v>2303</v>
      </c>
    </row>
    <row r="800" spans="1:13" x14ac:dyDescent="0.35">
      <c r="A800" t="s">
        <v>13</v>
      </c>
      <c r="B800">
        <v>841514</v>
      </c>
      <c r="C800">
        <v>842296</v>
      </c>
      <c r="E800" t="s">
        <v>38</v>
      </c>
      <c r="F800" t="s">
        <v>2304</v>
      </c>
      <c r="G800" t="s">
        <v>2305</v>
      </c>
      <c r="H800">
        <v>1018794</v>
      </c>
      <c r="I800" t="s">
        <v>17</v>
      </c>
      <c r="K800" t="s">
        <v>2306</v>
      </c>
      <c r="L800">
        <v>260</v>
      </c>
      <c r="M800" t="s">
        <v>2307</v>
      </c>
    </row>
    <row r="801" spans="1:13" x14ac:dyDescent="0.35">
      <c r="A801" t="s">
        <v>13</v>
      </c>
      <c r="B801">
        <v>842303</v>
      </c>
      <c r="C801">
        <v>843178</v>
      </c>
      <c r="E801" t="s">
        <v>38</v>
      </c>
      <c r="F801" t="s">
        <v>2308</v>
      </c>
      <c r="H801">
        <v>1018795</v>
      </c>
      <c r="I801" t="s">
        <v>17</v>
      </c>
      <c r="K801" t="s">
        <v>2309</v>
      </c>
      <c r="L801">
        <v>291</v>
      </c>
      <c r="M801" t="s">
        <v>2310</v>
      </c>
    </row>
    <row r="802" spans="1:13" x14ac:dyDescent="0.35">
      <c r="A802" t="s">
        <v>13</v>
      </c>
      <c r="B802">
        <v>843257</v>
      </c>
      <c r="C802">
        <v>844363</v>
      </c>
      <c r="E802" t="s">
        <v>14</v>
      </c>
      <c r="F802" t="s">
        <v>2311</v>
      </c>
      <c r="G802" t="s">
        <v>2312</v>
      </c>
      <c r="H802">
        <v>1018796</v>
      </c>
      <c r="I802" t="s">
        <v>17</v>
      </c>
      <c r="K802" t="s">
        <v>2313</v>
      </c>
      <c r="L802">
        <v>368</v>
      </c>
      <c r="M802" t="s">
        <v>2314</v>
      </c>
    </row>
    <row r="803" spans="1:13" x14ac:dyDescent="0.35">
      <c r="A803" t="s">
        <v>13</v>
      </c>
      <c r="B803">
        <v>844495</v>
      </c>
      <c r="C803">
        <v>845184</v>
      </c>
      <c r="E803" t="s">
        <v>14</v>
      </c>
      <c r="F803" t="s">
        <v>2315</v>
      </c>
      <c r="G803" t="s">
        <v>2316</v>
      </c>
      <c r="H803">
        <v>1018797</v>
      </c>
      <c r="I803" t="s">
        <v>17</v>
      </c>
      <c r="K803" t="s">
        <v>2317</v>
      </c>
      <c r="L803">
        <v>229</v>
      </c>
      <c r="M803" t="s">
        <v>2318</v>
      </c>
    </row>
    <row r="804" spans="1:13" x14ac:dyDescent="0.35">
      <c r="A804" t="s">
        <v>13</v>
      </c>
      <c r="B804">
        <v>845198</v>
      </c>
      <c r="C804">
        <v>846100</v>
      </c>
      <c r="E804" t="s">
        <v>14</v>
      </c>
      <c r="F804" t="s">
        <v>2319</v>
      </c>
      <c r="G804" t="s">
        <v>2320</v>
      </c>
      <c r="H804">
        <v>1018798</v>
      </c>
      <c r="I804" t="s">
        <v>17</v>
      </c>
      <c r="K804" t="s">
        <v>2321</v>
      </c>
      <c r="L804">
        <v>300</v>
      </c>
      <c r="M804" t="s">
        <v>2322</v>
      </c>
    </row>
    <row r="805" spans="1:13" x14ac:dyDescent="0.35">
      <c r="A805" t="s">
        <v>13</v>
      </c>
      <c r="B805">
        <v>846137</v>
      </c>
      <c r="C805">
        <v>846631</v>
      </c>
      <c r="E805" t="s">
        <v>14</v>
      </c>
      <c r="F805" t="s">
        <v>2323</v>
      </c>
      <c r="G805" t="s">
        <v>2324</v>
      </c>
      <c r="H805">
        <v>1018799</v>
      </c>
      <c r="I805" t="s">
        <v>17</v>
      </c>
      <c r="K805" t="s">
        <v>2325</v>
      </c>
      <c r="L805">
        <v>164</v>
      </c>
      <c r="M805" t="s">
        <v>2326</v>
      </c>
    </row>
    <row r="806" spans="1:13" x14ac:dyDescent="0.35">
      <c r="A806" t="s">
        <v>13</v>
      </c>
      <c r="B806">
        <v>846632</v>
      </c>
      <c r="C806">
        <v>846985</v>
      </c>
      <c r="E806" t="s">
        <v>14</v>
      </c>
      <c r="F806" t="s">
        <v>2327</v>
      </c>
      <c r="H806">
        <v>1018800</v>
      </c>
      <c r="I806" t="s">
        <v>17</v>
      </c>
      <c r="K806" t="s">
        <v>2328</v>
      </c>
      <c r="L806">
        <v>117</v>
      </c>
      <c r="M806" t="s">
        <v>2329</v>
      </c>
    </row>
    <row r="807" spans="1:13" x14ac:dyDescent="0.35">
      <c r="A807" t="s">
        <v>13</v>
      </c>
      <c r="B807">
        <v>847074</v>
      </c>
      <c r="C807">
        <v>847450</v>
      </c>
      <c r="E807" t="s">
        <v>14</v>
      </c>
      <c r="F807" t="s">
        <v>2330</v>
      </c>
      <c r="G807" t="s">
        <v>2331</v>
      </c>
      <c r="H807">
        <v>2745322</v>
      </c>
      <c r="I807" t="s">
        <v>739</v>
      </c>
      <c r="M807" t="s">
        <v>2332</v>
      </c>
    </row>
    <row r="808" spans="1:13" x14ac:dyDescent="0.35">
      <c r="A808" t="s">
        <v>13</v>
      </c>
      <c r="B808">
        <v>847727</v>
      </c>
      <c r="C808">
        <v>848026</v>
      </c>
      <c r="E808" t="s">
        <v>14</v>
      </c>
      <c r="F808" t="s">
        <v>141</v>
      </c>
      <c r="H808">
        <v>1018801</v>
      </c>
      <c r="I808" t="s">
        <v>142</v>
      </c>
      <c r="M808" t="s">
        <v>2333</v>
      </c>
    </row>
    <row r="809" spans="1:13" x14ac:dyDescent="0.35">
      <c r="A809" t="s">
        <v>13</v>
      </c>
      <c r="B809">
        <v>848352</v>
      </c>
      <c r="C809">
        <v>848425</v>
      </c>
      <c r="E809" t="s">
        <v>14</v>
      </c>
      <c r="F809" t="s">
        <v>1382</v>
      </c>
      <c r="H809">
        <v>2745368</v>
      </c>
      <c r="I809" t="s">
        <v>62</v>
      </c>
      <c r="M809" t="s">
        <v>2334</v>
      </c>
    </row>
    <row r="810" spans="1:13" x14ac:dyDescent="0.35">
      <c r="A810" t="s">
        <v>13</v>
      </c>
      <c r="B810">
        <v>848496</v>
      </c>
      <c r="C810">
        <v>849323</v>
      </c>
      <c r="E810" t="s">
        <v>38</v>
      </c>
      <c r="F810" t="s">
        <v>150</v>
      </c>
      <c r="H810">
        <v>1018802</v>
      </c>
      <c r="I810" t="s">
        <v>17</v>
      </c>
      <c r="K810" t="s">
        <v>2335</v>
      </c>
      <c r="L810">
        <v>275</v>
      </c>
      <c r="M810" t="s">
        <v>2336</v>
      </c>
    </row>
    <row r="811" spans="1:13" x14ac:dyDescent="0.35">
      <c r="A811" t="s">
        <v>13</v>
      </c>
      <c r="B811">
        <v>849323</v>
      </c>
      <c r="C811">
        <v>850243</v>
      </c>
      <c r="E811" t="s">
        <v>38</v>
      </c>
      <c r="F811" t="s">
        <v>1885</v>
      </c>
      <c r="H811">
        <v>1018803</v>
      </c>
      <c r="I811" t="s">
        <v>17</v>
      </c>
      <c r="K811" t="s">
        <v>2337</v>
      </c>
      <c r="L811">
        <v>306</v>
      </c>
      <c r="M811" t="s">
        <v>2338</v>
      </c>
    </row>
    <row r="812" spans="1:13" x14ac:dyDescent="0.35">
      <c r="A812" t="s">
        <v>13</v>
      </c>
      <c r="B812">
        <v>850409</v>
      </c>
      <c r="C812">
        <v>850999</v>
      </c>
      <c r="E812" t="s">
        <v>38</v>
      </c>
      <c r="F812" t="s">
        <v>2339</v>
      </c>
      <c r="H812">
        <v>1018804</v>
      </c>
      <c r="I812" t="s">
        <v>17</v>
      </c>
      <c r="K812" t="s">
        <v>2340</v>
      </c>
      <c r="L812">
        <v>196</v>
      </c>
      <c r="M812" t="s">
        <v>2341</v>
      </c>
    </row>
    <row r="813" spans="1:13" x14ac:dyDescent="0.35">
      <c r="A813" t="s">
        <v>13</v>
      </c>
      <c r="B813">
        <v>851351</v>
      </c>
      <c r="C813">
        <v>852367</v>
      </c>
      <c r="E813" t="s">
        <v>14</v>
      </c>
      <c r="F813" t="s">
        <v>2342</v>
      </c>
      <c r="H813">
        <v>1018805</v>
      </c>
      <c r="I813" t="s">
        <v>17</v>
      </c>
      <c r="K813" t="s">
        <v>2343</v>
      </c>
      <c r="L813">
        <v>338</v>
      </c>
      <c r="M813" t="s">
        <v>2344</v>
      </c>
    </row>
    <row r="814" spans="1:13" x14ac:dyDescent="0.35">
      <c r="A814" t="s">
        <v>13</v>
      </c>
      <c r="B814">
        <v>852618</v>
      </c>
      <c r="C814">
        <v>853619</v>
      </c>
      <c r="E814" t="s">
        <v>14</v>
      </c>
      <c r="F814" t="s">
        <v>124</v>
      </c>
      <c r="H814">
        <v>1018806</v>
      </c>
      <c r="I814" t="s">
        <v>17</v>
      </c>
      <c r="K814" t="s">
        <v>2345</v>
      </c>
      <c r="L814">
        <v>333</v>
      </c>
      <c r="M814" t="s">
        <v>2346</v>
      </c>
    </row>
    <row r="815" spans="1:13" x14ac:dyDescent="0.35">
      <c r="A815" t="s">
        <v>13</v>
      </c>
      <c r="B815">
        <v>853612</v>
      </c>
      <c r="C815">
        <v>854727</v>
      </c>
      <c r="E815" t="s">
        <v>14</v>
      </c>
      <c r="F815" t="s">
        <v>1468</v>
      </c>
      <c r="H815">
        <v>1018807</v>
      </c>
      <c r="I815" t="s">
        <v>17</v>
      </c>
      <c r="K815" t="s">
        <v>2347</v>
      </c>
      <c r="L815">
        <v>371</v>
      </c>
      <c r="M815" t="s">
        <v>2348</v>
      </c>
    </row>
    <row r="816" spans="1:13" x14ac:dyDescent="0.35">
      <c r="A816" t="s">
        <v>13</v>
      </c>
      <c r="B816">
        <v>854724</v>
      </c>
      <c r="C816">
        <v>855479</v>
      </c>
      <c r="E816" t="s">
        <v>14</v>
      </c>
      <c r="F816" t="s">
        <v>2349</v>
      </c>
      <c r="H816">
        <v>1018808</v>
      </c>
      <c r="I816" t="s">
        <v>17</v>
      </c>
      <c r="K816" t="s">
        <v>2350</v>
      </c>
      <c r="L816">
        <v>251</v>
      </c>
      <c r="M816" t="s">
        <v>2351</v>
      </c>
    </row>
    <row r="817" spans="1:13" x14ac:dyDescent="0.35">
      <c r="A817" t="s">
        <v>13</v>
      </c>
      <c r="B817">
        <v>856117</v>
      </c>
      <c r="C817">
        <v>857641</v>
      </c>
      <c r="E817" t="s">
        <v>14</v>
      </c>
      <c r="F817" t="s">
        <v>257</v>
      </c>
      <c r="H817">
        <v>2745370</v>
      </c>
      <c r="I817" t="s">
        <v>258</v>
      </c>
      <c r="M817" t="s">
        <v>2352</v>
      </c>
    </row>
    <row r="818" spans="1:13" x14ac:dyDescent="0.35">
      <c r="A818" t="s">
        <v>13</v>
      </c>
      <c r="B818">
        <v>858033</v>
      </c>
      <c r="C818">
        <v>861112</v>
      </c>
      <c r="E818" t="s">
        <v>14</v>
      </c>
      <c r="F818" t="s">
        <v>260</v>
      </c>
      <c r="H818">
        <v>2745297</v>
      </c>
      <c r="I818" t="s">
        <v>258</v>
      </c>
      <c r="M818" t="s">
        <v>2353</v>
      </c>
    </row>
    <row r="819" spans="1:13" x14ac:dyDescent="0.35">
      <c r="A819" t="s">
        <v>13</v>
      </c>
      <c r="B819">
        <v>861226</v>
      </c>
      <c r="C819">
        <v>861342</v>
      </c>
      <c r="E819" t="s">
        <v>14</v>
      </c>
      <c r="F819" t="s">
        <v>262</v>
      </c>
      <c r="G819" t="s">
        <v>263</v>
      </c>
      <c r="H819">
        <v>2745337</v>
      </c>
      <c r="I819" t="s">
        <v>258</v>
      </c>
      <c r="M819" t="s">
        <v>2354</v>
      </c>
    </row>
    <row r="820" spans="1:13" x14ac:dyDescent="0.35">
      <c r="A820" t="s">
        <v>13</v>
      </c>
      <c r="B820">
        <v>861592</v>
      </c>
      <c r="C820">
        <v>862755</v>
      </c>
      <c r="E820" t="s">
        <v>14</v>
      </c>
      <c r="F820" t="s">
        <v>2355</v>
      </c>
      <c r="H820">
        <v>1018809</v>
      </c>
      <c r="I820" t="s">
        <v>17</v>
      </c>
      <c r="K820" t="s">
        <v>2356</v>
      </c>
      <c r="L820">
        <v>387</v>
      </c>
      <c r="M820" t="s">
        <v>2357</v>
      </c>
    </row>
    <row r="821" spans="1:13" x14ac:dyDescent="0.35">
      <c r="A821" t="s">
        <v>13</v>
      </c>
      <c r="B821">
        <v>862750</v>
      </c>
      <c r="C821">
        <v>863391</v>
      </c>
      <c r="E821" t="s">
        <v>38</v>
      </c>
      <c r="F821" t="s">
        <v>2358</v>
      </c>
      <c r="H821">
        <v>1018810</v>
      </c>
      <c r="I821" t="s">
        <v>17</v>
      </c>
      <c r="K821" t="s">
        <v>2359</v>
      </c>
      <c r="L821">
        <v>213</v>
      </c>
      <c r="M821" t="s">
        <v>2360</v>
      </c>
    </row>
    <row r="822" spans="1:13" x14ac:dyDescent="0.35">
      <c r="A822" t="s">
        <v>13</v>
      </c>
      <c r="B822">
        <v>863393</v>
      </c>
      <c r="C822">
        <v>865066</v>
      </c>
      <c r="E822" t="s">
        <v>38</v>
      </c>
      <c r="F822" t="s">
        <v>2361</v>
      </c>
      <c r="H822">
        <v>1018811</v>
      </c>
      <c r="I822" t="s">
        <v>17</v>
      </c>
      <c r="K822" t="s">
        <v>2362</v>
      </c>
      <c r="L822">
        <v>557</v>
      </c>
      <c r="M822" t="s">
        <v>2363</v>
      </c>
    </row>
    <row r="823" spans="1:13" x14ac:dyDescent="0.35">
      <c r="A823" t="s">
        <v>13</v>
      </c>
      <c r="B823">
        <v>865116</v>
      </c>
      <c r="C823">
        <v>867317</v>
      </c>
      <c r="E823" t="s">
        <v>38</v>
      </c>
      <c r="F823" t="s">
        <v>2364</v>
      </c>
      <c r="H823">
        <v>1018812</v>
      </c>
      <c r="I823" t="s">
        <v>17</v>
      </c>
      <c r="K823" t="s">
        <v>2365</v>
      </c>
      <c r="L823">
        <v>733</v>
      </c>
      <c r="M823" t="s">
        <v>2366</v>
      </c>
    </row>
    <row r="824" spans="1:13" x14ac:dyDescent="0.35">
      <c r="A824" t="s">
        <v>13</v>
      </c>
      <c r="B824">
        <v>867383</v>
      </c>
      <c r="C824">
        <v>867574</v>
      </c>
      <c r="E824" t="s">
        <v>14</v>
      </c>
      <c r="F824" t="s">
        <v>49</v>
      </c>
      <c r="H824">
        <v>1018813</v>
      </c>
      <c r="I824" t="s">
        <v>17</v>
      </c>
      <c r="K824" t="s">
        <v>2367</v>
      </c>
      <c r="L824">
        <v>63</v>
      </c>
      <c r="M824" t="s">
        <v>2368</v>
      </c>
    </row>
    <row r="825" spans="1:13" x14ac:dyDescent="0.35">
      <c r="A825" t="s">
        <v>13</v>
      </c>
      <c r="B825">
        <v>867800</v>
      </c>
      <c r="C825">
        <v>868381</v>
      </c>
      <c r="E825" t="s">
        <v>38</v>
      </c>
      <c r="F825" t="s">
        <v>2369</v>
      </c>
      <c r="G825" t="s">
        <v>2370</v>
      </c>
      <c r="H825">
        <v>1018814</v>
      </c>
      <c r="I825" t="s">
        <v>17</v>
      </c>
      <c r="K825" t="s">
        <v>2371</v>
      </c>
      <c r="L825">
        <v>193</v>
      </c>
      <c r="M825" t="s">
        <v>2372</v>
      </c>
    </row>
    <row r="826" spans="1:13" x14ac:dyDescent="0.35">
      <c r="A826" t="s">
        <v>13</v>
      </c>
      <c r="B826">
        <v>868938</v>
      </c>
      <c r="C826">
        <v>869321</v>
      </c>
      <c r="E826" t="s">
        <v>14</v>
      </c>
      <c r="F826" t="s">
        <v>541</v>
      </c>
      <c r="H826">
        <v>1018815</v>
      </c>
      <c r="I826" t="s">
        <v>17</v>
      </c>
      <c r="K826" t="s">
        <v>2373</v>
      </c>
      <c r="L826">
        <v>127</v>
      </c>
      <c r="M826" t="s">
        <v>2374</v>
      </c>
    </row>
    <row r="827" spans="1:13" x14ac:dyDescent="0.35">
      <c r="A827" t="s">
        <v>13</v>
      </c>
      <c r="B827">
        <v>869376</v>
      </c>
      <c r="C827">
        <v>869903</v>
      </c>
      <c r="E827" t="s">
        <v>38</v>
      </c>
      <c r="F827" t="s">
        <v>2375</v>
      </c>
      <c r="H827">
        <v>1018816</v>
      </c>
      <c r="I827" t="s">
        <v>17</v>
      </c>
      <c r="K827" t="s">
        <v>2376</v>
      </c>
      <c r="L827">
        <v>175</v>
      </c>
      <c r="M827" t="s">
        <v>2377</v>
      </c>
    </row>
    <row r="828" spans="1:13" x14ac:dyDescent="0.35">
      <c r="A828" t="s">
        <v>13</v>
      </c>
      <c r="B828">
        <v>869915</v>
      </c>
      <c r="C828">
        <v>870742</v>
      </c>
      <c r="E828" t="s">
        <v>38</v>
      </c>
      <c r="F828" t="s">
        <v>2378</v>
      </c>
      <c r="H828">
        <v>1018817</v>
      </c>
      <c r="I828" t="s">
        <v>17</v>
      </c>
      <c r="K828" t="s">
        <v>2379</v>
      </c>
      <c r="L828">
        <v>275</v>
      </c>
      <c r="M828" t="s">
        <v>2380</v>
      </c>
    </row>
    <row r="829" spans="1:13" x14ac:dyDescent="0.35">
      <c r="A829" t="s">
        <v>13</v>
      </c>
      <c r="B829">
        <v>870718</v>
      </c>
      <c r="C829">
        <v>871419</v>
      </c>
      <c r="E829" t="s">
        <v>38</v>
      </c>
      <c r="F829" t="s">
        <v>2381</v>
      </c>
      <c r="H829">
        <v>1018818</v>
      </c>
      <c r="I829" t="s">
        <v>17</v>
      </c>
      <c r="K829" t="s">
        <v>2382</v>
      </c>
      <c r="L829">
        <v>233</v>
      </c>
      <c r="M829" t="s">
        <v>2383</v>
      </c>
    </row>
    <row r="830" spans="1:13" x14ac:dyDescent="0.35">
      <c r="A830" t="s">
        <v>13</v>
      </c>
      <c r="B830">
        <v>871870</v>
      </c>
      <c r="C830">
        <v>873213</v>
      </c>
      <c r="E830" t="s">
        <v>14</v>
      </c>
      <c r="F830" t="s">
        <v>2384</v>
      </c>
      <c r="H830">
        <v>1018819</v>
      </c>
      <c r="I830" t="s">
        <v>17</v>
      </c>
      <c r="K830" t="s">
        <v>2385</v>
      </c>
      <c r="L830">
        <v>447</v>
      </c>
      <c r="M830" t="s">
        <v>2386</v>
      </c>
    </row>
    <row r="831" spans="1:13" x14ac:dyDescent="0.35">
      <c r="A831" t="s">
        <v>13</v>
      </c>
      <c r="B831">
        <v>873213</v>
      </c>
      <c r="C831">
        <v>874043</v>
      </c>
      <c r="E831" t="s">
        <v>14</v>
      </c>
      <c r="F831" t="s">
        <v>2387</v>
      </c>
      <c r="H831">
        <v>1018820</v>
      </c>
      <c r="I831" t="s">
        <v>17</v>
      </c>
      <c r="K831" t="s">
        <v>2388</v>
      </c>
      <c r="L831">
        <v>276</v>
      </c>
      <c r="M831" t="s">
        <v>2389</v>
      </c>
    </row>
    <row r="832" spans="1:13" x14ac:dyDescent="0.35">
      <c r="A832" t="s">
        <v>13</v>
      </c>
      <c r="B832">
        <v>874066</v>
      </c>
      <c r="C832">
        <v>874938</v>
      </c>
      <c r="E832" t="s">
        <v>38</v>
      </c>
      <c r="F832" t="s">
        <v>2390</v>
      </c>
      <c r="H832">
        <v>1018821</v>
      </c>
      <c r="I832" t="s">
        <v>17</v>
      </c>
      <c r="K832" t="s">
        <v>2391</v>
      </c>
      <c r="L832">
        <v>290</v>
      </c>
      <c r="M832" t="s">
        <v>2392</v>
      </c>
    </row>
    <row r="833" spans="1:13" x14ac:dyDescent="0.35">
      <c r="A833" t="s">
        <v>13</v>
      </c>
      <c r="B833">
        <v>874948</v>
      </c>
      <c r="C833">
        <v>875883</v>
      </c>
      <c r="E833" t="s">
        <v>38</v>
      </c>
      <c r="F833" t="s">
        <v>2393</v>
      </c>
      <c r="G833" t="s">
        <v>2394</v>
      </c>
      <c r="H833">
        <v>1018822</v>
      </c>
      <c r="I833" t="s">
        <v>17</v>
      </c>
      <c r="K833" t="s">
        <v>2395</v>
      </c>
      <c r="L833">
        <v>311</v>
      </c>
      <c r="M833" t="s">
        <v>2396</v>
      </c>
    </row>
    <row r="834" spans="1:13" x14ac:dyDescent="0.35">
      <c r="A834" t="s">
        <v>13</v>
      </c>
      <c r="B834">
        <v>875982</v>
      </c>
      <c r="C834">
        <v>877112</v>
      </c>
      <c r="E834" t="s">
        <v>38</v>
      </c>
      <c r="F834" t="s">
        <v>2397</v>
      </c>
      <c r="G834" t="s">
        <v>2398</v>
      </c>
      <c r="H834">
        <v>1018823</v>
      </c>
      <c r="I834" t="s">
        <v>17</v>
      </c>
      <c r="K834" t="s">
        <v>2399</v>
      </c>
      <c r="L834">
        <v>376</v>
      </c>
      <c r="M834" t="s">
        <v>2400</v>
      </c>
    </row>
    <row r="835" spans="1:13" x14ac:dyDescent="0.35">
      <c r="A835" t="s">
        <v>13</v>
      </c>
      <c r="B835">
        <v>877838</v>
      </c>
      <c r="C835">
        <v>879151</v>
      </c>
      <c r="E835" t="s">
        <v>14</v>
      </c>
      <c r="F835" t="s">
        <v>2401</v>
      </c>
      <c r="H835">
        <v>1018824</v>
      </c>
      <c r="I835" t="s">
        <v>17</v>
      </c>
      <c r="K835" t="s">
        <v>2402</v>
      </c>
      <c r="L835">
        <v>437</v>
      </c>
      <c r="M835" t="s">
        <v>2403</v>
      </c>
    </row>
    <row r="836" spans="1:13" x14ac:dyDescent="0.35">
      <c r="A836" t="s">
        <v>13</v>
      </c>
      <c r="B836">
        <v>879276</v>
      </c>
      <c r="C836">
        <v>879632</v>
      </c>
      <c r="E836" t="s">
        <v>14</v>
      </c>
      <c r="F836" t="s">
        <v>2404</v>
      </c>
      <c r="G836" t="s">
        <v>2405</v>
      </c>
      <c r="H836">
        <v>1018825</v>
      </c>
      <c r="I836" t="s">
        <v>17</v>
      </c>
      <c r="K836" t="s">
        <v>2406</v>
      </c>
      <c r="L836">
        <v>118</v>
      </c>
      <c r="M836" t="s">
        <v>2407</v>
      </c>
    </row>
    <row r="837" spans="1:13" x14ac:dyDescent="0.35">
      <c r="A837" t="s">
        <v>13</v>
      </c>
      <c r="B837">
        <v>879639</v>
      </c>
      <c r="C837">
        <v>881093</v>
      </c>
      <c r="E837" t="s">
        <v>38</v>
      </c>
      <c r="F837" t="s">
        <v>2408</v>
      </c>
      <c r="H837">
        <v>1018826</v>
      </c>
      <c r="I837" t="s">
        <v>17</v>
      </c>
      <c r="K837" t="s">
        <v>2409</v>
      </c>
      <c r="L837">
        <v>484</v>
      </c>
      <c r="M837" t="s">
        <v>2410</v>
      </c>
    </row>
    <row r="838" spans="1:13" x14ac:dyDescent="0.35">
      <c r="A838" t="s">
        <v>13</v>
      </c>
      <c r="B838">
        <v>881647</v>
      </c>
      <c r="C838">
        <v>881988</v>
      </c>
      <c r="E838" t="s">
        <v>14</v>
      </c>
      <c r="F838" t="s">
        <v>2411</v>
      </c>
      <c r="H838">
        <v>1018827</v>
      </c>
      <c r="I838" t="s">
        <v>17</v>
      </c>
      <c r="K838" t="s">
        <v>2412</v>
      </c>
      <c r="L838">
        <v>113</v>
      </c>
      <c r="M838" t="s">
        <v>2413</v>
      </c>
    </row>
    <row r="839" spans="1:13" x14ac:dyDescent="0.35">
      <c r="A839" t="s">
        <v>13</v>
      </c>
      <c r="B839">
        <v>881995</v>
      </c>
      <c r="C839">
        <v>883650</v>
      </c>
      <c r="E839" t="s">
        <v>14</v>
      </c>
      <c r="F839" t="s">
        <v>2414</v>
      </c>
      <c r="H839">
        <v>1018828</v>
      </c>
      <c r="I839" t="s">
        <v>17</v>
      </c>
      <c r="K839" t="s">
        <v>2415</v>
      </c>
      <c r="L839">
        <v>551</v>
      </c>
      <c r="M839" t="s">
        <v>2416</v>
      </c>
    </row>
    <row r="840" spans="1:13" x14ac:dyDescent="0.35">
      <c r="A840" t="s">
        <v>13</v>
      </c>
      <c r="B840">
        <v>883768</v>
      </c>
      <c r="C840">
        <v>884544</v>
      </c>
      <c r="E840" t="s">
        <v>14</v>
      </c>
      <c r="F840" t="s">
        <v>49</v>
      </c>
      <c r="H840">
        <v>1018829</v>
      </c>
      <c r="I840" t="s">
        <v>17</v>
      </c>
      <c r="K840" t="s">
        <v>2417</v>
      </c>
      <c r="L840">
        <v>258</v>
      </c>
      <c r="M840" t="s">
        <v>2418</v>
      </c>
    </row>
    <row r="841" spans="1:13" x14ac:dyDescent="0.35">
      <c r="A841" t="s">
        <v>13</v>
      </c>
      <c r="B841">
        <v>884546</v>
      </c>
      <c r="C841">
        <v>885388</v>
      </c>
      <c r="E841" t="s">
        <v>38</v>
      </c>
      <c r="F841" t="s">
        <v>2419</v>
      </c>
      <c r="H841">
        <v>1018830</v>
      </c>
      <c r="I841" t="s">
        <v>17</v>
      </c>
      <c r="K841" t="s">
        <v>2420</v>
      </c>
      <c r="L841">
        <v>280</v>
      </c>
      <c r="M841" t="s">
        <v>2421</v>
      </c>
    </row>
    <row r="842" spans="1:13" x14ac:dyDescent="0.35">
      <c r="A842" t="s">
        <v>13</v>
      </c>
      <c r="B842">
        <v>885672</v>
      </c>
      <c r="C842">
        <v>894581</v>
      </c>
      <c r="E842" t="s">
        <v>14</v>
      </c>
      <c r="F842" t="s">
        <v>2422</v>
      </c>
      <c r="H842">
        <v>1018831</v>
      </c>
      <c r="I842" t="s">
        <v>17</v>
      </c>
      <c r="K842" t="s">
        <v>2423</v>
      </c>
      <c r="L842">
        <v>2969</v>
      </c>
      <c r="M842" t="s">
        <v>2424</v>
      </c>
    </row>
    <row r="843" spans="1:13" x14ac:dyDescent="0.35">
      <c r="A843" t="s">
        <v>13</v>
      </c>
      <c r="B843">
        <v>894703</v>
      </c>
      <c r="C843">
        <v>895194</v>
      </c>
      <c r="E843" t="s">
        <v>14</v>
      </c>
      <c r="F843" t="s">
        <v>2425</v>
      </c>
      <c r="H843">
        <v>1018832</v>
      </c>
      <c r="I843" t="s">
        <v>17</v>
      </c>
      <c r="K843" t="s">
        <v>2426</v>
      </c>
      <c r="L843">
        <v>163</v>
      </c>
      <c r="M843" t="s">
        <v>2427</v>
      </c>
    </row>
    <row r="844" spans="1:13" x14ac:dyDescent="0.35">
      <c r="A844" t="s">
        <v>13</v>
      </c>
      <c r="B844">
        <v>895593</v>
      </c>
      <c r="C844">
        <v>896642</v>
      </c>
      <c r="E844" t="s">
        <v>38</v>
      </c>
      <c r="F844" t="s">
        <v>35</v>
      </c>
      <c r="H844">
        <v>1018834</v>
      </c>
      <c r="I844" t="s">
        <v>17</v>
      </c>
      <c r="K844" t="s">
        <v>2428</v>
      </c>
      <c r="L844">
        <v>349</v>
      </c>
      <c r="M844" t="s">
        <v>2429</v>
      </c>
    </row>
    <row r="845" spans="1:13" x14ac:dyDescent="0.35">
      <c r="A845" t="s">
        <v>13</v>
      </c>
      <c r="B845">
        <v>896716</v>
      </c>
      <c r="C845">
        <v>897144</v>
      </c>
      <c r="E845" t="s">
        <v>38</v>
      </c>
      <c r="F845" t="s">
        <v>49</v>
      </c>
      <c r="H845">
        <v>1018835</v>
      </c>
      <c r="I845" t="s">
        <v>17</v>
      </c>
      <c r="K845" t="s">
        <v>2430</v>
      </c>
      <c r="L845">
        <v>142</v>
      </c>
      <c r="M845" t="s">
        <v>2431</v>
      </c>
    </row>
    <row r="846" spans="1:13" x14ac:dyDescent="0.35">
      <c r="A846" t="s">
        <v>13</v>
      </c>
      <c r="B846">
        <v>897230</v>
      </c>
      <c r="C846">
        <v>897302</v>
      </c>
      <c r="E846" t="s">
        <v>38</v>
      </c>
      <c r="F846" t="s">
        <v>669</v>
      </c>
      <c r="H846">
        <v>2745301</v>
      </c>
      <c r="I846" t="s">
        <v>62</v>
      </c>
      <c r="M846" t="s">
        <v>2432</v>
      </c>
    </row>
    <row r="847" spans="1:13" x14ac:dyDescent="0.35">
      <c r="A847" t="s">
        <v>13</v>
      </c>
      <c r="B847">
        <v>897423</v>
      </c>
      <c r="C847">
        <v>897692</v>
      </c>
      <c r="E847" t="s">
        <v>14</v>
      </c>
      <c r="F847" t="s">
        <v>49</v>
      </c>
      <c r="H847">
        <v>1018836</v>
      </c>
      <c r="I847" t="s">
        <v>17</v>
      </c>
      <c r="K847" t="s">
        <v>2433</v>
      </c>
      <c r="L847">
        <v>89</v>
      </c>
      <c r="M847" t="s">
        <v>2434</v>
      </c>
    </row>
    <row r="848" spans="1:13" x14ac:dyDescent="0.35">
      <c r="A848" t="s">
        <v>13</v>
      </c>
      <c r="B848">
        <v>897724</v>
      </c>
      <c r="C848">
        <v>897963</v>
      </c>
      <c r="E848" t="s">
        <v>38</v>
      </c>
      <c r="F848" t="s">
        <v>2435</v>
      </c>
      <c r="H848">
        <v>1018837</v>
      </c>
      <c r="I848" t="s">
        <v>17</v>
      </c>
      <c r="K848" t="s">
        <v>2436</v>
      </c>
      <c r="L848">
        <v>79</v>
      </c>
      <c r="M848" t="s">
        <v>2437</v>
      </c>
    </row>
    <row r="849" spans="1:13" x14ac:dyDescent="0.35">
      <c r="A849" t="s">
        <v>13</v>
      </c>
      <c r="B849">
        <v>897976</v>
      </c>
      <c r="C849">
        <v>898434</v>
      </c>
      <c r="E849" t="s">
        <v>38</v>
      </c>
      <c r="F849" t="s">
        <v>2438</v>
      </c>
      <c r="H849">
        <v>1018838</v>
      </c>
      <c r="I849" t="s">
        <v>17</v>
      </c>
      <c r="K849" t="s">
        <v>2439</v>
      </c>
      <c r="L849">
        <v>152</v>
      </c>
      <c r="M849" t="s">
        <v>2440</v>
      </c>
    </row>
    <row r="850" spans="1:13" x14ac:dyDescent="0.35">
      <c r="A850" t="s">
        <v>13</v>
      </c>
      <c r="B850">
        <v>898431</v>
      </c>
      <c r="C850">
        <v>899231</v>
      </c>
      <c r="E850" t="s">
        <v>38</v>
      </c>
      <c r="F850" t="s">
        <v>2441</v>
      </c>
      <c r="H850">
        <v>1018839</v>
      </c>
      <c r="I850" t="s">
        <v>17</v>
      </c>
      <c r="K850" t="s">
        <v>2442</v>
      </c>
      <c r="L850">
        <v>266</v>
      </c>
      <c r="M850" t="s">
        <v>2443</v>
      </c>
    </row>
    <row r="851" spans="1:13" x14ac:dyDescent="0.35">
      <c r="A851" t="s">
        <v>13</v>
      </c>
      <c r="B851">
        <v>899250</v>
      </c>
      <c r="C851">
        <v>900008</v>
      </c>
      <c r="E851" t="s">
        <v>38</v>
      </c>
      <c r="F851" t="s">
        <v>2444</v>
      </c>
      <c r="H851">
        <v>1018840</v>
      </c>
      <c r="I851" t="s">
        <v>17</v>
      </c>
      <c r="K851" t="s">
        <v>2445</v>
      </c>
      <c r="L851">
        <v>252</v>
      </c>
      <c r="M851" t="s">
        <v>2446</v>
      </c>
    </row>
    <row r="852" spans="1:13" x14ac:dyDescent="0.35">
      <c r="A852" t="s">
        <v>13</v>
      </c>
      <c r="B852">
        <v>900043</v>
      </c>
      <c r="C852">
        <v>904605</v>
      </c>
      <c r="E852" t="s">
        <v>14</v>
      </c>
      <c r="F852" t="s">
        <v>2237</v>
      </c>
      <c r="H852">
        <v>1018841</v>
      </c>
      <c r="I852" t="s">
        <v>17</v>
      </c>
      <c r="K852" t="s">
        <v>2447</v>
      </c>
      <c r="L852">
        <v>1520</v>
      </c>
      <c r="M852" t="s">
        <v>2448</v>
      </c>
    </row>
    <row r="853" spans="1:13" x14ac:dyDescent="0.35">
      <c r="A853" t="s">
        <v>13</v>
      </c>
      <c r="B853">
        <v>904615</v>
      </c>
      <c r="C853">
        <v>905385</v>
      </c>
      <c r="E853" t="s">
        <v>14</v>
      </c>
      <c r="F853" t="s">
        <v>2449</v>
      </c>
      <c r="H853">
        <v>1018842</v>
      </c>
      <c r="I853" t="s">
        <v>17</v>
      </c>
      <c r="K853" t="s">
        <v>2450</v>
      </c>
      <c r="L853">
        <v>256</v>
      </c>
      <c r="M853" t="s">
        <v>2451</v>
      </c>
    </row>
    <row r="854" spans="1:13" x14ac:dyDescent="0.35">
      <c r="A854" t="s">
        <v>13</v>
      </c>
      <c r="B854">
        <v>905389</v>
      </c>
      <c r="C854">
        <v>905799</v>
      </c>
      <c r="E854" t="s">
        <v>14</v>
      </c>
      <c r="F854" t="s">
        <v>2452</v>
      </c>
      <c r="H854">
        <v>1018843</v>
      </c>
      <c r="I854" t="s">
        <v>17</v>
      </c>
      <c r="K854" t="s">
        <v>2453</v>
      </c>
      <c r="L854">
        <v>136</v>
      </c>
      <c r="M854" t="s">
        <v>2454</v>
      </c>
    </row>
    <row r="855" spans="1:13" x14ac:dyDescent="0.35">
      <c r="A855" t="s">
        <v>13</v>
      </c>
      <c r="B855">
        <v>905789</v>
      </c>
      <c r="C855">
        <v>906391</v>
      </c>
      <c r="E855" t="s">
        <v>38</v>
      </c>
      <c r="F855" t="s">
        <v>842</v>
      </c>
      <c r="H855">
        <v>1018844</v>
      </c>
      <c r="I855" t="s">
        <v>17</v>
      </c>
      <c r="K855" t="s">
        <v>2455</v>
      </c>
      <c r="L855">
        <v>200</v>
      </c>
      <c r="M855" t="s">
        <v>2456</v>
      </c>
    </row>
    <row r="856" spans="1:13" x14ac:dyDescent="0.35">
      <c r="A856" t="s">
        <v>13</v>
      </c>
      <c r="B856">
        <v>906388</v>
      </c>
      <c r="C856">
        <v>906546</v>
      </c>
      <c r="E856" t="s">
        <v>38</v>
      </c>
      <c r="F856" t="s">
        <v>49</v>
      </c>
      <c r="H856">
        <v>44156730</v>
      </c>
      <c r="I856" t="s">
        <v>17</v>
      </c>
      <c r="K856" t="s">
        <v>2457</v>
      </c>
      <c r="L856">
        <v>52</v>
      </c>
      <c r="M856" t="s">
        <v>2458</v>
      </c>
    </row>
    <row r="857" spans="1:13" x14ac:dyDescent="0.35">
      <c r="A857" t="s">
        <v>13</v>
      </c>
      <c r="B857">
        <v>906556</v>
      </c>
      <c r="C857">
        <v>907731</v>
      </c>
      <c r="E857" t="s">
        <v>38</v>
      </c>
      <c r="F857" t="s">
        <v>2459</v>
      </c>
      <c r="H857">
        <v>1018845</v>
      </c>
      <c r="I857" t="s">
        <v>17</v>
      </c>
      <c r="K857" t="s">
        <v>2460</v>
      </c>
      <c r="L857">
        <v>391</v>
      </c>
      <c r="M857" t="s">
        <v>2461</v>
      </c>
    </row>
    <row r="858" spans="1:13" x14ac:dyDescent="0.35">
      <c r="A858" t="s">
        <v>13</v>
      </c>
      <c r="B858">
        <v>907756</v>
      </c>
      <c r="C858">
        <v>909378</v>
      </c>
      <c r="E858" t="s">
        <v>38</v>
      </c>
      <c r="F858" t="s">
        <v>2462</v>
      </c>
      <c r="G858" t="s">
        <v>2463</v>
      </c>
      <c r="H858">
        <v>1018846</v>
      </c>
      <c r="I858" t="s">
        <v>17</v>
      </c>
      <c r="K858" t="s">
        <v>2464</v>
      </c>
      <c r="L858">
        <v>540</v>
      </c>
      <c r="M858" t="s">
        <v>2465</v>
      </c>
    </row>
    <row r="859" spans="1:13" x14ac:dyDescent="0.35">
      <c r="A859" t="s">
        <v>13</v>
      </c>
      <c r="B859">
        <v>909518</v>
      </c>
      <c r="C859">
        <v>910690</v>
      </c>
      <c r="E859" t="s">
        <v>38</v>
      </c>
      <c r="F859" t="s">
        <v>2205</v>
      </c>
      <c r="H859">
        <v>1018847</v>
      </c>
      <c r="I859" t="s">
        <v>17</v>
      </c>
      <c r="K859" t="s">
        <v>2466</v>
      </c>
      <c r="L859">
        <v>390</v>
      </c>
      <c r="M859" t="s">
        <v>2467</v>
      </c>
    </row>
    <row r="860" spans="1:13" x14ac:dyDescent="0.35">
      <c r="A860" t="s">
        <v>13</v>
      </c>
      <c r="B860">
        <v>910852</v>
      </c>
      <c r="C860">
        <v>911157</v>
      </c>
      <c r="E860" t="s">
        <v>38</v>
      </c>
      <c r="F860" t="s">
        <v>2468</v>
      </c>
      <c r="H860">
        <v>1018848</v>
      </c>
      <c r="I860" t="s">
        <v>17</v>
      </c>
      <c r="K860" t="s">
        <v>2469</v>
      </c>
      <c r="L860">
        <v>101</v>
      </c>
      <c r="M860" t="s">
        <v>2470</v>
      </c>
    </row>
    <row r="861" spans="1:13" x14ac:dyDescent="0.35">
      <c r="A861" t="s">
        <v>13</v>
      </c>
      <c r="B861">
        <v>911226</v>
      </c>
      <c r="C861">
        <v>913517</v>
      </c>
      <c r="E861" t="s">
        <v>14</v>
      </c>
      <c r="F861" t="s">
        <v>2471</v>
      </c>
      <c r="G861" t="s">
        <v>2472</v>
      </c>
      <c r="H861">
        <v>1018849</v>
      </c>
      <c r="I861" t="s">
        <v>17</v>
      </c>
      <c r="K861" t="s">
        <v>2473</v>
      </c>
      <c r="L861">
        <v>763</v>
      </c>
      <c r="M861" t="s">
        <v>2474</v>
      </c>
    </row>
    <row r="862" spans="1:13" x14ac:dyDescent="0.35">
      <c r="A862" t="s">
        <v>13</v>
      </c>
      <c r="B862">
        <v>913474</v>
      </c>
      <c r="C862">
        <v>915699</v>
      </c>
      <c r="E862" t="s">
        <v>38</v>
      </c>
      <c r="F862" t="s">
        <v>124</v>
      </c>
      <c r="H862">
        <v>1018850</v>
      </c>
      <c r="I862" t="s">
        <v>17</v>
      </c>
      <c r="K862" t="s">
        <v>2475</v>
      </c>
      <c r="L862">
        <v>741</v>
      </c>
      <c r="M862" t="s">
        <v>2476</v>
      </c>
    </row>
    <row r="863" spans="1:13" x14ac:dyDescent="0.35">
      <c r="A863" t="s">
        <v>13</v>
      </c>
      <c r="B863">
        <v>915696</v>
      </c>
      <c r="C863">
        <v>916364</v>
      </c>
      <c r="E863" t="s">
        <v>38</v>
      </c>
      <c r="F863" t="s">
        <v>147</v>
      </c>
      <c r="H863">
        <v>1018851</v>
      </c>
      <c r="I863" t="s">
        <v>17</v>
      </c>
      <c r="K863" t="s">
        <v>2477</v>
      </c>
      <c r="L863">
        <v>222</v>
      </c>
      <c r="M863" t="s">
        <v>2478</v>
      </c>
    </row>
    <row r="864" spans="1:13" x14ac:dyDescent="0.35">
      <c r="A864" t="s">
        <v>13</v>
      </c>
      <c r="B864">
        <v>916365</v>
      </c>
      <c r="C864">
        <v>916874</v>
      </c>
      <c r="E864" t="s">
        <v>38</v>
      </c>
      <c r="F864" t="s">
        <v>2479</v>
      </c>
      <c r="H864">
        <v>1018852</v>
      </c>
      <c r="I864" t="s">
        <v>17</v>
      </c>
      <c r="K864" t="s">
        <v>2480</v>
      </c>
      <c r="L864">
        <v>169</v>
      </c>
      <c r="M864" t="s">
        <v>2481</v>
      </c>
    </row>
    <row r="865" spans="1:13" x14ac:dyDescent="0.35">
      <c r="A865" t="s">
        <v>13</v>
      </c>
      <c r="B865">
        <v>916967</v>
      </c>
      <c r="C865">
        <v>917680</v>
      </c>
      <c r="E865" t="s">
        <v>38</v>
      </c>
      <c r="F865" t="s">
        <v>2482</v>
      </c>
      <c r="H865">
        <v>1018853</v>
      </c>
      <c r="I865" t="s">
        <v>17</v>
      </c>
      <c r="K865" t="s">
        <v>2483</v>
      </c>
      <c r="L865">
        <v>237</v>
      </c>
      <c r="M865" t="s">
        <v>2484</v>
      </c>
    </row>
    <row r="866" spans="1:13" x14ac:dyDescent="0.35">
      <c r="A866" t="s">
        <v>13</v>
      </c>
      <c r="B866">
        <v>918036</v>
      </c>
      <c r="C866">
        <v>919355</v>
      </c>
      <c r="E866" t="s">
        <v>14</v>
      </c>
      <c r="F866" t="s">
        <v>2485</v>
      </c>
      <c r="H866">
        <v>1018854</v>
      </c>
      <c r="I866" t="s">
        <v>17</v>
      </c>
      <c r="K866" t="s">
        <v>2486</v>
      </c>
      <c r="L866">
        <v>439</v>
      </c>
      <c r="M866" t="s">
        <v>2487</v>
      </c>
    </row>
    <row r="867" spans="1:13" x14ac:dyDescent="0.35">
      <c r="A867" t="s">
        <v>13</v>
      </c>
      <c r="B867">
        <v>919330</v>
      </c>
      <c r="C867">
        <v>919959</v>
      </c>
      <c r="E867" t="s">
        <v>14</v>
      </c>
      <c r="F867" t="s">
        <v>2488</v>
      </c>
      <c r="G867" t="s">
        <v>2489</v>
      </c>
      <c r="H867">
        <v>1018855</v>
      </c>
      <c r="I867" t="s">
        <v>17</v>
      </c>
      <c r="K867" t="s">
        <v>2490</v>
      </c>
      <c r="L867">
        <v>209</v>
      </c>
      <c r="M867" t="s">
        <v>2491</v>
      </c>
    </row>
    <row r="868" spans="1:13" x14ac:dyDescent="0.35">
      <c r="A868" t="s">
        <v>13</v>
      </c>
      <c r="B868">
        <v>919967</v>
      </c>
      <c r="C868">
        <v>921529</v>
      </c>
      <c r="E868" t="s">
        <v>14</v>
      </c>
      <c r="F868" t="s">
        <v>2492</v>
      </c>
      <c r="G868" t="s">
        <v>2493</v>
      </c>
      <c r="H868">
        <v>1018856</v>
      </c>
      <c r="I868" t="s">
        <v>17</v>
      </c>
      <c r="K868" t="s">
        <v>2494</v>
      </c>
      <c r="L868">
        <v>520</v>
      </c>
      <c r="M868" t="s">
        <v>2495</v>
      </c>
    </row>
    <row r="869" spans="1:13" x14ac:dyDescent="0.35">
      <c r="A869" t="s">
        <v>13</v>
      </c>
      <c r="B869">
        <v>921594</v>
      </c>
      <c r="C869">
        <v>922415</v>
      </c>
      <c r="E869" t="s">
        <v>14</v>
      </c>
      <c r="F869" t="s">
        <v>2496</v>
      </c>
      <c r="H869">
        <v>1018857</v>
      </c>
      <c r="I869" t="s">
        <v>17</v>
      </c>
      <c r="K869" t="s">
        <v>2497</v>
      </c>
      <c r="L869">
        <v>273</v>
      </c>
      <c r="M869" t="s">
        <v>2498</v>
      </c>
    </row>
    <row r="870" spans="1:13" x14ac:dyDescent="0.35">
      <c r="A870" t="s">
        <v>13</v>
      </c>
      <c r="B870">
        <v>922393</v>
      </c>
      <c r="C870">
        <v>923061</v>
      </c>
      <c r="E870" t="s">
        <v>38</v>
      </c>
      <c r="F870" t="s">
        <v>2499</v>
      </c>
      <c r="G870" t="s">
        <v>2500</v>
      </c>
      <c r="H870">
        <v>1018858</v>
      </c>
      <c r="I870" t="s">
        <v>17</v>
      </c>
      <c r="K870" t="s">
        <v>2501</v>
      </c>
      <c r="L870">
        <v>222</v>
      </c>
      <c r="M870" t="s">
        <v>2502</v>
      </c>
    </row>
    <row r="871" spans="1:13" x14ac:dyDescent="0.35">
      <c r="A871" t="s">
        <v>13</v>
      </c>
      <c r="B871">
        <v>923135</v>
      </c>
      <c r="C871">
        <v>923989</v>
      </c>
      <c r="E871" t="s">
        <v>38</v>
      </c>
      <c r="F871" t="s">
        <v>2503</v>
      </c>
      <c r="H871">
        <v>1018859</v>
      </c>
      <c r="I871" t="s">
        <v>17</v>
      </c>
      <c r="K871" t="s">
        <v>2504</v>
      </c>
      <c r="L871">
        <v>284</v>
      </c>
      <c r="M871" t="s">
        <v>2505</v>
      </c>
    </row>
    <row r="872" spans="1:13" x14ac:dyDescent="0.35">
      <c r="A872" t="s">
        <v>13</v>
      </c>
      <c r="B872">
        <v>924156</v>
      </c>
      <c r="C872">
        <v>924407</v>
      </c>
      <c r="E872" t="s">
        <v>38</v>
      </c>
      <c r="F872" t="s">
        <v>2506</v>
      </c>
      <c r="G872" t="s">
        <v>2507</v>
      </c>
      <c r="H872">
        <v>1018860</v>
      </c>
      <c r="I872" t="s">
        <v>17</v>
      </c>
      <c r="K872" t="s">
        <v>2508</v>
      </c>
      <c r="L872">
        <v>83</v>
      </c>
      <c r="M872" t="s">
        <v>2509</v>
      </c>
    </row>
    <row r="873" spans="1:13" x14ac:dyDescent="0.35">
      <c r="A873" t="s">
        <v>13</v>
      </c>
      <c r="B873">
        <v>924422</v>
      </c>
      <c r="C873">
        <v>924727</v>
      </c>
      <c r="E873" t="s">
        <v>38</v>
      </c>
      <c r="F873" t="s">
        <v>2510</v>
      </c>
      <c r="G873" t="s">
        <v>2511</v>
      </c>
      <c r="H873">
        <v>1018861</v>
      </c>
      <c r="I873" t="s">
        <v>17</v>
      </c>
      <c r="K873" t="s">
        <v>2512</v>
      </c>
      <c r="L873">
        <v>101</v>
      </c>
      <c r="M873" t="s">
        <v>2513</v>
      </c>
    </row>
    <row r="874" spans="1:13" x14ac:dyDescent="0.35">
      <c r="A874" t="s">
        <v>13</v>
      </c>
      <c r="B874">
        <v>924731</v>
      </c>
      <c r="C874">
        <v>924895</v>
      </c>
      <c r="E874" t="s">
        <v>38</v>
      </c>
      <c r="F874" t="s">
        <v>2514</v>
      </c>
      <c r="G874" t="s">
        <v>2515</v>
      </c>
      <c r="H874">
        <v>1018862</v>
      </c>
      <c r="I874" t="s">
        <v>17</v>
      </c>
      <c r="K874" t="s">
        <v>2516</v>
      </c>
      <c r="L874">
        <v>54</v>
      </c>
      <c r="M874" t="s">
        <v>2517</v>
      </c>
    </row>
    <row r="875" spans="1:13" x14ac:dyDescent="0.35">
      <c r="A875" t="s">
        <v>13</v>
      </c>
      <c r="B875">
        <v>924898</v>
      </c>
      <c r="C875">
        <v>925134</v>
      </c>
      <c r="E875" t="s">
        <v>38</v>
      </c>
      <c r="F875" t="s">
        <v>2518</v>
      </c>
      <c r="G875" t="s">
        <v>2519</v>
      </c>
      <c r="H875">
        <v>1018863</v>
      </c>
      <c r="I875" t="s">
        <v>17</v>
      </c>
      <c r="K875" t="s">
        <v>2520</v>
      </c>
      <c r="L875">
        <v>78</v>
      </c>
      <c r="M875" t="s">
        <v>2521</v>
      </c>
    </row>
    <row r="876" spans="1:13" x14ac:dyDescent="0.35">
      <c r="A876" t="s">
        <v>13</v>
      </c>
      <c r="B876">
        <v>925322</v>
      </c>
      <c r="C876">
        <v>926935</v>
      </c>
      <c r="E876" t="s">
        <v>38</v>
      </c>
      <c r="F876" t="s">
        <v>2522</v>
      </c>
      <c r="H876">
        <v>1018864</v>
      </c>
      <c r="I876" t="s">
        <v>17</v>
      </c>
      <c r="K876" t="s">
        <v>2523</v>
      </c>
      <c r="L876">
        <v>537</v>
      </c>
      <c r="M876" t="s">
        <v>2524</v>
      </c>
    </row>
    <row r="877" spans="1:13" x14ac:dyDescent="0.35">
      <c r="A877" t="s">
        <v>13</v>
      </c>
      <c r="B877">
        <v>926928</v>
      </c>
      <c r="C877">
        <v>927242</v>
      </c>
      <c r="E877" t="s">
        <v>38</v>
      </c>
      <c r="F877" t="s">
        <v>801</v>
      </c>
      <c r="H877">
        <v>1018865</v>
      </c>
      <c r="I877" t="s">
        <v>17</v>
      </c>
      <c r="K877" t="s">
        <v>2525</v>
      </c>
      <c r="L877">
        <v>104</v>
      </c>
      <c r="M877" t="s">
        <v>2526</v>
      </c>
    </row>
    <row r="878" spans="1:13" x14ac:dyDescent="0.35">
      <c r="A878" t="s">
        <v>13</v>
      </c>
      <c r="B878">
        <v>927474</v>
      </c>
      <c r="C878">
        <v>927740</v>
      </c>
      <c r="E878" t="s">
        <v>14</v>
      </c>
      <c r="F878" t="s">
        <v>2527</v>
      </c>
      <c r="H878">
        <v>1018866</v>
      </c>
      <c r="I878" t="s">
        <v>17</v>
      </c>
      <c r="K878" t="s">
        <v>2528</v>
      </c>
      <c r="L878">
        <v>88</v>
      </c>
      <c r="M878" t="s">
        <v>2529</v>
      </c>
    </row>
    <row r="879" spans="1:13" x14ac:dyDescent="0.35">
      <c r="A879" t="s">
        <v>13</v>
      </c>
      <c r="B879">
        <v>927752</v>
      </c>
      <c r="C879">
        <v>927925</v>
      </c>
      <c r="E879" t="s">
        <v>14</v>
      </c>
      <c r="F879" t="s">
        <v>2530</v>
      </c>
      <c r="G879" t="s">
        <v>2531</v>
      </c>
      <c r="H879">
        <v>1018867</v>
      </c>
      <c r="I879" t="s">
        <v>17</v>
      </c>
      <c r="K879" t="s">
        <v>2532</v>
      </c>
      <c r="L879">
        <v>57</v>
      </c>
      <c r="M879" t="s">
        <v>2533</v>
      </c>
    </row>
    <row r="880" spans="1:13" x14ac:dyDescent="0.35">
      <c r="A880" t="s">
        <v>13</v>
      </c>
      <c r="B880">
        <v>928117</v>
      </c>
      <c r="C880">
        <v>928815</v>
      </c>
      <c r="E880" t="s">
        <v>14</v>
      </c>
      <c r="F880" t="s">
        <v>835</v>
      </c>
      <c r="H880">
        <v>1018868</v>
      </c>
      <c r="I880" t="s">
        <v>17</v>
      </c>
      <c r="K880" t="s">
        <v>2534</v>
      </c>
      <c r="L880">
        <v>232</v>
      </c>
      <c r="M880" t="s">
        <v>2535</v>
      </c>
    </row>
    <row r="881" spans="1:13" x14ac:dyDescent="0.35">
      <c r="A881" t="s">
        <v>13</v>
      </c>
      <c r="B881">
        <v>928884</v>
      </c>
      <c r="C881">
        <v>930251</v>
      </c>
      <c r="E881" t="s">
        <v>14</v>
      </c>
      <c r="F881" t="s">
        <v>237</v>
      </c>
      <c r="H881">
        <v>1018869</v>
      </c>
      <c r="I881" t="s">
        <v>17</v>
      </c>
      <c r="K881" t="s">
        <v>2536</v>
      </c>
      <c r="L881">
        <v>455</v>
      </c>
      <c r="M881" t="s">
        <v>2537</v>
      </c>
    </row>
    <row r="882" spans="1:13" x14ac:dyDescent="0.35">
      <c r="A882" t="s">
        <v>13</v>
      </c>
      <c r="B882">
        <v>930326</v>
      </c>
      <c r="C882">
        <v>931651</v>
      </c>
      <c r="E882" t="s">
        <v>14</v>
      </c>
      <c r="F882" t="s">
        <v>2538</v>
      </c>
      <c r="H882">
        <v>1018870</v>
      </c>
      <c r="I882" t="s">
        <v>17</v>
      </c>
      <c r="K882" t="s">
        <v>2539</v>
      </c>
      <c r="L882">
        <v>441</v>
      </c>
      <c r="M882" t="s">
        <v>2540</v>
      </c>
    </row>
    <row r="883" spans="1:13" x14ac:dyDescent="0.35">
      <c r="A883" t="s">
        <v>13</v>
      </c>
      <c r="B883">
        <v>931706</v>
      </c>
      <c r="C883">
        <v>932293</v>
      </c>
      <c r="E883" t="s">
        <v>14</v>
      </c>
      <c r="F883" t="s">
        <v>639</v>
      </c>
      <c r="H883">
        <v>1018871</v>
      </c>
      <c r="I883" t="s">
        <v>17</v>
      </c>
      <c r="K883" t="s">
        <v>2541</v>
      </c>
      <c r="L883">
        <v>195</v>
      </c>
      <c r="M883" t="s">
        <v>2542</v>
      </c>
    </row>
    <row r="884" spans="1:13" x14ac:dyDescent="0.35">
      <c r="A884" t="s">
        <v>13</v>
      </c>
      <c r="B884">
        <v>932305</v>
      </c>
      <c r="C884">
        <v>932490</v>
      </c>
      <c r="E884" t="s">
        <v>14</v>
      </c>
      <c r="F884" t="s">
        <v>49</v>
      </c>
      <c r="H884">
        <v>44144938</v>
      </c>
      <c r="I884" t="s">
        <v>17</v>
      </c>
      <c r="K884" t="s">
        <v>2543</v>
      </c>
      <c r="L884">
        <v>61</v>
      </c>
      <c r="M884" t="s">
        <v>2544</v>
      </c>
    </row>
    <row r="885" spans="1:13" x14ac:dyDescent="0.35">
      <c r="A885" t="s">
        <v>13</v>
      </c>
      <c r="B885">
        <v>932567</v>
      </c>
      <c r="C885">
        <v>932974</v>
      </c>
      <c r="E885" t="s">
        <v>38</v>
      </c>
      <c r="F885" t="s">
        <v>2545</v>
      </c>
      <c r="G885" t="s">
        <v>2546</v>
      </c>
      <c r="H885">
        <v>1018872</v>
      </c>
      <c r="I885" t="s">
        <v>17</v>
      </c>
      <c r="K885" t="s">
        <v>2547</v>
      </c>
      <c r="L885">
        <v>135</v>
      </c>
      <c r="M885" t="s">
        <v>2548</v>
      </c>
    </row>
    <row r="886" spans="1:13" x14ac:dyDescent="0.35">
      <c r="A886" t="s">
        <v>13</v>
      </c>
      <c r="B886">
        <v>933057</v>
      </c>
      <c r="C886">
        <v>933611</v>
      </c>
      <c r="E886" t="s">
        <v>38</v>
      </c>
      <c r="F886" t="s">
        <v>2549</v>
      </c>
      <c r="H886">
        <v>1018873</v>
      </c>
      <c r="I886" t="s">
        <v>17</v>
      </c>
      <c r="K886" t="s">
        <v>2550</v>
      </c>
      <c r="L886">
        <v>184</v>
      </c>
      <c r="M886" t="s">
        <v>2551</v>
      </c>
    </row>
    <row r="887" spans="1:13" x14ac:dyDescent="0.35">
      <c r="A887" t="s">
        <v>13</v>
      </c>
      <c r="B887">
        <v>933730</v>
      </c>
      <c r="C887">
        <v>934302</v>
      </c>
      <c r="E887" t="s">
        <v>38</v>
      </c>
      <c r="F887" t="s">
        <v>2552</v>
      </c>
      <c r="H887">
        <v>1018874</v>
      </c>
      <c r="I887" t="s">
        <v>17</v>
      </c>
      <c r="K887" t="s">
        <v>2553</v>
      </c>
      <c r="L887">
        <v>190</v>
      </c>
      <c r="M887" t="s">
        <v>2554</v>
      </c>
    </row>
    <row r="888" spans="1:13" x14ac:dyDescent="0.35">
      <c r="A888" t="s">
        <v>13</v>
      </c>
      <c r="B888">
        <v>934375</v>
      </c>
      <c r="C888">
        <v>935322</v>
      </c>
      <c r="E888" t="s">
        <v>14</v>
      </c>
      <c r="F888" t="s">
        <v>1090</v>
      </c>
      <c r="H888">
        <v>1018875</v>
      </c>
      <c r="I888" t="s">
        <v>17</v>
      </c>
      <c r="K888" t="s">
        <v>2555</v>
      </c>
      <c r="L888">
        <v>315</v>
      </c>
      <c r="M888" t="s">
        <v>2556</v>
      </c>
    </row>
    <row r="889" spans="1:13" x14ac:dyDescent="0.35">
      <c r="A889" t="s">
        <v>13</v>
      </c>
      <c r="B889">
        <v>935351</v>
      </c>
      <c r="C889">
        <v>936610</v>
      </c>
      <c r="E889" t="s">
        <v>14</v>
      </c>
      <c r="F889" t="s">
        <v>2557</v>
      </c>
      <c r="G889" t="s">
        <v>2558</v>
      </c>
      <c r="H889">
        <v>1018876</v>
      </c>
      <c r="I889" t="s">
        <v>17</v>
      </c>
      <c r="K889" t="s">
        <v>2559</v>
      </c>
      <c r="L889">
        <v>419</v>
      </c>
      <c r="M889" t="s">
        <v>2560</v>
      </c>
    </row>
    <row r="890" spans="1:13" x14ac:dyDescent="0.35">
      <c r="A890" t="s">
        <v>13</v>
      </c>
      <c r="B890">
        <v>936615</v>
      </c>
      <c r="C890">
        <v>937277</v>
      </c>
      <c r="E890" t="s">
        <v>14</v>
      </c>
      <c r="F890" t="s">
        <v>549</v>
      </c>
      <c r="H890">
        <v>1018877</v>
      </c>
      <c r="I890" t="s">
        <v>17</v>
      </c>
      <c r="K890" t="s">
        <v>2561</v>
      </c>
      <c r="L890">
        <v>220</v>
      </c>
      <c r="M890" t="s">
        <v>2562</v>
      </c>
    </row>
    <row r="891" spans="1:13" x14ac:dyDescent="0.35">
      <c r="A891" t="s">
        <v>13</v>
      </c>
      <c r="B891">
        <v>937391</v>
      </c>
      <c r="C891">
        <v>938404</v>
      </c>
      <c r="E891" t="s">
        <v>14</v>
      </c>
      <c r="F891" t="s">
        <v>2563</v>
      </c>
      <c r="G891" t="s">
        <v>2564</v>
      </c>
      <c r="H891">
        <v>1018878</v>
      </c>
      <c r="I891" t="s">
        <v>17</v>
      </c>
      <c r="K891" t="s">
        <v>2565</v>
      </c>
      <c r="L891">
        <v>337</v>
      </c>
      <c r="M891" t="s">
        <v>2566</v>
      </c>
    </row>
    <row r="892" spans="1:13" x14ac:dyDescent="0.35">
      <c r="A892" t="s">
        <v>13</v>
      </c>
      <c r="B892">
        <v>938427</v>
      </c>
      <c r="C892">
        <v>939629</v>
      </c>
      <c r="E892" t="s">
        <v>14</v>
      </c>
      <c r="F892" t="s">
        <v>2459</v>
      </c>
      <c r="H892">
        <v>1018879</v>
      </c>
      <c r="I892" t="s">
        <v>17</v>
      </c>
      <c r="K892" t="s">
        <v>2567</v>
      </c>
      <c r="L892">
        <v>400</v>
      </c>
      <c r="M892" t="s">
        <v>2568</v>
      </c>
    </row>
    <row r="893" spans="1:13" x14ac:dyDescent="0.35">
      <c r="A893" t="s">
        <v>13</v>
      </c>
      <c r="B893">
        <v>939686</v>
      </c>
      <c r="C893">
        <v>940093</v>
      </c>
      <c r="E893" t="s">
        <v>14</v>
      </c>
      <c r="F893" t="s">
        <v>1315</v>
      </c>
      <c r="H893">
        <v>1018880</v>
      </c>
      <c r="I893" t="s">
        <v>17</v>
      </c>
      <c r="K893" t="s">
        <v>2569</v>
      </c>
      <c r="L893">
        <v>135</v>
      </c>
      <c r="M893" t="s">
        <v>2570</v>
      </c>
    </row>
    <row r="894" spans="1:13" x14ac:dyDescent="0.35">
      <c r="A894" t="s">
        <v>13</v>
      </c>
      <c r="B894">
        <v>940086</v>
      </c>
      <c r="C894">
        <v>940757</v>
      </c>
      <c r="E894" t="s">
        <v>14</v>
      </c>
      <c r="F894" t="s">
        <v>2571</v>
      </c>
      <c r="H894">
        <v>1018881</v>
      </c>
      <c r="I894" t="s">
        <v>17</v>
      </c>
      <c r="K894" t="s">
        <v>2572</v>
      </c>
      <c r="L894">
        <v>223</v>
      </c>
      <c r="M894" t="s">
        <v>2573</v>
      </c>
    </row>
    <row r="895" spans="1:13" x14ac:dyDescent="0.35">
      <c r="A895" t="s">
        <v>13</v>
      </c>
      <c r="B895">
        <v>940768</v>
      </c>
      <c r="C895">
        <v>941928</v>
      </c>
      <c r="E895" t="s">
        <v>14</v>
      </c>
      <c r="F895" t="s">
        <v>2574</v>
      </c>
      <c r="H895">
        <v>1018882</v>
      </c>
      <c r="I895" t="s">
        <v>17</v>
      </c>
      <c r="K895" t="s">
        <v>2575</v>
      </c>
      <c r="L895">
        <v>386</v>
      </c>
      <c r="M895" t="s">
        <v>2576</v>
      </c>
    </row>
    <row r="896" spans="1:13" x14ac:dyDescent="0.35">
      <c r="A896" t="s">
        <v>13</v>
      </c>
      <c r="B896">
        <v>942378</v>
      </c>
      <c r="C896">
        <v>943940</v>
      </c>
      <c r="E896" t="s">
        <v>38</v>
      </c>
      <c r="F896" t="s">
        <v>2577</v>
      </c>
      <c r="H896">
        <v>1018883</v>
      </c>
      <c r="I896" t="s">
        <v>17</v>
      </c>
      <c r="K896" t="s">
        <v>2578</v>
      </c>
      <c r="L896">
        <v>520</v>
      </c>
      <c r="M896" t="s">
        <v>2579</v>
      </c>
    </row>
    <row r="897" spans="1:13" x14ac:dyDescent="0.35">
      <c r="A897" t="s">
        <v>13</v>
      </c>
      <c r="B897">
        <v>943988</v>
      </c>
      <c r="C897">
        <v>944836</v>
      </c>
      <c r="E897" t="s">
        <v>14</v>
      </c>
      <c r="F897" t="s">
        <v>2580</v>
      </c>
      <c r="G897" t="s">
        <v>2581</v>
      </c>
      <c r="H897">
        <v>1018884</v>
      </c>
      <c r="I897" t="s">
        <v>17</v>
      </c>
      <c r="K897" t="s">
        <v>2582</v>
      </c>
      <c r="L897">
        <v>282</v>
      </c>
      <c r="M897" t="s">
        <v>2583</v>
      </c>
    </row>
    <row r="898" spans="1:13" x14ac:dyDescent="0.35">
      <c r="A898" t="s">
        <v>13</v>
      </c>
      <c r="B898">
        <v>944996</v>
      </c>
      <c r="C898">
        <v>946783</v>
      </c>
      <c r="E898" t="s">
        <v>14</v>
      </c>
      <c r="F898" t="s">
        <v>2584</v>
      </c>
      <c r="G898" t="s">
        <v>2585</v>
      </c>
      <c r="H898">
        <v>1018885</v>
      </c>
      <c r="I898" t="s">
        <v>17</v>
      </c>
      <c r="K898" t="s">
        <v>2586</v>
      </c>
      <c r="L898">
        <v>595</v>
      </c>
      <c r="M898" t="s">
        <v>2587</v>
      </c>
    </row>
    <row r="899" spans="1:13" x14ac:dyDescent="0.35">
      <c r="A899" t="s">
        <v>13</v>
      </c>
      <c r="B899">
        <v>946840</v>
      </c>
      <c r="C899">
        <v>948672</v>
      </c>
      <c r="E899" t="s">
        <v>14</v>
      </c>
      <c r="F899" t="s">
        <v>2588</v>
      </c>
      <c r="G899" t="s">
        <v>2589</v>
      </c>
      <c r="H899">
        <v>1018886</v>
      </c>
      <c r="I899" t="s">
        <v>17</v>
      </c>
      <c r="K899" t="s">
        <v>2590</v>
      </c>
      <c r="L899">
        <v>610</v>
      </c>
      <c r="M899" t="s">
        <v>2591</v>
      </c>
    </row>
    <row r="900" spans="1:13" x14ac:dyDescent="0.35">
      <c r="A900" t="s">
        <v>13</v>
      </c>
      <c r="B900">
        <v>948791</v>
      </c>
      <c r="C900">
        <v>950842</v>
      </c>
      <c r="E900" t="s">
        <v>14</v>
      </c>
      <c r="F900" t="s">
        <v>2592</v>
      </c>
      <c r="H900">
        <v>1018887</v>
      </c>
      <c r="I900" t="s">
        <v>17</v>
      </c>
      <c r="K900" t="s">
        <v>2593</v>
      </c>
      <c r="L900">
        <v>683</v>
      </c>
      <c r="M900" t="s">
        <v>2594</v>
      </c>
    </row>
    <row r="901" spans="1:13" x14ac:dyDescent="0.35">
      <c r="A901" t="s">
        <v>13</v>
      </c>
      <c r="B901">
        <v>950825</v>
      </c>
      <c r="C901">
        <v>951460</v>
      </c>
      <c r="E901" t="s">
        <v>38</v>
      </c>
      <c r="F901" t="s">
        <v>2595</v>
      </c>
      <c r="H901">
        <v>1018888</v>
      </c>
      <c r="I901" t="s">
        <v>17</v>
      </c>
      <c r="K901" t="s">
        <v>2596</v>
      </c>
      <c r="L901">
        <v>211</v>
      </c>
      <c r="M901" t="s">
        <v>2597</v>
      </c>
    </row>
    <row r="902" spans="1:13" x14ac:dyDescent="0.35">
      <c r="A902" t="s">
        <v>13</v>
      </c>
      <c r="B902">
        <v>951556</v>
      </c>
      <c r="C902">
        <v>951654</v>
      </c>
      <c r="E902" t="s">
        <v>14</v>
      </c>
      <c r="F902" t="s">
        <v>49</v>
      </c>
      <c r="H902">
        <v>92792290</v>
      </c>
      <c r="I902" t="s">
        <v>17</v>
      </c>
      <c r="K902" t="s">
        <v>2598</v>
      </c>
      <c r="L902">
        <v>32</v>
      </c>
      <c r="M902" t="s">
        <v>2599</v>
      </c>
    </row>
    <row r="903" spans="1:13" x14ac:dyDescent="0.35">
      <c r="A903" t="s">
        <v>13</v>
      </c>
      <c r="B903">
        <v>951831</v>
      </c>
      <c r="C903">
        <v>952991</v>
      </c>
      <c r="E903" t="s">
        <v>38</v>
      </c>
      <c r="F903" t="s">
        <v>2600</v>
      </c>
      <c r="H903">
        <v>1018889</v>
      </c>
      <c r="I903" t="s">
        <v>17</v>
      </c>
      <c r="K903" t="s">
        <v>2601</v>
      </c>
      <c r="L903">
        <v>386</v>
      </c>
      <c r="M903" t="s">
        <v>2602</v>
      </c>
    </row>
    <row r="904" spans="1:13" x14ac:dyDescent="0.35">
      <c r="A904" t="s">
        <v>13</v>
      </c>
      <c r="B904">
        <v>953040</v>
      </c>
      <c r="C904">
        <v>953573</v>
      </c>
      <c r="E904" t="s">
        <v>38</v>
      </c>
      <c r="F904" t="s">
        <v>1018</v>
      </c>
      <c r="H904">
        <v>1018890</v>
      </c>
      <c r="I904" t="s">
        <v>17</v>
      </c>
      <c r="K904" t="s">
        <v>2603</v>
      </c>
      <c r="L904">
        <v>177</v>
      </c>
      <c r="M904" t="s">
        <v>2604</v>
      </c>
    </row>
    <row r="905" spans="1:13" x14ac:dyDescent="0.35">
      <c r="A905" t="s">
        <v>13</v>
      </c>
      <c r="B905">
        <v>953717</v>
      </c>
      <c r="C905">
        <v>954909</v>
      </c>
      <c r="E905" t="s">
        <v>14</v>
      </c>
      <c r="F905" t="s">
        <v>141</v>
      </c>
      <c r="H905">
        <v>44144940</v>
      </c>
      <c r="I905" t="s">
        <v>142</v>
      </c>
      <c r="M905" t="s">
        <v>2605</v>
      </c>
    </row>
    <row r="906" spans="1:13" x14ac:dyDescent="0.35">
      <c r="A906" t="s">
        <v>13</v>
      </c>
      <c r="B906">
        <v>954950</v>
      </c>
      <c r="C906">
        <v>955292</v>
      </c>
      <c r="E906" t="s">
        <v>14</v>
      </c>
      <c r="F906" t="s">
        <v>141</v>
      </c>
      <c r="H906">
        <v>1018893</v>
      </c>
      <c r="I906" t="s">
        <v>142</v>
      </c>
      <c r="M906" t="s">
        <v>2606</v>
      </c>
    </row>
    <row r="907" spans="1:13" x14ac:dyDescent="0.35">
      <c r="A907" t="s">
        <v>13</v>
      </c>
      <c r="B907">
        <v>955683</v>
      </c>
      <c r="C907">
        <v>957398</v>
      </c>
      <c r="E907" t="s">
        <v>38</v>
      </c>
      <c r="F907" t="s">
        <v>2607</v>
      </c>
      <c r="G907" t="s">
        <v>2608</v>
      </c>
      <c r="H907">
        <v>1018894</v>
      </c>
      <c r="I907" t="s">
        <v>17</v>
      </c>
      <c r="K907" t="s">
        <v>2609</v>
      </c>
      <c r="L907">
        <v>571</v>
      </c>
      <c r="M907" t="s">
        <v>2610</v>
      </c>
    </row>
    <row r="908" spans="1:13" x14ac:dyDescent="0.35">
      <c r="A908" t="s">
        <v>13</v>
      </c>
      <c r="B908">
        <v>957841</v>
      </c>
      <c r="C908">
        <v>958998</v>
      </c>
      <c r="E908" t="s">
        <v>38</v>
      </c>
      <c r="F908" t="s">
        <v>2611</v>
      </c>
      <c r="H908">
        <v>1018895</v>
      </c>
      <c r="I908" t="s">
        <v>17</v>
      </c>
      <c r="K908" t="s">
        <v>2612</v>
      </c>
      <c r="L908">
        <v>385</v>
      </c>
      <c r="M908" t="s">
        <v>2613</v>
      </c>
    </row>
    <row r="909" spans="1:13" x14ac:dyDescent="0.35">
      <c r="A909" t="s">
        <v>13</v>
      </c>
      <c r="B909">
        <v>959825</v>
      </c>
      <c r="C909">
        <v>961017</v>
      </c>
      <c r="E909" t="s">
        <v>14</v>
      </c>
      <c r="F909" t="s">
        <v>141</v>
      </c>
      <c r="H909">
        <v>44144941</v>
      </c>
      <c r="I909" t="s">
        <v>142</v>
      </c>
      <c r="M909" t="s">
        <v>2614</v>
      </c>
    </row>
    <row r="910" spans="1:13" x14ac:dyDescent="0.35">
      <c r="A910" t="s">
        <v>13</v>
      </c>
      <c r="B910">
        <v>961297</v>
      </c>
      <c r="C910">
        <v>961656</v>
      </c>
      <c r="E910" t="s">
        <v>14</v>
      </c>
      <c r="F910" t="s">
        <v>2615</v>
      </c>
      <c r="H910">
        <v>1018898</v>
      </c>
      <c r="I910" t="s">
        <v>17</v>
      </c>
      <c r="K910" t="s">
        <v>2616</v>
      </c>
      <c r="L910">
        <v>119</v>
      </c>
      <c r="M910" t="s">
        <v>2617</v>
      </c>
    </row>
    <row r="911" spans="1:13" x14ac:dyDescent="0.35">
      <c r="A911" t="s">
        <v>13</v>
      </c>
      <c r="B911">
        <v>961614</v>
      </c>
      <c r="C911">
        <v>962252</v>
      </c>
      <c r="E911" t="s">
        <v>14</v>
      </c>
      <c r="F911" t="s">
        <v>2618</v>
      </c>
      <c r="H911">
        <v>1018899</v>
      </c>
      <c r="I911" t="s">
        <v>17</v>
      </c>
      <c r="K911" t="s">
        <v>2619</v>
      </c>
      <c r="L911">
        <v>212</v>
      </c>
      <c r="M911" t="s">
        <v>2620</v>
      </c>
    </row>
    <row r="912" spans="1:13" x14ac:dyDescent="0.35">
      <c r="A912" t="s">
        <v>13</v>
      </c>
      <c r="B912">
        <v>962809</v>
      </c>
      <c r="C912">
        <v>963642</v>
      </c>
      <c r="E912" t="s">
        <v>14</v>
      </c>
      <c r="F912" t="s">
        <v>2621</v>
      </c>
      <c r="H912">
        <v>1018900</v>
      </c>
      <c r="I912" t="s">
        <v>17</v>
      </c>
      <c r="K912" t="s">
        <v>2622</v>
      </c>
      <c r="L912">
        <v>277</v>
      </c>
      <c r="M912" t="s">
        <v>2623</v>
      </c>
    </row>
    <row r="913" spans="1:13" x14ac:dyDescent="0.35">
      <c r="A913" t="s">
        <v>13</v>
      </c>
      <c r="B913">
        <v>963813</v>
      </c>
      <c r="C913">
        <v>964937</v>
      </c>
      <c r="E913" t="s">
        <v>14</v>
      </c>
      <c r="F913" t="s">
        <v>2624</v>
      </c>
      <c r="G913" t="s">
        <v>2625</v>
      </c>
      <c r="H913">
        <v>1018901</v>
      </c>
      <c r="I913" t="s">
        <v>17</v>
      </c>
      <c r="K913" t="s">
        <v>2626</v>
      </c>
      <c r="L913">
        <v>374</v>
      </c>
      <c r="M913" t="s">
        <v>2627</v>
      </c>
    </row>
    <row r="914" spans="1:13" x14ac:dyDescent="0.35">
      <c r="A914" t="s">
        <v>13</v>
      </c>
      <c r="B914">
        <v>964974</v>
      </c>
      <c r="C914">
        <v>965855</v>
      </c>
      <c r="E914" t="s">
        <v>14</v>
      </c>
      <c r="F914" t="s">
        <v>2628</v>
      </c>
      <c r="G914" t="s">
        <v>2629</v>
      </c>
      <c r="H914">
        <v>1018902</v>
      </c>
      <c r="I914" t="s">
        <v>17</v>
      </c>
      <c r="K914" t="s">
        <v>2630</v>
      </c>
      <c r="L914">
        <v>293</v>
      </c>
      <c r="M914" t="s">
        <v>2631</v>
      </c>
    </row>
    <row r="915" spans="1:13" x14ac:dyDescent="0.35">
      <c r="A915" t="s">
        <v>13</v>
      </c>
      <c r="B915">
        <v>965852</v>
      </c>
      <c r="C915">
        <v>966787</v>
      </c>
      <c r="E915" t="s">
        <v>14</v>
      </c>
      <c r="F915" t="s">
        <v>2632</v>
      </c>
      <c r="H915">
        <v>1018903</v>
      </c>
      <c r="I915" t="s">
        <v>17</v>
      </c>
      <c r="K915" t="s">
        <v>2633</v>
      </c>
      <c r="L915">
        <v>311</v>
      </c>
      <c r="M915" t="s">
        <v>2634</v>
      </c>
    </row>
    <row r="916" spans="1:13" x14ac:dyDescent="0.35">
      <c r="A916" t="s">
        <v>13</v>
      </c>
      <c r="B916">
        <v>966828</v>
      </c>
      <c r="C916">
        <v>968663</v>
      </c>
      <c r="E916" t="s">
        <v>14</v>
      </c>
      <c r="F916" t="s">
        <v>2635</v>
      </c>
      <c r="H916">
        <v>1018904</v>
      </c>
      <c r="I916" t="s">
        <v>17</v>
      </c>
      <c r="K916" t="s">
        <v>2636</v>
      </c>
      <c r="L916">
        <v>611</v>
      </c>
      <c r="M916" t="s">
        <v>2637</v>
      </c>
    </row>
    <row r="917" spans="1:13" x14ac:dyDescent="0.35">
      <c r="A917" t="s">
        <v>13</v>
      </c>
      <c r="B917">
        <v>968667</v>
      </c>
      <c r="C917">
        <v>969461</v>
      </c>
      <c r="E917" t="s">
        <v>14</v>
      </c>
      <c r="F917" t="s">
        <v>2638</v>
      </c>
      <c r="H917">
        <v>1018905</v>
      </c>
      <c r="I917" t="s">
        <v>17</v>
      </c>
      <c r="K917" t="s">
        <v>2639</v>
      </c>
      <c r="L917">
        <v>264</v>
      </c>
      <c r="M917" t="s">
        <v>2640</v>
      </c>
    </row>
    <row r="918" spans="1:13" x14ac:dyDescent="0.35">
      <c r="A918" t="s">
        <v>13</v>
      </c>
      <c r="B918">
        <v>969458</v>
      </c>
      <c r="C918">
        <v>969940</v>
      </c>
      <c r="E918" t="s">
        <v>38</v>
      </c>
      <c r="F918" t="s">
        <v>2641</v>
      </c>
      <c r="H918">
        <v>1018906</v>
      </c>
      <c r="I918" t="s">
        <v>17</v>
      </c>
      <c r="K918" t="s">
        <v>2642</v>
      </c>
      <c r="L918">
        <v>160</v>
      </c>
      <c r="M918" t="s">
        <v>2643</v>
      </c>
    </row>
    <row r="919" spans="1:13" x14ac:dyDescent="0.35">
      <c r="A919" t="s">
        <v>13</v>
      </c>
      <c r="B919">
        <v>970029</v>
      </c>
      <c r="C919">
        <v>970352</v>
      </c>
      <c r="E919" t="s">
        <v>14</v>
      </c>
      <c r="F919" t="s">
        <v>1924</v>
      </c>
      <c r="H919">
        <v>1018907</v>
      </c>
      <c r="I919" t="s">
        <v>17</v>
      </c>
      <c r="K919" t="s">
        <v>2644</v>
      </c>
      <c r="L919">
        <v>107</v>
      </c>
      <c r="M919" t="s">
        <v>2645</v>
      </c>
    </row>
    <row r="920" spans="1:13" x14ac:dyDescent="0.35">
      <c r="A920" t="s">
        <v>13</v>
      </c>
      <c r="B920">
        <v>970418</v>
      </c>
      <c r="C920">
        <v>970741</v>
      </c>
      <c r="E920" t="s">
        <v>14</v>
      </c>
      <c r="F920" t="s">
        <v>2646</v>
      </c>
      <c r="H920">
        <v>1018908</v>
      </c>
      <c r="I920" t="s">
        <v>17</v>
      </c>
      <c r="K920" t="s">
        <v>2647</v>
      </c>
      <c r="L920">
        <v>107</v>
      </c>
      <c r="M920" t="s">
        <v>2648</v>
      </c>
    </row>
    <row r="921" spans="1:13" x14ac:dyDescent="0.35">
      <c r="A921" t="s">
        <v>13</v>
      </c>
      <c r="B921">
        <v>970864</v>
      </c>
      <c r="C921">
        <v>971826</v>
      </c>
      <c r="E921" t="s">
        <v>14</v>
      </c>
      <c r="F921" t="s">
        <v>2649</v>
      </c>
      <c r="G921" t="s">
        <v>2650</v>
      </c>
      <c r="H921">
        <v>1018909</v>
      </c>
      <c r="I921" t="s">
        <v>17</v>
      </c>
      <c r="K921" t="s">
        <v>2651</v>
      </c>
      <c r="L921">
        <v>320</v>
      </c>
      <c r="M921" t="s">
        <v>2652</v>
      </c>
    </row>
    <row r="922" spans="1:13" x14ac:dyDescent="0.35">
      <c r="A922" t="s">
        <v>13</v>
      </c>
      <c r="B922">
        <v>972241</v>
      </c>
      <c r="C922">
        <v>973035</v>
      </c>
      <c r="E922" t="s">
        <v>38</v>
      </c>
      <c r="F922" t="s">
        <v>2653</v>
      </c>
      <c r="H922">
        <v>1018910</v>
      </c>
      <c r="I922" t="s">
        <v>17</v>
      </c>
      <c r="K922" t="s">
        <v>2654</v>
      </c>
      <c r="L922">
        <v>264</v>
      </c>
      <c r="M922" t="s">
        <v>2655</v>
      </c>
    </row>
    <row r="923" spans="1:13" x14ac:dyDescent="0.35">
      <c r="A923" t="s">
        <v>13</v>
      </c>
      <c r="B923">
        <v>973139</v>
      </c>
      <c r="C923">
        <v>974158</v>
      </c>
      <c r="E923" t="s">
        <v>14</v>
      </c>
      <c r="F923" t="s">
        <v>2656</v>
      </c>
      <c r="H923">
        <v>1018911</v>
      </c>
      <c r="I923" t="s">
        <v>17</v>
      </c>
      <c r="K923" t="s">
        <v>2657</v>
      </c>
      <c r="L923">
        <v>339</v>
      </c>
      <c r="M923" t="s">
        <v>2658</v>
      </c>
    </row>
    <row r="924" spans="1:13" x14ac:dyDescent="0.35">
      <c r="A924" t="s">
        <v>13</v>
      </c>
      <c r="B924">
        <v>974243</v>
      </c>
      <c r="C924">
        <v>974965</v>
      </c>
      <c r="E924" t="s">
        <v>14</v>
      </c>
      <c r="F924" t="s">
        <v>49</v>
      </c>
      <c r="H924">
        <v>1018912</v>
      </c>
      <c r="I924" t="s">
        <v>17</v>
      </c>
      <c r="K924" t="s">
        <v>2659</v>
      </c>
      <c r="L924">
        <v>240</v>
      </c>
      <c r="M924" t="s">
        <v>2660</v>
      </c>
    </row>
    <row r="925" spans="1:13" x14ac:dyDescent="0.35">
      <c r="A925" t="s">
        <v>13</v>
      </c>
      <c r="B925">
        <v>974962</v>
      </c>
      <c r="C925">
        <v>976158</v>
      </c>
      <c r="E925" t="s">
        <v>38</v>
      </c>
      <c r="F925" t="s">
        <v>2661</v>
      </c>
      <c r="H925">
        <v>1018913</v>
      </c>
      <c r="I925" t="s">
        <v>17</v>
      </c>
      <c r="K925" t="s">
        <v>2662</v>
      </c>
      <c r="L925">
        <v>398</v>
      </c>
      <c r="M925" t="s">
        <v>2663</v>
      </c>
    </row>
    <row r="926" spans="1:13" x14ac:dyDescent="0.35">
      <c r="A926" t="s">
        <v>13</v>
      </c>
      <c r="B926">
        <v>976286</v>
      </c>
      <c r="C926">
        <v>977737</v>
      </c>
      <c r="E926" t="s">
        <v>14</v>
      </c>
      <c r="F926" t="s">
        <v>391</v>
      </c>
      <c r="H926">
        <v>1018914</v>
      </c>
      <c r="I926" t="s">
        <v>17</v>
      </c>
      <c r="K926" t="s">
        <v>2664</v>
      </c>
      <c r="L926">
        <v>483</v>
      </c>
      <c r="M926" t="s">
        <v>2665</v>
      </c>
    </row>
    <row r="927" spans="1:13" x14ac:dyDescent="0.35">
      <c r="A927" t="s">
        <v>13</v>
      </c>
      <c r="B927">
        <v>977797</v>
      </c>
      <c r="C927">
        <v>978378</v>
      </c>
      <c r="E927" t="s">
        <v>38</v>
      </c>
      <c r="F927" t="s">
        <v>1126</v>
      </c>
      <c r="H927">
        <v>1018915</v>
      </c>
      <c r="I927" t="s">
        <v>17</v>
      </c>
      <c r="K927" t="s">
        <v>2666</v>
      </c>
      <c r="L927">
        <v>193</v>
      </c>
      <c r="M927" t="s">
        <v>2667</v>
      </c>
    </row>
    <row r="928" spans="1:13" x14ac:dyDescent="0.35">
      <c r="A928" t="s">
        <v>13</v>
      </c>
      <c r="B928">
        <v>978365</v>
      </c>
      <c r="C928">
        <v>980740</v>
      </c>
      <c r="E928" t="s">
        <v>38</v>
      </c>
      <c r="F928" t="s">
        <v>708</v>
      </c>
      <c r="H928">
        <v>1018916</v>
      </c>
      <c r="I928" t="s">
        <v>17</v>
      </c>
      <c r="K928" t="s">
        <v>2668</v>
      </c>
      <c r="L928">
        <v>791</v>
      </c>
      <c r="M928" t="s">
        <v>2669</v>
      </c>
    </row>
    <row r="929" spans="1:13" x14ac:dyDescent="0.35">
      <c r="A929" t="s">
        <v>13</v>
      </c>
      <c r="B929">
        <v>980987</v>
      </c>
      <c r="C929">
        <v>981493</v>
      </c>
      <c r="E929" t="s">
        <v>14</v>
      </c>
      <c r="F929" t="s">
        <v>2670</v>
      </c>
      <c r="G929" t="s">
        <v>2671</v>
      </c>
      <c r="H929">
        <v>1018917</v>
      </c>
      <c r="I929" t="s">
        <v>17</v>
      </c>
      <c r="K929" t="s">
        <v>2672</v>
      </c>
      <c r="L929">
        <v>168</v>
      </c>
      <c r="M929" t="s">
        <v>2673</v>
      </c>
    </row>
    <row r="930" spans="1:13" x14ac:dyDescent="0.35">
      <c r="A930" t="s">
        <v>13</v>
      </c>
      <c r="B930">
        <v>981658</v>
      </c>
      <c r="C930">
        <v>982290</v>
      </c>
      <c r="E930" t="s">
        <v>14</v>
      </c>
      <c r="F930" t="s">
        <v>49</v>
      </c>
      <c r="H930">
        <v>1018918</v>
      </c>
      <c r="I930" t="s">
        <v>17</v>
      </c>
      <c r="K930" t="s">
        <v>2674</v>
      </c>
      <c r="L930">
        <v>210</v>
      </c>
      <c r="M930" t="s">
        <v>2675</v>
      </c>
    </row>
    <row r="931" spans="1:13" x14ac:dyDescent="0.35">
      <c r="A931" t="s">
        <v>13</v>
      </c>
      <c r="B931">
        <v>982291</v>
      </c>
      <c r="C931">
        <v>982725</v>
      </c>
      <c r="E931" t="s">
        <v>38</v>
      </c>
      <c r="F931" t="s">
        <v>141</v>
      </c>
      <c r="H931">
        <v>1018919</v>
      </c>
      <c r="I931" t="s">
        <v>142</v>
      </c>
      <c r="M931" t="s">
        <v>2676</v>
      </c>
    </row>
    <row r="932" spans="1:13" x14ac:dyDescent="0.35">
      <c r="A932" t="s">
        <v>13</v>
      </c>
      <c r="B932">
        <v>983100</v>
      </c>
      <c r="C932">
        <v>984653</v>
      </c>
      <c r="E932" t="s">
        <v>14</v>
      </c>
      <c r="F932" t="s">
        <v>2205</v>
      </c>
      <c r="H932">
        <v>1018920</v>
      </c>
      <c r="I932" t="s">
        <v>17</v>
      </c>
      <c r="K932" t="s">
        <v>2677</v>
      </c>
      <c r="L932">
        <v>517</v>
      </c>
      <c r="M932" t="s">
        <v>2678</v>
      </c>
    </row>
    <row r="933" spans="1:13" x14ac:dyDescent="0.35">
      <c r="A933" t="s">
        <v>13</v>
      </c>
      <c r="B933">
        <v>984861</v>
      </c>
      <c r="C933">
        <v>986510</v>
      </c>
      <c r="E933" t="s">
        <v>38</v>
      </c>
      <c r="F933" t="s">
        <v>2679</v>
      </c>
      <c r="H933">
        <v>1018921</v>
      </c>
      <c r="I933" t="s">
        <v>17</v>
      </c>
      <c r="K933" t="s">
        <v>2680</v>
      </c>
      <c r="L933">
        <v>549</v>
      </c>
      <c r="M933" t="s">
        <v>2681</v>
      </c>
    </row>
    <row r="934" spans="1:13" x14ac:dyDescent="0.35">
      <c r="A934" t="s">
        <v>13</v>
      </c>
      <c r="B934">
        <v>986739</v>
      </c>
      <c r="C934">
        <v>988010</v>
      </c>
      <c r="E934" t="s">
        <v>14</v>
      </c>
      <c r="F934" t="s">
        <v>2682</v>
      </c>
      <c r="G934" t="s">
        <v>2683</v>
      </c>
      <c r="H934">
        <v>1018922</v>
      </c>
      <c r="I934" t="s">
        <v>17</v>
      </c>
      <c r="K934" t="s">
        <v>2684</v>
      </c>
      <c r="L934">
        <v>423</v>
      </c>
      <c r="M934" t="s">
        <v>2685</v>
      </c>
    </row>
    <row r="935" spans="1:13" x14ac:dyDescent="0.35">
      <c r="A935" t="s">
        <v>13</v>
      </c>
      <c r="B935">
        <v>988023</v>
      </c>
      <c r="C935">
        <v>988907</v>
      </c>
      <c r="E935" t="s">
        <v>14</v>
      </c>
      <c r="F935" t="s">
        <v>2686</v>
      </c>
      <c r="G935" t="s">
        <v>2687</v>
      </c>
      <c r="H935">
        <v>1018923</v>
      </c>
      <c r="I935" t="s">
        <v>17</v>
      </c>
      <c r="K935" t="s">
        <v>2688</v>
      </c>
      <c r="L935">
        <v>294</v>
      </c>
      <c r="M935" t="s">
        <v>2689</v>
      </c>
    </row>
    <row r="936" spans="1:13" x14ac:dyDescent="0.35">
      <c r="A936" t="s">
        <v>13</v>
      </c>
      <c r="B936">
        <v>988904</v>
      </c>
      <c r="C936">
        <v>989983</v>
      </c>
      <c r="E936" t="s">
        <v>14</v>
      </c>
      <c r="F936" t="s">
        <v>2690</v>
      </c>
      <c r="G936" t="s">
        <v>2691</v>
      </c>
      <c r="H936">
        <v>1018924</v>
      </c>
      <c r="I936" t="s">
        <v>17</v>
      </c>
      <c r="K936" t="s">
        <v>2692</v>
      </c>
      <c r="L936">
        <v>359</v>
      </c>
      <c r="M936" t="s">
        <v>2693</v>
      </c>
    </row>
    <row r="937" spans="1:13" x14ac:dyDescent="0.35">
      <c r="A937" t="s">
        <v>13</v>
      </c>
      <c r="B937">
        <v>989980</v>
      </c>
      <c r="C937">
        <v>990708</v>
      </c>
      <c r="E937" t="s">
        <v>14</v>
      </c>
      <c r="F937" t="s">
        <v>2694</v>
      </c>
      <c r="G937" t="s">
        <v>2695</v>
      </c>
      <c r="H937">
        <v>1018925</v>
      </c>
      <c r="I937" t="s">
        <v>17</v>
      </c>
      <c r="K937" t="s">
        <v>2696</v>
      </c>
      <c r="L937">
        <v>242</v>
      </c>
      <c r="M937" t="s">
        <v>2697</v>
      </c>
    </row>
    <row r="938" spans="1:13" x14ac:dyDescent="0.35">
      <c r="A938" t="s">
        <v>13</v>
      </c>
      <c r="B938">
        <v>990716</v>
      </c>
      <c r="C938">
        <v>991417</v>
      </c>
      <c r="E938" t="s">
        <v>14</v>
      </c>
      <c r="F938" t="s">
        <v>2698</v>
      </c>
      <c r="G938" t="s">
        <v>2699</v>
      </c>
      <c r="H938">
        <v>1018926</v>
      </c>
      <c r="I938" t="s">
        <v>17</v>
      </c>
      <c r="K938" t="s">
        <v>2700</v>
      </c>
      <c r="L938">
        <v>233</v>
      </c>
      <c r="M938" t="s">
        <v>2701</v>
      </c>
    </row>
    <row r="939" spans="1:13" x14ac:dyDescent="0.35">
      <c r="A939" t="s">
        <v>13</v>
      </c>
      <c r="B939">
        <v>991414</v>
      </c>
      <c r="C939">
        <v>992028</v>
      </c>
      <c r="E939" t="s">
        <v>38</v>
      </c>
      <c r="F939" t="s">
        <v>2702</v>
      </c>
      <c r="G939" t="s">
        <v>2703</v>
      </c>
      <c r="H939">
        <v>1018927</v>
      </c>
      <c r="I939" t="s">
        <v>17</v>
      </c>
      <c r="K939" t="s">
        <v>2704</v>
      </c>
      <c r="L939">
        <v>204</v>
      </c>
      <c r="M939" t="s">
        <v>2705</v>
      </c>
    </row>
    <row r="940" spans="1:13" x14ac:dyDescent="0.35">
      <c r="A940" t="s">
        <v>13</v>
      </c>
      <c r="B940">
        <v>992058</v>
      </c>
      <c r="C940">
        <v>993083</v>
      </c>
      <c r="E940" t="s">
        <v>14</v>
      </c>
      <c r="F940" t="s">
        <v>2706</v>
      </c>
      <c r="H940">
        <v>1018928</v>
      </c>
      <c r="I940" t="s">
        <v>17</v>
      </c>
      <c r="K940" t="s">
        <v>2707</v>
      </c>
      <c r="L940">
        <v>341</v>
      </c>
      <c r="M940" t="s">
        <v>2708</v>
      </c>
    </row>
    <row r="941" spans="1:13" x14ac:dyDescent="0.35">
      <c r="A941" t="s">
        <v>13</v>
      </c>
      <c r="B941">
        <v>993174</v>
      </c>
      <c r="C941">
        <v>994616</v>
      </c>
      <c r="E941" t="s">
        <v>14</v>
      </c>
      <c r="F941" t="s">
        <v>2709</v>
      </c>
      <c r="H941">
        <v>1018929</v>
      </c>
      <c r="I941" t="s">
        <v>17</v>
      </c>
      <c r="K941" t="s">
        <v>2710</v>
      </c>
      <c r="L941">
        <v>480</v>
      </c>
      <c r="M941" t="s">
        <v>2711</v>
      </c>
    </row>
    <row r="942" spans="1:13" x14ac:dyDescent="0.35">
      <c r="A942" t="s">
        <v>13</v>
      </c>
      <c r="B942">
        <v>994650</v>
      </c>
      <c r="C942">
        <v>994841</v>
      </c>
      <c r="E942" t="s">
        <v>14</v>
      </c>
      <c r="F942" t="s">
        <v>49</v>
      </c>
      <c r="H942">
        <v>44144942</v>
      </c>
      <c r="I942" t="s">
        <v>17</v>
      </c>
      <c r="K942" t="s">
        <v>2712</v>
      </c>
      <c r="L942">
        <v>63</v>
      </c>
      <c r="M942" t="s">
        <v>2713</v>
      </c>
    </row>
    <row r="943" spans="1:13" x14ac:dyDescent="0.35">
      <c r="A943" t="s">
        <v>13</v>
      </c>
      <c r="B943">
        <v>994842</v>
      </c>
      <c r="C943">
        <v>995375</v>
      </c>
      <c r="E943" t="s">
        <v>38</v>
      </c>
      <c r="F943" t="s">
        <v>2702</v>
      </c>
      <c r="G943" t="s">
        <v>2703</v>
      </c>
      <c r="H943">
        <v>1018930</v>
      </c>
      <c r="I943" t="s">
        <v>17</v>
      </c>
      <c r="K943" t="s">
        <v>2714</v>
      </c>
      <c r="L943">
        <v>177</v>
      </c>
      <c r="M943" t="s">
        <v>2715</v>
      </c>
    </row>
    <row r="944" spans="1:13" x14ac:dyDescent="0.35">
      <c r="A944" t="s">
        <v>13</v>
      </c>
      <c r="B944">
        <v>995524</v>
      </c>
      <c r="C944">
        <v>996126</v>
      </c>
      <c r="E944" t="s">
        <v>38</v>
      </c>
      <c r="F944" t="s">
        <v>2716</v>
      </c>
      <c r="H944">
        <v>1018931</v>
      </c>
      <c r="I944" t="s">
        <v>17</v>
      </c>
      <c r="K944" t="s">
        <v>2717</v>
      </c>
      <c r="L944">
        <v>200</v>
      </c>
      <c r="M944" t="s">
        <v>2718</v>
      </c>
    </row>
    <row r="945" spans="1:13" x14ac:dyDescent="0.35">
      <c r="A945" t="s">
        <v>13</v>
      </c>
      <c r="B945">
        <v>996402</v>
      </c>
      <c r="C945">
        <v>996833</v>
      </c>
      <c r="E945" t="s">
        <v>14</v>
      </c>
      <c r="F945" t="s">
        <v>356</v>
      </c>
      <c r="H945">
        <v>1018932</v>
      </c>
      <c r="I945" t="s">
        <v>17</v>
      </c>
      <c r="K945" t="s">
        <v>2719</v>
      </c>
      <c r="L945">
        <v>143</v>
      </c>
      <c r="M945" t="s">
        <v>2720</v>
      </c>
    </row>
    <row r="946" spans="1:13" x14ac:dyDescent="0.35">
      <c r="A946" t="s">
        <v>13</v>
      </c>
      <c r="B946">
        <v>996830</v>
      </c>
      <c r="C946">
        <v>997456</v>
      </c>
      <c r="E946" t="s">
        <v>38</v>
      </c>
      <c r="F946" t="s">
        <v>2721</v>
      </c>
      <c r="H946">
        <v>1018933</v>
      </c>
      <c r="I946" t="s">
        <v>17</v>
      </c>
      <c r="K946" t="s">
        <v>2722</v>
      </c>
      <c r="L946">
        <v>208</v>
      </c>
      <c r="M946" t="s">
        <v>2723</v>
      </c>
    </row>
    <row r="947" spans="1:13" x14ac:dyDescent="0.35">
      <c r="A947" t="s">
        <v>13</v>
      </c>
      <c r="B947">
        <v>997463</v>
      </c>
      <c r="C947">
        <v>998440</v>
      </c>
      <c r="E947" t="s">
        <v>38</v>
      </c>
      <c r="F947" t="s">
        <v>2724</v>
      </c>
      <c r="H947">
        <v>1018934</v>
      </c>
      <c r="I947" t="s">
        <v>17</v>
      </c>
      <c r="K947" t="s">
        <v>2725</v>
      </c>
      <c r="L947">
        <v>325</v>
      </c>
      <c r="M947" t="s">
        <v>2726</v>
      </c>
    </row>
    <row r="948" spans="1:13" x14ac:dyDescent="0.35">
      <c r="A948" t="s">
        <v>13</v>
      </c>
      <c r="B948">
        <v>998452</v>
      </c>
      <c r="C948">
        <v>999909</v>
      </c>
      <c r="E948" t="s">
        <v>38</v>
      </c>
      <c r="F948" t="s">
        <v>2727</v>
      </c>
      <c r="G948" t="s">
        <v>2728</v>
      </c>
      <c r="H948">
        <v>1018935</v>
      </c>
      <c r="I948" t="s">
        <v>17</v>
      </c>
      <c r="K948" t="s">
        <v>2729</v>
      </c>
      <c r="L948">
        <v>485</v>
      </c>
      <c r="M948" t="s">
        <v>2730</v>
      </c>
    </row>
    <row r="949" spans="1:13" x14ac:dyDescent="0.35">
      <c r="A949" t="s">
        <v>13</v>
      </c>
      <c r="B949">
        <v>1000013</v>
      </c>
      <c r="C949">
        <v>1001242</v>
      </c>
      <c r="E949" t="s">
        <v>38</v>
      </c>
      <c r="F949" t="s">
        <v>265</v>
      </c>
      <c r="H949">
        <v>1018936</v>
      </c>
      <c r="I949" t="s">
        <v>17</v>
      </c>
      <c r="K949" t="s">
        <v>2731</v>
      </c>
      <c r="L949">
        <v>409</v>
      </c>
      <c r="M949" t="s">
        <v>2732</v>
      </c>
    </row>
    <row r="950" spans="1:13" x14ac:dyDescent="0.35">
      <c r="A950" t="s">
        <v>13</v>
      </c>
      <c r="B950">
        <v>1001326</v>
      </c>
      <c r="C950">
        <v>1002867</v>
      </c>
      <c r="E950" t="s">
        <v>14</v>
      </c>
      <c r="F950" t="s">
        <v>2733</v>
      </c>
      <c r="H950">
        <v>1018937</v>
      </c>
      <c r="I950" t="s">
        <v>17</v>
      </c>
      <c r="K950" t="s">
        <v>2734</v>
      </c>
      <c r="L950">
        <v>513</v>
      </c>
      <c r="M950" t="s">
        <v>2735</v>
      </c>
    </row>
    <row r="951" spans="1:13" x14ac:dyDescent="0.35">
      <c r="A951" t="s">
        <v>13</v>
      </c>
      <c r="B951">
        <v>1003013</v>
      </c>
      <c r="C951">
        <v>1003933</v>
      </c>
      <c r="E951" t="s">
        <v>14</v>
      </c>
      <c r="F951" t="s">
        <v>147</v>
      </c>
      <c r="H951">
        <v>1018938</v>
      </c>
      <c r="I951" t="s">
        <v>17</v>
      </c>
      <c r="K951" t="s">
        <v>2736</v>
      </c>
      <c r="L951">
        <v>306</v>
      </c>
      <c r="M951" t="s">
        <v>2737</v>
      </c>
    </row>
    <row r="952" spans="1:13" x14ac:dyDescent="0.35">
      <c r="A952" t="s">
        <v>13</v>
      </c>
      <c r="B952">
        <v>1003953</v>
      </c>
      <c r="C952">
        <v>1004786</v>
      </c>
      <c r="E952" t="s">
        <v>14</v>
      </c>
      <c r="F952" t="s">
        <v>124</v>
      </c>
      <c r="H952">
        <v>1018939</v>
      </c>
      <c r="I952" t="s">
        <v>17</v>
      </c>
      <c r="K952" t="s">
        <v>2738</v>
      </c>
      <c r="L952">
        <v>277</v>
      </c>
      <c r="M952" t="s">
        <v>2739</v>
      </c>
    </row>
    <row r="953" spans="1:13" x14ac:dyDescent="0.35">
      <c r="A953" t="s">
        <v>13</v>
      </c>
      <c r="B953">
        <v>1004829</v>
      </c>
      <c r="C953">
        <v>1006088</v>
      </c>
      <c r="E953" t="s">
        <v>14</v>
      </c>
      <c r="F953" t="s">
        <v>237</v>
      </c>
      <c r="H953">
        <v>1018940</v>
      </c>
      <c r="I953" t="s">
        <v>17</v>
      </c>
      <c r="K953" t="s">
        <v>2740</v>
      </c>
      <c r="L953">
        <v>419</v>
      </c>
      <c r="M953" t="s">
        <v>2741</v>
      </c>
    </row>
    <row r="954" spans="1:13" x14ac:dyDescent="0.35">
      <c r="A954" t="s">
        <v>13</v>
      </c>
      <c r="B954">
        <v>1006089</v>
      </c>
      <c r="C954">
        <v>1006700</v>
      </c>
      <c r="E954" t="s">
        <v>14</v>
      </c>
      <c r="F954" t="s">
        <v>835</v>
      </c>
      <c r="H954">
        <v>1018941</v>
      </c>
      <c r="I954" t="s">
        <v>17</v>
      </c>
      <c r="K954" t="s">
        <v>2742</v>
      </c>
      <c r="L954">
        <v>203</v>
      </c>
      <c r="M954" t="s">
        <v>2743</v>
      </c>
    </row>
    <row r="955" spans="1:13" x14ac:dyDescent="0.35">
      <c r="A955" t="s">
        <v>13</v>
      </c>
      <c r="B955">
        <v>1006731</v>
      </c>
      <c r="C955">
        <v>1006865</v>
      </c>
      <c r="E955" t="s">
        <v>38</v>
      </c>
      <c r="F955" t="s">
        <v>49</v>
      </c>
      <c r="H955">
        <v>92792323</v>
      </c>
      <c r="I955" t="s">
        <v>17</v>
      </c>
      <c r="K955" t="s">
        <v>2744</v>
      </c>
      <c r="L955">
        <v>44</v>
      </c>
      <c r="M955" t="s">
        <v>2745</v>
      </c>
    </row>
    <row r="956" spans="1:13" x14ac:dyDescent="0.35">
      <c r="A956" t="s">
        <v>13</v>
      </c>
      <c r="B956">
        <v>1007049</v>
      </c>
      <c r="C956">
        <v>1008155</v>
      </c>
      <c r="E956" t="s">
        <v>14</v>
      </c>
      <c r="F956" t="s">
        <v>1967</v>
      </c>
      <c r="H956">
        <v>1018942</v>
      </c>
      <c r="I956" t="s">
        <v>17</v>
      </c>
      <c r="K956" t="s">
        <v>2746</v>
      </c>
      <c r="L956">
        <v>368</v>
      </c>
      <c r="M956" t="s">
        <v>2747</v>
      </c>
    </row>
    <row r="957" spans="1:13" x14ac:dyDescent="0.35">
      <c r="A957" t="s">
        <v>13</v>
      </c>
      <c r="B957">
        <v>1008259</v>
      </c>
      <c r="C957">
        <v>1008534</v>
      </c>
      <c r="E957" t="s">
        <v>14</v>
      </c>
      <c r="F957" t="s">
        <v>49</v>
      </c>
      <c r="H957">
        <v>44144943</v>
      </c>
      <c r="I957" t="s">
        <v>17</v>
      </c>
      <c r="K957" t="s">
        <v>2748</v>
      </c>
      <c r="L957">
        <v>91</v>
      </c>
      <c r="M957" t="s">
        <v>2749</v>
      </c>
    </row>
    <row r="958" spans="1:13" x14ac:dyDescent="0.35">
      <c r="A958" t="s">
        <v>13</v>
      </c>
      <c r="B958">
        <v>1008664</v>
      </c>
      <c r="C958">
        <v>1010064</v>
      </c>
      <c r="E958" t="s">
        <v>14</v>
      </c>
      <c r="F958" t="s">
        <v>721</v>
      </c>
      <c r="H958">
        <v>1018943</v>
      </c>
      <c r="I958" t="s">
        <v>17</v>
      </c>
      <c r="K958" t="s">
        <v>2750</v>
      </c>
      <c r="L958">
        <v>466</v>
      </c>
      <c r="M958" t="s">
        <v>2751</v>
      </c>
    </row>
    <row r="959" spans="1:13" x14ac:dyDescent="0.35">
      <c r="A959" t="s">
        <v>13</v>
      </c>
      <c r="B959">
        <v>1010057</v>
      </c>
      <c r="C959">
        <v>1011793</v>
      </c>
      <c r="E959" t="s">
        <v>14</v>
      </c>
      <c r="F959" t="s">
        <v>147</v>
      </c>
      <c r="H959">
        <v>1018944</v>
      </c>
      <c r="I959" t="s">
        <v>17</v>
      </c>
      <c r="K959" t="s">
        <v>2752</v>
      </c>
      <c r="L959">
        <v>578</v>
      </c>
      <c r="M959" t="s">
        <v>2753</v>
      </c>
    </row>
    <row r="960" spans="1:13" x14ac:dyDescent="0.35">
      <c r="A960" t="s">
        <v>13</v>
      </c>
      <c r="B960">
        <v>1011794</v>
      </c>
      <c r="C960">
        <v>1013767</v>
      </c>
      <c r="E960" t="s">
        <v>38</v>
      </c>
      <c r="F960" t="s">
        <v>2754</v>
      </c>
      <c r="G960" t="s">
        <v>2755</v>
      </c>
      <c r="H960">
        <v>1018945</v>
      </c>
      <c r="I960" t="s">
        <v>17</v>
      </c>
      <c r="K960" t="s">
        <v>2756</v>
      </c>
      <c r="L960">
        <v>657</v>
      </c>
      <c r="M960" t="s">
        <v>2757</v>
      </c>
    </row>
    <row r="961" spans="1:13" x14ac:dyDescent="0.35">
      <c r="A961" t="s">
        <v>13</v>
      </c>
      <c r="B961">
        <v>1014016</v>
      </c>
      <c r="C961">
        <v>1014267</v>
      </c>
      <c r="E961" t="s">
        <v>14</v>
      </c>
      <c r="F961" t="s">
        <v>49</v>
      </c>
      <c r="H961">
        <v>1018946</v>
      </c>
      <c r="I961" t="s">
        <v>17</v>
      </c>
      <c r="K961" t="s">
        <v>2758</v>
      </c>
      <c r="L961">
        <v>83</v>
      </c>
      <c r="M961" t="s">
        <v>2759</v>
      </c>
    </row>
    <row r="962" spans="1:13" x14ac:dyDescent="0.35">
      <c r="A962" t="s">
        <v>13</v>
      </c>
      <c r="B962">
        <v>1014340</v>
      </c>
      <c r="C962">
        <v>1014765</v>
      </c>
      <c r="E962" t="s">
        <v>38</v>
      </c>
      <c r="F962" t="s">
        <v>1021</v>
      </c>
      <c r="H962">
        <v>1018947</v>
      </c>
      <c r="I962" t="s">
        <v>17</v>
      </c>
      <c r="K962" t="s">
        <v>2760</v>
      </c>
      <c r="L962">
        <v>141</v>
      </c>
      <c r="M962" t="s">
        <v>2761</v>
      </c>
    </row>
    <row r="963" spans="1:13" x14ac:dyDescent="0.35">
      <c r="A963" t="s">
        <v>13</v>
      </c>
      <c r="B963">
        <v>1015142</v>
      </c>
      <c r="C963">
        <v>1015852</v>
      </c>
      <c r="E963" t="s">
        <v>38</v>
      </c>
      <c r="F963" t="s">
        <v>2762</v>
      </c>
      <c r="H963">
        <v>1018948</v>
      </c>
      <c r="I963" t="s">
        <v>17</v>
      </c>
      <c r="K963" t="s">
        <v>2763</v>
      </c>
      <c r="L963">
        <v>236</v>
      </c>
      <c r="M963" t="s">
        <v>2764</v>
      </c>
    </row>
    <row r="964" spans="1:13" x14ac:dyDescent="0.35">
      <c r="A964" t="s">
        <v>13</v>
      </c>
      <c r="B964">
        <v>1015982</v>
      </c>
      <c r="C964">
        <v>1016563</v>
      </c>
      <c r="E964" t="s">
        <v>14</v>
      </c>
      <c r="F964" t="s">
        <v>49</v>
      </c>
      <c r="H964">
        <v>1018949</v>
      </c>
      <c r="I964" t="s">
        <v>17</v>
      </c>
      <c r="K964" t="s">
        <v>2765</v>
      </c>
      <c r="L964">
        <v>193</v>
      </c>
      <c r="M964" t="s">
        <v>2766</v>
      </c>
    </row>
    <row r="965" spans="1:13" x14ac:dyDescent="0.35">
      <c r="A965" t="s">
        <v>13</v>
      </c>
      <c r="B965">
        <v>1016563</v>
      </c>
      <c r="C965">
        <v>1017021</v>
      </c>
      <c r="E965" t="s">
        <v>14</v>
      </c>
      <c r="F965" t="s">
        <v>49</v>
      </c>
      <c r="H965">
        <v>1018950</v>
      </c>
      <c r="I965" t="s">
        <v>17</v>
      </c>
      <c r="K965" t="s">
        <v>2767</v>
      </c>
      <c r="L965">
        <v>152</v>
      </c>
      <c r="M965" t="s">
        <v>2768</v>
      </c>
    </row>
    <row r="966" spans="1:13" x14ac:dyDescent="0.35">
      <c r="A966" t="s">
        <v>13</v>
      </c>
      <c r="B966">
        <v>1017271</v>
      </c>
      <c r="C966">
        <v>1017870</v>
      </c>
      <c r="E966" t="s">
        <v>38</v>
      </c>
      <c r="F966" t="s">
        <v>49</v>
      </c>
      <c r="H966">
        <v>1018951</v>
      </c>
      <c r="I966" t="s">
        <v>17</v>
      </c>
      <c r="K966" t="s">
        <v>2769</v>
      </c>
      <c r="L966">
        <v>199</v>
      </c>
      <c r="M966" t="s">
        <v>2770</v>
      </c>
    </row>
    <row r="967" spans="1:13" x14ac:dyDescent="0.35">
      <c r="A967" t="s">
        <v>13</v>
      </c>
      <c r="B967">
        <v>1018416</v>
      </c>
      <c r="C967">
        <v>1019069</v>
      </c>
      <c r="E967" t="s">
        <v>14</v>
      </c>
      <c r="F967" t="s">
        <v>1126</v>
      </c>
      <c r="H967">
        <v>1018952</v>
      </c>
      <c r="I967" t="s">
        <v>17</v>
      </c>
      <c r="K967" t="s">
        <v>2771</v>
      </c>
      <c r="L967">
        <v>217</v>
      </c>
      <c r="M967" t="s">
        <v>2772</v>
      </c>
    </row>
    <row r="968" spans="1:13" x14ac:dyDescent="0.35">
      <c r="A968" t="s">
        <v>13</v>
      </c>
      <c r="B968">
        <v>1019075</v>
      </c>
      <c r="C968">
        <v>1022719</v>
      </c>
      <c r="E968" t="s">
        <v>14</v>
      </c>
      <c r="F968" t="s">
        <v>2773</v>
      </c>
      <c r="G968" t="s">
        <v>2774</v>
      </c>
      <c r="H968">
        <v>1018953</v>
      </c>
      <c r="I968" t="s">
        <v>17</v>
      </c>
      <c r="K968" t="s">
        <v>2775</v>
      </c>
      <c r="L968">
        <v>1214</v>
      </c>
      <c r="M968" t="s">
        <v>2776</v>
      </c>
    </row>
    <row r="969" spans="1:13" x14ac:dyDescent="0.35">
      <c r="A969" t="s">
        <v>13</v>
      </c>
      <c r="B969">
        <v>1022696</v>
      </c>
      <c r="C969">
        <v>1024666</v>
      </c>
      <c r="E969" t="s">
        <v>38</v>
      </c>
      <c r="F969" t="s">
        <v>147</v>
      </c>
      <c r="H969">
        <v>1018954</v>
      </c>
      <c r="I969" t="s">
        <v>17</v>
      </c>
      <c r="K969" t="s">
        <v>2777</v>
      </c>
      <c r="L969">
        <v>656</v>
      </c>
      <c r="M969" t="s">
        <v>2778</v>
      </c>
    </row>
    <row r="970" spans="1:13" x14ac:dyDescent="0.35">
      <c r="A970" t="s">
        <v>13</v>
      </c>
      <c r="B970">
        <v>1024663</v>
      </c>
      <c r="C970">
        <v>1026396</v>
      </c>
      <c r="E970" t="s">
        <v>38</v>
      </c>
      <c r="F970" t="s">
        <v>147</v>
      </c>
      <c r="H970">
        <v>1018955</v>
      </c>
      <c r="I970" t="s">
        <v>17</v>
      </c>
      <c r="K970" t="s">
        <v>2779</v>
      </c>
      <c r="L970">
        <v>577</v>
      </c>
      <c r="M970" t="s">
        <v>2780</v>
      </c>
    </row>
    <row r="971" spans="1:13" x14ac:dyDescent="0.35">
      <c r="A971" t="s">
        <v>13</v>
      </c>
      <c r="B971">
        <v>1026502</v>
      </c>
      <c r="C971">
        <v>1029000</v>
      </c>
      <c r="E971" t="s">
        <v>38</v>
      </c>
      <c r="F971" t="s">
        <v>2781</v>
      </c>
      <c r="H971">
        <v>1018956</v>
      </c>
      <c r="I971" t="s">
        <v>17</v>
      </c>
      <c r="K971" t="s">
        <v>2782</v>
      </c>
      <c r="L971">
        <v>832</v>
      </c>
      <c r="M971" t="s">
        <v>2783</v>
      </c>
    </row>
    <row r="972" spans="1:13" x14ac:dyDescent="0.35">
      <c r="A972" t="s">
        <v>13</v>
      </c>
      <c r="B972">
        <v>1029003</v>
      </c>
      <c r="C972">
        <v>1030283</v>
      </c>
      <c r="E972" t="s">
        <v>38</v>
      </c>
      <c r="F972" t="s">
        <v>391</v>
      </c>
      <c r="H972">
        <v>1018957</v>
      </c>
      <c r="I972" t="s">
        <v>17</v>
      </c>
      <c r="K972" t="s">
        <v>2784</v>
      </c>
      <c r="L972">
        <v>426</v>
      </c>
      <c r="M972" t="s">
        <v>2785</v>
      </c>
    </row>
    <row r="973" spans="1:13" x14ac:dyDescent="0.35">
      <c r="A973" t="s">
        <v>13</v>
      </c>
      <c r="B973">
        <v>1030366</v>
      </c>
      <c r="C973">
        <v>1031871</v>
      </c>
      <c r="E973" t="s">
        <v>38</v>
      </c>
      <c r="F973" t="s">
        <v>2786</v>
      </c>
      <c r="H973">
        <v>1018958</v>
      </c>
      <c r="I973" t="s">
        <v>17</v>
      </c>
      <c r="K973" t="s">
        <v>2787</v>
      </c>
      <c r="L973">
        <v>501</v>
      </c>
      <c r="M973" t="s">
        <v>2788</v>
      </c>
    </row>
    <row r="974" spans="1:13" x14ac:dyDescent="0.35">
      <c r="A974" t="s">
        <v>13</v>
      </c>
      <c r="B974">
        <v>1031972</v>
      </c>
      <c r="C974">
        <v>1032184</v>
      </c>
      <c r="E974" t="s">
        <v>14</v>
      </c>
      <c r="F974" t="s">
        <v>2789</v>
      </c>
      <c r="H974">
        <v>1018959</v>
      </c>
      <c r="I974" t="s">
        <v>17</v>
      </c>
      <c r="K974" t="s">
        <v>2790</v>
      </c>
      <c r="L974">
        <v>70</v>
      </c>
      <c r="M974" t="s">
        <v>2791</v>
      </c>
    </row>
    <row r="975" spans="1:13" x14ac:dyDescent="0.35">
      <c r="A975" t="s">
        <v>13</v>
      </c>
      <c r="B975">
        <v>1032196</v>
      </c>
      <c r="C975">
        <v>1032783</v>
      </c>
      <c r="E975" t="s">
        <v>14</v>
      </c>
      <c r="F975" t="s">
        <v>2792</v>
      </c>
      <c r="H975">
        <v>1018960</v>
      </c>
      <c r="I975" t="s">
        <v>17</v>
      </c>
      <c r="K975" t="s">
        <v>2793</v>
      </c>
      <c r="L975">
        <v>195</v>
      </c>
      <c r="M975" t="s">
        <v>2794</v>
      </c>
    </row>
    <row r="976" spans="1:13" x14ac:dyDescent="0.35">
      <c r="A976" t="s">
        <v>13</v>
      </c>
      <c r="B976">
        <v>1032757</v>
      </c>
      <c r="C976">
        <v>1033128</v>
      </c>
      <c r="E976" t="s">
        <v>38</v>
      </c>
      <c r="F976" t="s">
        <v>49</v>
      </c>
      <c r="H976">
        <v>1018961</v>
      </c>
      <c r="I976" t="s">
        <v>17</v>
      </c>
      <c r="K976" t="s">
        <v>2795</v>
      </c>
      <c r="L976">
        <v>123</v>
      </c>
      <c r="M976" t="s">
        <v>2796</v>
      </c>
    </row>
    <row r="977" spans="1:13" x14ac:dyDescent="0.35">
      <c r="A977" t="s">
        <v>13</v>
      </c>
      <c r="B977">
        <v>1033266</v>
      </c>
      <c r="C977">
        <v>1033646</v>
      </c>
      <c r="E977" t="s">
        <v>38</v>
      </c>
      <c r="F977" t="s">
        <v>2797</v>
      </c>
      <c r="H977">
        <v>1018962</v>
      </c>
      <c r="I977" t="s">
        <v>17</v>
      </c>
      <c r="K977" t="s">
        <v>2798</v>
      </c>
      <c r="L977">
        <v>126</v>
      </c>
      <c r="M977" t="s">
        <v>2799</v>
      </c>
    </row>
    <row r="978" spans="1:13" x14ac:dyDescent="0.35">
      <c r="A978" t="s">
        <v>13</v>
      </c>
      <c r="B978">
        <v>1033978</v>
      </c>
      <c r="C978">
        <v>1034742</v>
      </c>
      <c r="E978" t="s">
        <v>14</v>
      </c>
      <c r="F978" t="s">
        <v>2800</v>
      </c>
      <c r="H978">
        <v>1018963</v>
      </c>
      <c r="I978" t="s">
        <v>17</v>
      </c>
      <c r="K978" t="s">
        <v>2801</v>
      </c>
      <c r="L978">
        <v>254</v>
      </c>
      <c r="M978" t="s">
        <v>2802</v>
      </c>
    </row>
    <row r="979" spans="1:13" x14ac:dyDescent="0.35">
      <c r="A979" t="s">
        <v>13</v>
      </c>
      <c r="B979">
        <v>1034949</v>
      </c>
      <c r="C979">
        <v>1036226</v>
      </c>
      <c r="E979" t="s">
        <v>14</v>
      </c>
      <c r="F979" t="s">
        <v>2803</v>
      </c>
      <c r="G979" t="s">
        <v>2804</v>
      </c>
      <c r="H979">
        <v>1018964</v>
      </c>
      <c r="I979" t="s">
        <v>17</v>
      </c>
      <c r="K979" t="s">
        <v>2805</v>
      </c>
      <c r="L979">
        <v>425</v>
      </c>
      <c r="M979" t="s">
        <v>2806</v>
      </c>
    </row>
    <row r="980" spans="1:13" x14ac:dyDescent="0.35">
      <c r="A980" t="s">
        <v>13</v>
      </c>
      <c r="B980">
        <v>1036316</v>
      </c>
      <c r="C980">
        <v>1036858</v>
      </c>
      <c r="E980" t="s">
        <v>14</v>
      </c>
      <c r="F980" t="s">
        <v>2807</v>
      </c>
      <c r="H980">
        <v>1018965</v>
      </c>
      <c r="I980" t="s">
        <v>17</v>
      </c>
      <c r="K980" t="s">
        <v>2808</v>
      </c>
      <c r="L980">
        <v>180</v>
      </c>
      <c r="M980" t="s">
        <v>2809</v>
      </c>
    </row>
    <row r="981" spans="1:13" x14ac:dyDescent="0.35">
      <c r="A981" t="s">
        <v>13</v>
      </c>
      <c r="B981">
        <v>1036894</v>
      </c>
      <c r="C981">
        <v>1037448</v>
      </c>
      <c r="E981" t="s">
        <v>14</v>
      </c>
      <c r="F981" t="s">
        <v>2810</v>
      </c>
      <c r="H981">
        <v>1018966</v>
      </c>
      <c r="I981" t="s">
        <v>17</v>
      </c>
      <c r="K981" t="s">
        <v>2811</v>
      </c>
      <c r="L981">
        <v>184</v>
      </c>
      <c r="M981" t="s">
        <v>2812</v>
      </c>
    </row>
    <row r="982" spans="1:13" x14ac:dyDescent="0.35">
      <c r="A982" t="s">
        <v>13</v>
      </c>
      <c r="B982">
        <v>1037448</v>
      </c>
      <c r="C982">
        <v>1038413</v>
      </c>
      <c r="E982" t="s">
        <v>14</v>
      </c>
      <c r="F982" t="s">
        <v>2813</v>
      </c>
      <c r="G982" t="s">
        <v>2814</v>
      </c>
      <c r="H982">
        <v>1018967</v>
      </c>
      <c r="I982" t="s">
        <v>17</v>
      </c>
      <c r="K982" t="s">
        <v>2815</v>
      </c>
      <c r="L982">
        <v>321</v>
      </c>
      <c r="M982" t="s">
        <v>2816</v>
      </c>
    </row>
    <row r="983" spans="1:13" x14ac:dyDescent="0.35">
      <c r="A983" t="s">
        <v>13</v>
      </c>
      <c r="B983">
        <v>1038513</v>
      </c>
      <c r="C983">
        <v>1038589</v>
      </c>
      <c r="E983" t="s">
        <v>14</v>
      </c>
      <c r="F983" t="s">
        <v>179</v>
      </c>
      <c r="H983">
        <v>2745357</v>
      </c>
      <c r="I983" t="s">
        <v>62</v>
      </c>
      <c r="M983" t="s">
        <v>2817</v>
      </c>
    </row>
    <row r="984" spans="1:13" x14ac:dyDescent="0.35">
      <c r="A984" t="s">
        <v>13</v>
      </c>
      <c r="B984">
        <v>1038718</v>
      </c>
      <c r="C984">
        <v>1039650</v>
      </c>
      <c r="E984" t="s">
        <v>38</v>
      </c>
      <c r="F984" t="s">
        <v>2818</v>
      </c>
      <c r="H984">
        <v>1018968</v>
      </c>
      <c r="I984" t="s">
        <v>17</v>
      </c>
      <c r="K984" t="s">
        <v>2819</v>
      </c>
      <c r="L984">
        <v>310</v>
      </c>
      <c r="M984" t="s">
        <v>2820</v>
      </c>
    </row>
    <row r="985" spans="1:13" x14ac:dyDescent="0.35">
      <c r="A985" t="s">
        <v>13</v>
      </c>
      <c r="B985">
        <v>1039783</v>
      </c>
      <c r="C985">
        <v>1039980</v>
      </c>
      <c r="E985" t="s">
        <v>14</v>
      </c>
      <c r="F985" t="s">
        <v>49</v>
      </c>
      <c r="H985">
        <v>1018969</v>
      </c>
      <c r="I985" t="s">
        <v>17</v>
      </c>
      <c r="K985" t="s">
        <v>2821</v>
      </c>
      <c r="L985">
        <v>65</v>
      </c>
      <c r="M985" t="s">
        <v>2822</v>
      </c>
    </row>
    <row r="986" spans="1:13" x14ac:dyDescent="0.35">
      <c r="A986" t="s">
        <v>13</v>
      </c>
      <c r="B986">
        <v>1040002</v>
      </c>
      <c r="C986">
        <v>1040328</v>
      </c>
      <c r="E986" t="s">
        <v>14</v>
      </c>
      <c r="F986" t="s">
        <v>2082</v>
      </c>
      <c r="H986">
        <v>1018970</v>
      </c>
      <c r="I986" t="s">
        <v>17</v>
      </c>
      <c r="K986" t="s">
        <v>2823</v>
      </c>
      <c r="L986">
        <v>108</v>
      </c>
      <c r="M986" t="s">
        <v>2824</v>
      </c>
    </row>
    <row r="987" spans="1:13" x14ac:dyDescent="0.35">
      <c r="A987" t="s">
        <v>13</v>
      </c>
      <c r="B987">
        <v>1040494</v>
      </c>
      <c r="C987">
        <v>1040685</v>
      </c>
      <c r="E987" t="s">
        <v>14</v>
      </c>
      <c r="F987" t="s">
        <v>2825</v>
      </c>
      <c r="H987">
        <v>1018971</v>
      </c>
      <c r="I987" t="s">
        <v>17</v>
      </c>
      <c r="K987" t="s">
        <v>2826</v>
      </c>
      <c r="L987">
        <v>63</v>
      </c>
      <c r="M987" t="s">
        <v>2827</v>
      </c>
    </row>
    <row r="988" spans="1:13" x14ac:dyDescent="0.35">
      <c r="A988" t="s">
        <v>13</v>
      </c>
      <c r="B988">
        <v>1040925</v>
      </c>
      <c r="C988">
        <v>1041920</v>
      </c>
      <c r="E988" t="s">
        <v>14</v>
      </c>
      <c r="F988" t="s">
        <v>2828</v>
      </c>
      <c r="H988">
        <v>1018972</v>
      </c>
      <c r="I988" t="s">
        <v>17</v>
      </c>
      <c r="K988" t="s">
        <v>2829</v>
      </c>
      <c r="L988">
        <v>331</v>
      </c>
      <c r="M988" t="s">
        <v>2830</v>
      </c>
    </row>
    <row r="989" spans="1:13" x14ac:dyDescent="0.35">
      <c r="A989" t="s">
        <v>13</v>
      </c>
      <c r="B989">
        <v>1042027</v>
      </c>
      <c r="C989">
        <v>1042845</v>
      </c>
      <c r="E989" t="s">
        <v>14</v>
      </c>
      <c r="F989" t="s">
        <v>2831</v>
      </c>
      <c r="H989">
        <v>1018973</v>
      </c>
      <c r="I989" t="s">
        <v>17</v>
      </c>
      <c r="K989" t="s">
        <v>2832</v>
      </c>
      <c r="L989">
        <v>272</v>
      </c>
      <c r="M989" t="s">
        <v>2833</v>
      </c>
    </row>
    <row r="990" spans="1:13" x14ac:dyDescent="0.35">
      <c r="A990" t="s">
        <v>13</v>
      </c>
      <c r="B990">
        <v>1043295</v>
      </c>
      <c r="C990">
        <v>1043747</v>
      </c>
      <c r="E990" t="s">
        <v>38</v>
      </c>
      <c r="F990" t="s">
        <v>49</v>
      </c>
      <c r="H990">
        <v>1018974</v>
      </c>
      <c r="I990" t="s">
        <v>17</v>
      </c>
      <c r="K990" t="s">
        <v>2834</v>
      </c>
      <c r="L990">
        <v>150</v>
      </c>
      <c r="M990" t="s">
        <v>2835</v>
      </c>
    </row>
    <row r="991" spans="1:13" x14ac:dyDescent="0.35">
      <c r="A991" t="s">
        <v>13</v>
      </c>
      <c r="B991">
        <v>1043771</v>
      </c>
      <c r="C991">
        <v>1044295</v>
      </c>
      <c r="E991" t="s">
        <v>38</v>
      </c>
      <c r="F991" t="s">
        <v>2836</v>
      </c>
      <c r="G991" t="s">
        <v>2837</v>
      </c>
      <c r="H991">
        <v>1018975</v>
      </c>
      <c r="I991" t="s">
        <v>17</v>
      </c>
      <c r="K991" t="s">
        <v>2838</v>
      </c>
      <c r="L991">
        <v>174</v>
      </c>
      <c r="M991" t="s">
        <v>2839</v>
      </c>
    </row>
    <row r="992" spans="1:13" x14ac:dyDescent="0.35">
      <c r="A992" t="s">
        <v>13</v>
      </c>
      <c r="B992">
        <v>1044474</v>
      </c>
      <c r="C992">
        <v>1044959</v>
      </c>
      <c r="E992" t="s">
        <v>38</v>
      </c>
      <c r="F992" t="s">
        <v>2840</v>
      </c>
      <c r="H992">
        <v>1018976</v>
      </c>
      <c r="I992" t="s">
        <v>17</v>
      </c>
      <c r="K992" t="s">
        <v>2841</v>
      </c>
      <c r="L992">
        <v>161</v>
      </c>
      <c r="M992" t="s">
        <v>2842</v>
      </c>
    </row>
    <row r="993" spans="1:13" x14ac:dyDescent="0.35">
      <c r="A993" t="s">
        <v>13</v>
      </c>
      <c r="B993">
        <v>1045158</v>
      </c>
      <c r="C993">
        <v>1046033</v>
      </c>
      <c r="E993" t="s">
        <v>14</v>
      </c>
      <c r="F993" t="s">
        <v>2843</v>
      </c>
      <c r="G993" t="s">
        <v>2844</v>
      </c>
      <c r="H993">
        <v>1018977</v>
      </c>
      <c r="I993" t="s">
        <v>17</v>
      </c>
      <c r="K993" t="s">
        <v>2845</v>
      </c>
      <c r="L993">
        <v>291</v>
      </c>
      <c r="M993" t="s">
        <v>2846</v>
      </c>
    </row>
    <row r="994" spans="1:13" x14ac:dyDescent="0.35">
      <c r="A994" t="s">
        <v>13</v>
      </c>
      <c r="B994">
        <v>1046073</v>
      </c>
      <c r="C994">
        <v>1046393</v>
      </c>
      <c r="E994" t="s">
        <v>14</v>
      </c>
      <c r="F994" t="s">
        <v>49</v>
      </c>
      <c r="H994">
        <v>1018978</v>
      </c>
      <c r="I994" t="s">
        <v>17</v>
      </c>
      <c r="K994" t="s">
        <v>2847</v>
      </c>
      <c r="L994">
        <v>106</v>
      </c>
      <c r="M994" t="s">
        <v>2848</v>
      </c>
    </row>
    <row r="995" spans="1:13" x14ac:dyDescent="0.35">
      <c r="A995" t="s">
        <v>13</v>
      </c>
      <c r="B995">
        <v>1046610</v>
      </c>
      <c r="C995">
        <v>1047710</v>
      </c>
      <c r="E995" t="s">
        <v>14</v>
      </c>
      <c r="F995" t="s">
        <v>2849</v>
      </c>
      <c r="H995">
        <v>1018979</v>
      </c>
      <c r="I995" t="s">
        <v>17</v>
      </c>
      <c r="K995" t="s">
        <v>2850</v>
      </c>
      <c r="L995">
        <v>366</v>
      </c>
      <c r="M995" t="s">
        <v>2851</v>
      </c>
    </row>
    <row r="996" spans="1:13" x14ac:dyDescent="0.35">
      <c r="A996" t="s">
        <v>13</v>
      </c>
      <c r="B996">
        <v>1047734</v>
      </c>
      <c r="C996">
        <v>1048504</v>
      </c>
      <c r="E996" t="s">
        <v>14</v>
      </c>
      <c r="F996" t="s">
        <v>2852</v>
      </c>
      <c r="H996">
        <v>1018980</v>
      </c>
      <c r="I996" t="s">
        <v>17</v>
      </c>
      <c r="K996" t="s">
        <v>2853</v>
      </c>
      <c r="L996">
        <v>256</v>
      </c>
      <c r="M996" t="s">
        <v>2854</v>
      </c>
    </row>
    <row r="997" spans="1:13" x14ac:dyDescent="0.35">
      <c r="A997" t="s">
        <v>13</v>
      </c>
      <c r="B997">
        <v>1048525</v>
      </c>
      <c r="C997">
        <v>1049046</v>
      </c>
      <c r="E997" t="s">
        <v>14</v>
      </c>
      <c r="F997" t="s">
        <v>2855</v>
      </c>
      <c r="H997">
        <v>1018981</v>
      </c>
      <c r="I997" t="s">
        <v>17</v>
      </c>
      <c r="K997" t="s">
        <v>2856</v>
      </c>
      <c r="L997">
        <v>173</v>
      </c>
      <c r="M997" t="s">
        <v>2857</v>
      </c>
    </row>
    <row r="998" spans="1:13" x14ac:dyDescent="0.35">
      <c r="A998" t="s">
        <v>13</v>
      </c>
      <c r="B998">
        <v>1049424</v>
      </c>
      <c r="C998">
        <v>1050395</v>
      </c>
      <c r="E998" t="s">
        <v>38</v>
      </c>
      <c r="F998" t="s">
        <v>2858</v>
      </c>
      <c r="G998" t="s">
        <v>2859</v>
      </c>
      <c r="H998">
        <v>1018982</v>
      </c>
      <c r="I998" t="s">
        <v>17</v>
      </c>
      <c r="K998" t="s">
        <v>2860</v>
      </c>
      <c r="L998">
        <v>323</v>
      </c>
      <c r="M998" t="s">
        <v>2861</v>
      </c>
    </row>
    <row r="999" spans="1:13" x14ac:dyDescent="0.35">
      <c r="A999" t="s">
        <v>13</v>
      </c>
      <c r="B999">
        <v>1050624</v>
      </c>
      <c r="C999">
        <v>1051928</v>
      </c>
      <c r="E999" t="s">
        <v>14</v>
      </c>
      <c r="F999" t="s">
        <v>2862</v>
      </c>
      <c r="G999" t="s">
        <v>2863</v>
      </c>
      <c r="H999">
        <v>1018983</v>
      </c>
      <c r="I999" t="s">
        <v>17</v>
      </c>
      <c r="K999" t="s">
        <v>2864</v>
      </c>
      <c r="L999">
        <v>434</v>
      </c>
      <c r="M999" t="s">
        <v>2865</v>
      </c>
    </row>
    <row r="1000" spans="1:13" x14ac:dyDescent="0.35">
      <c r="A1000" t="s">
        <v>13</v>
      </c>
      <c r="B1000">
        <v>1052021</v>
      </c>
      <c r="C1000">
        <v>1053883</v>
      </c>
      <c r="E1000" t="s">
        <v>14</v>
      </c>
      <c r="F1000" t="s">
        <v>2866</v>
      </c>
      <c r="G1000" t="s">
        <v>2867</v>
      </c>
      <c r="H1000">
        <v>1018984</v>
      </c>
      <c r="I1000" t="s">
        <v>17</v>
      </c>
      <c r="K1000" t="s">
        <v>2868</v>
      </c>
      <c r="L1000">
        <v>620</v>
      </c>
      <c r="M1000" t="s">
        <v>2869</v>
      </c>
    </row>
    <row r="1001" spans="1:13" x14ac:dyDescent="0.35">
      <c r="A1001" t="s">
        <v>13</v>
      </c>
      <c r="B1001">
        <v>1053880</v>
      </c>
      <c r="C1001">
        <v>1054605</v>
      </c>
      <c r="E1001" t="s">
        <v>14</v>
      </c>
      <c r="F1001" t="s">
        <v>2381</v>
      </c>
      <c r="H1001">
        <v>1018985</v>
      </c>
      <c r="I1001" t="s">
        <v>17</v>
      </c>
      <c r="K1001" t="s">
        <v>2870</v>
      </c>
      <c r="L1001">
        <v>241</v>
      </c>
      <c r="M1001" t="s">
        <v>2871</v>
      </c>
    </row>
    <row r="1002" spans="1:13" x14ac:dyDescent="0.35">
      <c r="A1002" t="s">
        <v>13</v>
      </c>
      <c r="B1002">
        <v>1054637</v>
      </c>
      <c r="C1002">
        <v>1055032</v>
      </c>
      <c r="E1002" t="s">
        <v>38</v>
      </c>
      <c r="F1002" t="s">
        <v>2872</v>
      </c>
      <c r="H1002">
        <v>1018986</v>
      </c>
      <c r="I1002" t="s">
        <v>17</v>
      </c>
      <c r="K1002" t="s">
        <v>2873</v>
      </c>
      <c r="L1002">
        <v>131</v>
      </c>
      <c r="M1002" t="s">
        <v>2874</v>
      </c>
    </row>
    <row r="1003" spans="1:13" x14ac:dyDescent="0.35">
      <c r="A1003" t="s">
        <v>13</v>
      </c>
      <c r="B1003">
        <v>1055051</v>
      </c>
      <c r="C1003">
        <v>1055725</v>
      </c>
      <c r="E1003" t="s">
        <v>14</v>
      </c>
      <c r="F1003" t="s">
        <v>2875</v>
      </c>
      <c r="H1003">
        <v>1018987</v>
      </c>
      <c r="I1003" t="s">
        <v>17</v>
      </c>
      <c r="K1003" t="s">
        <v>2876</v>
      </c>
      <c r="L1003">
        <v>224</v>
      </c>
      <c r="M1003" t="s">
        <v>2877</v>
      </c>
    </row>
    <row r="1004" spans="1:13" x14ac:dyDescent="0.35">
      <c r="A1004" t="s">
        <v>13</v>
      </c>
      <c r="B1004">
        <v>1055783</v>
      </c>
      <c r="C1004">
        <v>1056322</v>
      </c>
      <c r="E1004" t="s">
        <v>14</v>
      </c>
      <c r="F1004" t="s">
        <v>549</v>
      </c>
      <c r="H1004">
        <v>1018988</v>
      </c>
      <c r="I1004" t="s">
        <v>17</v>
      </c>
      <c r="K1004" t="s">
        <v>2878</v>
      </c>
      <c r="L1004">
        <v>179</v>
      </c>
      <c r="M1004" t="s">
        <v>2879</v>
      </c>
    </row>
    <row r="1005" spans="1:13" x14ac:dyDescent="0.35">
      <c r="A1005" t="s">
        <v>13</v>
      </c>
      <c r="B1005">
        <v>1056319</v>
      </c>
      <c r="C1005">
        <v>1057200</v>
      </c>
      <c r="E1005" t="s">
        <v>38</v>
      </c>
      <c r="F1005" t="s">
        <v>2880</v>
      </c>
      <c r="H1005">
        <v>1018989</v>
      </c>
      <c r="I1005" t="s">
        <v>17</v>
      </c>
      <c r="K1005" t="s">
        <v>2881</v>
      </c>
      <c r="L1005">
        <v>293</v>
      </c>
      <c r="M1005" t="s">
        <v>2882</v>
      </c>
    </row>
    <row r="1006" spans="1:13" x14ac:dyDescent="0.35">
      <c r="A1006" t="s">
        <v>13</v>
      </c>
      <c r="B1006">
        <v>1057197</v>
      </c>
      <c r="C1006">
        <v>1057850</v>
      </c>
      <c r="E1006" t="s">
        <v>38</v>
      </c>
      <c r="F1006" t="s">
        <v>2883</v>
      </c>
      <c r="H1006">
        <v>1018990</v>
      </c>
      <c r="I1006" t="s">
        <v>17</v>
      </c>
      <c r="K1006" t="s">
        <v>2884</v>
      </c>
      <c r="L1006">
        <v>217</v>
      </c>
      <c r="M1006" t="s">
        <v>2885</v>
      </c>
    </row>
    <row r="1007" spans="1:13" x14ac:dyDescent="0.35">
      <c r="A1007" t="s">
        <v>13</v>
      </c>
      <c r="B1007">
        <v>1057840</v>
      </c>
      <c r="C1007">
        <v>1058598</v>
      </c>
      <c r="E1007" t="s">
        <v>38</v>
      </c>
      <c r="F1007" t="s">
        <v>2886</v>
      </c>
      <c r="H1007">
        <v>1018991</v>
      </c>
      <c r="I1007" t="s">
        <v>17</v>
      </c>
      <c r="K1007" t="s">
        <v>2887</v>
      </c>
      <c r="L1007">
        <v>252</v>
      </c>
      <c r="M1007" t="s">
        <v>2888</v>
      </c>
    </row>
    <row r="1008" spans="1:13" x14ac:dyDescent="0.35">
      <c r="A1008" t="s">
        <v>13</v>
      </c>
      <c r="B1008">
        <v>1058621</v>
      </c>
      <c r="C1008">
        <v>1059931</v>
      </c>
      <c r="E1008" t="s">
        <v>38</v>
      </c>
      <c r="F1008" t="s">
        <v>2889</v>
      </c>
      <c r="H1008">
        <v>1018992</v>
      </c>
      <c r="I1008" t="s">
        <v>17</v>
      </c>
      <c r="K1008" t="s">
        <v>2890</v>
      </c>
      <c r="L1008">
        <v>436</v>
      </c>
      <c r="M1008" t="s">
        <v>2891</v>
      </c>
    </row>
    <row r="1009" spans="1:13" x14ac:dyDescent="0.35">
      <c r="A1009" t="s">
        <v>13</v>
      </c>
      <c r="B1009">
        <v>1060142</v>
      </c>
      <c r="C1009">
        <v>1060795</v>
      </c>
      <c r="E1009" t="s">
        <v>14</v>
      </c>
      <c r="F1009" t="s">
        <v>1930</v>
      </c>
      <c r="H1009">
        <v>1018994</v>
      </c>
      <c r="I1009" t="s">
        <v>17</v>
      </c>
      <c r="K1009" t="s">
        <v>2892</v>
      </c>
      <c r="L1009">
        <v>217</v>
      </c>
      <c r="M1009" t="s">
        <v>2893</v>
      </c>
    </row>
    <row r="1010" spans="1:13" x14ac:dyDescent="0.35">
      <c r="A1010" t="s">
        <v>13</v>
      </c>
      <c r="B1010">
        <v>1060905</v>
      </c>
      <c r="C1010">
        <v>1062149</v>
      </c>
      <c r="E1010" t="s">
        <v>14</v>
      </c>
      <c r="F1010" t="s">
        <v>49</v>
      </c>
      <c r="H1010">
        <v>1018995</v>
      </c>
      <c r="I1010" t="s">
        <v>17</v>
      </c>
      <c r="K1010" t="s">
        <v>2894</v>
      </c>
      <c r="L1010">
        <v>414</v>
      </c>
      <c r="M1010" t="s">
        <v>2895</v>
      </c>
    </row>
    <row r="1011" spans="1:13" x14ac:dyDescent="0.35">
      <c r="A1011" t="s">
        <v>13</v>
      </c>
      <c r="B1011">
        <v>1062208</v>
      </c>
      <c r="C1011">
        <v>1063617</v>
      </c>
      <c r="E1011" t="s">
        <v>38</v>
      </c>
      <c r="F1011" t="s">
        <v>2896</v>
      </c>
      <c r="H1011">
        <v>1018996</v>
      </c>
      <c r="I1011" t="s">
        <v>17</v>
      </c>
      <c r="K1011" t="s">
        <v>2897</v>
      </c>
      <c r="L1011">
        <v>469</v>
      </c>
      <c r="M1011" t="s">
        <v>2898</v>
      </c>
    </row>
    <row r="1012" spans="1:13" x14ac:dyDescent="0.35">
      <c r="A1012" t="s">
        <v>13</v>
      </c>
      <c r="B1012">
        <v>1063936</v>
      </c>
      <c r="C1012">
        <v>1064427</v>
      </c>
      <c r="E1012" t="s">
        <v>14</v>
      </c>
      <c r="F1012" t="s">
        <v>2899</v>
      </c>
      <c r="H1012">
        <v>1018997</v>
      </c>
      <c r="I1012" t="s">
        <v>17</v>
      </c>
      <c r="K1012" t="s">
        <v>2900</v>
      </c>
      <c r="L1012">
        <v>163</v>
      </c>
      <c r="M1012" t="s">
        <v>2901</v>
      </c>
    </row>
    <row r="1013" spans="1:13" x14ac:dyDescent="0.35">
      <c r="A1013" t="s">
        <v>13</v>
      </c>
      <c r="B1013">
        <v>1064475</v>
      </c>
      <c r="C1013">
        <v>1064738</v>
      </c>
      <c r="E1013" t="s">
        <v>38</v>
      </c>
      <c r="F1013" t="s">
        <v>49</v>
      </c>
      <c r="H1013">
        <v>1018998</v>
      </c>
      <c r="I1013" t="s">
        <v>17</v>
      </c>
      <c r="K1013" t="s">
        <v>2902</v>
      </c>
      <c r="L1013">
        <v>87</v>
      </c>
      <c r="M1013" t="s">
        <v>2903</v>
      </c>
    </row>
    <row r="1014" spans="1:13" x14ac:dyDescent="0.35">
      <c r="A1014" t="s">
        <v>13</v>
      </c>
      <c r="B1014">
        <v>1064751</v>
      </c>
      <c r="C1014">
        <v>1065200</v>
      </c>
      <c r="E1014" t="s">
        <v>38</v>
      </c>
      <c r="F1014" t="s">
        <v>49</v>
      </c>
      <c r="H1014">
        <v>1018999</v>
      </c>
      <c r="I1014" t="s">
        <v>17</v>
      </c>
      <c r="K1014" t="s">
        <v>2904</v>
      </c>
      <c r="L1014">
        <v>149</v>
      </c>
      <c r="M1014" t="s">
        <v>2905</v>
      </c>
    </row>
    <row r="1015" spans="1:13" x14ac:dyDescent="0.35">
      <c r="A1015" t="s">
        <v>13</v>
      </c>
      <c r="B1015">
        <v>1065301</v>
      </c>
      <c r="C1015">
        <v>1065867</v>
      </c>
      <c r="E1015" t="s">
        <v>38</v>
      </c>
      <c r="F1015" t="s">
        <v>2906</v>
      </c>
      <c r="H1015">
        <v>1019000</v>
      </c>
      <c r="I1015" t="s">
        <v>17</v>
      </c>
      <c r="K1015" t="s">
        <v>2907</v>
      </c>
      <c r="L1015">
        <v>188</v>
      </c>
      <c r="M1015" t="s">
        <v>2908</v>
      </c>
    </row>
    <row r="1016" spans="1:13" x14ac:dyDescent="0.35">
      <c r="A1016" t="s">
        <v>13</v>
      </c>
      <c r="B1016">
        <v>1066110</v>
      </c>
      <c r="C1016">
        <v>1067573</v>
      </c>
      <c r="E1016" t="s">
        <v>14</v>
      </c>
      <c r="F1016" t="s">
        <v>2071</v>
      </c>
      <c r="H1016">
        <v>1019001</v>
      </c>
      <c r="I1016" t="s">
        <v>17</v>
      </c>
      <c r="K1016" t="s">
        <v>2909</v>
      </c>
      <c r="L1016">
        <v>487</v>
      </c>
      <c r="M1016" t="s">
        <v>2910</v>
      </c>
    </row>
    <row r="1017" spans="1:13" x14ac:dyDescent="0.35">
      <c r="A1017" t="s">
        <v>13</v>
      </c>
      <c r="B1017">
        <v>1067570</v>
      </c>
      <c r="C1017">
        <v>1068652</v>
      </c>
      <c r="E1017" t="s">
        <v>14</v>
      </c>
      <c r="F1017" t="s">
        <v>877</v>
      </c>
      <c r="H1017">
        <v>1019002</v>
      </c>
      <c r="I1017" t="s">
        <v>17</v>
      </c>
      <c r="K1017" t="s">
        <v>2911</v>
      </c>
      <c r="L1017">
        <v>360</v>
      </c>
      <c r="M1017" t="s">
        <v>2912</v>
      </c>
    </row>
    <row r="1018" spans="1:13" x14ac:dyDescent="0.35">
      <c r="A1018" t="s">
        <v>13</v>
      </c>
      <c r="B1018">
        <v>1068649</v>
      </c>
      <c r="C1018">
        <v>1069848</v>
      </c>
      <c r="E1018" t="s">
        <v>14</v>
      </c>
      <c r="F1018" t="s">
        <v>877</v>
      </c>
      <c r="H1018">
        <v>1019003</v>
      </c>
      <c r="I1018" t="s">
        <v>17</v>
      </c>
      <c r="K1018" t="s">
        <v>2913</v>
      </c>
      <c r="L1018">
        <v>399</v>
      </c>
      <c r="M1018" t="s">
        <v>2914</v>
      </c>
    </row>
    <row r="1019" spans="1:13" x14ac:dyDescent="0.35">
      <c r="A1019" t="s">
        <v>13</v>
      </c>
      <c r="B1019">
        <v>1069959</v>
      </c>
      <c r="C1019">
        <v>1071137</v>
      </c>
      <c r="E1019" t="s">
        <v>14</v>
      </c>
      <c r="F1019" t="s">
        <v>2071</v>
      </c>
      <c r="H1019">
        <v>1019004</v>
      </c>
      <c r="I1019" t="s">
        <v>17</v>
      </c>
      <c r="K1019" t="s">
        <v>2915</v>
      </c>
      <c r="L1019">
        <v>392</v>
      </c>
      <c r="M1019" t="s">
        <v>2916</v>
      </c>
    </row>
    <row r="1020" spans="1:13" x14ac:dyDescent="0.35">
      <c r="A1020" t="s">
        <v>13</v>
      </c>
      <c r="B1020">
        <v>1071476</v>
      </c>
      <c r="C1020">
        <v>1072483</v>
      </c>
      <c r="E1020" t="s">
        <v>38</v>
      </c>
      <c r="F1020" t="s">
        <v>2917</v>
      </c>
      <c r="G1020" t="s">
        <v>2918</v>
      </c>
      <c r="H1020">
        <v>1019005</v>
      </c>
      <c r="I1020" t="s">
        <v>17</v>
      </c>
      <c r="K1020" t="s">
        <v>2919</v>
      </c>
      <c r="L1020">
        <v>335</v>
      </c>
      <c r="M1020" t="s">
        <v>2920</v>
      </c>
    </row>
    <row r="1021" spans="1:13" x14ac:dyDescent="0.35">
      <c r="A1021" t="s">
        <v>13</v>
      </c>
      <c r="B1021">
        <v>1072676</v>
      </c>
      <c r="C1021">
        <v>1073248</v>
      </c>
      <c r="E1021" t="s">
        <v>14</v>
      </c>
      <c r="F1021" t="s">
        <v>2921</v>
      </c>
      <c r="H1021">
        <v>1019006</v>
      </c>
      <c r="I1021" t="s">
        <v>17</v>
      </c>
      <c r="K1021" t="s">
        <v>2922</v>
      </c>
      <c r="L1021">
        <v>190</v>
      </c>
      <c r="M1021" t="s">
        <v>2923</v>
      </c>
    </row>
    <row r="1022" spans="1:13" x14ac:dyDescent="0.35">
      <c r="A1022" t="s">
        <v>13</v>
      </c>
      <c r="B1022">
        <v>1073337</v>
      </c>
      <c r="C1022">
        <v>1075241</v>
      </c>
      <c r="E1022" t="s">
        <v>38</v>
      </c>
      <c r="F1022" t="s">
        <v>2924</v>
      </c>
      <c r="H1022">
        <v>1019007</v>
      </c>
      <c r="I1022" t="s">
        <v>17</v>
      </c>
      <c r="K1022" t="s">
        <v>2925</v>
      </c>
      <c r="L1022">
        <v>634</v>
      </c>
      <c r="M1022" t="s">
        <v>2926</v>
      </c>
    </row>
    <row r="1023" spans="1:13" x14ac:dyDescent="0.35">
      <c r="A1023" t="s">
        <v>13</v>
      </c>
      <c r="B1023">
        <v>1075326</v>
      </c>
      <c r="C1023">
        <v>1075553</v>
      </c>
      <c r="E1023" t="s">
        <v>38</v>
      </c>
      <c r="F1023" t="s">
        <v>49</v>
      </c>
      <c r="H1023">
        <v>1019008</v>
      </c>
      <c r="I1023" t="s">
        <v>17</v>
      </c>
      <c r="K1023" t="s">
        <v>2927</v>
      </c>
      <c r="L1023">
        <v>75</v>
      </c>
      <c r="M1023" t="s">
        <v>2928</v>
      </c>
    </row>
    <row r="1024" spans="1:13" x14ac:dyDescent="0.35">
      <c r="A1024" t="s">
        <v>13</v>
      </c>
      <c r="B1024">
        <v>1075664</v>
      </c>
      <c r="C1024">
        <v>1075909</v>
      </c>
      <c r="E1024" t="s">
        <v>38</v>
      </c>
      <c r="F1024" t="s">
        <v>2929</v>
      </c>
      <c r="H1024">
        <v>1019009</v>
      </c>
      <c r="I1024" t="s">
        <v>17</v>
      </c>
      <c r="K1024" t="s">
        <v>2930</v>
      </c>
      <c r="L1024">
        <v>81</v>
      </c>
      <c r="M1024" t="s">
        <v>2931</v>
      </c>
    </row>
    <row r="1025" spans="1:13" x14ac:dyDescent="0.35">
      <c r="A1025" t="s">
        <v>13</v>
      </c>
      <c r="B1025">
        <v>1075930</v>
      </c>
      <c r="C1025">
        <v>1077183</v>
      </c>
      <c r="E1025" t="s">
        <v>38</v>
      </c>
      <c r="F1025" t="s">
        <v>2932</v>
      </c>
      <c r="G1025" t="s">
        <v>2933</v>
      </c>
      <c r="H1025">
        <v>1019010</v>
      </c>
      <c r="I1025" t="s">
        <v>17</v>
      </c>
      <c r="K1025" t="s">
        <v>2934</v>
      </c>
      <c r="L1025">
        <v>417</v>
      </c>
      <c r="M1025" t="s">
        <v>2935</v>
      </c>
    </row>
    <row r="1026" spans="1:13" x14ac:dyDescent="0.35">
      <c r="A1026" t="s">
        <v>13</v>
      </c>
      <c r="B1026">
        <v>1077297</v>
      </c>
      <c r="C1026">
        <v>1078274</v>
      </c>
      <c r="E1026" t="s">
        <v>14</v>
      </c>
      <c r="F1026" t="s">
        <v>2936</v>
      </c>
      <c r="H1026">
        <v>1019011</v>
      </c>
      <c r="I1026" t="s">
        <v>17</v>
      </c>
      <c r="K1026" t="s">
        <v>2937</v>
      </c>
      <c r="L1026">
        <v>325</v>
      </c>
      <c r="M1026" t="s">
        <v>2938</v>
      </c>
    </row>
    <row r="1027" spans="1:13" x14ac:dyDescent="0.35">
      <c r="A1027" t="s">
        <v>13</v>
      </c>
      <c r="B1027">
        <v>1078316</v>
      </c>
      <c r="C1027">
        <v>1079146</v>
      </c>
      <c r="E1027" t="s">
        <v>38</v>
      </c>
      <c r="F1027" t="s">
        <v>2939</v>
      </c>
      <c r="H1027">
        <v>1019012</v>
      </c>
      <c r="I1027" t="s">
        <v>17</v>
      </c>
      <c r="K1027" t="s">
        <v>2940</v>
      </c>
      <c r="L1027">
        <v>276</v>
      </c>
      <c r="M1027" t="s">
        <v>2941</v>
      </c>
    </row>
    <row r="1028" spans="1:13" x14ac:dyDescent="0.35">
      <c r="A1028" t="s">
        <v>13</v>
      </c>
      <c r="B1028">
        <v>1079218</v>
      </c>
      <c r="C1028">
        <v>1080690</v>
      </c>
      <c r="E1028" t="s">
        <v>38</v>
      </c>
      <c r="F1028" t="s">
        <v>2942</v>
      </c>
      <c r="H1028">
        <v>1019013</v>
      </c>
      <c r="I1028" t="s">
        <v>17</v>
      </c>
      <c r="K1028" t="s">
        <v>2943</v>
      </c>
      <c r="L1028">
        <v>490</v>
      </c>
      <c r="M1028" t="s">
        <v>2944</v>
      </c>
    </row>
    <row r="1029" spans="1:13" x14ac:dyDescent="0.35">
      <c r="A1029" t="s">
        <v>13</v>
      </c>
      <c r="B1029">
        <v>1080783</v>
      </c>
      <c r="C1029">
        <v>1080965</v>
      </c>
      <c r="E1029" t="s">
        <v>38</v>
      </c>
      <c r="F1029" t="s">
        <v>2945</v>
      </c>
      <c r="G1029" t="s">
        <v>2946</v>
      </c>
      <c r="H1029">
        <v>1019014</v>
      </c>
      <c r="I1029" t="s">
        <v>17</v>
      </c>
      <c r="K1029" t="s">
        <v>2947</v>
      </c>
      <c r="L1029">
        <v>60</v>
      </c>
      <c r="M1029" t="s">
        <v>2948</v>
      </c>
    </row>
    <row r="1030" spans="1:13" x14ac:dyDescent="0.35">
      <c r="A1030" t="s">
        <v>13</v>
      </c>
      <c r="B1030">
        <v>1080969</v>
      </c>
      <c r="C1030">
        <v>1082660</v>
      </c>
      <c r="E1030" t="s">
        <v>38</v>
      </c>
      <c r="F1030" t="s">
        <v>2949</v>
      </c>
      <c r="H1030">
        <v>1019015</v>
      </c>
      <c r="I1030" t="s">
        <v>17</v>
      </c>
      <c r="K1030" t="s">
        <v>2950</v>
      </c>
      <c r="L1030">
        <v>563</v>
      </c>
      <c r="M1030" t="s">
        <v>2951</v>
      </c>
    </row>
    <row r="1031" spans="1:13" x14ac:dyDescent="0.35">
      <c r="A1031" t="s">
        <v>13</v>
      </c>
      <c r="B1031">
        <v>1082948</v>
      </c>
      <c r="C1031">
        <v>1084183</v>
      </c>
      <c r="E1031" t="s">
        <v>38</v>
      </c>
      <c r="F1031" t="s">
        <v>391</v>
      </c>
      <c r="H1031">
        <v>1019016</v>
      </c>
      <c r="I1031" t="s">
        <v>17</v>
      </c>
      <c r="K1031" t="s">
        <v>2952</v>
      </c>
      <c r="L1031">
        <v>411</v>
      </c>
      <c r="M1031" t="s">
        <v>2953</v>
      </c>
    </row>
    <row r="1032" spans="1:13" x14ac:dyDescent="0.35">
      <c r="A1032" t="s">
        <v>13</v>
      </c>
      <c r="B1032">
        <v>1084380</v>
      </c>
      <c r="C1032">
        <v>1085465</v>
      </c>
      <c r="E1032" t="s">
        <v>14</v>
      </c>
      <c r="F1032" t="s">
        <v>2954</v>
      </c>
      <c r="G1032" t="s">
        <v>2955</v>
      </c>
      <c r="H1032">
        <v>1019017</v>
      </c>
      <c r="I1032" t="s">
        <v>17</v>
      </c>
      <c r="K1032" t="s">
        <v>2956</v>
      </c>
      <c r="L1032">
        <v>361</v>
      </c>
      <c r="M1032" t="s">
        <v>2957</v>
      </c>
    </row>
    <row r="1033" spans="1:13" x14ac:dyDescent="0.35">
      <c r="A1033" t="s">
        <v>13</v>
      </c>
      <c r="B1033">
        <v>1085499</v>
      </c>
      <c r="C1033">
        <v>1085780</v>
      </c>
      <c r="E1033" t="s">
        <v>14</v>
      </c>
      <c r="F1033" t="s">
        <v>2958</v>
      </c>
      <c r="H1033">
        <v>18194959</v>
      </c>
      <c r="I1033" t="s">
        <v>17</v>
      </c>
      <c r="K1033" t="s">
        <v>2959</v>
      </c>
      <c r="L1033">
        <v>93</v>
      </c>
      <c r="M1033" t="s">
        <v>2960</v>
      </c>
    </row>
    <row r="1034" spans="1:13" x14ac:dyDescent="0.35">
      <c r="A1034" t="s">
        <v>13</v>
      </c>
      <c r="B1034">
        <v>1085791</v>
      </c>
      <c r="C1034">
        <v>1086090</v>
      </c>
      <c r="E1034" t="s">
        <v>14</v>
      </c>
      <c r="F1034" t="s">
        <v>2961</v>
      </c>
      <c r="H1034">
        <v>1019018</v>
      </c>
      <c r="I1034" t="s">
        <v>17</v>
      </c>
      <c r="K1034" t="s">
        <v>2962</v>
      </c>
      <c r="L1034">
        <v>99</v>
      </c>
      <c r="M1034" t="s">
        <v>2963</v>
      </c>
    </row>
    <row r="1035" spans="1:13" x14ac:dyDescent="0.35">
      <c r="A1035" t="s">
        <v>13</v>
      </c>
      <c r="B1035">
        <v>1086087</v>
      </c>
      <c r="C1035">
        <v>1086920</v>
      </c>
      <c r="E1035" t="s">
        <v>14</v>
      </c>
      <c r="F1035" t="s">
        <v>2964</v>
      </c>
      <c r="H1035">
        <v>1019019</v>
      </c>
      <c r="I1035" t="s">
        <v>17</v>
      </c>
      <c r="K1035" t="s">
        <v>2965</v>
      </c>
      <c r="L1035">
        <v>277</v>
      </c>
      <c r="M1035" t="s">
        <v>2966</v>
      </c>
    </row>
    <row r="1036" spans="1:13" x14ac:dyDescent="0.35">
      <c r="A1036" t="s">
        <v>13</v>
      </c>
      <c r="B1036">
        <v>1087041</v>
      </c>
      <c r="C1036">
        <v>1087544</v>
      </c>
      <c r="E1036" t="s">
        <v>38</v>
      </c>
      <c r="F1036" t="s">
        <v>549</v>
      </c>
      <c r="H1036">
        <v>1019020</v>
      </c>
      <c r="I1036" t="s">
        <v>17</v>
      </c>
      <c r="K1036" t="s">
        <v>2967</v>
      </c>
      <c r="L1036">
        <v>167</v>
      </c>
      <c r="M1036" t="s">
        <v>2968</v>
      </c>
    </row>
    <row r="1037" spans="1:13" x14ac:dyDescent="0.35">
      <c r="A1037" t="s">
        <v>13</v>
      </c>
      <c r="B1037">
        <v>1087661</v>
      </c>
      <c r="C1037">
        <v>1088218</v>
      </c>
      <c r="E1037" t="s">
        <v>38</v>
      </c>
      <c r="F1037" t="s">
        <v>871</v>
      </c>
      <c r="H1037">
        <v>1019021</v>
      </c>
      <c r="I1037" t="s">
        <v>17</v>
      </c>
      <c r="K1037" t="s">
        <v>2969</v>
      </c>
      <c r="L1037">
        <v>185</v>
      </c>
      <c r="M1037" t="s">
        <v>2970</v>
      </c>
    </row>
    <row r="1038" spans="1:13" x14ac:dyDescent="0.35">
      <c r="A1038" t="s">
        <v>13</v>
      </c>
      <c r="B1038">
        <v>1088532</v>
      </c>
      <c r="C1038">
        <v>1089740</v>
      </c>
      <c r="E1038" t="s">
        <v>38</v>
      </c>
      <c r="F1038" t="s">
        <v>2971</v>
      </c>
      <c r="H1038">
        <v>1019022</v>
      </c>
      <c r="I1038" t="s">
        <v>17</v>
      </c>
      <c r="K1038" t="s">
        <v>2972</v>
      </c>
      <c r="L1038">
        <v>402</v>
      </c>
      <c r="M1038" t="s">
        <v>2973</v>
      </c>
    </row>
    <row r="1039" spans="1:13" x14ac:dyDescent="0.35">
      <c r="A1039" t="s">
        <v>13</v>
      </c>
      <c r="B1039">
        <v>1090175</v>
      </c>
      <c r="C1039">
        <v>1093219</v>
      </c>
      <c r="E1039" t="s">
        <v>14</v>
      </c>
      <c r="F1039" t="s">
        <v>2974</v>
      </c>
      <c r="H1039">
        <v>1019023</v>
      </c>
      <c r="I1039" t="s">
        <v>17</v>
      </c>
      <c r="K1039" t="s">
        <v>2975</v>
      </c>
      <c r="L1039">
        <v>1014</v>
      </c>
      <c r="M1039" t="s">
        <v>2976</v>
      </c>
    </row>
    <row r="1040" spans="1:13" x14ac:dyDescent="0.35">
      <c r="A1040" t="s">
        <v>13</v>
      </c>
      <c r="B1040">
        <v>1093227</v>
      </c>
      <c r="C1040">
        <v>1094696</v>
      </c>
      <c r="E1040" t="s">
        <v>14</v>
      </c>
      <c r="F1040" t="s">
        <v>977</v>
      </c>
      <c r="H1040">
        <v>1019024</v>
      </c>
      <c r="I1040" t="s">
        <v>17</v>
      </c>
      <c r="K1040" t="s">
        <v>2977</v>
      </c>
      <c r="L1040">
        <v>489</v>
      </c>
      <c r="M1040" t="s">
        <v>2978</v>
      </c>
    </row>
    <row r="1041" spans="1:13" x14ac:dyDescent="0.35">
      <c r="A1041" t="s">
        <v>13</v>
      </c>
      <c r="B1041">
        <v>1094693</v>
      </c>
      <c r="C1041">
        <v>1094914</v>
      </c>
      <c r="E1041" t="s">
        <v>14</v>
      </c>
      <c r="F1041" t="s">
        <v>49</v>
      </c>
      <c r="H1041">
        <v>1019025</v>
      </c>
      <c r="I1041" t="s">
        <v>17</v>
      </c>
      <c r="K1041" t="s">
        <v>2979</v>
      </c>
      <c r="L1041">
        <v>73</v>
      </c>
      <c r="M1041" t="s">
        <v>2980</v>
      </c>
    </row>
    <row r="1042" spans="1:13" x14ac:dyDescent="0.35">
      <c r="A1042" t="s">
        <v>13</v>
      </c>
      <c r="B1042">
        <v>1095052</v>
      </c>
      <c r="C1042">
        <v>1095387</v>
      </c>
      <c r="E1042" t="s">
        <v>14</v>
      </c>
      <c r="F1042" t="s">
        <v>49</v>
      </c>
      <c r="H1042">
        <v>1019026</v>
      </c>
      <c r="I1042" t="s">
        <v>17</v>
      </c>
      <c r="K1042" t="s">
        <v>2981</v>
      </c>
      <c r="L1042">
        <v>111</v>
      </c>
      <c r="M1042" t="s">
        <v>2982</v>
      </c>
    </row>
    <row r="1043" spans="1:13" x14ac:dyDescent="0.35">
      <c r="A1043" t="s">
        <v>13</v>
      </c>
      <c r="B1043">
        <v>1095384</v>
      </c>
      <c r="C1043">
        <v>1096349</v>
      </c>
      <c r="E1043" t="s">
        <v>38</v>
      </c>
      <c r="F1043" t="s">
        <v>141</v>
      </c>
      <c r="H1043">
        <v>18194960</v>
      </c>
      <c r="I1043" t="s">
        <v>142</v>
      </c>
      <c r="M1043" t="s">
        <v>2983</v>
      </c>
    </row>
    <row r="1044" spans="1:13" x14ac:dyDescent="0.35">
      <c r="A1044" t="s">
        <v>13</v>
      </c>
      <c r="B1044">
        <v>1096397</v>
      </c>
      <c r="C1044">
        <v>1096636</v>
      </c>
      <c r="E1044" t="s">
        <v>14</v>
      </c>
      <c r="F1044" t="s">
        <v>49</v>
      </c>
      <c r="H1044">
        <v>44144945</v>
      </c>
      <c r="I1044" t="s">
        <v>17</v>
      </c>
      <c r="K1044" t="s">
        <v>2984</v>
      </c>
      <c r="L1044">
        <v>79</v>
      </c>
      <c r="M1044" t="s">
        <v>2985</v>
      </c>
    </row>
    <row r="1045" spans="1:13" x14ac:dyDescent="0.35">
      <c r="A1045" t="s">
        <v>13</v>
      </c>
      <c r="B1045">
        <v>1096743</v>
      </c>
      <c r="C1045">
        <v>1097111</v>
      </c>
      <c r="E1045" t="s">
        <v>38</v>
      </c>
      <c r="F1045" t="s">
        <v>72</v>
      </c>
      <c r="H1045">
        <v>1019030</v>
      </c>
      <c r="I1045" t="s">
        <v>17</v>
      </c>
      <c r="K1045" t="s">
        <v>2986</v>
      </c>
      <c r="L1045">
        <v>122</v>
      </c>
      <c r="M1045" t="s">
        <v>2987</v>
      </c>
    </row>
    <row r="1046" spans="1:13" x14ac:dyDescent="0.35">
      <c r="A1046" t="s">
        <v>13</v>
      </c>
      <c r="B1046">
        <v>1097229</v>
      </c>
      <c r="C1046">
        <v>1097729</v>
      </c>
      <c r="E1046" t="s">
        <v>14</v>
      </c>
      <c r="F1046" t="s">
        <v>2988</v>
      </c>
      <c r="H1046">
        <v>1019031</v>
      </c>
      <c r="I1046" t="s">
        <v>17</v>
      </c>
      <c r="K1046" t="s">
        <v>2989</v>
      </c>
      <c r="L1046">
        <v>166</v>
      </c>
      <c r="M1046" t="s">
        <v>2990</v>
      </c>
    </row>
    <row r="1047" spans="1:13" x14ac:dyDescent="0.35">
      <c r="A1047" t="s">
        <v>13</v>
      </c>
      <c r="B1047">
        <v>1097792</v>
      </c>
      <c r="C1047">
        <v>1098595</v>
      </c>
      <c r="E1047" t="s">
        <v>14</v>
      </c>
      <c r="F1047" t="s">
        <v>336</v>
      </c>
      <c r="H1047">
        <v>1019032</v>
      </c>
      <c r="I1047" t="s">
        <v>17</v>
      </c>
      <c r="K1047" t="s">
        <v>2991</v>
      </c>
      <c r="L1047">
        <v>267</v>
      </c>
      <c r="M1047" t="s">
        <v>2992</v>
      </c>
    </row>
    <row r="1048" spans="1:13" x14ac:dyDescent="0.35">
      <c r="A1048" t="s">
        <v>13</v>
      </c>
      <c r="B1048">
        <v>1098609</v>
      </c>
      <c r="C1048">
        <v>1098932</v>
      </c>
      <c r="E1048" t="s">
        <v>14</v>
      </c>
      <c r="F1048" t="s">
        <v>2993</v>
      </c>
      <c r="H1048">
        <v>1019033</v>
      </c>
      <c r="I1048" t="s">
        <v>17</v>
      </c>
      <c r="K1048" t="s">
        <v>2994</v>
      </c>
      <c r="L1048">
        <v>107</v>
      </c>
      <c r="M1048" t="s">
        <v>2995</v>
      </c>
    </row>
    <row r="1049" spans="1:13" x14ac:dyDescent="0.35">
      <c r="A1049" t="s">
        <v>13</v>
      </c>
      <c r="B1049">
        <v>1099112</v>
      </c>
      <c r="C1049">
        <v>1099768</v>
      </c>
      <c r="E1049" t="s">
        <v>38</v>
      </c>
      <c r="F1049" t="s">
        <v>1841</v>
      </c>
      <c r="H1049">
        <v>1019034</v>
      </c>
      <c r="I1049" t="s">
        <v>17</v>
      </c>
      <c r="K1049" t="s">
        <v>2996</v>
      </c>
      <c r="L1049">
        <v>218</v>
      </c>
      <c r="M1049" t="s">
        <v>2997</v>
      </c>
    </row>
    <row r="1050" spans="1:13" x14ac:dyDescent="0.35">
      <c r="A1050" t="s">
        <v>13</v>
      </c>
      <c r="B1050">
        <v>1099959</v>
      </c>
      <c r="C1050">
        <v>1101656</v>
      </c>
      <c r="E1050" t="s">
        <v>14</v>
      </c>
      <c r="F1050" t="s">
        <v>2522</v>
      </c>
      <c r="H1050">
        <v>1019035</v>
      </c>
      <c r="I1050" t="s">
        <v>17</v>
      </c>
      <c r="K1050" t="s">
        <v>2998</v>
      </c>
      <c r="L1050">
        <v>565</v>
      </c>
      <c r="M1050" t="s">
        <v>2999</v>
      </c>
    </row>
    <row r="1051" spans="1:13" x14ac:dyDescent="0.35">
      <c r="A1051" t="s">
        <v>13</v>
      </c>
      <c r="B1051">
        <v>1102163</v>
      </c>
      <c r="C1051">
        <v>1102642</v>
      </c>
      <c r="E1051" t="s">
        <v>14</v>
      </c>
      <c r="F1051" t="s">
        <v>49</v>
      </c>
      <c r="H1051">
        <v>44144946</v>
      </c>
      <c r="I1051" t="s">
        <v>17</v>
      </c>
      <c r="K1051" t="s">
        <v>3000</v>
      </c>
      <c r="L1051">
        <v>159</v>
      </c>
      <c r="M1051" t="s">
        <v>3001</v>
      </c>
    </row>
    <row r="1052" spans="1:13" x14ac:dyDescent="0.35">
      <c r="A1052" t="s">
        <v>13</v>
      </c>
      <c r="B1052">
        <v>1102740</v>
      </c>
      <c r="C1052">
        <v>1103195</v>
      </c>
      <c r="E1052" t="s">
        <v>14</v>
      </c>
      <c r="F1052" t="s">
        <v>49</v>
      </c>
      <c r="H1052">
        <v>44144947</v>
      </c>
      <c r="I1052" t="s">
        <v>17</v>
      </c>
      <c r="K1052" t="s">
        <v>3002</v>
      </c>
      <c r="L1052">
        <v>151</v>
      </c>
      <c r="M1052" t="s">
        <v>3003</v>
      </c>
    </row>
    <row r="1053" spans="1:13" x14ac:dyDescent="0.35">
      <c r="A1053" t="s">
        <v>13</v>
      </c>
      <c r="B1053">
        <v>1103192</v>
      </c>
      <c r="C1053">
        <v>1103527</v>
      </c>
      <c r="E1053" t="s">
        <v>14</v>
      </c>
      <c r="F1053" t="s">
        <v>49</v>
      </c>
      <c r="H1053">
        <v>1019038</v>
      </c>
      <c r="I1053" t="s">
        <v>17</v>
      </c>
      <c r="K1053" t="s">
        <v>3004</v>
      </c>
      <c r="L1053">
        <v>111</v>
      </c>
      <c r="M1053" t="s">
        <v>3005</v>
      </c>
    </row>
    <row r="1054" spans="1:13" x14ac:dyDescent="0.35">
      <c r="A1054" t="s">
        <v>13</v>
      </c>
      <c r="B1054">
        <v>1103712</v>
      </c>
      <c r="C1054">
        <v>1103921</v>
      </c>
      <c r="E1054" t="s">
        <v>38</v>
      </c>
      <c r="F1054" t="s">
        <v>49</v>
      </c>
      <c r="H1054">
        <v>44144948</v>
      </c>
      <c r="I1054" t="s">
        <v>17</v>
      </c>
      <c r="K1054" t="s">
        <v>3006</v>
      </c>
      <c r="L1054">
        <v>69</v>
      </c>
      <c r="M1054" t="s">
        <v>3007</v>
      </c>
    </row>
    <row r="1055" spans="1:13" x14ac:dyDescent="0.35">
      <c r="A1055" t="s">
        <v>13</v>
      </c>
      <c r="B1055">
        <v>1103951</v>
      </c>
      <c r="C1055">
        <v>1104106</v>
      </c>
      <c r="E1055" t="s">
        <v>14</v>
      </c>
      <c r="F1055" t="s">
        <v>49</v>
      </c>
      <c r="H1055">
        <v>44156731</v>
      </c>
      <c r="I1055" t="s">
        <v>17</v>
      </c>
      <c r="K1055" t="s">
        <v>3008</v>
      </c>
      <c r="L1055">
        <v>51</v>
      </c>
      <c r="M1055" t="s">
        <v>3009</v>
      </c>
    </row>
    <row r="1056" spans="1:13" x14ac:dyDescent="0.35">
      <c r="A1056" t="s">
        <v>13</v>
      </c>
      <c r="B1056">
        <v>1104100</v>
      </c>
      <c r="C1056">
        <v>1106058</v>
      </c>
      <c r="E1056" t="s">
        <v>38</v>
      </c>
      <c r="F1056" t="s">
        <v>3010</v>
      </c>
      <c r="H1056">
        <v>1019040</v>
      </c>
      <c r="I1056" t="s">
        <v>17</v>
      </c>
      <c r="K1056" t="s">
        <v>3011</v>
      </c>
      <c r="L1056">
        <v>652</v>
      </c>
      <c r="M1056" t="s">
        <v>3012</v>
      </c>
    </row>
    <row r="1057" spans="1:13" x14ac:dyDescent="0.35">
      <c r="A1057" t="s">
        <v>13</v>
      </c>
      <c r="B1057">
        <v>1106083</v>
      </c>
      <c r="C1057">
        <v>1107447</v>
      </c>
      <c r="E1057" t="s">
        <v>38</v>
      </c>
      <c r="F1057" t="s">
        <v>3013</v>
      </c>
      <c r="H1057">
        <v>1019041</v>
      </c>
      <c r="I1057" t="s">
        <v>17</v>
      </c>
      <c r="K1057" t="s">
        <v>3014</v>
      </c>
      <c r="L1057">
        <v>454</v>
      </c>
      <c r="M1057" t="s">
        <v>3015</v>
      </c>
    </row>
    <row r="1058" spans="1:13" x14ac:dyDescent="0.35">
      <c r="A1058" t="s">
        <v>13</v>
      </c>
      <c r="B1058">
        <v>1107503</v>
      </c>
      <c r="C1058">
        <v>1108204</v>
      </c>
      <c r="E1058" t="s">
        <v>14</v>
      </c>
      <c r="F1058" t="s">
        <v>1279</v>
      </c>
      <c r="H1058">
        <v>1019042</v>
      </c>
      <c r="I1058" t="s">
        <v>17</v>
      </c>
      <c r="K1058" t="s">
        <v>3016</v>
      </c>
      <c r="L1058">
        <v>233</v>
      </c>
      <c r="M1058" t="s">
        <v>3017</v>
      </c>
    </row>
    <row r="1059" spans="1:13" x14ac:dyDescent="0.35">
      <c r="A1059" t="s">
        <v>13</v>
      </c>
      <c r="B1059">
        <v>1108201</v>
      </c>
      <c r="C1059">
        <v>1108908</v>
      </c>
      <c r="E1059" t="s">
        <v>14</v>
      </c>
      <c r="F1059" t="s">
        <v>3018</v>
      </c>
      <c r="H1059">
        <v>1019043</v>
      </c>
      <c r="I1059" t="s">
        <v>17</v>
      </c>
      <c r="K1059" t="s">
        <v>3019</v>
      </c>
      <c r="L1059">
        <v>235</v>
      </c>
      <c r="M1059" t="s">
        <v>3020</v>
      </c>
    </row>
    <row r="1060" spans="1:13" x14ac:dyDescent="0.35">
      <c r="A1060" t="s">
        <v>13</v>
      </c>
      <c r="B1060">
        <v>1108993</v>
      </c>
      <c r="C1060">
        <v>1109757</v>
      </c>
      <c r="E1060" t="s">
        <v>14</v>
      </c>
      <c r="F1060" t="s">
        <v>3021</v>
      </c>
      <c r="H1060">
        <v>1019044</v>
      </c>
      <c r="I1060" t="s">
        <v>17</v>
      </c>
      <c r="K1060" t="s">
        <v>3022</v>
      </c>
      <c r="L1060">
        <v>254</v>
      </c>
      <c r="M1060" t="s">
        <v>3023</v>
      </c>
    </row>
    <row r="1061" spans="1:13" x14ac:dyDescent="0.35">
      <c r="A1061" t="s">
        <v>13</v>
      </c>
      <c r="B1061">
        <v>1109792</v>
      </c>
      <c r="C1061">
        <v>1111435</v>
      </c>
      <c r="E1061" t="s">
        <v>14</v>
      </c>
      <c r="F1061" t="s">
        <v>3024</v>
      </c>
      <c r="G1061" t="s">
        <v>3025</v>
      </c>
      <c r="H1061">
        <v>1019045</v>
      </c>
      <c r="I1061" t="s">
        <v>17</v>
      </c>
      <c r="K1061" t="s">
        <v>3026</v>
      </c>
      <c r="L1061">
        <v>547</v>
      </c>
      <c r="M1061" t="s">
        <v>3027</v>
      </c>
    </row>
    <row r="1062" spans="1:13" x14ac:dyDescent="0.35">
      <c r="A1062" t="s">
        <v>13</v>
      </c>
      <c r="B1062">
        <v>1111422</v>
      </c>
      <c r="C1062">
        <v>1111820</v>
      </c>
      <c r="E1062" t="s">
        <v>38</v>
      </c>
      <c r="F1062" t="s">
        <v>3028</v>
      </c>
      <c r="H1062">
        <v>1019046</v>
      </c>
      <c r="I1062" t="s">
        <v>17</v>
      </c>
      <c r="K1062" t="s">
        <v>3029</v>
      </c>
      <c r="L1062">
        <v>132</v>
      </c>
      <c r="M1062" t="s">
        <v>3030</v>
      </c>
    </row>
    <row r="1063" spans="1:13" x14ac:dyDescent="0.35">
      <c r="A1063" t="s">
        <v>13</v>
      </c>
      <c r="B1063">
        <v>1111889</v>
      </c>
      <c r="C1063">
        <v>1112233</v>
      </c>
      <c r="E1063" t="s">
        <v>14</v>
      </c>
      <c r="F1063" t="s">
        <v>3031</v>
      </c>
      <c r="H1063">
        <v>1019047</v>
      </c>
      <c r="I1063" t="s">
        <v>17</v>
      </c>
      <c r="K1063" t="s">
        <v>3032</v>
      </c>
      <c r="L1063">
        <v>114</v>
      </c>
      <c r="M1063" t="s">
        <v>3033</v>
      </c>
    </row>
    <row r="1064" spans="1:13" x14ac:dyDescent="0.35">
      <c r="A1064" t="s">
        <v>13</v>
      </c>
      <c r="B1064">
        <v>1112481</v>
      </c>
      <c r="C1064">
        <v>1112957</v>
      </c>
      <c r="E1064" t="s">
        <v>38</v>
      </c>
      <c r="F1064" t="s">
        <v>285</v>
      </c>
      <c r="H1064">
        <v>1019048</v>
      </c>
      <c r="I1064" t="s">
        <v>17</v>
      </c>
      <c r="K1064" t="s">
        <v>3034</v>
      </c>
      <c r="L1064">
        <v>158</v>
      </c>
      <c r="M1064" t="s">
        <v>3035</v>
      </c>
    </row>
    <row r="1065" spans="1:13" x14ac:dyDescent="0.35">
      <c r="A1065" t="s">
        <v>13</v>
      </c>
      <c r="B1065">
        <v>1113102</v>
      </c>
      <c r="C1065">
        <v>1114322</v>
      </c>
      <c r="E1065" t="s">
        <v>14</v>
      </c>
      <c r="F1065" t="s">
        <v>265</v>
      </c>
      <c r="H1065">
        <v>1019049</v>
      </c>
      <c r="I1065" t="s">
        <v>17</v>
      </c>
      <c r="K1065" t="s">
        <v>3036</v>
      </c>
      <c r="L1065">
        <v>406</v>
      </c>
      <c r="M1065" t="s">
        <v>3037</v>
      </c>
    </row>
    <row r="1066" spans="1:13" x14ac:dyDescent="0.35">
      <c r="A1066" t="s">
        <v>13</v>
      </c>
      <c r="B1066">
        <v>1114486</v>
      </c>
      <c r="C1066">
        <v>1115796</v>
      </c>
      <c r="E1066" t="s">
        <v>14</v>
      </c>
      <c r="F1066" t="s">
        <v>3038</v>
      </c>
      <c r="H1066">
        <v>1019050</v>
      </c>
      <c r="I1066" t="s">
        <v>17</v>
      </c>
      <c r="K1066" t="s">
        <v>3039</v>
      </c>
      <c r="L1066">
        <v>436</v>
      </c>
      <c r="M1066" t="s">
        <v>3040</v>
      </c>
    </row>
    <row r="1067" spans="1:13" x14ac:dyDescent="0.35">
      <c r="A1067" t="s">
        <v>13</v>
      </c>
      <c r="B1067">
        <v>1115829</v>
      </c>
      <c r="C1067">
        <v>1116905</v>
      </c>
      <c r="E1067" t="s">
        <v>38</v>
      </c>
      <c r="F1067" t="s">
        <v>3041</v>
      </c>
      <c r="H1067">
        <v>1019051</v>
      </c>
      <c r="I1067" t="s">
        <v>17</v>
      </c>
      <c r="K1067" t="s">
        <v>3042</v>
      </c>
      <c r="L1067">
        <v>358</v>
      </c>
      <c r="M1067" t="s">
        <v>3043</v>
      </c>
    </row>
    <row r="1068" spans="1:13" x14ac:dyDescent="0.35">
      <c r="A1068" t="s">
        <v>13</v>
      </c>
      <c r="B1068">
        <v>1116905</v>
      </c>
      <c r="C1068">
        <v>1117744</v>
      </c>
      <c r="E1068" t="s">
        <v>38</v>
      </c>
      <c r="F1068" t="s">
        <v>3044</v>
      </c>
      <c r="G1068" t="s">
        <v>3045</v>
      </c>
      <c r="H1068">
        <v>1019052</v>
      </c>
      <c r="I1068" t="s">
        <v>17</v>
      </c>
      <c r="K1068" t="s">
        <v>3046</v>
      </c>
      <c r="L1068">
        <v>279</v>
      </c>
      <c r="M1068" t="s">
        <v>3047</v>
      </c>
    </row>
    <row r="1069" spans="1:13" x14ac:dyDescent="0.35">
      <c r="A1069" t="s">
        <v>13</v>
      </c>
      <c r="B1069">
        <v>1117748</v>
      </c>
      <c r="C1069">
        <v>1119034</v>
      </c>
      <c r="E1069" t="s">
        <v>38</v>
      </c>
      <c r="F1069" t="s">
        <v>3048</v>
      </c>
      <c r="G1069" t="s">
        <v>3049</v>
      </c>
      <c r="H1069">
        <v>1019053</v>
      </c>
      <c r="I1069" t="s">
        <v>17</v>
      </c>
      <c r="K1069" t="s">
        <v>3050</v>
      </c>
      <c r="L1069">
        <v>428</v>
      </c>
      <c r="M1069" t="s">
        <v>3051</v>
      </c>
    </row>
    <row r="1070" spans="1:13" x14ac:dyDescent="0.35">
      <c r="A1070" t="s">
        <v>13</v>
      </c>
      <c r="B1070">
        <v>1119083</v>
      </c>
      <c r="C1070">
        <v>1119727</v>
      </c>
      <c r="E1070" t="s">
        <v>38</v>
      </c>
      <c r="F1070" t="s">
        <v>898</v>
      </c>
      <c r="H1070">
        <v>1019054</v>
      </c>
      <c r="I1070" t="s">
        <v>17</v>
      </c>
      <c r="K1070" t="s">
        <v>3052</v>
      </c>
      <c r="L1070">
        <v>214</v>
      </c>
      <c r="M1070" t="s">
        <v>3053</v>
      </c>
    </row>
    <row r="1071" spans="1:13" x14ac:dyDescent="0.35">
      <c r="A1071" t="s">
        <v>13</v>
      </c>
      <c r="B1071">
        <v>1119884</v>
      </c>
      <c r="C1071">
        <v>1120807</v>
      </c>
      <c r="E1071" t="s">
        <v>14</v>
      </c>
      <c r="F1071" t="s">
        <v>769</v>
      </c>
      <c r="H1071">
        <v>1019055</v>
      </c>
      <c r="I1071" t="s">
        <v>17</v>
      </c>
      <c r="K1071" t="s">
        <v>3054</v>
      </c>
      <c r="L1071">
        <v>307</v>
      </c>
      <c r="M1071" t="s">
        <v>3055</v>
      </c>
    </row>
    <row r="1072" spans="1:13" x14ac:dyDescent="0.35">
      <c r="A1072" t="s">
        <v>13</v>
      </c>
      <c r="B1072">
        <v>1120830</v>
      </c>
      <c r="C1072">
        <v>1121432</v>
      </c>
      <c r="E1072" t="s">
        <v>38</v>
      </c>
      <c r="F1072" t="s">
        <v>191</v>
      </c>
      <c r="H1072">
        <v>1019056</v>
      </c>
      <c r="I1072" t="s">
        <v>17</v>
      </c>
      <c r="K1072" t="s">
        <v>3056</v>
      </c>
      <c r="L1072">
        <v>200</v>
      </c>
      <c r="M1072" t="s">
        <v>3057</v>
      </c>
    </row>
    <row r="1073" spans="1:13" x14ac:dyDescent="0.35">
      <c r="A1073" t="s">
        <v>13</v>
      </c>
      <c r="B1073">
        <v>1121465</v>
      </c>
      <c r="C1073">
        <v>1121809</v>
      </c>
      <c r="E1073" t="s">
        <v>38</v>
      </c>
      <c r="F1073" t="s">
        <v>3058</v>
      </c>
      <c r="H1073">
        <v>1019057</v>
      </c>
      <c r="I1073" t="s">
        <v>17</v>
      </c>
      <c r="K1073" t="s">
        <v>3059</v>
      </c>
      <c r="L1073">
        <v>114</v>
      </c>
      <c r="M1073" t="s">
        <v>3060</v>
      </c>
    </row>
    <row r="1074" spans="1:13" x14ac:dyDescent="0.35">
      <c r="A1074" t="s">
        <v>13</v>
      </c>
      <c r="B1074">
        <v>1121815</v>
      </c>
      <c r="C1074">
        <v>1122873</v>
      </c>
      <c r="E1074" t="s">
        <v>38</v>
      </c>
      <c r="F1074" t="s">
        <v>3061</v>
      </c>
      <c r="H1074">
        <v>1019059</v>
      </c>
      <c r="I1074" t="s">
        <v>17</v>
      </c>
      <c r="K1074" t="s">
        <v>3062</v>
      </c>
      <c r="L1074">
        <v>352</v>
      </c>
      <c r="M1074" t="s">
        <v>3063</v>
      </c>
    </row>
    <row r="1075" spans="1:13" x14ac:dyDescent="0.35">
      <c r="A1075" t="s">
        <v>13</v>
      </c>
      <c r="B1075">
        <v>1122872</v>
      </c>
      <c r="C1075">
        <v>1123030</v>
      </c>
      <c r="E1075" t="s">
        <v>14</v>
      </c>
      <c r="F1075" t="s">
        <v>49</v>
      </c>
      <c r="H1075">
        <v>44144949</v>
      </c>
      <c r="I1075" t="s">
        <v>17</v>
      </c>
      <c r="K1075" t="s">
        <v>3064</v>
      </c>
      <c r="L1075">
        <v>52</v>
      </c>
      <c r="M1075" t="s">
        <v>3065</v>
      </c>
    </row>
    <row r="1076" spans="1:13" x14ac:dyDescent="0.35">
      <c r="A1076" t="s">
        <v>13</v>
      </c>
      <c r="B1076">
        <v>1123051</v>
      </c>
      <c r="C1076">
        <v>1123464</v>
      </c>
      <c r="E1076" t="s">
        <v>14</v>
      </c>
      <c r="F1076" t="s">
        <v>356</v>
      </c>
      <c r="H1076">
        <v>1019060</v>
      </c>
      <c r="I1076" t="s">
        <v>17</v>
      </c>
      <c r="K1076" t="s">
        <v>3066</v>
      </c>
      <c r="L1076">
        <v>137</v>
      </c>
      <c r="M1076" t="s">
        <v>3067</v>
      </c>
    </row>
    <row r="1077" spans="1:13" x14ac:dyDescent="0.35">
      <c r="A1077" t="s">
        <v>13</v>
      </c>
      <c r="B1077">
        <v>1123531</v>
      </c>
      <c r="C1077">
        <v>1124826</v>
      </c>
      <c r="E1077" t="s">
        <v>38</v>
      </c>
      <c r="F1077" t="s">
        <v>265</v>
      </c>
      <c r="H1077">
        <v>1019061</v>
      </c>
      <c r="I1077" t="s">
        <v>17</v>
      </c>
      <c r="K1077" t="s">
        <v>3068</v>
      </c>
      <c r="L1077">
        <v>431</v>
      </c>
      <c r="M1077" t="s">
        <v>3069</v>
      </c>
    </row>
    <row r="1078" spans="1:13" x14ac:dyDescent="0.35">
      <c r="A1078" t="s">
        <v>13</v>
      </c>
      <c r="B1078">
        <v>1124833</v>
      </c>
      <c r="C1078">
        <v>1126020</v>
      </c>
      <c r="E1078" t="s">
        <v>38</v>
      </c>
      <c r="F1078" t="s">
        <v>3070</v>
      </c>
      <c r="H1078">
        <v>1019062</v>
      </c>
      <c r="I1078" t="s">
        <v>17</v>
      </c>
      <c r="K1078" t="s">
        <v>3071</v>
      </c>
      <c r="L1078">
        <v>395</v>
      </c>
      <c r="M1078" t="s">
        <v>3072</v>
      </c>
    </row>
    <row r="1079" spans="1:13" x14ac:dyDescent="0.35">
      <c r="A1079" t="s">
        <v>13</v>
      </c>
      <c r="B1079">
        <v>1126407</v>
      </c>
      <c r="C1079">
        <v>1127012</v>
      </c>
      <c r="E1079" t="s">
        <v>14</v>
      </c>
      <c r="F1079" t="s">
        <v>1553</v>
      </c>
      <c r="H1079">
        <v>1019063</v>
      </c>
      <c r="I1079" t="s">
        <v>17</v>
      </c>
      <c r="K1079" t="s">
        <v>3073</v>
      </c>
      <c r="L1079">
        <v>201</v>
      </c>
      <c r="M1079" t="s">
        <v>3074</v>
      </c>
    </row>
    <row r="1080" spans="1:13" x14ac:dyDescent="0.35">
      <c r="A1080" t="s">
        <v>13</v>
      </c>
      <c r="B1080">
        <v>1127013</v>
      </c>
      <c r="C1080">
        <v>1128353</v>
      </c>
      <c r="E1080" t="s">
        <v>14</v>
      </c>
      <c r="F1080" t="s">
        <v>147</v>
      </c>
      <c r="H1080">
        <v>1019064</v>
      </c>
      <c r="I1080" t="s">
        <v>17</v>
      </c>
      <c r="K1080" t="s">
        <v>3075</v>
      </c>
      <c r="L1080">
        <v>446</v>
      </c>
      <c r="M1080" t="s">
        <v>3076</v>
      </c>
    </row>
    <row r="1081" spans="1:13" x14ac:dyDescent="0.35">
      <c r="A1081" t="s">
        <v>13</v>
      </c>
      <c r="B1081">
        <v>1128350</v>
      </c>
      <c r="C1081">
        <v>1129105</v>
      </c>
      <c r="E1081" t="s">
        <v>14</v>
      </c>
      <c r="F1081" t="s">
        <v>3077</v>
      </c>
      <c r="H1081">
        <v>1019065</v>
      </c>
      <c r="I1081" t="s">
        <v>17</v>
      </c>
      <c r="K1081" t="s">
        <v>3078</v>
      </c>
      <c r="L1081">
        <v>251</v>
      </c>
      <c r="M1081" t="s">
        <v>3079</v>
      </c>
    </row>
    <row r="1082" spans="1:13" x14ac:dyDescent="0.35">
      <c r="A1082" t="s">
        <v>13</v>
      </c>
      <c r="B1082">
        <v>1129102</v>
      </c>
      <c r="C1082">
        <v>1129635</v>
      </c>
      <c r="E1082" t="s">
        <v>14</v>
      </c>
      <c r="F1082" t="s">
        <v>49</v>
      </c>
      <c r="H1082">
        <v>1019066</v>
      </c>
      <c r="I1082" t="s">
        <v>17</v>
      </c>
      <c r="K1082" t="s">
        <v>3080</v>
      </c>
      <c r="L1082">
        <v>177</v>
      </c>
      <c r="M1082" t="s">
        <v>3081</v>
      </c>
    </row>
    <row r="1083" spans="1:13" x14ac:dyDescent="0.35">
      <c r="A1083" t="s">
        <v>13</v>
      </c>
      <c r="B1083">
        <v>1129655</v>
      </c>
      <c r="C1083">
        <v>1130707</v>
      </c>
      <c r="E1083" t="s">
        <v>14</v>
      </c>
      <c r="F1083" t="s">
        <v>3082</v>
      </c>
      <c r="H1083">
        <v>1019067</v>
      </c>
      <c r="I1083" t="s">
        <v>17</v>
      </c>
      <c r="K1083" t="s">
        <v>3083</v>
      </c>
      <c r="L1083">
        <v>350</v>
      </c>
      <c r="M1083" t="s">
        <v>3084</v>
      </c>
    </row>
    <row r="1084" spans="1:13" x14ac:dyDescent="0.35">
      <c r="A1084" t="s">
        <v>13</v>
      </c>
      <c r="B1084">
        <v>1130727</v>
      </c>
      <c r="C1084">
        <v>1131431</v>
      </c>
      <c r="E1084" t="s">
        <v>14</v>
      </c>
      <c r="F1084" t="s">
        <v>3085</v>
      </c>
      <c r="H1084">
        <v>1019068</v>
      </c>
      <c r="I1084" t="s">
        <v>17</v>
      </c>
      <c r="K1084" t="s">
        <v>3086</v>
      </c>
      <c r="L1084">
        <v>234</v>
      </c>
      <c r="M1084" t="s">
        <v>3087</v>
      </c>
    </row>
    <row r="1085" spans="1:13" x14ac:dyDescent="0.35">
      <c r="A1085" t="s">
        <v>13</v>
      </c>
      <c r="B1085">
        <v>1131398</v>
      </c>
      <c r="C1085">
        <v>1132123</v>
      </c>
      <c r="E1085" t="s">
        <v>38</v>
      </c>
      <c r="F1085" t="s">
        <v>3088</v>
      </c>
      <c r="H1085">
        <v>1019069</v>
      </c>
      <c r="I1085" t="s">
        <v>17</v>
      </c>
      <c r="K1085" t="s">
        <v>3089</v>
      </c>
      <c r="L1085">
        <v>241</v>
      </c>
      <c r="M1085" t="s">
        <v>3090</v>
      </c>
    </row>
    <row r="1086" spans="1:13" x14ac:dyDescent="0.35">
      <c r="A1086" t="s">
        <v>13</v>
      </c>
      <c r="B1086">
        <v>1132130</v>
      </c>
      <c r="C1086">
        <v>1134472</v>
      </c>
      <c r="E1086" t="s">
        <v>38</v>
      </c>
      <c r="F1086" t="s">
        <v>127</v>
      </c>
      <c r="H1086">
        <v>1019070</v>
      </c>
      <c r="I1086" t="s">
        <v>17</v>
      </c>
      <c r="K1086" t="s">
        <v>3091</v>
      </c>
      <c r="L1086">
        <v>780</v>
      </c>
      <c r="M1086" t="s">
        <v>3092</v>
      </c>
    </row>
    <row r="1087" spans="1:13" x14ac:dyDescent="0.35">
      <c r="A1087" t="s">
        <v>13</v>
      </c>
      <c r="B1087">
        <v>1134561</v>
      </c>
      <c r="C1087">
        <v>1135058</v>
      </c>
      <c r="E1087" t="s">
        <v>14</v>
      </c>
      <c r="F1087" t="s">
        <v>3093</v>
      </c>
      <c r="G1087" t="s">
        <v>3094</v>
      </c>
      <c r="H1087">
        <v>1019071</v>
      </c>
      <c r="I1087" t="s">
        <v>17</v>
      </c>
      <c r="K1087" t="s">
        <v>3095</v>
      </c>
      <c r="L1087">
        <v>165</v>
      </c>
      <c r="M1087" t="s">
        <v>3096</v>
      </c>
    </row>
    <row r="1088" spans="1:13" x14ac:dyDescent="0.35">
      <c r="A1088" t="s">
        <v>13</v>
      </c>
      <c r="B1088">
        <v>1135055</v>
      </c>
      <c r="C1088">
        <v>1136833</v>
      </c>
      <c r="E1088" t="s">
        <v>38</v>
      </c>
      <c r="F1088" t="s">
        <v>49</v>
      </c>
      <c r="H1088">
        <v>1019072</v>
      </c>
      <c r="I1088" t="s">
        <v>17</v>
      </c>
      <c r="K1088" t="s">
        <v>3097</v>
      </c>
      <c r="L1088">
        <v>592</v>
      </c>
      <c r="M1088" t="s">
        <v>3098</v>
      </c>
    </row>
    <row r="1089" spans="1:13" x14ac:dyDescent="0.35">
      <c r="A1089" t="s">
        <v>13</v>
      </c>
      <c r="B1089">
        <v>1136935</v>
      </c>
      <c r="C1089">
        <v>1137891</v>
      </c>
      <c r="E1089" t="s">
        <v>38</v>
      </c>
      <c r="F1089" t="s">
        <v>3099</v>
      </c>
      <c r="H1089">
        <v>1019073</v>
      </c>
      <c r="I1089" t="s">
        <v>17</v>
      </c>
      <c r="K1089" t="s">
        <v>3100</v>
      </c>
      <c r="L1089">
        <v>318</v>
      </c>
      <c r="M1089" t="s">
        <v>3101</v>
      </c>
    </row>
    <row r="1090" spans="1:13" x14ac:dyDescent="0.35">
      <c r="A1090" t="s">
        <v>13</v>
      </c>
      <c r="B1090">
        <v>1137960</v>
      </c>
      <c r="C1090">
        <v>1138862</v>
      </c>
      <c r="E1090" t="s">
        <v>14</v>
      </c>
      <c r="F1090" t="s">
        <v>3102</v>
      </c>
      <c r="H1090">
        <v>1019074</v>
      </c>
      <c r="I1090" t="s">
        <v>17</v>
      </c>
      <c r="K1090" t="s">
        <v>3103</v>
      </c>
      <c r="L1090">
        <v>300</v>
      </c>
      <c r="M1090" t="s">
        <v>3104</v>
      </c>
    </row>
    <row r="1091" spans="1:13" x14ac:dyDescent="0.35">
      <c r="A1091" t="s">
        <v>13</v>
      </c>
      <c r="B1091">
        <v>1138880</v>
      </c>
      <c r="C1091">
        <v>1139248</v>
      </c>
      <c r="E1091" t="s">
        <v>14</v>
      </c>
      <c r="F1091" t="s">
        <v>3105</v>
      </c>
      <c r="H1091">
        <v>1019075</v>
      </c>
      <c r="I1091" t="s">
        <v>17</v>
      </c>
      <c r="K1091" t="s">
        <v>3106</v>
      </c>
      <c r="L1091">
        <v>122</v>
      </c>
      <c r="M1091" t="s">
        <v>3107</v>
      </c>
    </row>
    <row r="1092" spans="1:13" x14ac:dyDescent="0.35">
      <c r="A1092" t="s">
        <v>13</v>
      </c>
      <c r="B1092">
        <v>1139357</v>
      </c>
      <c r="C1092">
        <v>1139620</v>
      </c>
      <c r="E1092" t="s">
        <v>14</v>
      </c>
      <c r="F1092" t="s">
        <v>49</v>
      </c>
      <c r="H1092">
        <v>44144950</v>
      </c>
      <c r="I1092" t="s">
        <v>17</v>
      </c>
      <c r="K1092" t="s">
        <v>3108</v>
      </c>
      <c r="L1092">
        <v>87</v>
      </c>
      <c r="M1092" t="s">
        <v>3109</v>
      </c>
    </row>
    <row r="1093" spans="1:13" x14ac:dyDescent="0.35">
      <c r="A1093" t="s">
        <v>13</v>
      </c>
      <c r="B1093">
        <v>1139632</v>
      </c>
      <c r="C1093">
        <v>1140021</v>
      </c>
      <c r="E1093" t="s">
        <v>38</v>
      </c>
      <c r="F1093" t="s">
        <v>1360</v>
      </c>
      <c r="H1093">
        <v>1019077</v>
      </c>
      <c r="I1093" t="s">
        <v>17</v>
      </c>
      <c r="K1093" t="s">
        <v>3110</v>
      </c>
      <c r="L1093">
        <v>129</v>
      </c>
      <c r="M1093" t="s">
        <v>3111</v>
      </c>
    </row>
    <row r="1094" spans="1:13" x14ac:dyDescent="0.35">
      <c r="A1094" t="s">
        <v>13</v>
      </c>
      <c r="B1094">
        <v>1140025</v>
      </c>
      <c r="C1094">
        <v>1140861</v>
      </c>
      <c r="E1094" t="s">
        <v>38</v>
      </c>
      <c r="F1094" t="s">
        <v>2286</v>
      </c>
      <c r="H1094">
        <v>1019078</v>
      </c>
      <c r="I1094" t="s">
        <v>17</v>
      </c>
      <c r="K1094" t="s">
        <v>3112</v>
      </c>
      <c r="L1094">
        <v>278</v>
      </c>
      <c r="M1094" t="s">
        <v>3113</v>
      </c>
    </row>
    <row r="1095" spans="1:13" x14ac:dyDescent="0.35">
      <c r="A1095" t="s">
        <v>13</v>
      </c>
      <c r="B1095">
        <v>1140898</v>
      </c>
      <c r="C1095">
        <v>1141245</v>
      </c>
      <c r="E1095" t="s">
        <v>38</v>
      </c>
      <c r="F1095" t="s">
        <v>3114</v>
      </c>
      <c r="G1095" t="s">
        <v>3115</v>
      </c>
      <c r="H1095">
        <v>1019079</v>
      </c>
      <c r="I1095" t="s">
        <v>17</v>
      </c>
      <c r="K1095" t="s">
        <v>3116</v>
      </c>
      <c r="L1095">
        <v>115</v>
      </c>
      <c r="M1095" t="s">
        <v>3117</v>
      </c>
    </row>
    <row r="1096" spans="1:13" x14ac:dyDescent="0.35">
      <c r="A1096" t="s">
        <v>13</v>
      </c>
      <c r="B1096">
        <v>1141273</v>
      </c>
      <c r="C1096">
        <v>1142475</v>
      </c>
      <c r="E1096" t="s">
        <v>14</v>
      </c>
      <c r="F1096" t="s">
        <v>3118</v>
      </c>
      <c r="H1096">
        <v>1019080</v>
      </c>
      <c r="I1096" t="s">
        <v>17</v>
      </c>
      <c r="K1096" t="s">
        <v>3119</v>
      </c>
      <c r="L1096">
        <v>400</v>
      </c>
      <c r="M1096" t="s">
        <v>3120</v>
      </c>
    </row>
    <row r="1097" spans="1:13" x14ac:dyDescent="0.35">
      <c r="A1097" t="s">
        <v>13</v>
      </c>
      <c r="B1097">
        <v>1142476</v>
      </c>
      <c r="C1097">
        <v>1143015</v>
      </c>
      <c r="E1097" t="s">
        <v>38</v>
      </c>
      <c r="F1097" t="s">
        <v>3121</v>
      </c>
      <c r="H1097">
        <v>1019081</v>
      </c>
      <c r="I1097" t="s">
        <v>17</v>
      </c>
      <c r="K1097" t="s">
        <v>3122</v>
      </c>
      <c r="L1097">
        <v>179</v>
      </c>
      <c r="M1097" t="s">
        <v>3123</v>
      </c>
    </row>
    <row r="1098" spans="1:13" x14ac:dyDescent="0.35">
      <c r="A1098" t="s">
        <v>13</v>
      </c>
      <c r="B1098">
        <v>1143023</v>
      </c>
      <c r="C1098">
        <v>1143739</v>
      </c>
      <c r="E1098" t="s">
        <v>38</v>
      </c>
      <c r="F1098" t="s">
        <v>3124</v>
      </c>
      <c r="H1098">
        <v>1019082</v>
      </c>
      <c r="I1098" t="s">
        <v>17</v>
      </c>
      <c r="K1098" t="s">
        <v>3125</v>
      </c>
      <c r="L1098">
        <v>238</v>
      </c>
      <c r="M1098" t="s">
        <v>3126</v>
      </c>
    </row>
    <row r="1099" spans="1:13" x14ac:dyDescent="0.35">
      <c r="A1099" t="s">
        <v>13</v>
      </c>
      <c r="B1099">
        <v>1144118</v>
      </c>
      <c r="C1099">
        <v>1146031</v>
      </c>
      <c r="E1099" t="s">
        <v>14</v>
      </c>
      <c r="F1099" t="s">
        <v>3127</v>
      </c>
      <c r="G1099" t="s">
        <v>3128</v>
      </c>
      <c r="H1099">
        <v>1019083</v>
      </c>
      <c r="I1099" t="s">
        <v>17</v>
      </c>
      <c r="K1099" t="s">
        <v>3129</v>
      </c>
      <c r="L1099">
        <v>637</v>
      </c>
      <c r="M1099" t="s">
        <v>3130</v>
      </c>
    </row>
    <row r="1100" spans="1:13" x14ac:dyDescent="0.35">
      <c r="A1100" t="s">
        <v>13</v>
      </c>
      <c r="B1100">
        <v>1146154</v>
      </c>
      <c r="C1100">
        <v>1147605</v>
      </c>
      <c r="E1100" t="s">
        <v>14</v>
      </c>
      <c r="F1100" t="s">
        <v>3131</v>
      </c>
      <c r="H1100">
        <v>1019084</v>
      </c>
      <c r="I1100" t="s">
        <v>17</v>
      </c>
      <c r="K1100" t="s">
        <v>3132</v>
      </c>
      <c r="L1100">
        <v>483</v>
      </c>
      <c r="M1100" t="s">
        <v>3133</v>
      </c>
    </row>
    <row r="1101" spans="1:13" x14ac:dyDescent="0.35">
      <c r="A1101" t="s">
        <v>13</v>
      </c>
      <c r="B1101">
        <v>1147592</v>
      </c>
      <c r="C1101">
        <v>1148464</v>
      </c>
      <c r="E1101" t="s">
        <v>14</v>
      </c>
      <c r="F1101" t="s">
        <v>3134</v>
      </c>
      <c r="G1101" t="s">
        <v>3135</v>
      </c>
      <c r="H1101">
        <v>1019085</v>
      </c>
      <c r="I1101" t="s">
        <v>17</v>
      </c>
      <c r="K1101" t="s">
        <v>3136</v>
      </c>
      <c r="L1101">
        <v>290</v>
      </c>
      <c r="M1101" t="s">
        <v>3137</v>
      </c>
    </row>
    <row r="1102" spans="1:13" x14ac:dyDescent="0.35">
      <c r="A1102" t="s">
        <v>13</v>
      </c>
      <c r="B1102">
        <v>1148472</v>
      </c>
      <c r="C1102">
        <v>1148885</v>
      </c>
      <c r="E1102" t="s">
        <v>14</v>
      </c>
      <c r="F1102" t="s">
        <v>49</v>
      </c>
      <c r="H1102">
        <v>1019086</v>
      </c>
      <c r="I1102" t="s">
        <v>17</v>
      </c>
      <c r="K1102" t="s">
        <v>3138</v>
      </c>
      <c r="L1102">
        <v>137</v>
      </c>
      <c r="M1102" t="s">
        <v>3139</v>
      </c>
    </row>
    <row r="1103" spans="1:13" x14ac:dyDescent="0.35">
      <c r="A1103" t="s">
        <v>13</v>
      </c>
      <c r="B1103">
        <v>1148953</v>
      </c>
      <c r="C1103">
        <v>1149270</v>
      </c>
      <c r="E1103" t="s">
        <v>14</v>
      </c>
      <c r="F1103" t="s">
        <v>3140</v>
      </c>
      <c r="G1103" t="s">
        <v>3141</v>
      </c>
      <c r="H1103">
        <v>1019087</v>
      </c>
      <c r="I1103" t="s">
        <v>17</v>
      </c>
      <c r="K1103" t="s">
        <v>3142</v>
      </c>
      <c r="L1103">
        <v>105</v>
      </c>
      <c r="M1103" t="s">
        <v>3143</v>
      </c>
    </row>
    <row r="1104" spans="1:13" x14ac:dyDescent="0.35">
      <c r="A1104" t="s">
        <v>13</v>
      </c>
      <c r="B1104">
        <v>1149279</v>
      </c>
      <c r="C1104">
        <v>1150382</v>
      </c>
      <c r="E1104" t="s">
        <v>14</v>
      </c>
      <c r="F1104" t="s">
        <v>3144</v>
      </c>
      <c r="G1104" t="s">
        <v>3145</v>
      </c>
      <c r="H1104">
        <v>1019088</v>
      </c>
      <c r="I1104" t="s">
        <v>17</v>
      </c>
      <c r="K1104" t="s">
        <v>3146</v>
      </c>
      <c r="L1104">
        <v>367</v>
      </c>
      <c r="M1104" t="s">
        <v>3147</v>
      </c>
    </row>
    <row r="1105" spans="1:13" x14ac:dyDescent="0.35">
      <c r="A1105" t="s">
        <v>13</v>
      </c>
      <c r="B1105">
        <v>1150441</v>
      </c>
      <c r="C1105">
        <v>1151031</v>
      </c>
      <c r="E1105" t="s">
        <v>14</v>
      </c>
      <c r="F1105" t="s">
        <v>595</v>
      </c>
      <c r="H1105">
        <v>1019089</v>
      </c>
      <c r="I1105" t="s">
        <v>17</v>
      </c>
      <c r="K1105" t="s">
        <v>3148</v>
      </c>
      <c r="L1105">
        <v>196</v>
      </c>
      <c r="M1105" t="s">
        <v>3149</v>
      </c>
    </row>
    <row r="1106" spans="1:13" x14ac:dyDescent="0.35">
      <c r="A1106" t="s">
        <v>13</v>
      </c>
      <c r="B1106">
        <v>1151207</v>
      </c>
      <c r="C1106">
        <v>1152373</v>
      </c>
      <c r="E1106" t="s">
        <v>14</v>
      </c>
      <c r="F1106" t="s">
        <v>2205</v>
      </c>
      <c r="H1106">
        <v>1019090</v>
      </c>
      <c r="I1106" t="s">
        <v>17</v>
      </c>
      <c r="K1106" t="s">
        <v>3150</v>
      </c>
      <c r="L1106">
        <v>388</v>
      </c>
      <c r="M1106" t="s">
        <v>3151</v>
      </c>
    </row>
    <row r="1107" spans="1:13" x14ac:dyDescent="0.35">
      <c r="A1107" t="s">
        <v>13</v>
      </c>
      <c r="B1107">
        <v>1152370</v>
      </c>
      <c r="C1107">
        <v>1153263</v>
      </c>
      <c r="E1107" t="s">
        <v>38</v>
      </c>
      <c r="F1107" t="s">
        <v>3152</v>
      </c>
      <c r="G1107" t="s">
        <v>3153</v>
      </c>
      <c r="H1107">
        <v>1019091</v>
      </c>
      <c r="I1107" t="s">
        <v>17</v>
      </c>
      <c r="K1107" t="s">
        <v>3154</v>
      </c>
      <c r="L1107">
        <v>297</v>
      </c>
      <c r="M1107" t="s">
        <v>3155</v>
      </c>
    </row>
    <row r="1108" spans="1:13" x14ac:dyDescent="0.35">
      <c r="A1108" t="s">
        <v>13</v>
      </c>
      <c r="B1108">
        <v>1153292</v>
      </c>
      <c r="C1108">
        <v>1154683</v>
      </c>
      <c r="E1108" t="s">
        <v>38</v>
      </c>
      <c r="F1108" t="s">
        <v>3156</v>
      </c>
      <c r="G1108" t="s">
        <v>3157</v>
      </c>
      <c r="H1108">
        <v>1019092</v>
      </c>
      <c r="I1108" t="s">
        <v>17</v>
      </c>
      <c r="K1108" t="s">
        <v>3158</v>
      </c>
      <c r="L1108">
        <v>463</v>
      </c>
      <c r="M1108" t="s">
        <v>3159</v>
      </c>
    </row>
    <row r="1109" spans="1:13" x14ac:dyDescent="0.35">
      <c r="A1109" t="s">
        <v>13</v>
      </c>
      <c r="B1109">
        <v>1154726</v>
      </c>
      <c r="C1109">
        <v>1155676</v>
      </c>
      <c r="E1109" t="s">
        <v>38</v>
      </c>
      <c r="F1109" t="s">
        <v>3160</v>
      </c>
      <c r="H1109">
        <v>1019093</v>
      </c>
      <c r="I1109" t="s">
        <v>17</v>
      </c>
      <c r="K1109" t="s">
        <v>3161</v>
      </c>
      <c r="L1109">
        <v>316</v>
      </c>
      <c r="M1109" t="s">
        <v>3162</v>
      </c>
    </row>
    <row r="1110" spans="1:13" x14ac:dyDescent="0.35">
      <c r="A1110" t="s">
        <v>13</v>
      </c>
      <c r="B1110">
        <v>1155731</v>
      </c>
      <c r="C1110">
        <v>1156840</v>
      </c>
      <c r="E1110" t="s">
        <v>14</v>
      </c>
      <c r="F1110" t="s">
        <v>3163</v>
      </c>
      <c r="G1110" t="s">
        <v>3164</v>
      </c>
      <c r="H1110">
        <v>1019094</v>
      </c>
      <c r="I1110" t="s">
        <v>17</v>
      </c>
      <c r="K1110" t="s">
        <v>3165</v>
      </c>
      <c r="L1110">
        <v>369</v>
      </c>
      <c r="M1110" t="s">
        <v>3166</v>
      </c>
    </row>
    <row r="1111" spans="1:13" x14ac:dyDescent="0.35">
      <c r="A1111" t="s">
        <v>13</v>
      </c>
      <c r="B1111">
        <v>1156902</v>
      </c>
      <c r="C1111">
        <v>1157672</v>
      </c>
      <c r="E1111" t="s">
        <v>14</v>
      </c>
      <c r="F1111" t="s">
        <v>3167</v>
      </c>
      <c r="H1111">
        <v>1019095</v>
      </c>
      <c r="I1111" t="s">
        <v>17</v>
      </c>
      <c r="K1111" t="s">
        <v>3168</v>
      </c>
      <c r="L1111">
        <v>256</v>
      </c>
      <c r="M1111" t="s">
        <v>3169</v>
      </c>
    </row>
    <row r="1112" spans="1:13" x14ac:dyDescent="0.35">
      <c r="A1112" t="s">
        <v>13</v>
      </c>
      <c r="B1112">
        <v>1157694</v>
      </c>
      <c r="C1112">
        <v>1158527</v>
      </c>
      <c r="E1112" t="s">
        <v>14</v>
      </c>
      <c r="F1112" t="s">
        <v>3170</v>
      </c>
      <c r="G1112" t="s">
        <v>3171</v>
      </c>
      <c r="H1112">
        <v>1019096</v>
      </c>
      <c r="I1112" t="s">
        <v>17</v>
      </c>
      <c r="K1112" t="s">
        <v>3172</v>
      </c>
      <c r="L1112">
        <v>277</v>
      </c>
      <c r="M1112" t="s">
        <v>3173</v>
      </c>
    </row>
    <row r="1113" spans="1:13" x14ac:dyDescent="0.35">
      <c r="A1113" t="s">
        <v>13</v>
      </c>
      <c r="B1113">
        <v>1158539</v>
      </c>
      <c r="C1113">
        <v>1159255</v>
      </c>
      <c r="E1113" t="s">
        <v>14</v>
      </c>
      <c r="F1113" t="s">
        <v>3174</v>
      </c>
      <c r="H1113">
        <v>1019097</v>
      </c>
      <c r="I1113" t="s">
        <v>17</v>
      </c>
      <c r="K1113" t="s">
        <v>3175</v>
      </c>
      <c r="L1113">
        <v>238</v>
      </c>
      <c r="M1113" t="s">
        <v>3176</v>
      </c>
    </row>
    <row r="1114" spans="1:13" x14ac:dyDescent="0.35">
      <c r="A1114" t="s">
        <v>13</v>
      </c>
      <c r="B1114">
        <v>1159267</v>
      </c>
      <c r="C1114">
        <v>1159575</v>
      </c>
      <c r="E1114" t="s">
        <v>14</v>
      </c>
      <c r="F1114" t="s">
        <v>49</v>
      </c>
      <c r="H1114">
        <v>1019098</v>
      </c>
      <c r="I1114" t="s">
        <v>17</v>
      </c>
      <c r="K1114" t="s">
        <v>3177</v>
      </c>
      <c r="L1114">
        <v>102</v>
      </c>
      <c r="M1114" t="s">
        <v>3178</v>
      </c>
    </row>
    <row r="1115" spans="1:13" x14ac:dyDescent="0.35">
      <c r="A1115" t="s">
        <v>13</v>
      </c>
      <c r="B1115">
        <v>1159635</v>
      </c>
      <c r="C1115">
        <v>1159802</v>
      </c>
      <c r="E1115" t="s">
        <v>14</v>
      </c>
      <c r="F1115" t="s">
        <v>3179</v>
      </c>
      <c r="H1115">
        <v>1019099</v>
      </c>
      <c r="I1115" t="s">
        <v>17</v>
      </c>
      <c r="K1115" t="s">
        <v>3180</v>
      </c>
      <c r="L1115">
        <v>55</v>
      </c>
      <c r="M1115" t="s">
        <v>3181</v>
      </c>
    </row>
    <row r="1116" spans="1:13" x14ac:dyDescent="0.35">
      <c r="A1116" t="s">
        <v>13</v>
      </c>
      <c r="B1116">
        <v>1159865</v>
      </c>
      <c r="C1116">
        <v>1160731</v>
      </c>
      <c r="E1116" t="s">
        <v>14</v>
      </c>
      <c r="F1116" t="s">
        <v>3182</v>
      </c>
      <c r="H1116">
        <v>1019100</v>
      </c>
      <c r="I1116" t="s">
        <v>17</v>
      </c>
      <c r="K1116" t="s">
        <v>3183</v>
      </c>
      <c r="L1116">
        <v>288</v>
      </c>
      <c r="M1116" t="s">
        <v>3184</v>
      </c>
    </row>
    <row r="1117" spans="1:13" x14ac:dyDescent="0.35">
      <c r="A1117" t="s">
        <v>13</v>
      </c>
      <c r="B1117">
        <v>1160735</v>
      </c>
      <c r="C1117">
        <v>1162231</v>
      </c>
      <c r="E1117" t="s">
        <v>38</v>
      </c>
      <c r="F1117" t="s">
        <v>3185</v>
      </c>
      <c r="H1117">
        <v>1019101</v>
      </c>
      <c r="I1117" t="s">
        <v>17</v>
      </c>
      <c r="K1117" t="s">
        <v>3186</v>
      </c>
      <c r="L1117">
        <v>498</v>
      </c>
      <c r="M1117" t="s">
        <v>3187</v>
      </c>
    </row>
    <row r="1118" spans="1:13" x14ac:dyDescent="0.35">
      <c r="A1118" t="s">
        <v>13</v>
      </c>
      <c r="B1118">
        <v>1162376</v>
      </c>
      <c r="C1118">
        <v>1163548</v>
      </c>
      <c r="E1118" t="s">
        <v>38</v>
      </c>
      <c r="F1118" t="s">
        <v>3188</v>
      </c>
      <c r="G1118" t="s">
        <v>3189</v>
      </c>
      <c r="H1118">
        <v>1019102</v>
      </c>
      <c r="I1118" t="s">
        <v>17</v>
      </c>
      <c r="K1118" t="s">
        <v>3190</v>
      </c>
      <c r="L1118">
        <v>390</v>
      </c>
      <c r="M1118" t="s">
        <v>3191</v>
      </c>
    </row>
    <row r="1119" spans="1:13" x14ac:dyDescent="0.35">
      <c r="A1119" t="s">
        <v>13</v>
      </c>
      <c r="B1119">
        <v>1163690</v>
      </c>
      <c r="C1119">
        <v>1164919</v>
      </c>
      <c r="E1119" t="s">
        <v>14</v>
      </c>
      <c r="F1119" t="s">
        <v>3192</v>
      </c>
      <c r="G1119" t="s">
        <v>3193</v>
      </c>
      <c r="H1119">
        <v>1019103</v>
      </c>
      <c r="I1119" t="s">
        <v>17</v>
      </c>
      <c r="K1119" t="s">
        <v>3194</v>
      </c>
      <c r="L1119">
        <v>409</v>
      </c>
      <c r="M1119" t="s">
        <v>3195</v>
      </c>
    </row>
    <row r="1120" spans="1:13" x14ac:dyDescent="0.35">
      <c r="A1120" t="s">
        <v>13</v>
      </c>
      <c r="B1120">
        <v>1164971</v>
      </c>
      <c r="C1120">
        <v>1165612</v>
      </c>
      <c r="E1120" t="s">
        <v>38</v>
      </c>
      <c r="F1120" t="s">
        <v>546</v>
      </c>
      <c r="H1120">
        <v>1019104</v>
      </c>
      <c r="I1120" t="s">
        <v>17</v>
      </c>
      <c r="K1120" t="s">
        <v>3196</v>
      </c>
      <c r="L1120">
        <v>213</v>
      </c>
      <c r="M1120" t="s">
        <v>3197</v>
      </c>
    </row>
    <row r="1121" spans="1:13" x14ac:dyDescent="0.35">
      <c r="A1121" t="s">
        <v>13</v>
      </c>
      <c r="B1121">
        <v>1165746</v>
      </c>
      <c r="C1121">
        <v>1166387</v>
      </c>
      <c r="E1121" t="s">
        <v>14</v>
      </c>
      <c r="F1121" t="s">
        <v>3198</v>
      </c>
      <c r="G1121" t="s">
        <v>3199</v>
      </c>
      <c r="H1121">
        <v>1019105</v>
      </c>
      <c r="I1121" t="s">
        <v>17</v>
      </c>
      <c r="K1121" t="s">
        <v>3200</v>
      </c>
      <c r="L1121">
        <v>213</v>
      </c>
      <c r="M1121" t="s">
        <v>3201</v>
      </c>
    </row>
    <row r="1122" spans="1:13" x14ac:dyDescent="0.35">
      <c r="A1122" t="s">
        <v>13</v>
      </c>
      <c r="B1122">
        <v>1166576</v>
      </c>
      <c r="C1122">
        <v>1167070</v>
      </c>
      <c r="E1122" t="s">
        <v>14</v>
      </c>
      <c r="F1122" t="s">
        <v>49</v>
      </c>
      <c r="H1122">
        <v>1019106</v>
      </c>
      <c r="I1122" t="s">
        <v>17</v>
      </c>
      <c r="K1122" t="s">
        <v>3202</v>
      </c>
      <c r="L1122">
        <v>164</v>
      </c>
      <c r="M1122" t="s">
        <v>3203</v>
      </c>
    </row>
    <row r="1123" spans="1:13" x14ac:dyDescent="0.35">
      <c r="A1123" t="s">
        <v>13</v>
      </c>
      <c r="B1123">
        <v>1167110</v>
      </c>
      <c r="C1123">
        <v>1167580</v>
      </c>
      <c r="E1123" t="s">
        <v>14</v>
      </c>
      <c r="F1123" t="s">
        <v>3204</v>
      </c>
      <c r="G1123" t="s">
        <v>3205</v>
      </c>
      <c r="H1123">
        <v>1019107</v>
      </c>
      <c r="I1123" t="s">
        <v>17</v>
      </c>
      <c r="K1123" t="s">
        <v>3206</v>
      </c>
      <c r="L1123">
        <v>156</v>
      </c>
      <c r="M1123" t="s">
        <v>3207</v>
      </c>
    </row>
    <row r="1124" spans="1:13" x14ac:dyDescent="0.35">
      <c r="A1124" t="s">
        <v>13</v>
      </c>
      <c r="B1124">
        <v>1167584</v>
      </c>
      <c r="C1124">
        <v>1168708</v>
      </c>
      <c r="E1124" t="s">
        <v>38</v>
      </c>
      <c r="F1124" t="s">
        <v>3208</v>
      </c>
      <c r="H1124">
        <v>1019108</v>
      </c>
      <c r="I1124" t="s">
        <v>17</v>
      </c>
      <c r="K1124" t="s">
        <v>3209</v>
      </c>
      <c r="L1124">
        <v>374</v>
      </c>
      <c r="M1124" t="s">
        <v>3210</v>
      </c>
    </row>
    <row r="1125" spans="1:13" x14ac:dyDescent="0.35">
      <c r="A1125" t="s">
        <v>13</v>
      </c>
      <c r="B1125">
        <v>1168744</v>
      </c>
      <c r="C1125">
        <v>1169325</v>
      </c>
      <c r="E1125" t="s">
        <v>38</v>
      </c>
      <c r="F1125" t="s">
        <v>3211</v>
      </c>
      <c r="H1125">
        <v>1019109</v>
      </c>
      <c r="I1125" t="s">
        <v>17</v>
      </c>
      <c r="K1125" t="s">
        <v>3212</v>
      </c>
      <c r="L1125">
        <v>193</v>
      </c>
      <c r="M1125" t="s">
        <v>3213</v>
      </c>
    </row>
    <row r="1126" spans="1:13" x14ac:dyDescent="0.35">
      <c r="A1126" t="s">
        <v>13</v>
      </c>
      <c r="B1126">
        <v>1169318</v>
      </c>
      <c r="C1126">
        <v>1170610</v>
      </c>
      <c r="E1126" t="s">
        <v>38</v>
      </c>
      <c r="F1126" t="s">
        <v>3214</v>
      </c>
      <c r="H1126">
        <v>1019110</v>
      </c>
      <c r="I1126" t="s">
        <v>17</v>
      </c>
      <c r="K1126" t="s">
        <v>3215</v>
      </c>
      <c r="L1126">
        <v>430</v>
      </c>
      <c r="M1126" t="s">
        <v>3216</v>
      </c>
    </row>
    <row r="1127" spans="1:13" x14ac:dyDescent="0.35">
      <c r="A1127" t="s">
        <v>13</v>
      </c>
      <c r="B1127">
        <v>1170693</v>
      </c>
      <c r="C1127">
        <v>1171190</v>
      </c>
      <c r="E1127" t="s">
        <v>14</v>
      </c>
      <c r="F1127" t="s">
        <v>3217</v>
      </c>
      <c r="H1127">
        <v>1019111</v>
      </c>
      <c r="I1127" t="s">
        <v>17</v>
      </c>
      <c r="K1127" t="s">
        <v>3218</v>
      </c>
      <c r="L1127">
        <v>165</v>
      </c>
      <c r="M1127" t="s">
        <v>3219</v>
      </c>
    </row>
    <row r="1128" spans="1:13" x14ac:dyDescent="0.35">
      <c r="A1128" t="s">
        <v>13</v>
      </c>
      <c r="B1128">
        <v>1171206</v>
      </c>
      <c r="C1128">
        <v>1171874</v>
      </c>
      <c r="E1128" t="s">
        <v>14</v>
      </c>
      <c r="F1128" t="s">
        <v>49</v>
      </c>
      <c r="H1128">
        <v>1019112</v>
      </c>
      <c r="I1128" t="s">
        <v>17</v>
      </c>
      <c r="K1128" t="s">
        <v>3220</v>
      </c>
      <c r="L1128">
        <v>222</v>
      </c>
      <c r="M1128" t="s">
        <v>3221</v>
      </c>
    </row>
    <row r="1129" spans="1:13" x14ac:dyDescent="0.35">
      <c r="A1129" t="s">
        <v>13</v>
      </c>
      <c r="B1129">
        <v>1171866</v>
      </c>
      <c r="C1129">
        <v>1172399</v>
      </c>
      <c r="E1129" t="s">
        <v>38</v>
      </c>
      <c r="F1129" t="s">
        <v>3222</v>
      </c>
      <c r="H1129">
        <v>1019113</v>
      </c>
      <c r="I1129" t="s">
        <v>17</v>
      </c>
      <c r="K1129" t="s">
        <v>3223</v>
      </c>
      <c r="L1129">
        <v>177</v>
      </c>
      <c r="M1129" t="s">
        <v>3224</v>
      </c>
    </row>
    <row r="1130" spans="1:13" x14ac:dyDescent="0.35">
      <c r="A1130" t="s">
        <v>13</v>
      </c>
      <c r="B1130">
        <v>1172498</v>
      </c>
      <c r="C1130">
        <v>1176163</v>
      </c>
      <c r="E1130" t="s">
        <v>38</v>
      </c>
      <c r="F1130" t="s">
        <v>3225</v>
      </c>
      <c r="H1130">
        <v>1019114</v>
      </c>
      <c r="I1130" t="s">
        <v>17</v>
      </c>
      <c r="K1130" t="s">
        <v>3226</v>
      </c>
      <c r="L1130">
        <v>1221</v>
      </c>
      <c r="M1130" t="s">
        <v>3227</v>
      </c>
    </row>
    <row r="1131" spans="1:13" x14ac:dyDescent="0.35">
      <c r="A1131" t="s">
        <v>13</v>
      </c>
      <c r="B1131">
        <v>1176305</v>
      </c>
      <c r="C1131">
        <v>1180048</v>
      </c>
      <c r="E1131" t="s">
        <v>38</v>
      </c>
      <c r="F1131" t="s">
        <v>147</v>
      </c>
      <c r="H1131">
        <v>1019115</v>
      </c>
      <c r="I1131" t="s">
        <v>17</v>
      </c>
      <c r="K1131" t="s">
        <v>3228</v>
      </c>
      <c r="L1131">
        <v>1247</v>
      </c>
      <c r="M1131" t="s">
        <v>3229</v>
      </c>
    </row>
    <row r="1132" spans="1:13" x14ac:dyDescent="0.35">
      <c r="A1132" t="s">
        <v>13</v>
      </c>
      <c r="B1132">
        <v>1180118</v>
      </c>
      <c r="C1132">
        <v>1180837</v>
      </c>
      <c r="E1132" t="s">
        <v>38</v>
      </c>
      <c r="F1132" t="s">
        <v>49</v>
      </c>
      <c r="H1132">
        <v>1019116</v>
      </c>
      <c r="I1132" t="s">
        <v>17</v>
      </c>
      <c r="K1132" t="s">
        <v>3230</v>
      </c>
      <c r="L1132">
        <v>239</v>
      </c>
      <c r="M1132" t="s">
        <v>3231</v>
      </c>
    </row>
    <row r="1133" spans="1:13" x14ac:dyDescent="0.35">
      <c r="A1133" t="s">
        <v>13</v>
      </c>
      <c r="B1133">
        <v>1180869</v>
      </c>
      <c r="C1133">
        <v>1181675</v>
      </c>
      <c r="E1133" t="s">
        <v>38</v>
      </c>
      <c r="F1133" t="s">
        <v>3232</v>
      </c>
      <c r="H1133">
        <v>1019117</v>
      </c>
      <c r="I1133" t="s">
        <v>17</v>
      </c>
      <c r="K1133" t="s">
        <v>3233</v>
      </c>
      <c r="L1133">
        <v>268</v>
      </c>
      <c r="M1133" t="s">
        <v>3234</v>
      </c>
    </row>
    <row r="1134" spans="1:13" x14ac:dyDescent="0.35">
      <c r="A1134" t="s">
        <v>13</v>
      </c>
      <c r="B1134">
        <v>1181966</v>
      </c>
      <c r="C1134">
        <v>1183606</v>
      </c>
      <c r="E1134" t="s">
        <v>14</v>
      </c>
      <c r="F1134" t="s">
        <v>3235</v>
      </c>
      <c r="H1134">
        <v>1019118</v>
      </c>
      <c r="I1134" t="s">
        <v>17</v>
      </c>
      <c r="K1134" t="s">
        <v>3236</v>
      </c>
      <c r="L1134">
        <v>546</v>
      </c>
      <c r="M1134" t="s">
        <v>3237</v>
      </c>
    </row>
    <row r="1135" spans="1:13" x14ac:dyDescent="0.35">
      <c r="A1135" t="s">
        <v>13</v>
      </c>
      <c r="B1135">
        <v>1183607</v>
      </c>
      <c r="C1135">
        <v>1184260</v>
      </c>
      <c r="E1135" t="s">
        <v>14</v>
      </c>
      <c r="F1135" t="s">
        <v>3238</v>
      </c>
      <c r="H1135">
        <v>1019119</v>
      </c>
      <c r="I1135" t="s">
        <v>17</v>
      </c>
      <c r="K1135" t="s">
        <v>3239</v>
      </c>
      <c r="L1135">
        <v>217</v>
      </c>
      <c r="M1135" t="s">
        <v>3240</v>
      </c>
    </row>
    <row r="1136" spans="1:13" x14ac:dyDescent="0.35">
      <c r="A1136" t="s">
        <v>13</v>
      </c>
      <c r="B1136">
        <v>1184355</v>
      </c>
      <c r="C1136">
        <v>1185158</v>
      </c>
      <c r="E1136" t="s">
        <v>14</v>
      </c>
      <c r="F1136" t="s">
        <v>49</v>
      </c>
      <c r="H1136">
        <v>1019120</v>
      </c>
      <c r="I1136" t="s">
        <v>17</v>
      </c>
      <c r="K1136" t="s">
        <v>3241</v>
      </c>
      <c r="L1136">
        <v>267</v>
      </c>
      <c r="M1136" t="s">
        <v>3242</v>
      </c>
    </row>
    <row r="1137" spans="1:13" x14ac:dyDescent="0.35">
      <c r="A1137" t="s">
        <v>13</v>
      </c>
      <c r="B1137">
        <v>1185215</v>
      </c>
      <c r="C1137">
        <v>1185712</v>
      </c>
      <c r="E1137" t="s">
        <v>38</v>
      </c>
      <c r="F1137" t="s">
        <v>49</v>
      </c>
      <c r="H1137">
        <v>1019121</v>
      </c>
      <c r="I1137" t="s">
        <v>17</v>
      </c>
      <c r="K1137" t="s">
        <v>3243</v>
      </c>
      <c r="L1137">
        <v>165</v>
      </c>
      <c r="M1137" t="s">
        <v>3244</v>
      </c>
    </row>
    <row r="1138" spans="1:13" x14ac:dyDescent="0.35">
      <c r="A1138" t="s">
        <v>13</v>
      </c>
      <c r="B1138">
        <v>1185825</v>
      </c>
      <c r="C1138">
        <v>1187042</v>
      </c>
      <c r="E1138" t="s">
        <v>14</v>
      </c>
      <c r="F1138" t="s">
        <v>265</v>
      </c>
      <c r="H1138">
        <v>1019122</v>
      </c>
      <c r="I1138" t="s">
        <v>17</v>
      </c>
      <c r="K1138" t="s">
        <v>3245</v>
      </c>
      <c r="L1138">
        <v>405</v>
      </c>
      <c r="M1138" t="s">
        <v>3246</v>
      </c>
    </row>
    <row r="1139" spans="1:13" x14ac:dyDescent="0.35">
      <c r="A1139" t="s">
        <v>13</v>
      </c>
      <c r="B1139">
        <v>1187043</v>
      </c>
      <c r="C1139">
        <v>1188392</v>
      </c>
      <c r="E1139" t="s">
        <v>14</v>
      </c>
      <c r="F1139" t="s">
        <v>3247</v>
      </c>
      <c r="H1139">
        <v>1019123</v>
      </c>
      <c r="I1139" t="s">
        <v>17</v>
      </c>
      <c r="K1139" t="s">
        <v>3248</v>
      </c>
      <c r="L1139">
        <v>449</v>
      </c>
      <c r="M1139" t="s">
        <v>3249</v>
      </c>
    </row>
    <row r="1140" spans="1:13" x14ac:dyDescent="0.35">
      <c r="A1140" t="s">
        <v>13</v>
      </c>
      <c r="B1140">
        <v>1188385</v>
      </c>
      <c r="C1140">
        <v>1190622</v>
      </c>
      <c r="E1140" t="s">
        <v>38</v>
      </c>
      <c r="F1140" t="s">
        <v>3250</v>
      </c>
      <c r="G1140" t="s">
        <v>3251</v>
      </c>
      <c r="H1140">
        <v>1019124</v>
      </c>
      <c r="I1140" t="s">
        <v>17</v>
      </c>
      <c r="K1140" t="s">
        <v>3252</v>
      </c>
      <c r="L1140">
        <v>745</v>
      </c>
      <c r="M1140" t="s">
        <v>3253</v>
      </c>
    </row>
    <row r="1141" spans="1:13" x14ac:dyDescent="0.35">
      <c r="A1141" t="s">
        <v>13</v>
      </c>
      <c r="B1141">
        <v>1191198</v>
      </c>
      <c r="C1141">
        <v>1191545</v>
      </c>
      <c r="E1141" t="s">
        <v>14</v>
      </c>
      <c r="F1141" t="s">
        <v>49</v>
      </c>
      <c r="H1141">
        <v>1019125</v>
      </c>
      <c r="I1141" t="s">
        <v>17</v>
      </c>
      <c r="K1141" t="s">
        <v>3254</v>
      </c>
      <c r="L1141">
        <v>115</v>
      </c>
      <c r="M1141" t="s">
        <v>3255</v>
      </c>
    </row>
    <row r="1142" spans="1:13" x14ac:dyDescent="0.35">
      <c r="A1142" t="s">
        <v>13</v>
      </c>
      <c r="B1142">
        <v>1192398</v>
      </c>
      <c r="C1142">
        <v>1193810</v>
      </c>
      <c r="E1142" t="s">
        <v>14</v>
      </c>
      <c r="F1142" t="s">
        <v>3256</v>
      </c>
      <c r="H1142">
        <v>1019126</v>
      </c>
      <c r="I1142" t="s">
        <v>17</v>
      </c>
      <c r="K1142" t="s">
        <v>3257</v>
      </c>
      <c r="L1142">
        <v>470</v>
      </c>
      <c r="M1142" t="s">
        <v>3258</v>
      </c>
    </row>
    <row r="1143" spans="1:13" x14ac:dyDescent="0.35">
      <c r="A1143" t="s">
        <v>13</v>
      </c>
      <c r="B1143">
        <v>1193867</v>
      </c>
      <c r="C1143">
        <v>1194193</v>
      </c>
      <c r="E1143" t="s">
        <v>14</v>
      </c>
      <c r="F1143" t="s">
        <v>49</v>
      </c>
      <c r="H1143">
        <v>1019127</v>
      </c>
      <c r="I1143" t="s">
        <v>17</v>
      </c>
      <c r="K1143" t="s">
        <v>3259</v>
      </c>
      <c r="L1143">
        <v>108</v>
      </c>
      <c r="M1143" t="s">
        <v>3260</v>
      </c>
    </row>
    <row r="1144" spans="1:13" x14ac:dyDescent="0.35">
      <c r="A1144" t="s">
        <v>13</v>
      </c>
      <c r="B1144">
        <v>1194216</v>
      </c>
      <c r="C1144">
        <v>1195112</v>
      </c>
      <c r="E1144" t="s">
        <v>14</v>
      </c>
      <c r="F1144" t="s">
        <v>3261</v>
      </c>
      <c r="H1144">
        <v>1019128</v>
      </c>
      <c r="I1144" t="s">
        <v>17</v>
      </c>
      <c r="K1144" t="s">
        <v>3262</v>
      </c>
      <c r="L1144">
        <v>298</v>
      </c>
      <c r="M1144" t="s">
        <v>3263</v>
      </c>
    </row>
    <row r="1145" spans="1:13" x14ac:dyDescent="0.35">
      <c r="A1145" t="s">
        <v>13</v>
      </c>
      <c r="B1145">
        <v>1195122</v>
      </c>
      <c r="C1145">
        <v>1195916</v>
      </c>
      <c r="E1145" t="s">
        <v>38</v>
      </c>
      <c r="F1145" t="s">
        <v>35</v>
      </c>
      <c r="H1145">
        <v>1019129</v>
      </c>
      <c r="I1145" t="s">
        <v>17</v>
      </c>
      <c r="K1145" t="s">
        <v>3264</v>
      </c>
      <c r="L1145">
        <v>264</v>
      </c>
      <c r="M1145" t="s">
        <v>3265</v>
      </c>
    </row>
    <row r="1146" spans="1:13" x14ac:dyDescent="0.35">
      <c r="A1146" t="s">
        <v>13</v>
      </c>
      <c r="B1146">
        <v>1196121</v>
      </c>
      <c r="C1146">
        <v>1197623</v>
      </c>
      <c r="E1146" t="s">
        <v>14</v>
      </c>
      <c r="F1146" t="s">
        <v>3266</v>
      </c>
      <c r="H1146">
        <v>1019130</v>
      </c>
      <c r="I1146" t="s">
        <v>17</v>
      </c>
      <c r="K1146" t="s">
        <v>3267</v>
      </c>
      <c r="L1146">
        <v>500</v>
      </c>
      <c r="M1146" t="s">
        <v>3268</v>
      </c>
    </row>
    <row r="1147" spans="1:13" x14ac:dyDescent="0.35">
      <c r="A1147" t="s">
        <v>13</v>
      </c>
      <c r="B1147">
        <v>1197987</v>
      </c>
      <c r="C1147">
        <v>1199543</v>
      </c>
      <c r="E1147" t="s">
        <v>38</v>
      </c>
      <c r="F1147" t="s">
        <v>3269</v>
      </c>
      <c r="G1147" t="s">
        <v>3270</v>
      </c>
      <c r="H1147">
        <v>1019131</v>
      </c>
      <c r="I1147" t="s">
        <v>17</v>
      </c>
      <c r="K1147" t="s">
        <v>3271</v>
      </c>
      <c r="L1147">
        <v>518</v>
      </c>
      <c r="M1147" t="s">
        <v>3272</v>
      </c>
    </row>
    <row r="1148" spans="1:13" x14ac:dyDescent="0.35">
      <c r="A1148" t="s">
        <v>13</v>
      </c>
      <c r="B1148">
        <v>1199540</v>
      </c>
      <c r="C1148">
        <v>1201075</v>
      </c>
      <c r="E1148" t="s">
        <v>38</v>
      </c>
      <c r="F1148" t="s">
        <v>3273</v>
      </c>
      <c r="H1148">
        <v>1019132</v>
      </c>
      <c r="I1148" t="s">
        <v>17</v>
      </c>
      <c r="K1148" t="s">
        <v>3274</v>
      </c>
      <c r="L1148">
        <v>511</v>
      </c>
      <c r="M1148" t="s">
        <v>3275</v>
      </c>
    </row>
    <row r="1149" spans="1:13" x14ac:dyDescent="0.35">
      <c r="A1149" t="s">
        <v>13</v>
      </c>
      <c r="B1149">
        <v>1201087</v>
      </c>
      <c r="C1149">
        <v>1202088</v>
      </c>
      <c r="E1149" t="s">
        <v>38</v>
      </c>
      <c r="F1149" t="s">
        <v>3276</v>
      </c>
      <c r="G1149" t="s">
        <v>3277</v>
      </c>
      <c r="H1149">
        <v>1019133</v>
      </c>
      <c r="I1149" t="s">
        <v>17</v>
      </c>
      <c r="K1149" t="s">
        <v>3278</v>
      </c>
      <c r="L1149">
        <v>333</v>
      </c>
      <c r="M1149" t="s">
        <v>3279</v>
      </c>
    </row>
    <row r="1150" spans="1:13" x14ac:dyDescent="0.35">
      <c r="A1150" t="s">
        <v>13</v>
      </c>
      <c r="B1150">
        <v>1202091</v>
      </c>
      <c r="C1150">
        <v>1203632</v>
      </c>
      <c r="E1150" t="s">
        <v>38</v>
      </c>
      <c r="F1150" t="s">
        <v>3280</v>
      </c>
      <c r="H1150">
        <v>1019134</v>
      </c>
      <c r="I1150" t="s">
        <v>17</v>
      </c>
      <c r="K1150" t="s">
        <v>3281</v>
      </c>
      <c r="L1150">
        <v>513</v>
      </c>
      <c r="M1150" t="s">
        <v>3282</v>
      </c>
    </row>
    <row r="1151" spans="1:13" x14ac:dyDescent="0.35">
      <c r="A1151" t="s">
        <v>13</v>
      </c>
      <c r="B1151">
        <v>1203913</v>
      </c>
      <c r="C1151">
        <v>1206828</v>
      </c>
      <c r="E1151" t="s">
        <v>38</v>
      </c>
      <c r="F1151" t="s">
        <v>3283</v>
      </c>
      <c r="H1151">
        <v>1019135</v>
      </c>
      <c r="I1151" t="s">
        <v>17</v>
      </c>
      <c r="K1151" t="s">
        <v>3284</v>
      </c>
      <c r="L1151">
        <v>971</v>
      </c>
      <c r="M1151" t="s">
        <v>3285</v>
      </c>
    </row>
    <row r="1152" spans="1:13" x14ac:dyDescent="0.35">
      <c r="A1152" t="s">
        <v>13</v>
      </c>
      <c r="B1152">
        <v>1206828</v>
      </c>
      <c r="C1152">
        <v>1207223</v>
      </c>
      <c r="E1152" t="s">
        <v>38</v>
      </c>
      <c r="F1152" t="s">
        <v>3286</v>
      </c>
      <c r="H1152">
        <v>1019136</v>
      </c>
      <c r="I1152" t="s">
        <v>17</v>
      </c>
      <c r="K1152" t="s">
        <v>3287</v>
      </c>
      <c r="L1152">
        <v>131</v>
      </c>
      <c r="M1152" t="s">
        <v>3288</v>
      </c>
    </row>
    <row r="1153" spans="1:13" x14ac:dyDescent="0.35">
      <c r="A1153" t="s">
        <v>13</v>
      </c>
      <c r="B1153">
        <v>1207452</v>
      </c>
      <c r="C1153">
        <v>1208141</v>
      </c>
      <c r="E1153" t="s">
        <v>14</v>
      </c>
      <c r="F1153" t="s">
        <v>49</v>
      </c>
      <c r="H1153">
        <v>1019137</v>
      </c>
      <c r="I1153" t="s">
        <v>17</v>
      </c>
      <c r="K1153" t="s">
        <v>3289</v>
      </c>
      <c r="L1153">
        <v>229</v>
      </c>
      <c r="M1153" t="s">
        <v>3290</v>
      </c>
    </row>
    <row r="1154" spans="1:13" x14ac:dyDescent="0.35">
      <c r="A1154" t="s">
        <v>13</v>
      </c>
      <c r="B1154">
        <v>1208209</v>
      </c>
      <c r="C1154">
        <v>1209615</v>
      </c>
      <c r="E1154" t="s">
        <v>38</v>
      </c>
      <c r="F1154" t="s">
        <v>2786</v>
      </c>
      <c r="H1154">
        <v>1019138</v>
      </c>
      <c r="I1154" t="s">
        <v>17</v>
      </c>
      <c r="K1154" t="s">
        <v>3291</v>
      </c>
      <c r="L1154">
        <v>468</v>
      </c>
      <c r="M1154" t="s">
        <v>3292</v>
      </c>
    </row>
    <row r="1155" spans="1:13" x14ac:dyDescent="0.35">
      <c r="A1155" t="s">
        <v>13</v>
      </c>
      <c r="B1155">
        <v>1209934</v>
      </c>
      <c r="C1155">
        <v>1212132</v>
      </c>
      <c r="E1155" t="s">
        <v>14</v>
      </c>
      <c r="F1155" t="s">
        <v>930</v>
      </c>
      <c r="H1155">
        <v>1019139</v>
      </c>
      <c r="I1155" t="s">
        <v>17</v>
      </c>
      <c r="K1155" t="s">
        <v>3293</v>
      </c>
      <c r="L1155">
        <v>732</v>
      </c>
      <c r="M1155" t="s">
        <v>3294</v>
      </c>
    </row>
    <row r="1156" spans="1:13" x14ac:dyDescent="0.35">
      <c r="A1156" t="s">
        <v>13</v>
      </c>
      <c r="B1156">
        <v>1212426</v>
      </c>
      <c r="C1156">
        <v>1213115</v>
      </c>
      <c r="E1156" t="s">
        <v>38</v>
      </c>
      <c r="F1156" t="s">
        <v>1126</v>
      </c>
      <c r="H1156">
        <v>1019140</v>
      </c>
      <c r="I1156" t="s">
        <v>17</v>
      </c>
      <c r="K1156" t="s">
        <v>3295</v>
      </c>
      <c r="L1156">
        <v>229</v>
      </c>
      <c r="M1156" t="s">
        <v>3296</v>
      </c>
    </row>
    <row r="1157" spans="1:13" x14ac:dyDescent="0.35">
      <c r="A1157" t="s">
        <v>13</v>
      </c>
      <c r="B1157">
        <v>1213269</v>
      </c>
      <c r="C1157">
        <v>1214861</v>
      </c>
      <c r="E1157" t="s">
        <v>14</v>
      </c>
      <c r="F1157" t="s">
        <v>3297</v>
      </c>
      <c r="H1157">
        <v>1019141</v>
      </c>
      <c r="I1157" t="s">
        <v>17</v>
      </c>
      <c r="K1157" t="s">
        <v>3298</v>
      </c>
      <c r="L1157">
        <v>530</v>
      </c>
      <c r="M1157" t="s">
        <v>3299</v>
      </c>
    </row>
    <row r="1158" spans="1:13" x14ac:dyDescent="0.35">
      <c r="A1158" t="s">
        <v>13</v>
      </c>
      <c r="B1158">
        <v>1214871</v>
      </c>
      <c r="C1158">
        <v>1215941</v>
      </c>
      <c r="E1158" t="s">
        <v>14</v>
      </c>
      <c r="F1158" t="s">
        <v>3300</v>
      </c>
      <c r="H1158">
        <v>1019142</v>
      </c>
      <c r="I1158" t="s">
        <v>17</v>
      </c>
      <c r="K1158" t="s">
        <v>3301</v>
      </c>
      <c r="L1158">
        <v>356</v>
      </c>
      <c r="M1158" t="s">
        <v>3302</v>
      </c>
    </row>
    <row r="1159" spans="1:13" x14ac:dyDescent="0.35">
      <c r="A1159" t="s">
        <v>13</v>
      </c>
      <c r="B1159">
        <v>1215952</v>
      </c>
      <c r="C1159">
        <v>1216839</v>
      </c>
      <c r="E1159" t="s">
        <v>14</v>
      </c>
      <c r="F1159" t="s">
        <v>3303</v>
      </c>
      <c r="H1159">
        <v>1019143</v>
      </c>
      <c r="I1159" t="s">
        <v>17</v>
      </c>
      <c r="K1159" t="s">
        <v>3304</v>
      </c>
      <c r="L1159">
        <v>295</v>
      </c>
      <c r="M1159" t="s">
        <v>3305</v>
      </c>
    </row>
    <row r="1160" spans="1:13" x14ac:dyDescent="0.35">
      <c r="A1160" t="s">
        <v>13</v>
      </c>
      <c r="B1160">
        <v>1216901</v>
      </c>
      <c r="C1160">
        <v>1217374</v>
      </c>
      <c r="E1160" t="s">
        <v>38</v>
      </c>
      <c r="F1160" t="s">
        <v>49</v>
      </c>
      <c r="H1160">
        <v>1019144</v>
      </c>
      <c r="I1160" t="s">
        <v>17</v>
      </c>
      <c r="K1160" t="s">
        <v>3306</v>
      </c>
      <c r="L1160">
        <v>157</v>
      </c>
      <c r="M1160" t="s">
        <v>3307</v>
      </c>
    </row>
    <row r="1161" spans="1:13" x14ac:dyDescent="0.35">
      <c r="A1161" t="s">
        <v>13</v>
      </c>
      <c r="B1161">
        <v>1217440</v>
      </c>
      <c r="C1161">
        <v>1217982</v>
      </c>
      <c r="E1161" t="s">
        <v>38</v>
      </c>
      <c r="F1161" t="s">
        <v>3308</v>
      </c>
      <c r="H1161">
        <v>1019145</v>
      </c>
      <c r="I1161" t="s">
        <v>17</v>
      </c>
      <c r="K1161" t="s">
        <v>3309</v>
      </c>
      <c r="L1161">
        <v>180</v>
      </c>
      <c r="M1161" t="s">
        <v>3310</v>
      </c>
    </row>
    <row r="1162" spans="1:13" x14ac:dyDescent="0.35">
      <c r="A1162" t="s">
        <v>13</v>
      </c>
      <c r="B1162">
        <v>1218028</v>
      </c>
      <c r="C1162">
        <v>1219602</v>
      </c>
      <c r="E1162" t="s">
        <v>38</v>
      </c>
      <c r="F1162" t="s">
        <v>3311</v>
      </c>
      <c r="G1162" t="s">
        <v>3312</v>
      </c>
      <c r="H1162">
        <v>1019146</v>
      </c>
      <c r="I1162" t="s">
        <v>17</v>
      </c>
      <c r="K1162" t="s">
        <v>3313</v>
      </c>
      <c r="L1162">
        <v>524</v>
      </c>
      <c r="M1162" t="s">
        <v>3314</v>
      </c>
    </row>
    <row r="1163" spans="1:13" x14ac:dyDescent="0.35">
      <c r="A1163" t="s">
        <v>13</v>
      </c>
      <c r="B1163">
        <v>1219895</v>
      </c>
      <c r="C1163">
        <v>1222999</v>
      </c>
      <c r="E1163" t="s">
        <v>14</v>
      </c>
      <c r="F1163" t="s">
        <v>930</v>
      </c>
      <c r="H1163">
        <v>1019147</v>
      </c>
      <c r="I1163" t="s">
        <v>17</v>
      </c>
      <c r="K1163" t="s">
        <v>3315</v>
      </c>
      <c r="L1163">
        <v>1034</v>
      </c>
      <c r="M1163" t="s">
        <v>3316</v>
      </c>
    </row>
    <row r="1164" spans="1:13" x14ac:dyDescent="0.35">
      <c r="A1164" t="s">
        <v>13</v>
      </c>
      <c r="B1164">
        <v>1222992</v>
      </c>
      <c r="C1164">
        <v>1223846</v>
      </c>
      <c r="E1164" t="s">
        <v>14</v>
      </c>
      <c r="F1164" t="s">
        <v>3317</v>
      </c>
      <c r="H1164">
        <v>1019148</v>
      </c>
      <c r="I1164" t="s">
        <v>17</v>
      </c>
      <c r="K1164" t="s">
        <v>3318</v>
      </c>
      <c r="L1164">
        <v>284</v>
      </c>
      <c r="M1164" t="s">
        <v>3319</v>
      </c>
    </row>
    <row r="1165" spans="1:13" x14ac:dyDescent="0.35">
      <c r="A1165" t="s">
        <v>13</v>
      </c>
      <c r="B1165">
        <v>1223887</v>
      </c>
      <c r="C1165">
        <v>1225062</v>
      </c>
      <c r="E1165" t="s">
        <v>14</v>
      </c>
      <c r="F1165" t="s">
        <v>3320</v>
      </c>
      <c r="H1165">
        <v>1019149</v>
      </c>
      <c r="I1165" t="s">
        <v>17</v>
      </c>
      <c r="K1165" t="s">
        <v>3321</v>
      </c>
      <c r="L1165">
        <v>391</v>
      </c>
      <c r="M1165" t="s">
        <v>3322</v>
      </c>
    </row>
    <row r="1166" spans="1:13" x14ac:dyDescent="0.35">
      <c r="A1166" t="s">
        <v>13</v>
      </c>
      <c r="B1166">
        <v>1225066</v>
      </c>
      <c r="C1166">
        <v>1227696</v>
      </c>
      <c r="E1166" t="s">
        <v>14</v>
      </c>
      <c r="F1166" t="s">
        <v>3013</v>
      </c>
      <c r="H1166">
        <v>1019150</v>
      </c>
      <c r="I1166" t="s">
        <v>17</v>
      </c>
      <c r="K1166" t="s">
        <v>3323</v>
      </c>
      <c r="L1166">
        <v>876</v>
      </c>
      <c r="M1166" t="s">
        <v>3324</v>
      </c>
    </row>
    <row r="1167" spans="1:13" x14ac:dyDescent="0.35">
      <c r="A1167" t="s">
        <v>13</v>
      </c>
      <c r="B1167">
        <v>1227890</v>
      </c>
      <c r="C1167">
        <v>1229098</v>
      </c>
      <c r="E1167" t="s">
        <v>14</v>
      </c>
      <c r="F1167" t="s">
        <v>141</v>
      </c>
      <c r="H1167">
        <v>92792291</v>
      </c>
      <c r="I1167" t="s">
        <v>142</v>
      </c>
      <c r="M1167" t="s">
        <v>3325</v>
      </c>
    </row>
    <row r="1168" spans="1:13" x14ac:dyDescent="0.35">
      <c r="A1168" t="s">
        <v>13</v>
      </c>
      <c r="B1168">
        <v>1229177</v>
      </c>
      <c r="C1168">
        <v>1229716</v>
      </c>
      <c r="E1168" t="s">
        <v>38</v>
      </c>
      <c r="F1168" t="s">
        <v>3326</v>
      </c>
      <c r="H1168">
        <v>1019153</v>
      </c>
      <c r="I1168" t="s">
        <v>17</v>
      </c>
      <c r="K1168" t="s">
        <v>3327</v>
      </c>
      <c r="L1168">
        <v>179</v>
      </c>
      <c r="M1168" t="s">
        <v>3328</v>
      </c>
    </row>
    <row r="1169" spans="1:13" x14ac:dyDescent="0.35">
      <c r="A1169" t="s">
        <v>13</v>
      </c>
      <c r="B1169">
        <v>1229995</v>
      </c>
      <c r="C1169">
        <v>1230483</v>
      </c>
      <c r="E1169" t="s">
        <v>14</v>
      </c>
      <c r="F1169" t="s">
        <v>3329</v>
      </c>
      <c r="G1169" t="s">
        <v>3330</v>
      </c>
      <c r="H1169">
        <v>1019154</v>
      </c>
      <c r="I1169" t="s">
        <v>17</v>
      </c>
      <c r="K1169" t="s">
        <v>3331</v>
      </c>
      <c r="L1169">
        <v>162</v>
      </c>
      <c r="M1169" t="s">
        <v>3332</v>
      </c>
    </row>
    <row r="1170" spans="1:13" x14ac:dyDescent="0.35">
      <c r="A1170" t="s">
        <v>13</v>
      </c>
      <c r="B1170">
        <v>1230619</v>
      </c>
      <c r="C1170">
        <v>1230834</v>
      </c>
      <c r="E1170" t="s">
        <v>14</v>
      </c>
      <c r="F1170" t="s">
        <v>2825</v>
      </c>
      <c r="H1170">
        <v>1019155</v>
      </c>
      <c r="I1170" t="s">
        <v>17</v>
      </c>
      <c r="K1170" t="s">
        <v>3333</v>
      </c>
      <c r="L1170">
        <v>71</v>
      </c>
      <c r="M1170" t="s">
        <v>3334</v>
      </c>
    </row>
    <row r="1171" spans="1:13" x14ac:dyDescent="0.35">
      <c r="A1171" t="s">
        <v>13</v>
      </c>
      <c r="B1171">
        <v>1230911</v>
      </c>
      <c r="C1171">
        <v>1231333</v>
      </c>
      <c r="E1171" t="s">
        <v>38</v>
      </c>
      <c r="F1171" t="s">
        <v>49</v>
      </c>
      <c r="H1171">
        <v>1019156</v>
      </c>
      <c r="I1171" t="s">
        <v>17</v>
      </c>
      <c r="K1171" t="s">
        <v>3335</v>
      </c>
      <c r="L1171">
        <v>140</v>
      </c>
      <c r="M1171" t="s">
        <v>3336</v>
      </c>
    </row>
    <row r="1172" spans="1:13" x14ac:dyDescent="0.35">
      <c r="A1172" t="s">
        <v>13</v>
      </c>
      <c r="B1172">
        <v>1231811</v>
      </c>
      <c r="C1172">
        <v>1232482</v>
      </c>
      <c r="E1172" t="s">
        <v>14</v>
      </c>
      <c r="F1172" t="s">
        <v>3337</v>
      </c>
      <c r="H1172">
        <v>1019157</v>
      </c>
      <c r="I1172" t="s">
        <v>17</v>
      </c>
      <c r="K1172" t="s">
        <v>3338</v>
      </c>
      <c r="L1172">
        <v>223</v>
      </c>
      <c r="M1172" t="s">
        <v>3339</v>
      </c>
    </row>
    <row r="1173" spans="1:13" x14ac:dyDescent="0.35">
      <c r="A1173" t="s">
        <v>13</v>
      </c>
      <c r="B1173">
        <v>1232603</v>
      </c>
      <c r="C1173">
        <v>1232839</v>
      </c>
      <c r="E1173" t="s">
        <v>14</v>
      </c>
      <c r="F1173" t="s">
        <v>3340</v>
      </c>
      <c r="H1173">
        <v>1019158</v>
      </c>
      <c r="I1173" t="s">
        <v>17</v>
      </c>
      <c r="K1173" t="s">
        <v>3341</v>
      </c>
      <c r="L1173">
        <v>78</v>
      </c>
      <c r="M1173" t="s">
        <v>3342</v>
      </c>
    </row>
    <row r="1174" spans="1:13" x14ac:dyDescent="0.35">
      <c r="A1174" t="s">
        <v>13</v>
      </c>
      <c r="B1174">
        <v>1233007</v>
      </c>
      <c r="C1174">
        <v>1234884</v>
      </c>
      <c r="E1174" t="s">
        <v>14</v>
      </c>
      <c r="F1174" t="s">
        <v>1146</v>
      </c>
      <c r="H1174">
        <v>1019159</v>
      </c>
      <c r="I1174" t="s">
        <v>17</v>
      </c>
      <c r="K1174" t="s">
        <v>3343</v>
      </c>
      <c r="L1174">
        <v>625</v>
      </c>
      <c r="M1174" t="s">
        <v>3344</v>
      </c>
    </row>
    <row r="1175" spans="1:13" x14ac:dyDescent="0.35">
      <c r="A1175" t="s">
        <v>13</v>
      </c>
      <c r="B1175">
        <v>1234983</v>
      </c>
      <c r="C1175">
        <v>1235615</v>
      </c>
      <c r="E1175" t="s">
        <v>14</v>
      </c>
      <c r="F1175" t="s">
        <v>3345</v>
      </c>
      <c r="H1175">
        <v>1019160</v>
      </c>
      <c r="I1175" t="s">
        <v>17</v>
      </c>
      <c r="K1175" t="s">
        <v>3346</v>
      </c>
      <c r="L1175">
        <v>210</v>
      </c>
      <c r="M1175" t="s">
        <v>3347</v>
      </c>
    </row>
    <row r="1176" spans="1:13" x14ac:dyDescent="0.35">
      <c r="A1176" t="s">
        <v>13</v>
      </c>
      <c r="B1176">
        <v>1236396</v>
      </c>
      <c r="C1176">
        <v>1236468</v>
      </c>
      <c r="E1176" t="s">
        <v>38</v>
      </c>
      <c r="F1176" t="s">
        <v>669</v>
      </c>
      <c r="H1176">
        <v>2745344</v>
      </c>
      <c r="I1176" t="s">
        <v>62</v>
      </c>
      <c r="M1176" t="s">
        <v>3348</v>
      </c>
    </row>
    <row r="1177" spans="1:13" x14ac:dyDescent="0.35">
      <c r="A1177" t="s">
        <v>13</v>
      </c>
      <c r="B1177">
        <v>1236542</v>
      </c>
      <c r="C1177">
        <v>1238050</v>
      </c>
      <c r="E1177" t="s">
        <v>38</v>
      </c>
      <c r="F1177" t="s">
        <v>391</v>
      </c>
      <c r="H1177">
        <v>1019161</v>
      </c>
      <c r="I1177" t="s">
        <v>17</v>
      </c>
      <c r="K1177" t="s">
        <v>3349</v>
      </c>
      <c r="L1177">
        <v>502</v>
      </c>
      <c r="M1177" t="s">
        <v>3350</v>
      </c>
    </row>
    <row r="1178" spans="1:13" x14ac:dyDescent="0.35">
      <c r="A1178" t="s">
        <v>13</v>
      </c>
      <c r="B1178">
        <v>1238274</v>
      </c>
      <c r="C1178">
        <v>1239926</v>
      </c>
      <c r="E1178" t="s">
        <v>14</v>
      </c>
      <c r="F1178" t="s">
        <v>3351</v>
      </c>
      <c r="G1178" t="s">
        <v>3352</v>
      </c>
      <c r="H1178">
        <v>1019162</v>
      </c>
      <c r="I1178" t="s">
        <v>17</v>
      </c>
      <c r="K1178" t="s">
        <v>3353</v>
      </c>
      <c r="L1178">
        <v>550</v>
      </c>
      <c r="M1178" t="s">
        <v>3354</v>
      </c>
    </row>
    <row r="1179" spans="1:13" x14ac:dyDescent="0.35">
      <c r="A1179" t="s">
        <v>13</v>
      </c>
      <c r="B1179">
        <v>1239929</v>
      </c>
      <c r="C1179">
        <v>1241266</v>
      </c>
      <c r="E1179" t="s">
        <v>14</v>
      </c>
      <c r="F1179" t="s">
        <v>3355</v>
      </c>
      <c r="G1179" t="s">
        <v>3356</v>
      </c>
      <c r="H1179">
        <v>1019163</v>
      </c>
      <c r="I1179" t="s">
        <v>17</v>
      </c>
      <c r="K1179" t="s">
        <v>3357</v>
      </c>
      <c r="L1179">
        <v>445</v>
      </c>
      <c r="M1179" t="s">
        <v>3358</v>
      </c>
    </row>
    <row r="1180" spans="1:13" x14ac:dyDescent="0.35">
      <c r="A1180" t="s">
        <v>13</v>
      </c>
      <c r="B1180">
        <v>1241551</v>
      </c>
      <c r="C1180">
        <v>1242156</v>
      </c>
      <c r="E1180" t="s">
        <v>38</v>
      </c>
      <c r="F1180" t="s">
        <v>49</v>
      </c>
      <c r="H1180">
        <v>1019164</v>
      </c>
      <c r="I1180" t="s">
        <v>17</v>
      </c>
      <c r="K1180" t="s">
        <v>3359</v>
      </c>
      <c r="L1180">
        <v>201</v>
      </c>
      <c r="M1180" t="s">
        <v>3360</v>
      </c>
    </row>
    <row r="1181" spans="1:13" x14ac:dyDescent="0.35">
      <c r="A1181" t="s">
        <v>13</v>
      </c>
      <c r="B1181">
        <v>1242507</v>
      </c>
      <c r="C1181">
        <v>1243844</v>
      </c>
      <c r="E1181" t="s">
        <v>14</v>
      </c>
      <c r="F1181" t="s">
        <v>3361</v>
      </c>
      <c r="H1181">
        <v>1019166</v>
      </c>
      <c r="I1181" t="s">
        <v>17</v>
      </c>
      <c r="K1181" t="s">
        <v>3362</v>
      </c>
      <c r="L1181">
        <v>445</v>
      </c>
      <c r="M1181" t="s">
        <v>3363</v>
      </c>
    </row>
    <row r="1182" spans="1:13" x14ac:dyDescent="0.35">
      <c r="A1182" t="s">
        <v>13</v>
      </c>
      <c r="B1182">
        <v>1243855</v>
      </c>
      <c r="C1182">
        <v>1244784</v>
      </c>
      <c r="E1182" t="s">
        <v>14</v>
      </c>
      <c r="F1182" t="s">
        <v>3364</v>
      </c>
      <c r="G1182" t="s">
        <v>3365</v>
      </c>
      <c r="H1182">
        <v>1019167</v>
      </c>
      <c r="I1182" t="s">
        <v>17</v>
      </c>
      <c r="K1182" t="s">
        <v>3366</v>
      </c>
      <c r="L1182">
        <v>309</v>
      </c>
      <c r="M1182" t="s">
        <v>3367</v>
      </c>
    </row>
    <row r="1183" spans="1:13" x14ac:dyDescent="0.35">
      <c r="A1183" t="s">
        <v>13</v>
      </c>
      <c r="B1183">
        <v>1244840</v>
      </c>
      <c r="C1183">
        <v>1245532</v>
      </c>
      <c r="E1183" t="s">
        <v>38</v>
      </c>
      <c r="F1183" t="s">
        <v>3368</v>
      </c>
      <c r="H1183">
        <v>1019168</v>
      </c>
      <c r="I1183" t="s">
        <v>17</v>
      </c>
      <c r="K1183" t="s">
        <v>3369</v>
      </c>
      <c r="L1183">
        <v>230</v>
      </c>
      <c r="M1183" t="s">
        <v>3370</v>
      </c>
    </row>
    <row r="1184" spans="1:13" x14ac:dyDescent="0.35">
      <c r="A1184" t="s">
        <v>13</v>
      </c>
      <c r="B1184">
        <v>1245717</v>
      </c>
      <c r="C1184">
        <v>1246496</v>
      </c>
      <c r="E1184" t="s">
        <v>38</v>
      </c>
      <c r="F1184" t="s">
        <v>3371</v>
      </c>
      <c r="G1184" t="s">
        <v>3372</v>
      </c>
      <c r="H1184">
        <v>1019169</v>
      </c>
      <c r="I1184" t="s">
        <v>17</v>
      </c>
      <c r="K1184" t="s">
        <v>3373</v>
      </c>
      <c r="L1184">
        <v>259</v>
      </c>
      <c r="M1184" t="s">
        <v>3374</v>
      </c>
    </row>
    <row r="1185" spans="1:13" x14ac:dyDescent="0.35">
      <c r="A1185" t="s">
        <v>13</v>
      </c>
      <c r="B1185">
        <v>1246505</v>
      </c>
      <c r="C1185">
        <v>1247191</v>
      </c>
      <c r="E1185" t="s">
        <v>38</v>
      </c>
      <c r="F1185" t="s">
        <v>3375</v>
      </c>
      <c r="G1185" t="s">
        <v>3376</v>
      </c>
      <c r="H1185">
        <v>1019170</v>
      </c>
      <c r="I1185" t="s">
        <v>17</v>
      </c>
      <c r="K1185" t="s">
        <v>3377</v>
      </c>
      <c r="L1185">
        <v>228</v>
      </c>
      <c r="M1185" t="s">
        <v>3378</v>
      </c>
    </row>
    <row r="1186" spans="1:13" x14ac:dyDescent="0.35">
      <c r="A1186" t="s">
        <v>13</v>
      </c>
      <c r="B1186">
        <v>1247196</v>
      </c>
      <c r="C1186">
        <v>1248791</v>
      </c>
      <c r="E1186" t="s">
        <v>38</v>
      </c>
      <c r="F1186" t="s">
        <v>3379</v>
      </c>
      <c r="G1186" t="s">
        <v>3380</v>
      </c>
      <c r="H1186">
        <v>1019171</v>
      </c>
      <c r="I1186" t="s">
        <v>17</v>
      </c>
      <c r="K1186" t="s">
        <v>3381</v>
      </c>
      <c r="L1186">
        <v>531</v>
      </c>
      <c r="M1186" t="s">
        <v>3382</v>
      </c>
    </row>
    <row r="1187" spans="1:13" x14ac:dyDescent="0.35">
      <c r="A1187" t="s">
        <v>13</v>
      </c>
      <c r="B1187">
        <v>1248791</v>
      </c>
      <c r="C1187">
        <v>1252537</v>
      </c>
      <c r="E1187" t="s">
        <v>38</v>
      </c>
      <c r="F1187" t="s">
        <v>3383</v>
      </c>
      <c r="H1187">
        <v>1019172</v>
      </c>
      <c r="I1187" t="s">
        <v>17</v>
      </c>
      <c r="K1187" t="s">
        <v>3384</v>
      </c>
      <c r="L1187">
        <v>1248</v>
      </c>
      <c r="M1187" t="s">
        <v>3385</v>
      </c>
    </row>
    <row r="1188" spans="1:13" x14ac:dyDescent="0.35">
      <c r="A1188" t="s">
        <v>13</v>
      </c>
      <c r="B1188">
        <v>1252554</v>
      </c>
      <c r="C1188">
        <v>1253891</v>
      </c>
      <c r="E1188" t="s">
        <v>38</v>
      </c>
      <c r="F1188" t="s">
        <v>3386</v>
      </c>
      <c r="H1188">
        <v>1019173</v>
      </c>
      <c r="I1188" t="s">
        <v>17</v>
      </c>
      <c r="K1188" t="s">
        <v>3387</v>
      </c>
      <c r="L1188">
        <v>445</v>
      </c>
      <c r="M1188" t="s">
        <v>3388</v>
      </c>
    </row>
    <row r="1189" spans="1:13" x14ac:dyDescent="0.35">
      <c r="A1189" t="s">
        <v>13</v>
      </c>
      <c r="B1189">
        <v>1254149</v>
      </c>
      <c r="C1189">
        <v>1254637</v>
      </c>
      <c r="E1189" t="s">
        <v>14</v>
      </c>
      <c r="F1189" t="s">
        <v>639</v>
      </c>
      <c r="H1189">
        <v>1019174</v>
      </c>
      <c r="I1189" t="s">
        <v>17</v>
      </c>
      <c r="K1189" t="s">
        <v>3389</v>
      </c>
      <c r="L1189">
        <v>162</v>
      </c>
      <c r="M1189" t="s">
        <v>3390</v>
      </c>
    </row>
    <row r="1190" spans="1:13" x14ac:dyDescent="0.35">
      <c r="A1190" t="s">
        <v>13</v>
      </c>
      <c r="B1190">
        <v>1254734</v>
      </c>
      <c r="C1190">
        <v>1256602</v>
      </c>
      <c r="E1190" t="s">
        <v>38</v>
      </c>
      <c r="F1190" t="s">
        <v>3391</v>
      </c>
      <c r="H1190">
        <v>1019175</v>
      </c>
      <c r="I1190" t="s">
        <v>17</v>
      </c>
      <c r="K1190" t="s">
        <v>3392</v>
      </c>
      <c r="L1190">
        <v>622</v>
      </c>
      <c r="M1190" t="s">
        <v>3393</v>
      </c>
    </row>
    <row r="1191" spans="1:13" x14ac:dyDescent="0.35">
      <c r="A1191" t="s">
        <v>13</v>
      </c>
      <c r="B1191">
        <v>1256848</v>
      </c>
      <c r="C1191">
        <v>1257858</v>
      </c>
      <c r="E1191" t="s">
        <v>38</v>
      </c>
      <c r="F1191" t="s">
        <v>3394</v>
      </c>
      <c r="H1191">
        <v>1019176</v>
      </c>
      <c r="I1191" t="s">
        <v>17</v>
      </c>
      <c r="K1191" t="s">
        <v>3395</v>
      </c>
      <c r="L1191">
        <v>336</v>
      </c>
      <c r="M1191" t="s">
        <v>3396</v>
      </c>
    </row>
    <row r="1192" spans="1:13" x14ac:dyDescent="0.35">
      <c r="A1192" t="s">
        <v>13</v>
      </c>
      <c r="B1192">
        <v>1257862</v>
      </c>
      <c r="C1192">
        <v>1259265</v>
      </c>
      <c r="E1192" t="s">
        <v>38</v>
      </c>
      <c r="F1192" t="s">
        <v>3397</v>
      </c>
      <c r="H1192">
        <v>1019177</v>
      </c>
      <c r="I1192" t="s">
        <v>17</v>
      </c>
      <c r="K1192" t="s">
        <v>3398</v>
      </c>
      <c r="L1192">
        <v>467</v>
      </c>
      <c r="M1192" t="s">
        <v>3399</v>
      </c>
    </row>
    <row r="1193" spans="1:13" x14ac:dyDescent="0.35">
      <c r="A1193" t="s">
        <v>13</v>
      </c>
      <c r="B1193">
        <v>1259426</v>
      </c>
      <c r="C1193">
        <v>1259989</v>
      </c>
      <c r="E1193" t="s">
        <v>38</v>
      </c>
      <c r="F1193" t="s">
        <v>3400</v>
      </c>
      <c r="H1193">
        <v>1019178</v>
      </c>
      <c r="I1193" t="s">
        <v>17</v>
      </c>
      <c r="K1193" t="s">
        <v>3401</v>
      </c>
      <c r="L1193">
        <v>187</v>
      </c>
      <c r="M1193" t="s">
        <v>3402</v>
      </c>
    </row>
    <row r="1194" spans="1:13" x14ac:dyDescent="0.35">
      <c r="A1194" t="s">
        <v>13</v>
      </c>
      <c r="B1194">
        <v>1259990</v>
      </c>
      <c r="C1194">
        <v>1261201</v>
      </c>
      <c r="E1194" t="s">
        <v>38</v>
      </c>
      <c r="F1194" t="s">
        <v>646</v>
      </c>
      <c r="H1194">
        <v>1019179</v>
      </c>
      <c r="I1194" t="s">
        <v>17</v>
      </c>
      <c r="K1194" t="s">
        <v>3403</v>
      </c>
      <c r="L1194">
        <v>403</v>
      </c>
      <c r="M1194" t="s">
        <v>3404</v>
      </c>
    </row>
    <row r="1195" spans="1:13" x14ac:dyDescent="0.35">
      <c r="A1195" t="s">
        <v>13</v>
      </c>
      <c r="B1195">
        <v>1261685</v>
      </c>
      <c r="C1195">
        <v>1262818</v>
      </c>
      <c r="E1195" t="s">
        <v>38</v>
      </c>
      <c r="F1195" t="s">
        <v>3405</v>
      </c>
      <c r="G1195" t="s">
        <v>3406</v>
      </c>
      <c r="H1195">
        <v>1019180</v>
      </c>
      <c r="I1195" t="s">
        <v>17</v>
      </c>
      <c r="K1195" t="s">
        <v>3407</v>
      </c>
      <c r="L1195">
        <v>377</v>
      </c>
      <c r="M1195" t="s">
        <v>3408</v>
      </c>
    </row>
    <row r="1196" spans="1:13" x14ac:dyDescent="0.35">
      <c r="A1196" t="s">
        <v>13</v>
      </c>
      <c r="B1196">
        <v>1262883</v>
      </c>
      <c r="C1196">
        <v>1264610</v>
      </c>
      <c r="E1196" t="s">
        <v>38</v>
      </c>
      <c r="F1196" t="s">
        <v>3409</v>
      </c>
      <c r="H1196">
        <v>1019181</v>
      </c>
      <c r="I1196" t="s">
        <v>17</v>
      </c>
      <c r="K1196" t="s">
        <v>3410</v>
      </c>
      <c r="L1196">
        <v>575</v>
      </c>
      <c r="M1196" t="s">
        <v>3411</v>
      </c>
    </row>
    <row r="1197" spans="1:13" x14ac:dyDescent="0.35">
      <c r="A1197" t="s">
        <v>13</v>
      </c>
      <c r="B1197">
        <v>1265142</v>
      </c>
      <c r="C1197">
        <v>1267430</v>
      </c>
      <c r="E1197" t="s">
        <v>14</v>
      </c>
      <c r="F1197" t="s">
        <v>3412</v>
      </c>
      <c r="G1197" t="s">
        <v>3413</v>
      </c>
      <c r="H1197">
        <v>1019182</v>
      </c>
      <c r="I1197" t="s">
        <v>17</v>
      </c>
      <c r="K1197" t="s">
        <v>3414</v>
      </c>
      <c r="L1197">
        <v>762</v>
      </c>
      <c r="M1197" t="s">
        <v>3415</v>
      </c>
    </row>
    <row r="1198" spans="1:13" x14ac:dyDescent="0.35">
      <c r="A1198" t="s">
        <v>13</v>
      </c>
      <c r="B1198">
        <v>1267430</v>
      </c>
      <c r="C1198">
        <v>1268506</v>
      </c>
      <c r="E1198" t="s">
        <v>14</v>
      </c>
      <c r="F1198" t="s">
        <v>3416</v>
      </c>
      <c r="G1198" t="s">
        <v>3417</v>
      </c>
      <c r="H1198">
        <v>1019183</v>
      </c>
      <c r="I1198" t="s">
        <v>17</v>
      </c>
      <c r="K1198" t="s">
        <v>3418</v>
      </c>
      <c r="L1198">
        <v>358</v>
      </c>
      <c r="M1198" t="s">
        <v>3419</v>
      </c>
    </row>
    <row r="1199" spans="1:13" x14ac:dyDescent="0.35">
      <c r="A1199" t="s">
        <v>13</v>
      </c>
      <c r="B1199">
        <v>1268507</v>
      </c>
      <c r="C1199">
        <v>1269346</v>
      </c>
      <c r="E1199" t="s">
        <v>14</v>
      </c>
      <c r="F1199" t="s">
        <v>3420</v>
      </c>
      <c r="G1199" t="s">
        <v>3421</v>
      </c>
      <c r="H1199">
        <v>1019184</v>
      </c>
      <c r="I1199" t="s">
        <v>17</v>
      </c>
      <c r="K1199" t="s">
        <v>3422</v>
      </c>
      <c r="L1199">
        <v>279</v>
      </c>
      <c r="M1199" t="s">
        <v>3423</v>
      </c>
    </row>
    <row r="1200" spans="1:13" x14ac:dyDescent="0.35">
      <c r="A1200" t="s">
        <v>13</v>
      </c>
      <c r="B1200">
        <v>1269396</v>
      </c>
      <c r="C1200">
        <v>1270046</v>
      </c>
      <c r="E1200" t="s">
        <v>14</v>
      </c>
      <c r="F1200" t="s">
        <v>3424</v>
      </c>
      <c r="H1200">
        <v>1019185</v>
      </c>
      <c r="I1200" t="s">
        <v>17</v>
      </c>
      <c r="K1200" t="s">
        <v>3425</v>
      </c>
      <c r="L1200">
        <v>216</v>
      </c>
      <c r="M1200" t="s">
        <v>3426</v>
      </c>
    </row>
    <row r="1201" spans="1:13" x14ac:dyDescent="0.35">
      <c r="A1201" t="s">
        <v>13</v>
      </c>
      <c r="B1201">
        <v>1270047</v>
      </c>
      <c r="C1201">
        <v>1271195</v>
      </c>
      <c r="E1201" t="s">
        <v>14</v>
      </c>
      <c r="F1201" t="s">
        <v>3427</v>
      </c>
      <c r="H1201">
        <v>1019186</v>
      </c>
      <c r="I1201" t="s">
        <v>17</v>
      </c>
      <c r="K1201" t="s">
        <v>3428</v>
      </c>
      <c r="L1201">
        <v>382</v>
      </c>
      <c r="M1201" t="s">
        <v>3429</v>
      </c>
    </row>
    <row r="1202" spans="1:13" x14ac:dyDescent="0.35">
      <c r="A1202" t="s">
        <v>13</v>
      </c>
      <c r="B1202">
        <v>1271252</v>
      </c>
      <c r="C1202">
        <v>1271701</v>
      </c>
      <c r="E1202" t="s">
        <v>14</v>
      </c>
      <c r="F1202" t="s">
        <v>49</v>
      </c>
      <c r="H1202">
        <v>1019187</v>
      </c>
      <c r="I1202" t="s">
        <v>17</v>
      </c>
      <c r="K1202" t="s">
        <v>3430</v>
      </c>
      <c r="L1202">
        <v>149</v>
      </c>
      <c r="M1202" t="s">
        <v>3431</v>
      </c>
    </row>
    <row r="1203" spans="1:13" x14ac:dyDescent="0.35">
      <c r="A1203" t="s">
        <v>13</v>
      </c>
      <c r="B1203">
        <v>1272340</v>
      </c>
      <c r="C1203">
        <v>1273152</v>
      </c>
      <c r="E1203" t="s">
        <v>14</v>
      </c>
      <c r="F1203" t="s">
        <v>3432</v>
      </c>
      <c r="G1203" t="s">
        <v>3433</v>
      </c>
      <c r="H1203">
        <v>1019189</v>
      </c>
      <c r="I1203" t="s">
        <v>17</v>
      </c>
      <c r="K1203" t="s">
        <v>3434</v>
      </c>
      <c r="L1203">
        <v>270</v>
      </c>
      <c r="M1203" t="s">
        <v>3435</v>
      </c>
    </row>
    <row r="1204" spans="1:13" x14ac:dyDescent="0.35">
      <c r="A1204" t="s">
        <v>13</v>
      </c>
      <c r="B1204">
        <v>1273286</v>
      </c>
      <c r="C1204">
        <v>1273528</v>
      </c>
      <c r="E1204" t="s">
        <v>14</v>
      </c>
      <c r="F1204" t="s">
        <v>3436</v>
      </c>
      <c r="H1204">
        <v>1019190</v>
      </c>
      <c r="I1204" t="s">
        <v>17</v>
      </c>
      <c r="K1204" t="s">
        <v>3437</v>
      </c>
      <c r="L1204">
        <v>80</v>
      </c>
      <c r="M1204" t="s">
        <v>3438</v>
      </c>
    </row>
    <row r="1205" spans="1:13" x14ac:dyDescent="0.35">
      <c r="A1205" t="s">
        <v>13</v>
      </c>
      <c r="B1205">
        <v>1273559</v>
      </c>
      <c r="C1205">
        <v>1274125</v>
      </c>
      <c r="E1205" t="s">
        <v>14</v>
      </c>
      <c r="F1205" t="s">
        <v>3439</v>
      </c>
      <c r="H1205">
        <v>1019191</v>
      </c>
      <c r="I1205" t="s">
        <v>17</v>
      </c>
      <c r="K1205" t="s">
        <v>3440</v>
      </c>
      <c r="L1205">
        <v>188</v>
      </c>
      <c r="M1205" t="s">
        <v>3441</v>
      </c>
    </row>
    <row r="1206" spans="1:13" x14ac:dyDescent="0.35">
      <c r="A1206" t="s">
        <v>13</v>
      </c>
      <c r="B1206">
        <v>1274131</v>
      </c>
      <c r="C1206">
        <v>1274946</v>
      </c>
      <c r="E1206" t="s">
        <v>14</v>
      </c>
      <c r="F1206" t="s">
        <v>3442</v>
      </c>
      <c r="H1206">
        <v>1019192</v>
      </c>
      <c r="I1206" t="s">
        <v>17</v>
      </c>
      <c r="K1206" t="s">
        <v>3443</v>
      </c>
      <c r="L1206">
        <v>271</v>
      </c>
      <c r="M1206" t="s">
        <v>3444</v>
      </c>
    </row>
    <row r="1207" spans="1:13" x14ac:dyDescent="0.35">
      <c r="A1207" t="s">
        <v>13</v>
      </c>
      <c r="B1207">
        <v>1275008</v>
      </c>
      <c r="C1207">
        <v>1276651</v>
      </c>
      <c r="E1207" t="s">
        <v>14</v>
      </c>
      <c r="F1207" t="s">
        <v>3445</v>
      </c>
      <c r="G1207" t="s">
        <v>3446</v>
      </c>
      <c r="H1207">
        <v>1019193</v>
      </c>
      <c r="I1207" t="s">
        <v>17</v>
      </c>
      <c r="K1207" t="s">
        <v>3447</v>
      </c>
      <c r="L1207">
        <v>547</v>
      </c>
      <c r="M1207" t="s">
        <v>3448</v>
      </c>
    </row>
    <row r="1208" spans="1:13" x14ac:dyDescent="0.35">
      <c r="A1208" t="s">
        <v>13</v>
      </c>
      <c r="B1208">
        <v>1276708</v>
      </c>
      <c r="C1208">
        <v>1277685</v>
      </c>
      <c r="E1208" t="s">
        <v>14</v>
      </c>
      <c r="F1208" t="s">
        <v>3449</v>
      </c>
      <c r="H1208">
        <v>1019194</v>
      </c>
      <c r="I1208" t="s">
        <v>17</v>
      </c>
      <c r="K1208" t="s">
        <v>3450</v>
      </c>
      <c r="L1208">
        <v>325</v>
      </c>
      <c r="M1208" t="s">
        <v>3451</v>
      </c>
    </row>
    <row r="1209" spans="1:13" x14ac:dyDescent="0.35">
      <c r="A1209" t="s">
        <v>13</v>
      </c>
      <c r="B1209">
        <v>1277688</v>
      </c>
      <c r="C1209">
        <v>1279139</v>
      </c>
      <c r="E1209" t="s">
        <v>14</v>
      </c>
      <c r="F1209" t="s">
        <v>3452</v>
      </c>
      <c r="G1209" t="s">
        <v>3453</v>
      </c>
      <c r="H1209">
        <v>1019195</v>
      </c>
      <c r="I1209" t="s">
        <v>17</v>
      </c>
      <c r="K1209" t="s">
        <v>3454</v>
      </c>
      <c r="L1209">
        <v>483</v>
      </c>
      <c r="M1209" t="s">
        <v>3455</v>
      </c>
    </row>
    <row r="1210" spans="1:13" x14ac:dyDescent="0.35">
      <c r="A1210" t="s">
        <v>13</v>
      </c>
      <c r="B1210">
        <v>1279151</v>
      </c>
      <c r="C1210">
        <v>1279525</v>
      </c>
      <c r="E1210" t="s">
        <v>14</v>
      </c>
      <c r="F1210" t="s">
        <v>3456</v>
      </c>
      <c r="H1210">
        <v>1019196</v>
      </c>
      <c r="I1210" t="s">
        <v>17</v>
      </c>
      <c r="K1210" t="s">
        <v>3457</v>
      </c>
      <c r="L1210">
        <v>124</v>
      </c>
      <c r="M1210" t="s">
        <v>3458</v>
      </c>
    </row>
    <row r="1211" spans="1:13" x14ac:dyDescent="0.35">
      <c r="A1211" t="s">
        <v>13</v>
      </c>
      <c r="B1211">
        <v>1279770</v>
      </c>
      <c r="C1211">
        <v>1280243</v>
      </c>
      <c r="E1211" t="s">
        <v>14</v>
      </c>
      <c r="F1211" t="s">
        <v>3459</v>
      </c>
      <c r="H1211">
        <v>1019197</v>
      </c>
      <c r="I1211" t="s">
        <v>17</v>
      </c>
      <c r="K1211" t="s">
        <v>3460</v>
      </c>
      <c r="L1211">
        <v>157</v>
      </c>
      <c r="M1211" t="s">
        <v>3461</v>
      </c>
    </row>
    <row r="1212" spans="1:13" x14ac:dyDescent="0.35">
      <c r="A1212" t="s">
        <v>13</v>
      </c>
      <c r="B1212">
        <v>1280270</v>
      </c>
      <c r="C1212">
        <v>1280962</v>
      </c>
      <c r="E1212" t="s">
        <v>14</v>
      </c>
      <c r="F1212" t="s">
        <v>3462</v>
      </c>
      <c r="G1212" t="s">
        <v>3463</v>
      </c>
      <c r="H1212">
        <v>1019198</v>
      </c>
      <c r="I1212" t="s">
        <v>17</v>
      </c>
      <c r="K1212" t="s">
        <v>3464</v>
      </c>
      <c r="L1212">
        <v>230</v>
      </c>
      <c r="M1212" t="s">
        <v>3465</v>
      </c>
    </row>
    <row r="1213" spans="1:13" x14ac:dyDescent="0.35">
      <c r="A1213" t="s">
        <v>13</v>
      </c>
      <c r="B1213">
        <v>1280967</v>
      </c>
      <c r="C1213">
        <v>1281254</v>
      </c>
      <c r="E1213" t="s">
        <v>14</v>
      </c>
      <c r="F1213" t="s">
        <v>49</v>
      </c>
      <c r="H1213">
        <v>92792292</v>
      </c>
      <c r="I1213" t="s">
        <v>17</v>
      </c>
      <c r="K1213" t="s">
        <v>3466</v>
      </c>
      <c r="L1213">
        <v>95</v>
      </c>
      <c r="M1213" t="s">
        <v>3467</v>
      </c>
    </row>
    <row r="1214" spans="1:13" x14ac:dyDescent="0.35">
      <c r="A1214" t="s">
        <v>13</v>
      </c>
      <c r="B1214">
        <v>1281259</v>
      </c>
      <c r="C1214">
        <v>1281714</v>
      </c>
      <c r="E1214" t="s">
        <v>38</v>
      </c>
      <c r="F1214" t="s">
        <v>3468</v>
      </c>
      <c r="G1214" t="s">
        <v>3469</v>
      </c>
      <c r="H1214">
        <v>1019200</v>
      </c>
      <c r="I1214" t="s">
        <v>17</v>
      </c>
      <c r="K1214" t="s">
        <v>3470</v>
      </c>
      <c r="L1214">
        <v>151</v>
      </c>
      <c r="M1214" t="s">
        <v>3471</v>
      </c>
    </row>
    <row r="1215" spans="1:13" x14ac:dyDescent="0.35">
      <c r="A1215" t="s">
        <v>13</v>
      </c>
      <c r="B1215">
        <v>1281803</v>
      </c>
      <c r="C1215">
        <v>1282108</v>
      </c>
      <c r="E1215" t="s">
        <v>14</v>
      </c>
      <c r="F1215" t="s">
        <v>3472</v>
      </c>
      <c r="H1215">
        <v>1019201</v>
      </c>
      <c r="I1215" t="s">
        <v>17</v>
      </c>
      <c r="K1215" t="s">
        <v>3473</v>
      </c>
      <c r="L1215">
        <v>101</v>
      </c>
      <c r="M1215" t="s">
        <v>3474</v>
      </c>
    </row>
    <row r="1216" spans="1:13" x14ac:dyDescent="0.35">
      <c r="A1216" t="s">
        <v>13</v>
      </c>
      <c r="B1216">
        <v>1282194</v>
      </c>
      <c r="C1216">
        <v>1283117</v>
      </c>
      <c r="E1216" t="s">
        <v>14</v>
      </c>
      <c r="F1216" t="s">
        <v>3475</v>
      </c>
      <c r="H1216">
        <v>1019202</v>
      </c>
      <c r="I1216" t="s">
        <v>17</v>
      </c>
      <c r="K1216" t="s">
        <v>3476</v>
      </c>
      <c r="L1216">
        <v>307</v>
      </c>
      <c r="M1216" t="s">
        <v>3477</v>
      </c>
    </row>
    <row r="1217" spans="1:13" x14ac:dyDescent="0.35">
      <c r="A1217" t="s">
        <v>13</v>
      </c>
      <c r="B1217">
        <v>1283324</v>
      </c>
      <c r="C1217">
        <v>1284469</v>
      </c>
      <c r="E1217" t="s">
        <v>14</v>
      </c>
      <c r="F1217" t="s">
        <v>2071</v>
      </c>
      <c r="H1217">
        <v>1019203</v>
      </c>
      <c r="I1217" t="s">
        <v>17</v>
      </c>
      <c r="K1217" t="s">
        <v>3478</v>
      </c>
      <c r="L1217">
        <v>381</v>
      </c>
      <c r="M1217" t="s">
        <v>3479</v>
      </c>
    </row>
    <row r="1218" spans="1:13" x14ac:dyDescent="0.35">
      <c r="A1218" t="s">
        <v>13</v>
      </c>
      <c r="B1218">
        <v>1284517</v>
      </c>
      <c r="C1218">
        <v>1285287</v>
      </c>
      <c r="E1218" t="s">
        <v>14</v>
      </c>
      <c r="F1218" t="s">
        <v>124</v>
      </c>
      <c r="H1218">
        <v>1019204</v>
      </c>
      <c r="I1218" t="s">
        <v>17</v>
      </c>
      <c r="K1218" t="s">
        <v>3480</v>
      </c>
      <c r="L1218">
        <v>256</v>
      </c>
      <c r="M1218" t="s">
        <v>3481</v>
      </c>
    </row>
    <row r="1219" spans="1:13" x14ac:dyDescent="0.35">
      <c r="A1219" t="s">
        <v>13</v>
      </c>
      <c r="B1219">
        <v>1285302</v>
      </c>
      <c r="C1219">
        <v>1286033</v>
      </c>
      <c r="E1219" t="s">
        <v>14</v>
      </c>
      <c r="F1219" t="s">
        <v>147</v>
      </c>
      <c r="H1219">
        <v>1019205</v>
      </c>
      <c r="I1219" t="s">
        <v>17</v>
      </c>
      <c r="K1219" t="s">
        <v>3482</v>
      </c>
      <c r="L1219">
        <v>243</v>
      </c>
      <c r="M1219" t="s">
        <v>3483</v>
      </c>
    </row>
    <row r="1220" spans="1:13" x14ac:dyDescent="0.35">
      <c r="A1220" t="s">
        <v>13</v>
      </c>
      <c r="B1220">
        <v>1286043</v>
      </c>
      <c r="C1220">
        <v>1287002</v>
      </c>
      <c r="E1220" t="s">
        <v>14</v>
      </c>
      <c r="F1220" t="s">
        <v>1008</v>
      </c>
      <c r="H1220">
        <v>1019206</v>
      </c>
      <c r="I1220" t="s">
        <v>17</v>
      </c>
      <c r="K1220" t="s">
        <v>3484</v>
      </c>
      <c r="L1220">
        <v>319</v>
      </c>
      <c r="M1220" t="s">
        <v>3485</v>
      </c>
    </row>
    <row r="1221" spans="1:13" x14ac:dyDescent="0.35">
      <c r="A1221" t="s">
        <v>13</v>
      </c>
      <c r="B1221">
        <v>1287278</v>
      </c>
      <c r="C1221">
        <v>1289473</v>
      </c>
      <c r="E1221" t="s">
        <v>38</v>
      </c>
      <c r="F1221" t="s">
        <v>3486</v>
      </c>
      <c r="G1221" t="s">
        <v>3487</v>
      </c>
      <c r="H1221">
        <v>1019207</v>
      </c>
      <c r="I1221" t="s">
        <v>17</v>
      </c>
      <c r="K1221" t="s">
        <v>3488</v>
      </c>
      <c r="L1221">
        <v>731</v>
      </c>
      <c r="M1221" t="s">
        <v>3489</v>
      </c>
    </row>
    <row r="1222" spans="1:13" x14ac:dyDescent="0.35">
      <c r="A1222" t="s">
        <v>13</v>
      </c>
      <c r="B1222">
        <v>1289511</v>
      </c>
      <c r="C1222">
        <v>1291538</v>
      </c>
      <c r="E1222" t="s">
        <v>38</v>
      </c>
      <c r="F1222" t="s">
        <v>3490</v>
      </c>
      <c r="H1222">
        <v>1019208</v>
      </c>
      <c r="I1222" t="s">
        <v>17</v>
      </c>
      <c r="K1222" t="s">
        <v>3491</v>
      </c>
      <c r="L1222">
        <v>675</v>
      </c>
      <c r="M1222" t="s">
        <v>3492</v>
      </c>
    </row>
    <row r="1223" spans="1:13" x14ac:dyDescent="0.35">
      <c r="A1223" t="s">
        <v>13</v>
      </c>
      <c r="B1223">
        <v>1291699</v>
      </c>
      <c r="C1223">
        <v>1292580</v>
      </c>
      <c r="E1223" t="s">
        <v>14</v>
      </c>
      <c r="F1223" t="s">
        <v>147</v>
      </c>
      <c r="H1223">
        <v>1019209</v>
      </c>
      <c r="I1223" t="s">
        <v>17</v>
      </c>
      <c r="K1223" t="s">
        <v>3493</v>
      </c>
      <c r="L1223">
        <v>293</v>
      </c>
      <c r="M1223" t="s">
        <v>3494</v>
      </c>
    </row>
    <row r="1224" spans="1:13" x14ac:dyDescent="0.35">
      <c r="A1224" t="s">
        <v>13</v>
      </c>
      <c r="B1224">
        <v>1293228</v>
      </c>
      <c r="C1224">
        <v>1294028</v>
      </c>
      <c r="E1224" t="s">
        <v>14</v>
      </c>
      <c r="F1224" t="s">
        <v>898</v>
      </c>
      <c r="H1224">
        <v>1019210</v>
      </c>
      <c r="I1224" t="s">
        <v>17</v>
      </c>
      <c r="K1224" t="s">
        <v>3495</v>
      </c>
      <c r="L1224">
        <v>266</v>
      </c>
      <c r="M1224" t="s">
        <v>3496</v>
      </c>
    </row>
    <row r="1225" spans="1:13" x14ac:dyDescent="0.35">
      <c r="A1225" t="s">
        <v>13</v>
      </c>
      <c r="B1225">
        <v>1294046</v>
      </c>
      <c r="C1225">
        <v>1295209</v>
      </c>
      <c r="E1225" t="s">
        <v>14</v>
      </c>
      <c r="F1225" t="s">
        <v>3497</v>
      </c>
      <c r="H1225">
        <v>1019211</v>
      </c>
      <c r="I1225" t="s">
        <v>17</v>
      </c>
      <c r="K1225" t="s">
        <v>3498</v>
      </c>
      <c r="L1225">
        <v>387</v>
      </c>
      <c r="M1225" t="s">
        <v>3499</v>
      </c>
    </row>
    <row r="1226" spans="1:13" x14ac:dyDescent="0.35">
      <c r="A1226" t="s">
        <v>13</v>
      </c>
      <c r="B1226">
        <v>1295435</v>
      </c>
      <c r="C1226">
        <v>1296223</v>
      </c>
      <c r="E1226" t="s">
        <v>14</v>
      </c>
      <c r="F1226" t="s">
        <v>3500</v>
      </c>
      <c r="H1226">
        <v>1019212</v>
      </c>
      <c r="I1226" t="s">
        <v>17</v>
      </c>
      <c r="K1226" t="s">
        <v>3501</v>
      </c>
      <c r="L1226">
        <v>262</v>
      </c>
      <c r="M1226" t="s">
        <v>3502</v>
      </c>
    </row>
    <row r="1227" spans="1:13" x14ac:dyDescent="0.35">
      <c r="A1227" t="s">
        <v>13</v>
      </c>
      <c r="B1227">
        <v>1296253</v>
      </c>
      <c r="C1227">
        <v>1297206</v>
      </c>
      <c r="E1227" t="s">
        <v>14</v>
      </c>
      <c r="F1227" t="s">
        <v>3503</v>
      </c>
      <c r="H1227">
        <v>1019213</v>
      </c>
      <c r="I1227" t="s">
        <v>17</v>
      </c>
      <c r="K1227" t="s">
        <v>3504</v>
      </c>
      <c r="L1227">
        <v>317</v>
      </c>
      <c r="M1227" t="s">
        <v>3505</v>
      </c>
    </row>
    <row r="1228" spans="1:13" x14ac:dyDescent="0.35">
      <c r="A1228" t="s">
        <v>13</v>
      </c>
      <c r="B1228">
        <v>1297212</v>
      </c>
      <c r="C1228">
        <v>1298342</v>
      </c>
      <c r="E1228" t="s">
        <v>14</v>
      </c>
      <c r="F1228" t="s">
        <v>3041</v>
      </c>
      <c r="H1228">
        <v>1019214</v>
      </c>
      <c r="I1228" t="s">
        <v>17</v>
      </c>
      <c r="K1228" t="s">
        <v>3506</v>
      </c>
      <c r="L1228">
        <v>376</v>
      </c>
      <c r="M1228" t="s">
        <v>3507</v>
      </c>
    </row>
    <row r="1229" spans="1:13" x14ac:dyDescent="0.35">
      <c r="A1229" t="s">
        <v>13</v>
      </c>
      <c r="B1229">
        <v>1298339</v>
      </c>
      <c r="C1229">
        <v>1298620</v>
      </c>
      <c r="E1229" t="s">
        <v>38</v>
      </c>
      <c r="F1229" t="s">
        <v>49</v>
      </c>
      <c r="H1229">
        <v>1019215</v>
      </c>
      <c r="I1229" t="s">
        <v>17</v>
      </c>
      <c r="K1229" t="s">
        <v>3508</v>
      </c>
      <c r="L1229">
        <v>93</v>
      </c>
      <c r="M1229" t="s">
        <v>3509</v>
      </c>
    </row>
    <row r="1230" spans="1:13" x14ac:dyDescent="0.35">
      <c r="A1230" t="s">
        <v>13</v>
      </c>
      <c r="B1230">
        <v>1298997</v>
      </c>
      <c r="C1230">
        <v>1300145</v>
      </c>
      <c r="E1230" t="s">
        <v>38</v>
      </c>
      <c r="F1230" t="s">
        <v>3510</v>
      </c>
      <c r="H1230">
        <v>1019216</v>
      </c>
      <c r="I1230" t="s">
        <v>17</v>
      </c>
      <c r="K1230" t="s">
        <v>3511</v>
      </c>
      <c r="L1230">
        <v>382</v>
      </c>
      <c r="M1230" t="s">
        <v>3512</v>
      </c>
    </row>
    <row r="1231" spans="1:13" x14ac:dyDescent="0.35">
      <c r="A1231" t="s">
        <v>13</v>
      </c>
      <c r="B1231">
        <v>1300142</v>
      </c>
      <c r="C1231">
        <v>1300363</v>
      </c>
      <c r="E1231" t="s">
        <v>38</v>
      </c>
      <c r="F1231" t="s">
        <v>3368</v>
      </c>
      <c r="H1231">
        <v>1019217</v>
      </c>
      <c r="I1231" t="s">
        <v>17</v>
      </c>
      <c r="K1231" t="s">
        <v>3513</v>
      </c>
      <c r="L1231">
        <v>73</v>
      </c>
      <c r="M1231" t="s">
        <v>3514</v>
      </c>
    </row>
    <row r="1232" spans="1:13" x14ac:dyDescent="0.35">
      <c r="A1232" t="s">
        <v>13</v>
      </c>
      <c r="B1232">
        <v>1300552</v>
      </c>
      <c r="C1232">
        <v>1301058</v>
      </c>
      <c r="E1232" t="s">
        <v>14</v>
      </c>
      <c r="F1232" t="s">
        <v>549</v>
      </c>
      <c r="H1232">
        <v>1019218</v>
      </c>
      <c r="I1232" t="s">
        <v>17</v>
      </c>
      <c r="K1232" t="s">
        <v>3515</v>
      </c>
      <c r="L1232">
        <v>168</v>
      </c>
      <c r="M1232" t="s">
        <v>3516</v>
      </c>
    </row>
    <row r="1233" spans="1:13" x14ac:dyDescent="0.35">
      <c r="A1233" t="s">
        <v>13</v>
      </c>
      <c r="B1233">
        <v>1300985</v>
      </c>
      <c r="C1233">
        <v>1301929</v>
      </c>
      <c r="E1233" t="s">
        <v>38</v>
      </c>
      <c r="F1233" t="s">
        <v>3517</v>
      </c>
      <c r="H1233">
        <v>1019219</v>
      </c>
      <c r="I1233" t="s">
        <v>17</v>
      </c>
      <c r="K1233" t="s">
        <v>3518</v>
      </c>
      <c r="L1233">
        <v>314</v>
      </c>
      <c r="M1233" t="s">
        <v>3519</v>
      </c>
    </row>
    <row r="1234" spans="1:13" x14ac:dyDescent="0.35">
      <c r="A1234" t="s">
        <v>13</v>
      </c>
      <c r="B1234">
        <v>1301972</v>
      </c>
      <c r="C1234">
        <v>1303114</v>
      </c>
      <c r="E1234" t="s">
        <v>38</v>
      </c>
      <c r="F1234" t="s">
        <v>3013</v>
      </c>
      <c r="H1234">
        <v>1019220</v>
      </c>
      <c r="I1234" t="s">
        <v>17</v>
      </c>
      <c r="K1234" t="s">
        <v>3520</v>
      </c>
      <c r="L1234">
        <v>380</v>
      </c>
      <c r="M1234" t="s">
        <v>3521</v>
      </c>
    </row>
    <row r="1235" spans="1:13" x14ac:dyDescent="0.35">
      <c r="A1235" t="s">
        <v>13</v>
      </c>
      <c r="B1235">
        <v>1303299</v>
      </c>
      <c r="C1235">
        <v>1303697</v>
      </c>
      <c r="E1235" t="s">
        <v>14</v>
      </c>
      <c r="F1235" t="s">
        <v>49</v>
      </c>
      <c r="H1235">
        <v>1019221</v>
      </c>
      <c r="I1235" t="s">
        <v>17</v>
      </c>
      <c r="K1235" t="s">
        <v>3522</v>
      </c>
      <c r="L1235">
        <v>132</v>
      </c>
      <c r="M1235" t="s">
        <v>3523</v>
      </c>
    </row>
    <row r="1236" spans="1:13" x14ac:dyDescent="0.35">
      <c r="A1236" t="s">
        <v>13</v>
      </c>
      <c r="B1236">
        <v>1303829</v>
      </c>
      <c r="C1236">
        <v>1304926</v>
      </c>
      <c r="E1236" t="s">
        <v>14</v>
      </c>
      <c r="F1236" t="s">
        <v>3524</v>
      </c>
      <c r="G1236" t="s">
        <v>3525</v>
      </c>
      <c r="H1236">
        <v>1019222</v>
      </c>
      <c r="I1236" t="s">
        <v>17</v>
      </c>
      <c r="K1236" t="s">
        <v>3526</v>
      </c>
      <c r="L1236">
        <v>365</v>
      </c>
      <c r="M1236" t="s">
        <v>3527</v>
      </c>
    </row>
    <row r="1237" spans="1:13" x14ac:dyDescent="0.35">
      <c r="A1237" t="s">
        <v>13</v>
      </c>
      <c r="B1237">
        <v>1304932</v>
      </c>
      <c r="C1237">
        <v>1305924</v>
      </c>
      <c r="E1237" t="s">
        <v>14</v>
      </c>
      <c r="F1237" t="s">
        <v>49</v>
      </c>
      <c r="H1237">
        <v>1019223</v>
      </c>
      <c r="I1237" t="s">
        <v>17</v>
      </c>
      <c r="K1237" t="s">
        <v>3528</v>
      </c>
      <c r="L1237">
        <v>330</v>
      </c>
      <c r="M1237" t="s">
        <v>3529</v>
      </c>
    </row>
    <row r="1238" spans="1:13" x14ac:dyDescent="0.35">
      <c r="A1238" t="s">
        <v>13</v>
      </c>
      <c r="B1238">
        <v>1305921</v>
      </c>
      <c r="C1238">
        <v>1307384</v>
      </c>
      <c r="E1238" t="s">
        <v>38</v>
      </c>
      <c r="F1238" t="s">
        <v>3247</v>
      </c>
      <c r="H1238">
        <v>1019224</v>
      </c>
      <c r="I1238" t="s">
        <v>17</v>
      </c>
      <c r="K1238" t="s">
        <v>3530</v>
      </c>
      <c r="L1238">
        <v>487</v>
      </c>
      <c r="M1238" t="s">
        <v>3531</v>
      </c>
    </row>
    <row r="1239" spans="1:13" x14ac:dyDescent="0.35">
      <c r="A1239" t="s">
        <v>13</v>
      </c>
      <c r="B1239">
        <v>1307459</v>
      </c>
      <c r="C1239">
        <v>1308172</v>
      </c>
      <c r="E1239" t="s">
        <v>38</v>
      </c>
      <c r="F1239" t="s">
        <v>2114</v>
      </c>
      <c r="H1239">
        <v>1019225</v>
      </c>
      <c r="I1239" t="s">
        <v>17</v>
      </c>
      <c r="K1239" t="s">
        <v>3532</v>
      </c>
      <c r="L1239">
        <v>237</v>
      </c>
      <c r="M1239" t="s">
        <v>3533</v>
      </c>
    </row>
    <row r="1240" spans="1:13" x14ac:dyDescent="0.35">
      <c r="A1240" t="s">
        <v>13</v>
      </c>
      <c r="B1240">
        <v>1308330</v>
      </c>
      <c r="C1240">
        <v>1310372</v>
      </c>
      <c r="E1240" t="s">
        <v>14</v>
      </c>
      <c r="F1240" t="s">
        <v>3534</v>
      </c>
      <c r="G1240" t="s">
        <v>3535</v>
      </c>
      <c r="H1240">
        <v>1019226</v>
      </c>
      <c r="I1240" t="s">
        <v>17</v>
      </c>
      <c r="K1240" t="s">
        <v>3536</v>
      </c>
      <c r="L1240">
        <v>680</v>
      </c>
      <c r="M1240" t="s">
        <v>3537</v>
      </c>
    </row>
    <row r="1241" spans="1:13" x14ac:dyDescent="0.35">
      <c r="A1241" t="s">
        <v>13</v>
      </c>
      <c r="B1241">
        <v>1310432</v>
      </c>
      <c r="C1241">
        <v>1311097</v>
      </c>
      <c r="E1241" t="s">
        <v>38</v>
      </c>
      <c r="F1241" t="s">
        <v>49</v>
      </c>
      <c r="H1241">
        <v>1019227</v>
      </c>
      <c r="I1241" t="s">
        <v>17</v>
      </c>
      <c r="K1241" t="s">
        <v>3538</v>
      </c>
      <c r="L1241">
        <v>221</v>
      </c>
      <c r="M1241" t="s">
        <v>3539</v>
      </c>
    </row>
    <row r="1242" spans="1:13" x14ac:dyDescent="0.35">
      <c r="A1242" t="s">
        <v>13</v>
      </c>
      <c r="B1242">
        <v>1311320</v>
      </c>
      <c r="C1242">
        <v>1311619</v>
      </c>
      <c r="E1242" t="s">
        <v>14</v>
      </c>
      <c r="F1242" t="s">
        <v>3540</v>
      </c>
      <c r="G1242" t="s">
        <v>3541</v>
      </c>
      <c r="H1242">
        <v>1019228</v>
      </c>
      <c r="I1242" t="s">
        <v>17</v>
      </c>
      <c r="K1242" t="s">
        <v>3542</v>
      </c>
      <c r="L1242">
        <v>99</v>
      </c>
      <c r="M1242" t="s">
        <v>3543</v>
      </c>
    </row>
    <row r="1243" spans="1:13" x14ac:dyDescent="0.35">
      <c r="A1243" t="s">
        <v>13</v>
      </c>
      <c r="B1243">
        <v>1311625</v>
      </c>
      <c r="C1243">
        <v>1313118</v>
      </c>
      <c r="E1243" t="s">
        <v>14</v>
      </c>
      <c r="F1243" t="s">
        <v>3544</v>
      </c>
      <c r="G1243" t="s">
        <v>3545</v>
      </c>
      <c r="H1243">
        <v>1019229</v>
      </c>
      <c r="I1243" t="s">
        <v>17</v>
      </c>
      <c r="K1243" t="s">
        <v>3546</v>
      </c>
      <c r="L1243">
        <v>497</v>
      </c>
      <c r="M1243" t="s">
        <v>3547</v>
      </c>
    </row>
    <row r="1244" spans="1:13" x14ac:dyDescent="0.35">
      <c r="A1244" t="s">
        <v>13</v>
      </c>
      <c r="B1244">
        <v>1313270</v>
      </c>
      <c r="C1244">
        <v>1314121</v>
      </c>
      <c r="E1244" t="s">
        <v>14</v>
      </c>
      <c r="F1244" t="s">
        <v>150</v>
      </c>
      <c r="H1244">
        <v>1019230</v>
      </c>
      <c r="I1244" t="s">
        <v>17</v>
      </c>
      <c r="K1244" t="s">
        <v>3548</v>
      </c>
      <c r="L1244">
        <v>283</v>
      </c>
      <c r="M1244" t="s">
        <v>3549</v>
      </c>
    </row>
    <row r="1245" spans="1:13" x14ac:dyDescent="0.35">
      <c r="A1245" t="s">
        <v>13</v>
      </c>
      <c r="B1245">
        <v>1314467</v>
      </c>
      <c r="C1245">
        <v>1314787</v>
      </c>
      <c r="E1245" t="s">
        <v>38</v>
      </c>
      <c r="F1245" t="s">
        <v>49</v>
      </c>
      <c r="H1245">
        <v>1019231</v>
      </c>
      <c r="I1245" t="s">
        <v>17</v>
      </c>
      <c r="K1245" t="s">
        <v>3550</v>
      </c>
      <c r="L1245">
        <v>106</v>
      </c>
      <c r="M1245" t="s">
        <v>3551</v>
      </c>
    </row>
    <row r="1246" spans="1:13" x14ac:dyDescent="0.35">
      <c r="A1246" t="s">
        <v>13</v>
      </c>
      <c r="B1246">
        <v>1315055</v>
      </c>
      <c r="C1246">
        <v>1316086</v>
      </c>
      <c r="E1246" t="s">
        <v>14</v>
      </c>
      <c r="F1246" t="s">
        <v>3552</v>
      </c>
      <c r="H1246">
        <v>1019232</v>
      </c>
      <c r="I1246" t="s">
        <v>17</v>
      </c>
      <c r="K1246" t="s">
        <v>3553</v>
      </c>
      <c r="L1246">
        <v>343</v>
      </c>
      <c r="M1246" t="s">
        <v>3554</v>
      </c>
    </row>
    <row r="1247" spans="1:13" x14ac:dyDescent="0.35">
      <c r="A1247" t="s">
        <v>13</v>
      </c>
      <c r="B1247">
        <v>1316338</v>
      </c>
      <c r="C1247">
        <v>1317447</v>
      </c>
      <c r="E1247" t="s">
        <v>14</v>
      </c>
      <c r="F1247" t="s">
        <v>532</v>
      </c>
      <c r="H1247">
        <v>1019233</v>
      </c>
      <c r="I1247" t="s">
        <v>17</v>
      </c>
      <c r="K1247" t="s">
        <v>3555</v>
      </c>
      <c r="L1247">
        <v>369</v>
      </c>
      <c r="M1247" t="s">
        <v>3556</v>
      </c>
    </row>
    <row r="1248" spans="1:13" x14ac:dyDescent="0.35">
      <c r="A1248" t="s">
        <v>13</v>
      </c>
      <c r="B1248">
        <v>1317434</v>
      </c>
      <c r="C1248">
        <v>1319008</v>
      </c>
      <c r="E1248" t="s">
        <v>14</v>
      </c>
      <c r="F1248" t="s">
        <v>3557</v>
      </c>
      <c r="H1248">
        <v>1019234</v>
      </c>
      <c r="I1248" t="s">
        <v>17</v>
      </c>
      <c r="K1248" t="s">
        <v>3558</v>
      </c>
      <c r="L1248">
        <v>524</v>
      </c>
      <c r="M1248" t="s">
        <v>3559</v>
      </c>
    </row>
    <row r="1249" spans="1:13" x14ac:dyDescent="0.35">
      <c r="A1249" t="s">
        <v>13</v>
      </c>
      <c r="B1249">
        <v>1319065</v>
      </c>
      <c r="C1249">
        <v>1319979</v>
      </c>
      <c r="E1249" t="s">
        <v>14</v>
      </c>
      <c r="F1249" t="s">
        <v>124</v>
      </c>
      <c r="H1249">
        <v>1019235</v>
      </c>
      <c r="I1249" t="s">
        <v>17</v>
      </c>
      <c r="K1249" t="s">
        <v>3560</v>
      </c>
      <c r="L1249">
        <v>304</v>
      </c>
      <c r="M1249" t="s">
        <v>3561</v>
      </c>
    </row>
    <row r="1250" spans="1:13" x14ac:dyDescent="0.35">
      <c r="A1250" t="s">
        <v>13</v>
      </c>
      <c r="B1250">
        <v>1320001</v>
      </c>
      <c r="C1250">
        <v>1320945</v>
      </c>
      <c r="E1250" t="s">
        <v>14</v>
      </c>
      <c r="F1250" t="s">
        <v>3562</v>
      </c>
      <c r="H1250">
        <v>1019236</v>
      </c>
      <c r="I1250" t="s">
        <v>17</v>
      </c>
      <c r="K1250" t="s">
        <v>3563</v>
      </c>
      <c r="L1250">
        <v>314</v>
      </c>
      <c r="M1250" t="s">
        <v>3564</v>
      </c>
    </row>
    <row r="1251" spans="1:13" x14ac:dyDescent="0.35">
      <c r="A1251" t="s">
        <v>13</v>
      </c>
      <c r="B1251">
        <v>1320952</v>
      </c>
      <c r="C1251">
        <v>1321323</v>
      </c>
      <c r="E1251" t="s">
        <v>14</v>
      </c>
      <c r="F1251" t="s">
        <v>3565</v>
      </c>
      <c r="G1251" t="s">
        <v>3566</v>
      </c>
      <c r="H1251">
        <v>1019237</v>
      </c>
      <c r="I1251" t="s">
        <v>17</v>
      </c>
      <c r="K1251" t="s">
        <v>3567</v>
      </c>
      <c r="L1251">
        <v>123</v>
      </c>
      <c r="M1251" t="s">
        <v>3568</v>
      </c>
    </row>
    <row r="1252" spans="1:13" x14ac:dyDescent="0.35">
      <c r="A1252" t="s">
        <v>13</v>
      </c>
      <c r="B1252">
        <v>1321476</v>
      </c>
      <c r="C1252">
        <v>1322114</v>
      </c>
      <c r="E1252" t="s">
        <v>14</v>
      </c>
      <c r="F1252" t="s">
        <v>549</v>
      </c>
      <c r="H1252">
        <v>1019238</v>
      </c>
      <c r="I1252" t="s">
        <v>17</v>
      </c>
      <c r="K1252" t="s">
        <v>3569</v>
      </c>
      <c r="L1252">
        <v>212</v>
      </c>
      <c r="M1252" t="s">
        <v>3570</v>
      </c>
    </row>
    <row r="1253" spans="1:13" x14ac:dyDescent="0.35">
      <c r="A1253" t="s">
        <v>13</v>
      </c>
      <c r="B1253">
        <v>1322393</v>
      </c>
      <c r="C1253">
        <v>1323409</v>
      </c>
      <c r="E1253" t="s">
        <v>14</v>
      </c>
      <c r="F1253" t="s">
        <v>1885</v>
      </c>
      <c r="H1253">
        <v>1019239</v>
      </c>
      <c r="I1253" t="s">
        <v>17</v>
      </c>
      <c r="K1253" t="s">
        <v>3571</v>
      </c>
      <c r="L1253">
        <v>338</v>
      </c>
      <c r="M1253" t="s">
        <v>3572</v>
      </c>
    </row>
    <row r="1254" spans="1:13" x14ac:dyDescent="0.35">
      <c r="A1254" t="s">
        <v>13</v>
      </c>
      <c r="B1254">
        <v>1323533</v>
      </c>
      <c r="C1254">
        <v>1324540</v>
      </c>
      <c r="E1254" t="s">
        <v>14</v>
      </c>
      <c r="F1254" t="s">
        <v>3573</v>
      </c>
      <c r="H1254">
        <v>1019240</v>
      </c>
      <c r="I1254" t="s">
        <v>17</v>
      </c>
      <c r="K1254" t="s">
        <v>3574</v>
      </c>
      <c r="L1254">
        <v>335</v>
      </c>
      <c r="M1254" t="s">
        <v>3575</v>
      </c>
    </row>
    <row r="1255" spans="1:13" x14ac:dyDescent="0.35">
      <c r="A1255" t="s">
        <v>13</v>
      </c>
      <c r="B1255">
        <v>1324754</v>
      </c>
      <c r="C1255">
        <v>1326259</v>
      </c>
      <c r="E1255" t="s">
        <v>14</v>
      </c>
      <c r="F1255" t="s">
        <v>3576</v>
      </c>
      <c r="G1255" t="s">
        <v>3577</v>
      </c>
      <c r="H1255">
        <v>1019241</v>
      </c>
      <c r="I1255" t="s">
        <v>17</v>
      </c>
      <c r="K1255" t="s">
        <v>3578</v>
      </c>
      <c r="L1255">
        <v>501</v>
      </c>
      <c r="M1255" t="s">
        <v>3579</v>
      </c>
    </row>
    <row r="1256" spans="1:13" x14ac:dyDescent="0.35">
      <c r="A1256" t="s">
        <v>13</v>
      </c>
      <c r="B1256">
        <v>1326474</v>
      </c>
      <c r="C1256">
        <v>1327052</v>
      </c>
      <c r="E1256" t="s">
        <v>14</v>
      </c>
      <c r="F1256" t="s">
        <v>3580</v>
      </c>
      <c r="H1256">
        <v>1019242</v>
      </c>
      <c r="I1256" t="s">
        <v>17</v>
      </c>
      <c r="K1256" t="s">
        <v>3581</v>
      </c>
      <c r="L1256">
        <v>192</v>
      </c>
      <c r="M1256" t="s">
        <v>3582</v>
      </c>
    </row>
    <row r="1257" spans="1:13" x14ac:dyDescent="0.35">
      <c r="A1257" t="s">
        <v>13</v>
      </c>
      <c r="B1257">
        <v>1327161</v>
      </c>
      <c r="C1257">
        <v>1328246</v>
      </c>
      <c r="E1257" t="s">
        <v>14</v>
      </c>
      <c r="F1257" t="s">
        <v>3583</v>
      </c>
      <c r="G1257" t="s">
        <v>3584</v>
      </c>
      <c r="H1257">
        <v>1019243</v>
      </c>
      <c r="I1257" t="s">
        <v>17</v>
      </c>
      <c r="K1257" t="s">
        <v>3585</v>
      </c>
      <c r="L1257">
        <v>361</v>
      </c>
      <c r="M1257" t="s">
        <v>3586</v>
      </c>
    </row>
    <row r="1258" spans="1:13" x14ac:dyDescent="0.35">
      <c r="A1258" t="s">
        <v>13</v>
      </c>
      <c r="B1258">
        <v>1328243</v>
      </c>
      <c r="C1258">
        <v>1328953</v>
      </c>
      <c r="E1258" t="s">
        <v>38</v>
      </c>
      <c r="F1258" t="s">
        <v>3587</v>
      </c>
      <c r="G1258" t="s">
        <v>3588</v>
      </c>
      <c r="H1258">
        <v>1019244</v>
      </c>
      <c r="I1258" t="s">
        <v>17</v>
      </c>
      <c r="K1258" t="s">
        <v>3589</v>
      </c>
      <c r="L1258">
        <v>236</v>
      </c>
      <c r="M1258" t="s">
        <v>3590</v>
      </c>
    </row>
    <row r="1259" spans="1:13" x14ac:dyDescent="0.35">
      <c r="A1259" t="s">
        <v>13</v>
      </c>
      <c r="B1259">
        <v>1329015</v>
      </c>
      <c r="C1259">
        <v>1329887</v>
      </c>
      <c r="E1259" t="s">
        <v>14</v>
      </c>
      <c r="F1259" t="s">
        <v>3591</v>
      </c>
      <c r="H1259">
        <v>1019245</v>
      </c>
      <c r="I1259" t="s">
        <v>17</v>
      </c>
      <c r="K1259" t="s">
        <v>3592</v>
      </c>
      <c r="L1259">
        <v>290</v>
      </c>
      <c r="M1259" t="s">
        <v>3593</v>
      </c>
    </row>
    <row r="1260" spans="1:13" x14ac:dyDescent="0.35">
      <c r="A1260" t="s">
        <v>13</v>
      </c>
      <c r="B1260">
        <v>1329888</v>
      </c>
      <c r="C1260">
        <v>1330967</v>
      </c>
      <c r="E1260" t="s">
        <v>38</v>
      </c>
      <c r="F1260" t="s">
        <v>3594</v>
      </c>
      <c r="H1260">
        <v>1019246</v>
      </c>
      <c r="I1260" t="s">
        <v>17</v>
      </c>
      <c r="K1260" t="s">
        <v>3595</v>
      </c>
      <c r="L1260">
        <v>359</v>
      </c>
      <c r="M1260" t="s">
        <v>3596</v>
      </c>
    </row>
    <row r="1261" spans="1:13" x14ac:dyDescent="0.35">
      <c r="A1261" t="s">
        <v>13</v>
      </c>
      <c r="B1261">
        <v>1331102</v>
      </c>
      <c r="C1261">
        <v>1331878</v>
      </c>
      <c r="E1261" t="s">
        <v>14</v>
      </c>
      <c r="F1261" t="s">
        <v>3308</v>
      </c>
      <c r="H1261">
        <v>1019247</v>
      </c>
      <c r="I1261" t="s">
        <v>17</v>
      </c>
      <c r="K1261" t="s">
        <v>3597</v>
      </c>
      <c r="L1261">
        <v>258</v>
      </c>
      <c r="M1261" t="s">
        <v>3598</v>
      </c>
    </row>
    <row r="1262" spans="1:13" x14ac:dyDescent="0.35">
      <c r="A1262" t="s">
        <v>13</v>
      </c>
      <c r="B1262">
        <v>1331953</v>
      </c>
      <c r="C1262">
        <v>1333011</v>
      </c>
      <c r="E1262" t="s">
        <v>14</v>
      </c>
      <c r="F1262" t="s">
        <v>1315</v>
      </c>
      <c r="H1262">
        <v>1019248</v>
      </c>
      <c r="I1262" t="s">
        <v>17</v>
      </c>
      <c r="K1262" t="s">
        <v>3599</v>
      </c>
      <c r="L1262">
        <v>352</v>
      </c>
      <c r="M1262" t="s">
        <v>3600</v>
      </c>
    </row>
    <row r="1263" spans="1:13" x14ac:dyDescent="0.35">
      <c r="A1263" t="s">
        <v>13</v>
      </c>
      <c r="B1263">
        <v>1333439</v>
      </c>
      <c r="C1263">
        <v>1335280</v>
      </c>
      <c r="E1263" t="s">
        <v>38</v>
      </c>
      <c r="F1263" t="s">
        <v>3601</v>
      </c>
      <c r="G1263" t="s">
        <v>3602</v>
      </c>
      <c r="H1263">
        <v>1019249</v>
      </c>
      <c r="I1263" t="s">
        <v>17</v>
      </c>
      <c r="K1263" t="s">
        <v>3603</v>
      </c>
      <c r="L1263">
        <v>613</v>
      </c>
      <c r="M1263" t="s">
        <v>3604</v>
      </c>
    </row>
    <row r="1264" spans="1:13" x14ac:dyDescent="0.35">
      <c r="A1264" t="s">
        <v>13</v>
      </c>
      <c r="B1264">
        <v>1335409</v>
      </c>
      <c r="C1264">
        <v>1336044</v>
      </c>
      <c r="E1264" t="s">
        <v>38</v>
      </c>
      <c r="F1264" t="s">
        <v>1868</v>
      </c>
      <c r="H1264">
        <v>1019250</v>
      </c>
      <c r="I1264" t="s">
        <v>17</v>
      </c>
      <c r="K1264" t="s">
        <v>3605</v>
      </c>
      <c r="L1264">
        <v>211</v>
      </c>
      <c r="M1264" t="s">
        <v>3606</v>
      </c>
    </row>
    <row r="1265" spans="1:13" x14ac:dyDescent="0.35">
      <c r="A1265" t="s">
        <v>13</v>
      </c>
      <c r="B1265">
        <v>1336092</v>
      </c>
      <c r="C1265">
        <v>1337693</v>
      </c>
      <c r="E1265" t="s">
        <v>38</v>
      </c>
      <c r="F1265" t="s">
        <v>3607</v>
      </c>
      <c r="H1265">
        <v>1019251</v>
      </c>
      <c r="I1265" t="s">
        <v>17</v>
      </c>
      <c r="K1265" t="s">
        <v>3608</v>
      </c>
      <c r="L1265">
        <v>533</v>
      </c>
      <c r="M1265" t="s">
        <v>3609</v>
      </c>
    </row>
    <row r="1266" spans="1:13" x14ac:dyDescent="0.35">
      <c r="A1266" t="s">
        <v>13</v>
      </c>
      <c r="B1266">
        <v>1338131</v>
      </c>
      <c r="C1266">
        <v>1340011</v>
      </c>
      <c r="E1266" t="s">
        <v>14</v>
      </c>
      <c r="F1266" t="s">
        <v>3610</v>
      </c>
      <c r="H1266">
        <v>1019252</v>
      </c>
      <c r="I1266" t="s">
        <v>17</v>
      </c>
      <c r="K1266" t="s">
        <v>3611</v>
      </c>
      <c r="L1266">
        <v>626</v>
      </c>
      <c r="M1266" t="s">
        <v>3612</v>
      </c>
    </row>
    <row r="1267" spans="1:13" x14ac:dyDescent="0.35">
      <c r="A1267" t="s">
        <v>13</v>
      </c>
      <c r="B1267">
        <v>1340025</v>
      </c>
      <c r="C1267">
        <v>1340543</v>
      </c>
      <c r="E1267" t="s">
        <v>14</v>
      </c>
      <c r="F1267" t="s">
        <v>3613</v>
      </c>
      <c r="G1267" t="s">
        <v>3614</v>
      </c>
      <c r="H1267">
        <v>1019253</v>
      </c>
      <c r="I1267" t="s">
        <v>17</v>
      </c>
      <c r="K1267" t="s">
        <v>3615</v>
      </c>
      <c r="L1267">
        <v>172</v>
      </c>
      <c r="M1267" t="s">
        <v>3616</v>
      </c>
    </row>
    <row r="1268" spans="1:13" x14ac:dyDescent="0.35">
      <c r="A1268" t="s">
        <v>13</v>
      </c>
      <c r="B1268">
        <v>1340724</v>
      </c>
      <c r="C1268">
        <v>1341740</v>
      </c>
      <c r="E1268" t="s">
        <v>14</v>
      </c>
      <c r="F1268" t="s">
        <v>3617</v>
      </c>
      <c r="G1268" t="s">
        <v>3618</v>
      </c>
      <c r="H1268">
        <v>1019254</v>
      </c>
      <c r="I1268" t="s">
        <v>17</v>
      </c>
      <c r="K1268" t="s">
        <v>3619</v>
      </c>
      <c r="L1268">
        <v>338</v>
      </c>
      <c r="M1268" t="s">
        <v>3620</v>
      </c>
    </row>
    <row r="1269" spans="1:13" x14ac:dyDescent="0.35">
      <c r="A1269" t="s">
        <v>13</v>
      </c>
      <c r="B1269">
        <v>1341957</v>
      </c>
      <c r="C1269">
        <v>1342727</v>
      </c>
      <c r="E1269" t="s">
        <v>38</v>
      </c>
      <c r="F1269" t="s">
        <v>141</v>
      </c>
      <c r="H1269">
        <v>44144953</v>
      </c>
      <c r="I1269" t="s">
        <v>142</v>
      </c>
      <c r="M1269" t="s">
        <v>3621</v>
      </c>
    </row>
    <row r="1270" spans="1:13" x14ac:dyDescent="0.35">
      <c r="A1270" t="s">
        <v>13</v>
      </c>
      <c r="B1270">
        <v>1342797</v>
      </c>
      <c r="C1270">
        <v>1343675</v>
      </c>
      <c r="E1270" t="s">
        <v>38</v>
      </c>
      <c r="F1270" t="s">
        <v>141</v>
      </c>
      <c r="H1270">
        <v>1019258</v>
      </c>
      <c r="I1270" t="s">
        <v>142</v>
      </c>
      <c r="M1270" t="s">
        <v>3622</v>
      </c>
    </row>
    <row r="1271" spans="1:13" x14ac:dyDescent="0.35">
      <c r="A1271" t="s">
        <v>13</v>
      </c>
      <c r="B1271">
        <v>1343773</v>
      </c>
      <c r="C1271">
        <v>1344036</v>
      </c>
      <c r="E1271" t="s">
        <v>14</v>
      </c>
      <c r="F1271" t="s">
        <v>49</v>
      </c>
      <c r="H1271">
        <v>44144954</v>
      </c>
      <c r="I1271" t="s">
        <v>17</v>
      </c>
      <c r="K1271" t="s">
        <v>3623</v>
      </c>
      <c r="L1271">
        <v>87</v>
      </c>
      <c r="M1271" t="s">
        <v>3624</v>
      </c>
    </row>
    <row r="1272" spans="1:13" x14ac:dyDescent="0.35">
      <c r="A1272" t="s">
        <v>13</v>
      </c>
      <c r="B1272">
        <v>1344033</v>
      </c>
      <c r="C1272">
        <v>1344467</v>
      </c>
      <c r="E1272" t="s">
        <v>14</v>
      </c>
      <c r="F1272" t="s">
        <v>3625</v>
      </c>
      <c r="H1272">
        <v>1019259</v>
      </c>
      <c r="I1272" t="s">
        <v>17</v>
      </c>
      <c r="K1272" t="s">
        <v>3626</v>
      </c>
      <c r="L1272">
        <v>144</v>
      </c>
      <c r="M1272" t="s">
        <v>3627</v>
      </c>
    </row>
    <row r="1273" spans="1:13" x14ac:dyDescent="0.35">
      <c r="A1273" t="s">
        <v>13</v>
      </c>
      <c r="B1273">
        <v>1344464</v>
      </c>
      <c r="C1273">
        <v>1344811</v>
      </c>
      <c r="E1273" t="s">
        <v>14</v>
      </c>
      <c r="F1273" t="s">
        <v>49</v>
      </c>
      <c r="H1273">
        <v>1019260</v>
      </c>
      <c r="I1273" t="s">
        <v>17</v>
      </c>
      <c r="K1273" t="s">
        <v>3628</v>
      </c>
      <c r="L1273">
        <v>115</v>
      </c>
      <c r="M1273" t="s">
        <v>3629</v>
      </c>
    </row>
    <row r="1274" spans="1:13" x14ac:dyDescent="0.35">
      <c r="A1274" t="s">
        <v>13</v>
      </c>
      <c r="B1274">
        <v>1344935</v>
      </c>
      <c r="C1274">
        <v>1345423</v>
      </c>
      <c r="E1274" t="s">
        <v>14</v>
      </c>
      <c r="F1274" t="s">
        <v>2899</v>
      </c>
      <c r="H1274">
        <v>1019261</v>
      </c>
      <c r="I1274" t="s">
        <v>17</v>
      </c>
      <c r="K1274" t="s">
        <v>3630</v>
      </c>
      <c r="L1274">
        <v>162</v>
      </c>
      <c r="M1274" t="s">
        <v>3631</v>
      </c>
    </row>
    <row r="1275" spans="1:13" x14ac:dyDescent="0.35">
      <c r="A1275" t="s">
        <v>13</v>
      </c>
      <c r="B1275">
        <v>1345486</v>
      </c>
      <c r="C1275">
        <v>1346442</v>
      </c>
      <c r="E1275" t="s">
        <v>14</v>
      </c>
      <c r="F1275" t="s">
        <v>3632</v>
      </c>
      <c r="H1275">
        <v>1019262</v>
      </c>
      <c r="I1275" t="s">
        <v>17</v>
      </c>
      <c r="K1275" t="s">
        <v>3633</v>
      </c>
      <c r="L1275">
        <v>318</v>
      </c>
      <c r="M1275" t="s">
        <v>3634</v>
      </c>
    </row>
    <row r="1276" spans="1:13" x14ac:dyDescent="0.35">
      <c r="A1276" t="s">
        <v>13</v>
      </c>
      <c r="B1276">
        <v>1346458</v>
      </c>
      <c r="C1276">
        <v>1348275</v>
      </c>
      <c r="E1276" t="s">
        <v>14</v>
      </c>
      <c r="F1276" t="s">
        <v>3635</v>
      </c>
      <c r="H1276">
        <v>1019263</v>
      </c>
      <c r="I1276" t="s">
        <v>17</v>
      </c>
      <c r="K1276" t="s">
        <v>3636</v>
      </c>
      <c r="L1276">
        <v>605</v>
      </c>
      <c r="M1276" t="s">
        <v>3637</v>
      </c>
    </row>
    <row r="1277" spans="1:13" x14ac:dyDescent="0.35">
      <c r="A1277" t="s">
        <v>13</v>
      </c>
      <c r="B1277">
        <v>1348334</v>
      </c>
      <c r="C1277">
        <v>1350079</v>
      </c>
      <c r="E1277" t="s">
        <v>14</v>
      </c>
      <c r="F1277" t="s">
        <v>49</v>
      </c>
      <c r="H1277">
        <v>1019264</v>
      </c>
      <c r="I1277" t="s">
        <v>17</v>
      </c>
      <c r="K1277" t="s">
        <v>3638</v>
      </c>
      <c r="L1277">
        <v>581</v>
      </c>
      <c r="M1277" t="s">
        <v>3639</v>
      </c>
    </row>
    <row r="1278" spans="1:13" x14ac:dyDescent="0.35">
      <c r="A1278" t="s">
        <v>13</v>
      </c>
      <c r="B1278">
        <v>1350855</v>
      </c>
      <c r="C1278">
        <v>1352447</v>
      </c>
      <c r="E1278" t="s">
        <v>14</v>
      </c>
      <c r="F1278" t="s">
        <v>3640</v>
      </c>
      <c r="G1278" t="s">
        <v>3641</v>
      </c>
      <c r="H1278">
        <v>1019265</v>
      </c>
      <c r="I1278" t="s">
        <v>17</v>
      </c>
      <c r="K1278" t="s">
        <v>3642</v>
      </c>
      <c r="L1278">
        <v>530</v>
      </c>
      <c r="M1278" t="s">
        <v>3643</v>
      </c>
    </row>
    <row r="1279" spans="1:13" x14ac:dyDescent="0.35">
      <c r="A1279" t="s">
        <v>13</v>
      </c>
      <c r="B1279">
        <v>1352585</v>
      </c>
      <c r="C1279">
        <v>1353454</v>
      </c>
      <c r="E1279" t="s">
        <v>14</v>
      </c>
      <c r="F1279" t="s">
        <v>3644</v>
      </c>
      <c r="H1279">
        <v>1019266</v>
      </c>
      <c r="I1279" t="s">
        <v>17</v>
      </c>
      <c r="K1279" t="s">
        <v>3645</v>
      </c>
      <c r="L1279">
        <v>289</v>
      </c>
      <c r="M1279" t="s">
        <v>3646</v>
      </c>
    </row>
    <row r="1280" spans="1:13" x14ac:dyDescent="0.35">
      <c r="A1280" t="s">
        <v>13</v>
      </c>
      <c r="B1280">
        <v>1353489</v>
      </c>
      <c r="C1280">
        <v>1354511</v>
      </c>
      <c r="E1280" t="s">
        <v>14</v>
      </c>
      <c r="F1280" t="s">
        <v>3647</v>
      </c>
      <c r="H1280">
        <v>1019267</v>
      </c>
      <c r="I1280" t="s">
        <v>17</v>
      </c>
      <c r="K1280" t="s">
        <v>3648</v>
      </c>
      <c r="L1280">
        <v>340</v>
      </c>
      <c r="M1280" t="s">
        <v>3649</v>
      </c>
    </row>
    <row r="1281" spans="1:13" x14ac:dyDescent="0.35">
      <c r="A1281" t="s">
        <v>13</v>
      </c>
      <c r="B1281">
        <v>1354537</v>
      </c>
      <c r="C1281">
        <v>1355553</v>
      </c>
      <c r="E1281" t="s">
        <v>38</v>
      </c>
      <c r="F1281" t="s">
        <v>1008</v>
      </c>
      <c r="H1281">
        <v>1019268</v>
      </c>
      <c r="I1281" t="s">
        <v>17</v>
      </c>
      <c r="K1281" t="s">
        <v>3650</v>
      </c>
      <c r="L1281">
        <v>338</v>
      </c>
      <c r="M1281" t="s">
        <v>3651</v>
      </c>
    </row>
    <row r="1282" spans="1:13" x14ac:dyDescent="0.35">
      <c r="A1282" t="s">
        <v>13</v>
      </c>
      <c r="B1282">
        <v>1355689</v>
      </c>
      <c r="C1282">
        <v>1357557</v>
      </c>
      <c r="E1282" t="s">
        <v>14</v>
      </c>
      <c r="F1282" t="s">
        <v>3652</v>
      </c>
      <c r="H1282">
        <v>1019269</v>
      </c>
      <c r="I1282" t="s">
        <v>17</v>
      </c>
      <c r="K1282" t="s">
        <v>3653</v>
      </c>
      <c r="L1282">
        <v>622</v>
      </c>
      <c r="M1282" t="s">
        <v>3654</v>
      </c>
    </row>
    <row r="1283" spans="1:13" x14ac:dyDescent="0.35">
      <c r="A1283" t="s">
        <v>13</v>
      </c>
      <c r="B1283">
        <v>1357557</v>
      </c>
      <c r="C1283">
        <v>1358213</v>
      </c>
      <c r="E1283" t="s">
        <v>14</v>
      </c>
      <c r="F1283" t="s">
        <v>3655</v>
      </c>
      <c r="H1283">
        <v>1019270</v>
      </c>
      <c r="I1283" t="s">
        <v>17</v>
      </c>
      <c r="K1283" t="s">
        <v>3656</v>
      </c>
      <c r="L1283">
        <v>218</v>
      </c>
      <c r="M1283" t="s">
        <v>3657</v>
      </c>
    </row>
    <row r="1284" spans="1:13" x14ac:dyDescent="0.35">
      <c r="A1284" t="s">
        <v>13</v>
      </c>
      <c r="B1284">
        <v>1358259</v>
      </c>
      <c r="C1284">
        <v>1359065</v>
      </c>
      <c r="E1284" t="s">
        <v>14</v>
      </c>
      <c r="F1284" t="s">
        <v>3658</v>
      </c>
      <c r="H1284">
        <v>1019271</v>
      </c>
      <c r="I1284" t="s">
        <v>17</v>
      </c>
      <c r="K1284" t="s">
        <v>3659</v>
      </c>
      <c r="L1284">
        <v>268</v>
      </c>
      <c r="M1284" t="s">
        <v>3660</v>
      </c>
    </row>
    <row r="1285" spans="1:13" x14ac:dyDescent="0.35">
      <c r="A1285" t="s">
        <v>13</v>
      </c>
      <c r="B1285">
        <v>1359067</v>
      </c>
      <c r="C1285">
        <v>1359672</v>
      </c>
      <c r="E1285" t="s">
        <v>14</v>
      </c>
      <c r="F1285" t="s">
        <v>1169</v>
      </c>
      <c r="H1285">
        <v>1019272</v>
      </c>
      <c r="I1285" t="s">
        <v>17</v>
      </c>
      <c r="K1285" t="s">
        <v>3661</v>
      </c>
      <c r="L1285">
        <v>201</v>
      </c>
      <c r="M1285" t="s">
        <v>3662</v>
      </c>
    </row>
    <row r="1286" spans="1:13" x14ac:dyDescent="0.35">
      <c r="A1286" t="s">
        <v>13</v>
      </c>
      <c r="B1286">
        <v>1360165</v>
      </c>
      <c r="C1286">
        <v>1361295</v>
      </c>
      <c r="E1286" t="s">
        <v>38</v>
      </c>
      <c r="F1286" t="s">
        <v>3663</v>
      </c>
      <c r="H1286">
        <v>1019273</v>
      </c>
      <c r="I1286" t="s">
        <v>17</v>
      </c>
      <c r="K1286" t="s">
        <v>3664</v>
      </c>
      <c r="L1286">
        <v>376</v>
      </c>
      <c r="M1286" t="s">
        <v>3665</v>
      </c>
    </row>
    <row r="1287" spans="1:13" x14ac:dyDescent="0.35">
      <c r="A1287" t="s">
        <v>13</v>
      </c>
      <c r="B1287">
        <v>1361361</v>
      </c>
      <c r="C1287">
        <v>1362851</v>
      </c>
      <c r="E1287" t="s">
        <v>14</v>
      </c>
      <c r="F1287" t="s">
        <v>3666</v>
      </c>
      <c r="G1287" t="s">
        <v>3667</v>
      </c>
      <c r="H1287">
        <v>1019274</v>
      </c>
      <c r="I1287" t="s">
        <v>17</v>
      </c>
      <c r="K1287" t="s">
        <v>3668</v>
      </c>
      <c r="L1287">
        <v>496</v>
      </c>
      <c r="M1287" t="s">
        <v>3669</v>
      </c>
    </row>
    <row r="1288" spans="1:13" x14ac:dyDescent="0.35">
      <c r="A1288" t="s">
        <v>13</v>
      </c>
      <c r="B1288">
        <v>1362923</v>
      </c>
      <c r="C1288">
        <v>1363138</v>
      </c>
      <c r="E1288" t="s">
        <v>38</v>
      </c>
      <c r="F1288" t="s">
        <v>138</v>
      </c>
      <c r="H1288">
        <v>1019275</v>
      </c>
      <c r="I1288" t="s">
        <v>17</v>
      </c>
      <c r="K1288" t="s">
        <v>3670</v>
      </c>
      <c r="L1288">
        <v>71</v>
      </c>
      <c r="M1288" t="s">
        <v>3671</v>
      </c>
    </row>
    <row r="1289" spans="1:13" x14ac:dyDescent="0.35">
      <c r="A1289" t="s">
        <v>13</v>
      </c>
      <c r="B1289">
        <v>1363139</v>
      </c>
      <c r="C1289">
        <v>1363612</v>
      </c>
      <c r="E1289" t="s">
        <v>38</v>
      </c>
      <c r="F1289" t="s">
        <v>3672</v>
      </c>
      <c r="H1289">
        <v>1019276</v>
      </c>
      <c r="I1289" t="s">
        <v>17</v>
      </c>
      <c r="K1289" t="s">
        <v>3673</v>
      </c>
      <c r="L1289">
        <v>157</v>
      </c>
      <c r="M1289" t="s">
        <v>3674</v>
      </c>
    </row>
    <row r="1290" spans="1:13" x14ac:dyDescent="0.35">
      <c r="A1290" t="s">
        <v>13</v>
      </c>
      <c r="B1290">
        <v>1363729</v>
      </c>
      <c r="C1290">
        <v>1364253</v>
      </c>
      <c r="E1290" t="s">
        <v>38</v>
      </c>
      <c r="F1290" t="s">
        <v>2094</v>
      </c>
      <c r="H1290">
        <v>1019277</v>
      </c>
      <c r="I1290" t="s">
        <v>17</v>
      </c>
      <c r="K1290" t="s">
        <v>3675</v>
      </c>
      <c r="L1290">
        <v>174</v>
      </c>
      <c r="M1290" t="s">
        <v>3676</v>
      </c>
    </row>
    <row r="1291" spans="1:13" x14ac:dyDescent="0.35">
      <c r="A1291" t="s">
        <v>13</v>
      </c>
      <c r="B1291">
        <v>1364337</v>
      </c>
      <c r="C1291">
        <v>1364786</v>
      </c>
      <c r="E1291" t="s">
        <v>38</v>
      </c>
      <c r="F1291" t="s">
        <v>1126</v>
      </c>
      <c r="H1291">
        <v>1019278</v>
      </c>
      <c r="I1291" t="s">
        <v>17</v>
      </c>
      <c r="K1291" t="s">
        <v>3677</v>
      </c>
      <c r="L1291">
        <v>149</v>
      </c>
      <c r="M1291" t="s">
        <v>3678</v>
      </c>
    </row>
    <row r="1292" spans="1:13" x14ac:dyDescent="0.35">
      <c r="A1292" t="s">
        <v>13</v>
      </c>
      <c r="B1292">
        <v>1364875</v>
      </c>
      <c r="C1292">
        <v>1365165</v>
      </c>
      <c r="E1292" t="s">
        <v>38</v>
      </c>
      <c r="F1292" t="s">
        <v>49</v>
      </c>
      <c r="H1292">
        <v>1019279</v>
      </c>
      <c r="I1292" t="s">
        <v>17</v>
      </c>
      <c r="K1292" t="s">
        <v>3679</v>
      </c>
      <c r="L1292">
        <v>96</v>
      </c>
      <c r="M1292" t="s">
        <v>3680</v>
      </c>
    </row>
    <row r="1293" spans="1:13" x14ac:dyDescent="0.35">
      <c r="A1293" t="s">
        <v>13</v>
      </c>
      <c r="B1293">
        <v>1365214</v>
      </c>
      <c r="C1293">
        <v>1365396</v>
      </c>
      <c r="E1293" t="s">
        <v>38</v>
      </c>
      <c r="F1293" t="s">
        <v>2094</v>
      </c>
      <c r="H1293">
        <v>1019280</v>
      </c>
      <c r="I1293" t="s">
        <v>17</v>
      </c>
      <c r="K1293" t="s">
        <v>3681</v>
      </c>
      <c r="L1293">
        <v>60</v>
      </c>
      <c r="M1293" t="s">
        <v>3682</v>
      </c>
    </row>
    <row r="1294" spans="1:13" x14ac:dyDescent="0.35">
      <c r="A1294" t="s">
        <v>13</v>
      </c>
      <c r="B1294">
        <v>1365593</v>
      </c>
      <c r="C1294">
        <v>1365664</v>
      </c>
      <c r="E1294" t="s">
        <v>14</v>
      </c>
      <c r="F1294" t="s">
        <v>3683</v>
      </c>
      <c r="H1294">
        <v>2745310</v>
      </c>
      <c r="I1294" t="s">
        <v>62</v>
      </c>
      <c r="M1294" t="s">
        <v>3684</v>
      </c>
    </row>
    <row r="1295" spans="1:13" x14ac:dyDescent="0.35">
      <c r="A1295" t="s">
        <v>13</v>
      </c>
      <c r="B1295">
        <v>1365703</v>
      </c>
      <c r="C1295">
        <v>1365775</v>
      </c>
      <c r="E1295" t="s">
        <v>14</v>
      </c>
      <c r="F1295" t="s">
        <v>3685</v>
      </c>
      <c r="H1295">
        <v>2745308</v>
      </c>
      <c r="I1295" t="s">
        <v>62</v>
      </c>
      <c r="M1295" t="s">
        <v>3686</v>
      </c>
    </row>
    <row r="1296" spans="1:13" x14ac:dyDescent="0.35">
      <c r="A1296" t="s">
        <v>13</v>
      </c>
      <c r="B1296">
        <v>1365842</v>
      </c>
      <c r="C1296">
        <v>1365913</v>
      </c>
      <c r="E1296" t="s">
        <v>14</v>
      </c>
      <c r="F1296" t="s">
        <v>3683</v>
      </c>
      <c r="H1296">
        <v>2745376</v>
      </c>
      <c r="I1296" t="s">
        <v>62</v>
      </c>
      <c r="M1296" t="s">
        <v>3687</v>
      </c>
    </row>
    <row r="1297" spans="1:13" x14ac:dyDescent="0.35">
      <c r="A1297" t="s">
        <v>13</v>
      </c>
      <c r="B1297">
        <v>1365951</v>
      </c>
      <c r="C1297">
        <v>1366023</v>
      </c>
      <c r="E1297" t="s">
        <v>14</v>
      </c>
      <c r="F1297" t="s">
        <v>3685</v>
      </c>
      <c r="H1297">
        <v>2745307</v>
      </c>
      <c r="I1297" t="s">
        <v>62</v>
      </c>
      <c r="M1297" t="s">
        <v>3688</v>
      </c>
    </row>
    <row r="1298" spans="1:13" x14ac:dyDescent="0.35">
      <c r="A1298" t="s">
        <v>13</v>
      </c>
      <c r="B1298">
        <v>1367167</v>
      </c>
      <c r="C1298">
        <v>1367289</v>
      </c>
      <c r="E1298" t="s">
        <v>14</v>
      </c>
      <c r="F1298" t="s">
        <v>49</v>
      </c>
      <c r="H1298">
        <v>92792324</v>
      </c>
      <c r="I1298" t="s">
        <v>17</v>
      </c>
      <c r="K1298" t="s">
        <v>3689</v>
      </c>
      <c r="L1298">
        <v>40</v>
      </c>
      <c r="M1298" t="s">
        <v>3690</v>
      </c>
    </row>
    <row r="1299" spans="1:13" x14ac:dyDescent="0.35">
      <c r="A1299" t="s">
        <v>13</v>
      </c>
      <c r="B1299">
        <v>1367573</v>
      </c>
      <c r="C1299">
        <v>1367645</v>
      </c>
      <c r="E1299" t="s">
        <v>14</v>
      </c>
      <c r="F1299" t="s">
        <v>3685</v>
      </c>
      <c r="H1299">
        <v>2745306</v>
      </c>
      <c r="I1299" t="s">
        <v>62</v>
      </c>
      <c r="M1299" t="s">
        <v>3691</v>
      </c>
    </row>
    <row r="1300" spans="1:13" x14ac:dyDescent="0.35">
      <c r="A1300" t="s">
        <v>13</v>
      </c>
      <c r="B1300">
        <v>1367885</v>
      </c>
      <c r="C1300">
        <v>1368070</v>
      </c>
      <c r="E1300" t="s">
        <v>38</v>
      </c>
      <c r="F1300" t="s">
        <v>1315</v>
      </c>
      <c r="H1300">
        <v>92792330</v>
      </c>
      <c r="I1300" t="s">
        <v>17</v>
      </c>
      <c r="K1300" t="s">
        <v>3692</v>
      </c>
      <c r="L1300">
        <v>61</v>
      </c>
      <c r="M1300" t="s">
        <v>3693</v>
      </c>
    </row>
    <row r="1301" spans="1:13" x14ac:dyDescent="0.35">
      <c r="A1301" t="s">
        <v>13</v>
      </c>
      <c r="B1301">
        <v>1368400</v>
      </c>
      <c r="C1301">
        <v>1369554</v>
      </c>
      <c r="E1301" t="s">
        <v>14</v>
      </c>
      <c r="F1301" t="s">
        <v>3694</v>
      </c>
      <c r="H1301">
        <v>1019281</v>
      </c>
      <c r="I1301" t="s">
        <v>17</v>
      </c>
      <c r="K1301" t="s">
        <v>3695</v>
      </c>
      <c r="L1301">
        <v>384</v>
      </c>
      <c r="M1301" t="s">
        <v>3696</v>
      </c>
    </row>
    <row r="1302" spans="1:13" x14ac:dyDescent="0.35">
      <c r="A1302" t="s">
        <v>13</v>
      </c>
      <c r="B1302">
        <v>1369551</v>
      </c>
      <c r="C1302">
        <v>1369877</v>
      </c>
      <c r="E1302" t="s">
        <v>14</v>
      </c>
      <c r="F1302" t="s">
        <v>49</v>
      </c>
      <c r="H1302">
        <v>1019282</v>
      </c>
      <c r="I1302" t="s">
        <v>17</v>
      </c>
      <c r="K1302" t="s">
        <v>3697</v>
      </c>
      <c r="L1302">
        <v>108</v>
      </c>
      <c r="M1302" t="s">
        <v>3698</v>
      </c>
    </row>
    <row r="1303" spans="1:13" x14ac:dyDescent="0.35">
      <c r="A1303" t="s">
        <v>13</v>
      </c>
      <c r="B1303">
        <v>1369874</v>
      </c>
      <c r="C1303">
        <v>1371637</v>
      </c>
      <c r="E1303" t="s">
        <v>38</v>
      </c>
      <c r="F1303" t="s">
        <v>3699</v>
      </c>
      <c r="G1303" t="s">
        <v>3700</v>
      </c>
      <c r="H1303">
        <v>1019283</v>
      </c>
      <c r="I1303" t="s">
        <v>17</v>
      </c>
      <c r="K1303" t="s">
        <v>3701</v>
      </c>
      <c r="L1303">
        <v>587</v>
      </c>
      <c r="M1303" t="s">
        <v>3702</v>
      </c>
    </row>
    <row r="1304" spans="1:13" x14ac:dyDescent="0.35">
      <c r="A1304" t="s">
        <v>13</v>
      </c>
      <c r="B1304">
        <v>1371976</v>
      </c>
      <c r="C1304">
        <v>1372326</v>
      </c>
      <c r="E1304" t="s">
        <v>38</v>
      </c>
      <c r="F1304" t="s">
        <v>3703</v>
      </c>
      <c r="H1304">
        <v>44144956</v>
      </c>
      <c r="I1304" t="s">
        <v>17</v>
      </c>
      <c r="K1304" t="s">
        <v>3704</v>
      </c>
      <c r="L1304">
        <v>116</v>
      </c>
      <c r="M1304" t="s">
        <v>3705</v>
      </c>
    </row>
    <row r="1305" spans="1:13" x14ac:dyDescent="0.35">
      <c r="A1305" t="s">
        <v>13</v>
      </c>
      <c r="B1305">
        <v>1372673</v>
      </c>
      <c r="C1305">
        <v>1373134</v>
      </c>
      <c r="E1305" t="s">
        <v>14</v>
      </c>
      <c r="F1305" t="s">
        <v>49</v>
      </c>
      <c r="H1305">
        <v>1019284</v>
      </c>
      <c r="I1305" t="s">
        <v>17</v>
      </c>
      <c r="K1305" t="s">
        <v>3706</v>
      </c>
      <c r="L1305">
        <v>153</v>
      </c>
      <c r="M1305" t="s">
        <v>3707</v>
      </c>
    </row>
    <row r="1306" spans="1:13" x14ac:dyDescent="0.35">
      <c r="A1306" t="s">
        <v>13</v>
      </c>
      <c r="B1306">
        <v>1373347</v>
      </c>
      <c r="C1306">
        <v>1375734</v>
      </c>
      <c r="E1306" t="s">
        <v>38</v>
      </c>
      <c r="F1306" t="s">
        <v>3708</v>
      </c>
      <c r="G1306" t="s">
        <v>3709</v>
      </c>
      <c r="H1306">
        <v>1019285</v>
      </c>
      <c r="I1306" t="s">
        <v>17</v>
      </c>
      <c r="K1306" t="s">
        <v>3710</v>
      </c>
      <c r="L1306">
        <v>795</v>
      </c>
      <c r="M1306" t="s">
        <v>3711</v>
      </c>
    </row>
    <row r="1307" spans="1:13" x14ac:dyDescent="0.35">
      <c r="A1307" t="s">
        <v>13</v>
      </c>
      <c r="B1307">
        <v>1376146</v>
      </c>
      <c r="C1307">
        <v>1377555</v>
      </c>
      <c r="E1307" t="s">
        <v>38</v>
      </c>
      <c r="F1307" t="s">
        <v>191</v>
      </c>
      <c r="H1307">
        <v>1019287</v>
      </c>
      <c r="I1307" t="s">
        <v>17</v>
      </c>
      <c r="K1307" t="s">
        <v>3712</v>
      </c>
      <c r="L1307">
        <v>469</v>
      </c>
      <c r="M1307" t="s">
        <v>3713</v>
      </c>
    </row>
    <row r="1308" spans="1:13" x14ac:dyDescent="0.35">
      <c r="A1308" t="s">
        <v>13</v>
      </c>
      <c r="B1308">
        <v>1377663</v>
      </c>
      <c r="C1308">
        <v>1378367</v>
      </c>
      <c r="E1308" t="s">
        <v>38</v>
      </c>
      <c r="F1308" t="s">
        <v>194</v>
      </c>
      <c r="H1308">
        <v>1019288</v>
      </c>
      <c r="I1308" t="s">
        <v>17</v>
      </c>
      <c r="K1308" t="s">
        <v>3714</v>
      </c>
      <c r="L1308">
        <v>234</v>
      </c>
      <c r="M1308" t="s">
        <v>3715</v>
      </c>
    </row>
    <row r="1309" spans="1:13" x14ac:dyDescent="0.35">
      <c r="A1309" t="s">
        <v>13</v>
      </c>
      <c r="B1309">
        <v>1378463</v>
      </c>
      <c r="C1309">
        <v>1378942</v>
      </c>
      <c r="E1309" t="s">
        <v>38</v>
      </c>
      <c r="F1309" t="s">
        <v>49</v>
      </c>
      <c r="H1309">
        <v>1019289</v>
      </c>
      <c r="I1309" t="s">
        <v>17</v>
      </c>
      <c r="K1309" t="s">
        <v>3716</v>
      </c>
      <c r="L1309">
        <v>159</v>
      </c>
      <c r="M1309" t="s">
        <v>3717</v>
      </c>
    </row>
    <row r="1310" spans="1:13" x14ac:dyDescent="0.35">
      <c r="A1310" t="s">
        <v>13</v>
      </c>
      <c r="B1310">
        <v>1379003</v>
      </c>
      <c r="C1310">
        <v>1379569</v>
      </c>
      <c r="E1310" t="s">
        <v>14</v>
      </c>
      <c r="F1310" t="s">
        <v>1599</v>
      </c>
      <c r="H1310">
        <v>1019290</v>
      </c>
      <c r="I1310" t="s">
        <v>17</v>
      </c>
      <c r="K1310" t="s">
        <v>3718</v>
      </c>
      <c r="L1310">
        <v>188</v>
      </c>
      <c r="M1310" t="s">
        <v>3719</v>
      </c>
    </row>
    <row r="1311" spans="1:13" x14ac:dyDescent="0.35">
      <c r="A1311" t="s">
        <v>13</v>
      </c>
      <c r="B1311">
        <v>1379552</v>
      </c>
      <c r="C1311">
        <v>1380259</v>
      </c>
      <c r="E1311" t="s">
        <v>38</v>
      </c>
      <c r="F1311" t="s">
        <v>1618</v>
      </c>
      <c r="H1311">
        <v>1019291</v>
      </c>
      <c r="I1311" t="s">
        <v>17</v>
      </c>
      <c r="K1311" t="s">
        <v>3720</v>
      </c>
      <c r="L1311">
        <v>235</v>
      </c>
      <c r="M1311" t="s">
        <v>3721</v>
      </c>
    </row>
    <row r="1312" spans="1:13" x14ac:dyDescent="0.35">
      <c r="A1312" t="s">
        <v>13</v>
      </c>
      <c r="B1312">
        <v>1380440</v>
      </c>
      <c r="C1312">
        <v>1381885</v>
      </c>
      <c r="E1312" t="s">
        <v>14</v>
      </c>
      <c r="F1312" t="s">
        <v>3722</v>
      </c>
      <c r="G1312" t="s">
        <v>3723</v>
      </c>
      <c r="H1312">
        <v>1019292</v>
      </c>
      <c r="I1312" t="s">
        <v>17</v>
      </c>
      <c r="K1312" t="s">
        <v>3724</v>
      </c>
      <c r="L1312">
        <v>481</v>
      </c>
      <c r="M1312" t="s">
        <v>3725</v>
      </c>
    </row>
    <row r="1313" spans="1:13" x14ac:dyDescent="0.35">
      <c r="A1313" t="s">
        <v>13</v>
      </c>
      <c r="B1313">
        <v>1381902</v>
      </c>
      <c r="C1313">
        <v>1382495</v>
      </c>
      <c r="E1313" t="s">
        <v>14</v>
      </c>
      <c r="F1313" t="s">
        <v>3726</v>
      </c>
      <c r="G1313" t="s">
        <v>3727</v>
      </c>
      <c r="H1313">
        <v>1019293</v>
      </c>
      <c r="I1313" t="s">
        <v>17</v>
      </c>
      <c r="K1313" t="s">
        <v>3728</v>
      </c>
      <c r="L1313">
        <v>197</v>
      </c>
      <c r="M1313" t="s">
        <v>3729</v>
      </c>
    </row>
    <row r="1314" spans="1:13" x14ac:dyDescent="0.35">
      <c r="A1314" t="s">
        <v>13</v>
      </c>
      <c r="B1314">
        <v>1382842</v>
      </c>
      <c r="C1314">
        <v>1383852</v>
      </c>
      <c r="E1314" t="s">
        <v>38</v>
      </c>
      <c r="F1314" t="s">
        <v>898</v>
      </c>
      <c r="H1314">
        <v>1019294</v>
      </c>
      <c r="I1314" t="s">
        <v>17</v>
      </c>
      <c r="K1314" t="s">
        <v>3730</v>
      </c>
      <c r="L1314">
        <v>336</v>
      </c>
      <c r="M1314" t="s">
        <v>3731</v>
      </c>
    </row>
    <row r="1315" spans="1:13" x14ac:dyDescent="0.35">
      <c r="A1315" t="s">
        <v>13</v>
      </c>
      <c r="B1315">
        <v>1384130</v>
      </c>
      <c r="C1315">
        <v>1385128</v>
      </c>
      <c r="E1315" t="s">
        <v>14</v>
      </c>
      <c r="F1315" t="s">
        <v>3732</v>
      </c>
      <c r="H1315">
        <v>1019296</v>
      </c>
      <c r="I1315" t="s">
        <v>17</v>
      </c>
      <c r="K1315" t="s">
        <v>3733</v>
      </c>
      <c r="L1315">
        <v>332</v>
      </c>
      <c r="M1315" t="s">
        <v>3734</v>
      </c>
    </row>
    <row r="1316" spans="1:13" x14ac:dyDescent="0.35">
      <c r="A1316" t="s">
        <v>13</v>
      </c>
      <c r="B1316">
        <v>1385153</v>
      </c>
      <c r="C1316">
        <v>1386235</v>
      </c>
      <c r="E1316" t="s">
        <v>14</v>
      </c>
      <c r="F1316" t="s">
        <v>3735</v>
      </c>
      <c r="H1316">
        <v>1019297</v>
      </c>
      <c r="I1316" t="s">
        <v>17</v>
      </c>
      <c r="K1316" t="s">
        <v>3736</v>
      </c>
      <c r="L1316">
        <v>360</v>
      </c>
      <c r="M1316" t="s">
        <v>3737</v>
      </c>
    </row>
    <row r="1317" spans="1:13" x14ac:dyDescent="0.35">
      <c r="A1317" t="s">
        <v>13</v>
      </c>
      <c r="B1317">
        <v>1386290</v>
      </c>
      <c r="C1317">
        <v>1387270</v>
      </c>
      <c r="E1317" t="s">
        <v>38</v>
      </c>
      <c r="F1317" t="s">
        <v>3738</v>
      </c>
      <c r="H1317">
        <v>1019298</v>
      </c>
      <c r="I1317" t="s">
        <v>17</v>
      </c>
      <c r="K1317" t="s">
        <v>3739</v>
      </c>
      <c r="L1317">
        <v>326</v>
      </c>
      <c r="M1317" t="s">
        <v>3740</v>
      </c>
    </row>
    <row r="1318" spans="1:13" x14ac:dyDescent="0.35">
      <c r="A1318" t="s">
        <v>13</v>
      </c>
      <c r="B1318">
        <v>1387338</v>
      </c>
      <c r="C1318">
        <v>1388327</v>
      </c>
      <c r="E1318" t="s">
        <v>14</v>
      </c>
      <c r="F1318" t="s">
        <v>3741</v>
      </c>
      <c r="H1318">
        <v>1019299</v>
      </c>
      <c r="I1318" t="s">
        <v>17</v>
      </c>
      <c r="K1318" t="s">
        <v>3742</v>
      </c>
      <c r="L1318">
        <v>329</v>
      </c>
      <c r="M1318" t="s">
        <v>3743</v>
      </c>
    </row>
    <row r="1319" spans="1:13" x14ac:dyDescent="0.35">
      <c r="A1319" t="s">
        <v>13</v>
      </c>
      <c r="B1319">
        <v>1388327</v>
      </c>
      <c r="C1319">
        <v>1389076</v>
      </c>
      <c r="E1319" t="s">
        <v>14</v>
      </c>
      <c r="F1319" t="s">
        <v>3744</v>
      </c>
      <c r="H1319">
        <v>1019300</v>
      </c>
      <c r="I1319" t="s">
        <v>17</v>
      </c>
      <c r="K1319" t="s">
        <v>3745</v>
      </c>
      <c r="L1319">
        <v>249</v>
      </c>
      <c r="M1319" t="s">
        <v>3746</v>
      </c>
    </row>
    <row r="1320" spans="1:13" x14ac:dyDescent="0.35">
      <c r="A1320" t="s">
        <v>13</v>
      </c>
      <c r="B1320">
        <v>1389088</v>
      </c>
      <c r="C1320">
        <v>1390791</v>
      </c>
      <c r="E1320" t="s">
        <v>14</v>
      </c>
      <c r="F1320" t="s">
        <v>3747</v>
      </c>
      <c r="H1320">
        <v>1019301</v>
      </c>
      <c r="I1320" t="s">
        <v>17</v>
      </c>
      <c r="K1320" t="s">
        <v>3748</v>
      </c>
      <c r="L1320">
        <v>567</v>
      </c>
      <c r="M1320" t="s">
        <v>3749</v>
      </c>
    </row>
    <row r="1321" spans="1:13" x14ac:dyDescent="0.35">
      <c r="A1321" t="s">
        <v>13</v>
      </c>
      <c r="B1321">
        <v>1390796</v>
      </c>
      <c r="C1321">
        <v>1392919</v>
      </c>
      <c r="E1321" t="s">
        <v>14</v>
      </c>
      <c r="F1321" t="s">
        <v>3750</v>
      </c>
      <c r="H1321">
        <v>1019302</v>
      </c>
      <c r="I1321" t="s">
        <v>17</v>
      </c>
      <c r="K1321" t="s">
        <v>3751</v>
      </c>
      <c r="L1321">
        <v>707</v>
      </c>
      <c r="M1321" t="s">
        <v>3752</v>
      </c>
    </row>
    <row r="1322" spans="1:13" x14ac:dyDescent="0.35">
      <c r="A1322" t="s">
        <v>13</v>
      </c>
      <c r="B1322">
        <v>1392939</v>
      </c>
      <c r="C1322">
        <v>1393154</v>
      </c>
      <c r="E1322" t="s">
        <v>14</v>
      </c>
      <c r="F1322" t="s">
        <v>3753</v>
      </c>
      <c r="H1322">
        <v>1019303</v>
      </c>
      <c r="I1322" t="s">
        <v>17</v>
      </c>
      <c r="K1322" t="s">
        <v>3754</v>
      </c>
      <c r="L1322">
        <v>71</v>
      </c>
      <c r="M1322" t="s">
        <v>3755</v>
      </c>
    </row>
    <row r="1323" spans="1:13" x14ac:dyDescent="0.35">
      <c r="A1323" t="s">
        <v>13</v>
      </c>
      <c r="B1323">
        <v>1393154</v>
      </c>
      <c r="C1323">
        <v>1393738</v>
      </c>
      <c r="E1323" t="s">
        <v>14</v>
      </c>
      <c r="F1323" t="s">
        <v>3756</v>
      </c>
      <c r="G1323" t="s">
        <v>3757</v>
      </c>
      <c r="H1323">
        <v>1019304</v>
      </c>
      <c r="I1323" t="s">
        <v>17</v>
      </c>
      <c r="K1323" t="s">
        <v>3758</v>
      </c>
      <c r="L1323">
        <v>194</v>
      </c>
      <c r="M1323" t="s">
        <v>3759</v>
      </c>
    </row>
    <row r="1324" spans="1:13" x14ac:dyDescent="0.35">
      <c r="A1324" t="s">
        <v>13</v>
      </c>
      <c r="B1324">
        <v>1393742</v>
      </c>
      <c r="C1324">
        <v>1394224</v>
      </c>
      <c r="E1324" t="s">
        <v>14</v>
      </c>
      <c r="F1324" t="s">
        <v>3760</v>
      </c>
      <c r="G1324" t="s">
        <v>3761</v>
      </c>
      <c r="H1324">
        <v>1019305</v>
      </c>
      <c r="I1324" t="s">
        <v>17</v>
      </c>
      <c r="K1324" t="s">
        <v>3762</v>
      </c>
      <c r="L1324">
        <v>160</v>
      </c>
      <c r="M1324" t="s">
        <v>3763</v>
      </c>
    </row>
    <row r="1325" spans="1:13" x14ac:dyDescent="0.35">
      <c r="A1325" t="s">
        <v>13</v>
      </c>
      <c r="B1325">
        <v>1394297</v>
      </c>
      <c r="C1325">
        <v>1394536</v>
      </c>
      <c r="E1325" t="s">
        <v>14</v>
      </c>
      <c r="F1325" t="s">
        <v>49</v>
      </c>
      <c r="H1325">
        <v>92792293</v>
      </c>
      <c r="I1325" t="s">
        <v>17</v>
      </c>
      <c r="K1325" t="s">
        <v>3764</v>
      </c>
      <c r="L1325">
        <v>79</v>
      </c>
      <c r="M1325" t="s">
        <v>3765</v>
      </c>
    </row>
    <row r="1326" spans="1:13" x14ac:dyDescent="0.35">
      <c r="A1326" t="s">
        <v>13</v>
      </c>
      <c r="B1326">
        <v>1394797</v>
      </c>
      <c r="C1326">
        <v>1395561</v>
      </c>
      <c r="E1326" t="s">
        <v>38</v>
      </c>
      <c r="F1326" t="s">
        <v>3766</v>
      </c>
      <c r="H1326">
        <v>1019306</v>
      </c>
      <c r="I1326" t="s">
        <v>17</v>
      </c>
      <c r="K1326" t="s">
        <v>3767</v>
      </c>
      <c r="L1326">
        <v>254</v>
      </c>
      <c r="M1326" t="s">
        <v>3768</v>
      </c>
    </row>
    <row r="1327" spans="1:13" x14ac:dyDescent="0.35">
      <c r="A1327" t="s">
        <v>13</v>
      </c>
      <c r="B1327">
        <v>1395565</v>
      </c>
      <c r="C1327">
        <v>1396515</v>
      </c>
      <c r="E1327" t="s">
        <v>38</v>
      </c>
      <c r="F1327" t="s">
        <v>3769</v>
      </c>
      <c r="H1327">
        <v>1019307</v>
      </c>
      <c r="I1327" t="s">
        <v>17</v>
      </c>
      <c r="K1327" t="s">
        <v>3770</v>
      </c>
      <c r="L1327">
        <v>316</v>
      </c>
      <c r="M1327" t="s">
        <v>3771</v>
      </c>
    </row>
    <row r="1328" spans="1:13" x14ac:dyDescent="0.35">
      <c r="A1328" t="s">
        <v>13</v>
      </c>
      <c r="B1328">
        <v>1396558</v>
      </c>
      <c r="C1328">
        <v>1397562</v>
      </c>
      <c r="E1328" t="s">
        <v>38</v>
      </c>
      <c r="F1328" t="s">
        <v>1008</v>
      </c>
      <c r="H1328">
        <v>1019308</v>
      </c>
      <c r="I1328" t="s">
        <v>17</v>
      </c>
      <c r="K1328" t="s">
        <v>3772</v>
      </c>
      <c r="L1328">
        <v>334</v>
      </c>
      <c r="M1328" t="s">
        <v>3773</v>
      </c>
    </row>
    <row r="1329" spans="1:13" x14ac:dyDescent="0.35">
      <c r="A1329" t="s">
        <v>13</v>
      </c>
      <c r="B1329">
        <v>1397662</v>
      </c>
      <c r="C1329">
        <v>1398471</v>
      </c>
      <c r="E1329" t="s">
        <v>14</v>
      </c>
      <c r="F1329" t="s">
        <v>3774</v>
      </c>
      <c r="H1329">
        <v>1019309</v>
      </c>
      <c r="I1329" t="s">
        <v>17</v>
      </c>
      <c r="K1329" t="s">
        <v>3775</v>
      </c>
      <c r="L1329">
        <v>269</v>
      </c>
      <c r="M1329" t="s">
        <v>3776</v>
      </c>
    </row>
    <row r="1330" spans="1:13" x14ac:dyDescent="0.35">
      <c r="A1330" t="s">
        <v>13</v>
      </c>
      <c r="B1330">
        <v>1398554</v>
      </c>
      <c r="C1330">
        <v>1399534</v>
      </c>
      <c r="E1330" t="s">
        <v>38</v>
      </c>
      <c r="F1330" t="s">
        <v>3777</v>
      </c>
      <c r="H1330">
        <v>1019310</v>
      </c>
      <c r="I1330" t="s">
        <v>17</v>
      </c>
      <c r="K1330" t="s">
        <v>3778</v>
      </c>
      <c r="L1330">
        <v>326</v>
      </c>
      <c r="M1330" t="s">
        <v>3779</v>
      </c>
    </row>
    <row r="1331" spans="1:13" x14ac:dyDescent="0.35">
      <c r="A1331" t="s">
        <v>13</v>
      </c>
      <c r="B1331">
        <v>1400182</v>
      </c>
      <c r="C1331">
        <v>1400871</v>
      </c>
      <c r="E1331" t="s">
        <v>38</v>
      </c>
      <c r="F1331" t="s">
        <v>3780</v>
      </c>
      <c r="H1331">
        <v>1019311</v>
      </c>
      <c r="I1331" t="s">
        <v>17</v>
      </c>
      <c r="K1331" t="s">
        <v>3781</v>
      </c>
      <c r="L1331">
        <v>229</v>
      </c>
      <c r="M1331" t="s">
        <v>3782</v>
      </c>
    </row>
    <row r="1332" spans="1:13" x14ac:dyDescent="0.35">
      <c r="A1332" t="s">
        <v>13</v>
      </c>
      <c r="B1332">
        <v>1401333</v>
      </c>
      <c r="C1332">
        <v>1402079</v>
      </c>
      <c r="E1332" t="s">
        <v>14</v>
      </c>
      <c r="F1332" t="s">
        <v>49</v>
      </c>
      <c r="H1332">
        <v>1019313</v>
      </c>
      <c r="I1332" t="s">
        <v>17</v>
      </c>
      <c r="K1332" t="s">
        <v>3783</v>
      </c>
      <c r="L1332">
        <v>248</v>
      </c>
      <c r="M1332" t="s">
        <v>3784</v>
      </c>
    </row>
    <row r="1333" spans="1:13" x14ac:dyDescent="0.35">
      <c r="A1333" t="s">
        <v>13</v>
      </c>
      <c r="B1333">
        <v>1402272</v>
      </c>
      <c r="C1333">
        <v>1402706</v>
      </c>
      <c r="E1333" t="s">
        <v>14</v>
      </c>
      <c r="F1333" t="s">
        <v>3785</v>
      </c>
      <c r="H1333">
        <v>1019314</v>
      </c>
      <c r="I1333" t="s">
        <v>17</v>
      </c>
      <c r="K1333" t="s">
        <v>3786</v>
      </c>
      <c r="L1333">
        <v>144</v>
      </c>
      <c r="M1333" t="s">
        <v>3787</v>
      </c>
    </row>
    <row r="1334" spans="1:13" x14ac:dyDescent="0.35">
      <c r="A1334" t="s">
        <v>13</v>
      </c>
      <c r="B1334">
        <v>1403128</v>
      </c>
      <c r="C1334">
        <v>1403994</v>
      </c>
      <c r="E1334" t="s">
        <v>14</v>
      </c>
      <c r="F1334" t="s">
        <v>3788</v>
      </c>
      <c r="H1334">
        <v>1019315</v>
      </c>
      <c r="I1334" t="s">
        <v>17</v>
      </c>
      <c r="K1334" t="s">
        <v>3789</v>
      </c>
      <c r="L1334">
        <v>288</v>
      </c>
      <c r="M1334" t="s">
        <v>3790</v>
      </c>
    </row>
    <row r="1335" spans="1:13" x14ac:dyDescent="0.35">
      <c r="A1335" t="s">
        <v>13</v>
      </c>
      <c r="B1335">
        <v>1403997</v>
      </c>
      <c r="C1335">
        <v>1404218</v>
      </c>
      <c r="E1335" t="s">
        <v>14</v>
      </c>
      <c r="F1335" t="s">
        <v>3791</v>
      </c>
      <c r="H1335">
        <v>1019316</v>
      </c>
      <c r="I1335" t="s">
        <v>17</v>
      </c>
      <c r="K1335" t="s">
        <v>3792</v>
      </c>
      <c r="L1335">
        <v>73</v>
      </c>
      <c r="M1335" t="s">
        <v>3793</v>
      </c>
    </row>
    <row r="1336" spans="1:13" x14ac:dyDescent="0.35">
      <c r="A1336" t="s">
        <v>13</v>
      </c>
      <c r="B1336">
        <v>1405317</v>
      </c>
      <c r="C1336">
        <v>1406123</v>
      </c>
      <c r="E1336" t="s">
        <v>38</v>
      </c>
      <c r="F1336" t="s">
        <v>3794</v>
      </c>
      <c r="H1336">
        <v>92792294</v>
      </c>
      <c r="I1336" t="s">
        <v>17</v>
      </c>
      <c r="K1336" t="s">
        <v>3795</v>
      </c>
      <c r="L1336">
        <v>268</v>
      </c>
      <c r="M1336" t="s">
        <v>3796</v>
      </c>
    </row>
    <row r="1337" spans="1:13" x14ac:dyDescent="0.35">
      <c r="A1337" t="s">
        <v>13</v>
      </c>
      <c r="B1337">
        <v>1406864</v>
      </c>
      <c r="C1337">
        <v>1407115</v>
      </c>
      <c r="E1337" t="s">
        <v>38</v>
      </c>
      <c r="F1337" t="s">
        <v>141</v>
      </c>
      <c r="H1337">
        <v>44144960</v>
      </c>
      <c r="I1337" t="s">
        <v>142</v>
      </c>
      <c r="M1337" t="s">
        <v>3797</v>
      </c>
    </row>
    <row r="1338" spans="1:13" x14ac:dyDescent="0.35">
      <c r="A1338" t="s">
        <v>13</v>
      </c>
      <c r="B1338">
        <v>1407164</v>
      </c>
      <c r="C1338">
        <v>1407535</v>
      </c>
      <c r="E1338" t="s">
        <v>38</v>
      </c>
      <c r="F1338" t="s">
        <v>49</v>
      </c>
      <c r="H1338">
        <v>1019320</v>
      </c>
      <c r="I1338" t="s">
        <v>17</v>
      </c>
      <c r="K1338" t="s">
        <v>3798</v>
      </c>
      <c r="L1338">
        <v>123</v>
      </c>
      <c r="M1338" t="s">
        <v>3799</v>
      </c>
    </row>
    <row r="1339" spans="1:13" x14ac:dyDescent="0.35">
      <c r="A1339" t="s">
        <v>13</v>
      </c>
      <c r="B1339">
        <v>1407556</v>
      </c>
      <c r="C1339">
        <v>1407861</v>
      </c>
      <c r="E1339" t="s">
        <v>38</v>
      </c>
      <c r="F1339" t="s">
        <v>49</v>
      </c>
      <c r="H1339">
        <v>92792275</v>
      </c>
      <c r="I1339" t="s">
        <v>17</v>
      </c>
      <c r="K1339" t="s">
        <v>3800</v>
      </c>
      <c r="L1339">
        <v>101</v>
      </c>
      <c r="M1339" t="s">
        <v>3801</v>
      </c>
    </row>
    <row r="1340" spans="1:13" x14ac:dyDescent="0.35">
      <c r="A1340" t="s">
        <v>13</v>
      </c>
      <c r="B1340">
        <v>1409425</v>
      </c>
      <c r="C1340">
        <v>1409802</v>
      </c>
      <c r="E1340" t="s">
        <v>38</v>
      </c>
      <c r="F1340" t="s">
        <v>49</v>
      </c>
      <c r="H1340">
        <v>1019323</v>
      </c>
      <c r="I1340" t="s">
        <v>17</v>
      </c>
      <c r="K1340" t="s">
        <v>3802</v>
      </c>
      <c r="L1340">
        <v>125</v>
      </c>
      <c r="M1340" t="s">
        <v>3803</v>
      </c>
    </row>
    <row r="1341" spans="1:13" x14ac:dyDescent="0.35">
      <c r="A1341" t="s">
        <v>13</v>
      </c>
      <c r="B1341">
        <v>1410061</v>
      </c>
      <c r="C1341">
        <v>1410963</v>
      </c>
      <c r="E1341" t="s">
        <v>38</v>
      </c>
      <c r="F1341" t="s">
        <v>3804</v>
      </c>
      <c r="H1341">
        <v>1019324</v>
      </c>
      <c r="I1341" t="s">
        <v>17</v>
      </c>
      <c r="K1341" t="s">
        <v>3805</v>
      </c>
      <c r="L1341">
        <v>300</v>
      </c>
      <c r="M1341" t="s">
        <v>3806</v>
      </c>
    </row>
    <row r="1342" spans="1:13" x14ac:dyDescent="0.35">
      <c r="A1342" t="s">
        <v>13</v>
      </c>
      <c r="B1342">
        <v>1411116</v>
      </c>
      <c r="C1342">
        <v>1411424</v>
      </c>
      <c r="E1342" t="s">
        <v>38</v>
      </c>
      <c r="F1342" t="s">
        <v>49</v>
      </c>
      <c r="H1342">
        <v>1019325</v>
      </c>
      <c r="I1342" t="s">
        <v>17</v>
      </c>
      <c r="K1342" t="s">
        <v>3807</v>
      </c>
      <c r="L1342">
        <v>102</v>
      </c>
      <c r="M1342" t="s">
        <v>3808</v>
      </c>
    </row>
    <row r="1343" spans="1:13" x14ac:dyDescent="0.35">
      <c r="A1343" t="s">
        <v>13</v>
      </c>
      <c r="B1343">
        <v>1411434</v>
      </c>
      <c r="C1343">
        <v>1412000</v>
      </c>
      <c r="E1343" t="s">
        <v>38</v>
      </c>
      <c r="F1343" t="s">
        <v>49</v>
      </c>
      <c r="H1343">
        <v>1019326</v>
      </c>
      <c r="I1343" t="s">
        <v>17</v>
      </c>
      <c r="K1343" t="s">
        <v>3809</v>
      </c>
      <c r="L1343">
        <v>188</v>
      </c>
      <c r="M1343" t="s">
        <v>3810</v>
      </c>
    </row>
    <row r="1344" spans="1:13" x14ac:dyDescent="0.35">
      <c r="A1344" t="s">
        <v>13</v>
      </c>
      <c r="B1344">
        <v>1412360</v>
      </c>
      <c r="C1344">
        <v>1412575</v>
      </c>
      <c r="E1344" t="s">
        <v>14</v>
      </c>
      <c r="F1344" t="s">
        <v>49</v>
      </c>
      <c r="H1344">
        <v>44144962</v>
      </c>
      <c r="I1344" t="s">
        <v>17</v>
      </c>
      <c r="K1344" t="s">
        <v>3811</v>
      </c>
      <c r="L1344">
        <v>71</v>
      </c>
      <c r="M1344" t="s">
        <v>3812</v>
      </c>
    </row>
    <row r="1345" spans="1:13" x14ac:dyDescent="0.35">
      <c r="A1345" t="s">
        <v>13</v>
      </c>
      <c r="B1345">
        <v>1412623</v>
      </c>
      <c r="C1345">
        <v>1412883</v>
      </c>
      <c r="E1345" t="s">
        <v>38</v>
      </c>
      <c r="F1345" t="s">
        <v>49</v>
      </c>
      <c r="H1345">
        <v>1019328</v>
      </c>
      <c r="I1345" t="s">
        <v>17</v>
      </c>
      <c r="K1345" t="s">
        <v>3813</v>
      </c>
      <c r="L1345">
        <v>86</v>
      </c>
      <c r="M1345" t="s">
        <v>3814</v>
      </c>
    </row>
    <row r="1346" spans="1:13" x14ac:dyDescent="0.35">
      <c r="A1346" t="s">
        <v>13</v>
      </c>
      <c r="B1346">
        <v>1413565</v>
      </c>
      <c r="C1346">
        <v>1413641</v>
      </c>
      <c r="E1346" t="s">
        <v>38</v>
      </c>
      <c r="F1346" t="s">
        <v>179</v>
      </c>
      <c r="H1346">
        <v>2745362</v>
      </c>
      <c r="I1346" t="s">
        <v>62</v>
      </c>
      <c r="M1346" t="s">
        <v>3815</v>
      </c>
    </row>
    <row r="1347" spans="1:13" x14ac:dyDescent="0.35">
      <c r="A1347" t="s">
        <v>13</v>
      </c>
      <c r="B1347">
        <v>1413820</v>
      </c>
      <c r="C1347">
        <v>1416462</v>
      </c>
      <c r="E1347" t="s">
        <v>14</v>
      </c>
      <c r="F1347" t="s">
        <v>3816</v>
      </c>
      <c r="G1347" t="s">
        <v>3817</v>
      </c>
      <c r="H1347">
        <v>1019329</v>
      </c>
      <c r="I1347" t="s">
        <v>17</v>
      </c>
      <c r="K1347" t="s">
        <v>3818</v>
      </c>
      <c r="L1347">
        <v>880</v>
      </c>
      <c r="M1347" t="s">
        <v>3819</v>
      </c>
    </row>
    <row r="1348" spans="1:13" x14ac:dyDescent="0.35">
      <c r="A1348" t="s">
        <v>13</v>
      </c>
      <c r="B1348">
        <v>1416459</v>
      </c>
      <c r="C1348">
        <v>1417859</v>
      </c>
      <c r="E1348" t="s">
        <v>38</v>
      </c>
      <c r="F1348" t="s">
        <v>265</v>
      </c>
      <c r="H1348">
        <v>1019330</v>
      </c>
      <c r="I1348" t="s">
        <v>17</v>
      </c>
      <c r="K1348" t="s">
        <v>3820</v>
      </c>
      <c r="L1348">
        <v>466</v>
      </c>
      <c r="M1348" t="s">
        <v>3821</v>
      </c>
    </row>
    <row r="1349" spans="1:13" x14ac:dyDescent="0.35">
      <c r="A1349" t="s">
        <v>13</v>
      </c>
      <c r="B1349">
        <v>1417896</v>
      </c>
      <c r="C1349">
        <v>1418873</v>
      </c>
      <c r="E1349" t="s">
        <v>14</v>
      </c>
      <c r="F1349" t="s">
        <v>3368</v>
      </c>
      <c r="H1349">
        <v>1019331</v>
      </c>
      <c r="I1349" t="s">
        <v>17</v>
      </c>
      <c r="K1349" t="s">
        <v>3822</v>
      </c>
      <c r="L1349">
        <v>325</v>
      </c>
      <c r="M1349" t="s">
        <v>3823</v>
      </c>
    </row>
    <row r="1350" spans="1:13" x14ac:dyDescent="0.35">
      <c r="A1350" t="s">
        <v>13</v>
      </c>
      <c r="B1350">
        <v>1418876</v>
      </c>
      <c r="C1350">
        <v>1419751</v>
      </c>
      <c r="E1350" t="s">
        <v>14</v>
      </c>
      <c r="F1350" t="s">
        <v>336</v>
      </c>
      <c r="H1350">
        <v>1019332</v>
      </c>
      <c r="I1350" t="s">
        <v>17</v>
      </c>
      <c r="K1350" t="s">
        <v>3824</v>
      </c>
      <c r="L1350">
        <v>291</v>
      </c>
      <c r="M1350" t="s">
        <v>3825</v>
      </c>
    </row>
    <row r="1351" spans="1:13" x14ac:dyDescent="0.35">
      <c r="A1351" t="s">
        <v>13</v>
      </c>
      <c r="B1351">
        <v>1420068</v>
      </c>
      <c r="C1351">
        <v>1420847</v>
      </c>
      <c r="E1351" t="s">
        <v>38</v>
      </c>
      <c r="F1351" t="s">
        <v>1169</v>
      </c>
      <c r="H1351">
        <v>1019333</v>
      </c>
      <c r="I1351" t="s">
        <v>17</v>
      </c>
      <c r="K1351" t="s">
        <v>3826</v>
      </c>
      <c r="L1351">
        <v>259</v>
      </c>
      <c r="M1351" t="s">
        <v>3827</v>
      </c>
    </row>
    <row r="1352" spans="1:13" x14ac:dyDescent="0.35">
      <c r="A1352" t="s">
        <v>13</v>
      </c>
      <c r="B1352">
        <v>1421099</v>
      </c>
      <c r="C1352">
        <v>1422559</v>
      </c>
      <c r="E1352" t="s">
        <v>14</v>
      </c>
      <c r="F1352" t="s">
        <v>3828</v>
      </c>
      <c r="G1352" t="s">
        <v>3829</v>
      </c>
      <c r="H1352">
        <v>1019334</v>
      </c>
      <c r="I1352" t="s">
        <v>17</v>
      </c>
      <c r="K1352" t="s">
        <v>3830</v>
      </c>
      <c r="L1352">
        <v>486</v>
      </c>
      <c r="M1352" t="s">
        <v>3831</v>
      </c>
    </row>
    <row r="1353" spans="1:13" x14ac:dyDescent="0.35">
      <c r="A1353" t="s">
        <v>13</v>
      </c>
      <c r="B1353">
        <v>1423217</v>
      </c>
      <c r="C1353">
        <v>1425268</v>
      </c>
      <c r="E1353" t="s">
        <v>14</v>
      </c>
      <c r="F1353" t="s">
        <v>3832</v>
      </c>
      <c r="H1353">
        <v>1019335</v>
      </c>
      <c r="I1353" t="s">
        <v>17</v>
      </c>
      <c r="K1353" t="s">
        <v>3833</v>
      </c>
      <c r="L1353">
        <v>683</v>
      </c>
      <c r="M1353" t="s">
        <v>3834</v>
      </c>
    </row>
    <row r="1354" spans="1:13" x14ac:dyDescent="0.35">
      <c r="A1354" t="s">
        <v>13</v>
      </c>
      <c r="B1354">
        <v>1425279</v>
      </c>
      <c r="C1354">
        <v>1425881</v>
      </c>
      <c r="E1354" t="s">
        <v>14</v>
      </c>
      <c r="F1354" t="s">
        <v>3835</v>
      </c>
      <c r="G1354" t="s">
        <v>3836</v>
      </c>
      <c r="H1354">
        <v>1019336</v>
      </c>
      <c r="I1354" t="s">
        <v>17</v>
      </c>
      <c r="K1354" t="s">
        <v>3837</v>
      </c>
      <c r="L1354">
        <v>200</v>
      </c>
      <c r="M1354" t="s">
        <v>3838</v>
      </c>
    </row>
    <row r="1355" spans="1:13" x14ac:dyDescent="0.35">
      <c r="A1355" t="s">
        <v>13</v>
      </c>
      <c r="B1355">
        <v>1426257</v>
      </c>
      <c r="C1355">
        <v>1427357</v>
      </c>
      <c r="E1355" t="s">
        <v>14</v>
      </c>
      <c r="F1355" t="s">
        <v>49</v>
      </c>
      <c r="H1355">
        <v>1019337</v>
      </c>
      <c r="I1355" t="s">
        <v>17</v>
      </c>
      <c r="K1355" t="s">
        <v>3839</v>
      </c>
      <c r="L1355">
        <v>366</v>
      </c>
      <c r="M1355" t="s">
        <v>3840</v>
      </c>
    </row>
    <row r="1356" spans="1:13" x14ac:dyDescent="0.35">
      <c r="A1356" t="s">
        <v>13</v>
      </c>
      <c r="B1356">
        <v>1427373</v>
      </c>
      <c r="C1356">
        <v>1427810</v>
      </c>
      <c r="E1356" t="s">
        <v>38</v>
      </c>
      <c r="F1356" t="s">
        <v>49</v>
      </c>
      <c r="H1356">
        <v>1019338</v>
      </c>
      <c r="I1356" t="s">
        <v>17</v>
      </c>
      <c r="K1356" t="s">
        <v>3841</v>
      </c>
      <c r="L1356">
        <v>145</v>
      </c>
      <c r="M1356" t="s">
        <v>3842</v>
      </c>
    </row>
    <row r="1357" spans="1:13" x14ac:dyDescent="0.35">
      <c r="A1357" t="s">
        <v>13</v>
      </c>
      <c r="B1357">
        <v>1427801</v>
      </c>
      <c r="C1357">
        <v>1428037</v>
      </c>
      <c r="E1357" t="s">
        <v>38</v>
      </c>
      <c r="F1357" t="s">
        <v>49</v>
      </c>
      <c r="H1357">
        <v>44144964</v>
      </c>
      <c r="I1357" t="s">
        <v>17</v>
      </c>
      <c r="K1357" t="s">
        <v>3843</v>
      </c>
      <c r="L1357">
        <v>78</v>
      </c>
      <c r="M1357" t="s">
        <v>3844</v>
      </c>
    </row>
    <row r="1358" spans="1:13" x14ac:dyDescent="0.35">
      <c r="A1358" t="s">
        <v>13</v>
      </c>
      <c r="B1358">
        <v>1428221</v>
      </c>
      <c r="C1358">
        <v>1429159</v>
      </c>
      <c r="E1358" t="s">
        <v>38</v>
      </c>
      <c r="F1358" t="s">
        <v>3845</v>
      </c>
      <c r="H1358">
        <v>1019339</v>
      </c>
      <c r="I1358" t="s">
        <v>17</v>
      </c>
      <c r="K1358" t="s">
        <v>3846</v>
      </c>
      <c r="L1358">
        <v>312</v>
      </c>
      <c r="M1358" t="s">
        <v>3847</v>
      </c>
    </row>
    <row r="1359" spans="1:13" x14ac:dyDescent="0.35">
      <c r="A1359" t="s">
        <v>13</v>
      </c>
      <c r="B1359">
        <v>1429191</v>
      </c>
      <c r="C1359">
        <v>1430642</v>
      </c>
      <c r="E1359" t="s">
        <v>38</v>
      </c>
      <c r="F1359" t="s">
        <v>265</v>
      </c>
      <c r="H1359">
        <v>1019340</v>
      </c>
      <c r="I1359" t="s">
        <v>17</v>
      </c>
      <c r="K1359" t="s">
        <v>3848</v>
      </c>
      <c r="L1359">
        <v>483</v>
      </c>
      <c r="M1359" t="s">
        <v>3849</v>
      </c>
    </row>
    <row r="1360" spans="1:13" x14ac:dyDescent="0.35">
      <c r="A1360" t="s">
        <v>13</v>
      </c>
      <c r="B1360">
        <v>1430656</v>
      </c>
      <c r="C1360">
        <v>1431579</v>
      </c>
      <c r="E1360" t="s">
        <v>38</v>
      </c>
      <c r="F1360" t="s">
        <v>3850</v>
      </c>
      <c r="H1360">
        <v>1019341</v>
      </c>
      <c r="I1360" t="s">
        <v>17</v>
      </c>
      <c r="K1360" t="s">
        <v>3851</v>
      </c>
      <c r="L1360">
        <v>307</v>
      </c>
      <c r="M1360" t="s">
        <v>3852</v>
      </c>
    </row>
    <row r="1361" spans="1:13" x14ac:dyDescent="0.35">
      <c r="A1361" t="s">
        <v>13</v>
      </c>
      <c r="B1361">
        <v>1431572</v>
      </c>
      <c r="C1361">
        <v>1432612</v>
      </c>
      <c r="E1361" t="s">
        <v>38</v>
      </c>
      <c r="F1361" t="s">
        <v>532</v>
      </c>
      <c r="H1361">
        <v>1019342</v>
      </c>
      <c r="I1361" t="s">
        <v>17</v>
      </c>
      <c r="K1361" t="s">
        <v>3853</v>
      </c>
      <c r="L1361">
        <v>346</v>
      </c>
      <c r="M1361" t="s">
        <v>3854</v>
      </c>
    </row>
    <row r="1362" spans="1:13" x14ac:dyDescent="0.35">
      <c r="A1362" t="s">
        <v>13</v>
      </c>
      <c r="B1362">
        <v>1432891</v>
      </c>
      <c r="C1362">
        <v>1433550</v>
      </c>
      <c r="E1362" t="s">
        <v>14</v>
      </c>
      <c r="F1362" t="s">
        <v>49</v>
      </c>
      <c r="H1362">
        <v>1019343</v>
      </c>
      <c r="I1362" t="s">
        <v>17</v>
      </c>
      <c r="K1362" t="s">
        <v>3855</v>
      </c>
      <c r="L1362">
        <v>219</v>
      </c>
      <c r="M1362" t="s">
        <v>3856</v>
      </c>
    </row>
    <row r="1363" spans="1:13" x14ac:dyDescent="0.35">
      <c r="A1363" t="s">
        <v>13</v>
      </c>
      <c r="B1363">
        <v>1433600</v>
      </c>
      <c r="C1363">
        <v>1433932</v>
      </c>
      <c r="E1363" t="s">
        <v>14</v>
      </c>
      <c r="F1363" t="s">
        <v>49</v>
      </c>
      <c r="H1363">
        <v>1019344</v>
      </c>
      <c r="I1363" t="s">
        <v>17</v>
      </c>
      <c r="K1363" t="s">
        <v>3857</v>
      </c>
      <c r="L1363">
        <v>110</v>
      </c>
      <c r="M1363" t="s">
        <v>3858</v>
      </c>
    </row>
    <row r="1364" spans="1:13" x14ac:dyDescent="0.35">
      <c r="A1364" t="s">
        <v>13</v>
      </c>
      <c r="B1364">
        <v>1434105</v>
      </c>
      <c r="C1364">
        <v>1436204</v>
      </c>
      <c r="E1364" t="s">
        <v>14</v>
      </c>
      <c r="F1364" t="s">
        <v>3859</v>
      </c>
      <c r="G1364" t="s">
        <v>3860</v>
      </c>
      <c r="H1364">
        <v>1019345</v>
      </c>
      <c r="I1364" t="s">
        <v>17</v>
      </c>
      <c r="K1364" t="s">
        <v>3861</v>
      </c>
      <c r="L1364">
        <v>699</v>
      </c>
      <c r="M1364" t="s">
        <v>3862</v>
      </c>
    </row>
    <row r="1365" spans="1:13" x14ac:dyDescent="0.35">
      <c r="A1365" t="s">
        <v>13</v>
      </c>
      <c r="B1365">
        <v>1436335</v>
      </c>
      <c r="C1365">
        <v>1436778</v>
      </c>
      <c r="E1365" t="s">
        <v>14</v>
      </c>
      <c r="F1365" t="s">
        <v>3863</v>
      </c>
      <c r="H1365">
        <v>1019346</v>
      </c>
      <c r="I1365" t="s">
        <v>17</v>
      </c>
      <c r="K1365" t="s">
        <v>3864</v>
      </c>
      <c r="L1365">
        <v>147</v>
      </c>
      <c r="M1365" t="s">
        <v>3865</v>
      </c>
    </row>
    <row r="1366" spans="1:13" x14ac:dyDescent="0.35">
      <c r="A1366" t="s">
        <v>13</v>
      </c>
      <c r="B1366">
        <v>1436866</v>
      </c>
      <c r="C1366">
        <v>1437249</v>
      </c>
      <c r="E1366" t="s">
        <v>38</v>
      </c>
      <c r="F1366" t="s">
        <v>3866</v>
      </c>
      <c r="H1366">
        <v>1019347</v>
      </c>
      <c r="I1366" t="s">
        <v>17</v>
      </c>
      <c r="K1366" t="s">
        <v>3867</v>
      </c>
      <c r="L1366">
        <v>127</v>
      </c>
      <c r="M1366" t="s">
        <v>3868</v>
      </c>
    </row>
    <row r="1367" spans="1:13" x14ac:dyDescent="0.35">
      <c r="A1367" t="s">
        <v>13</v>
      </c>
      <c r="B1367">
        <v>1437356</v>
      </c>
      <c r="C1367">
        <v>1438204</v>
      </c>
      <c r="E1367" t="s">
        <v>14</v>
      </c>
      <c r="F1367" t="s">
        <v>1841</v>
      </c>
      <c r="H1367">
        <v>1019348</v>
      </c>
      <c r="I1367" t="s">
        <v>17</v>
      </c>
      <c r="K1367" t="s">
        <v>3869</v>
      </c>
      <c r="L1367">
        <v>282</v>
      </c>
      <c r="M1367" t="s">
        <v>3870</v>
      </c>
    </row>
    <row r="1368" spans="1:13" x14ac:dyDescent="0.35">
      <c r="A1368" t="s">
        <v>13</v>
      </c>
      <c r="B1368">
        <v>1438209</v>
      </c>
      <c r="C1368">
        <v>1440476</v>
      </c>
      <c r="E1368" t="s">
        <v>38</v>
      </c>
      <c r="F1368" t="s">
        <v>3871</v>
      </c>
      <c r="H1368">
        <v>1019349</v>
      </c>
      <c r="I1368" t="s">
        <v>17</v>
      </c>
      <c r="K1368" t="s">
        <v>3872</v>
      </c>
      <c r="L1368">
        <v>755</v>
      </c>
      <c r="M1368" t="s">
        <v>3873</v>
      </c>
    </row>
    <row r="1369" spans="1:13" x14ac:dyDescent="0.35">
      <c r="A1369" t="s">
        <v>13</v>
      </c>
      <c r="B1369">
        <v>1440672</v>
      </c>
      <c r="C1369">
        <v>1441586</v>
      </c>
      <c r="E1369" t="s">
        <v>38</v>
      </c>
      <c r="F1369" t="s">
        <v>1315</v>
      </c>
      <c r="H1369">
        <v>1019350</v>
      </c>
      <c r="I1369" t="s">
        <v>17</v>
      </c>
      <c r="K1369" t="s">
        <v>3874</v>
      </c>
      <c r="L1369">
        <v>304</v>
      </c>
      <c r="M1369" t="s">
        <v>3875</v>
      </c>
    </row>
    <row r="1370" spans="1:13" x14ac:dyDescent="0.35">
      <c r="A1370" t="s">
        <v>13</v>
      </c>
      <c r="B1370">
        <v>1441790</v>
      </c>
      <c r="C1370">
        <v>1442392</v>
      </c>
      <c r="E1370" t="s">
        <v>38</v>
      </c>
      <c r="F1370" t="s">
        <v>191</v>
      </c>
      <c r="H1370">
        <v>1019351</v>
      </c>
      <c r="I1370" t="s">
        <v>17</v>
      </c>
      <c r="K1370" t="s">
        <v>3876</v>
      </c>
      <c r="L1370">
        <v>200</v>
      </c>
      <c r="M1370" t="s">
        <v>3877</v>
      </c>
    </row>
    <row r="1371" spans="1:13" x14ac:dyDescent="0.35">
      <c r="A1371" t="s">
        <v>13</v>
      </c>
      <c r="B1371">
        <v>1442487</v>
      </c>
      <c r="C1371">
        <v>1445336</v>
      </c>
      <c r="E1371" t="s">
        <v>14</v>
      </c>
      <c r="F1371" t="s">
        <v>3878</v>
      </c>
      <c r="G1371" t="s">
        <v>3879</v>
      </c>
      <c r="H1371">
        <v>1019352</v>
      </c>
      <c r="I1371" t="s">
        <v>17</v>
      </c>
      <c r="K1371" t="s">
        <v>3880</v>
      </c>
      <c r="L1371">
        <v>949</v>
      </c>
      <c r="M1371" t="s">
        <v>3881</v>
      </c>
    </row>
    <row r="1372" spans="1:13" x14ac:dyDescent="0.35">
      <c r="A1372" t="s">
        <v>13</v>
      </c>
      <c r="B1372">
        <v>1445320</v>
      </c>
      <c r="C1372">
        <v>1447446</v>
      </c>
      <c r="E1372" t="s">
        <v>38</v>
      </c>
      <c r="F1372" t="s">
        <v>409</v>
      </c>
      <c r="H1372">
        <v>1019353</v>
      </c>
      <c r="I1372" t="s">
        <v>17</v>
      </c>
      <c r="K1372" t="s">
        <v>3882</v>
      </c>
      <c r="L1372">
        <v>708</v>
      </c>
      <c r="M1372" t="s">
        <v>3883</v>
      </c>
    </row>
    <row r="1373" spans="1:13" x14ac:dyDescent="0.35">
      <c r="A1373" t="s">
        <v>13</v>
      </c>
      <c r="B1373">
        <v>1447792</v>
      </c>
      <c r="C1373">
        <v>1448361</v>
      </c>
      <c r="E1373" t="s">
        <v>14</v>
      </c>
      <c r="F1373" t="s">
        <v>3884</v>
      </c>
      <c r="G1373" t="s">
        <v>3885</v>
      </c>
      <c r="H1373">
        <v>1019354</v>
      </c>
      <c r="I1373" t="s">
        <v>17</v>
      </c>
      <c r="K1373" t="s">
        <v>3886</v>
      </c>
      <c r="L1373">
        <v>189</v>
      </c>
      <c r="M1373" t="s">
        <v>3887</v>
      </c>
    </row>
    <row r="1374" spans="1:13" x14ac:dyDescent="0.35">
      <c r="A1374" t="s">
        <v>13</v>
      </c>
      <c r="B1374">
        <v>1448390</v>
      </c>
      <c r="C1374">
        <v>1448584</v>
      </c>
      <c r="E1374" t="s">
        <v>14</v>
      </c>
      <c r="F1374" t="s">
        <v>3888</v>
      </c>
      <c r="G1374" t="s">
        <v>3889</v>
      </c>
      <c r="H1374">
        <v>1019355</v>
      </c>
      <c r="I1374" t="s">
        <v>17</v>
      </c>
      <c r="K1374" t="s">
        <v>3890</v>
      </c>
      <c r="L1374">
        <v>64</v>
      </c>
      <c r="M1374" t="s">
        <v>3891</v>
      </c>
    </row>
    <row r="1375" spans="1:13" x14ac:dyDescent="0.35">
      <c r="A1375" t="s">
        <v>13</v>
      </c>
      <c r="B1375">
        <v>1448645</v>
      </c>
      <c r="C1375">
        <v>1449028</v>
      </c>
      <c r="E1375" t="s">
        <v>14</v>
      </c>
      <c r="F1375" t="s">
        <v>3892</v>
      </c>
      <c r="G1375" t="s">
        <v>3893</v>
      </c>
      <c r="H1375">
        <v>1019356</v>
      </c>
      <c r="I1375" t="s">
        <v>17</v>
      </c>
      <c r="K1375" t="s">
        <v>3894</v>
      </c>
      <c r="L1375">
        <v>127</v>
      </c>
      <c r="M1375" t="s">
        <v>3895</v>
      </c>
    </row>
    <row r="1376" spans="1:13" x14ac:dyDescent="0.35">
      <c r="A1376" t="s">
        <v>13</v>
      </c>
      <c r="B1376">
        <v>1449116</v>
      </c>
      <c r="C1376">
        <v>1449928</v>
      </c>
      <c r="E1376" t="s">
        <v>38</v>
      </c>
      <c r="F1376" t="s">
        <v>3896</v>
      </c>
      <c r="H1376">
        <v>1019357</v>
      </c>
      <c r="I1376" t="s">
        <v>17</v>
      </c>
      <c r="K1376" t="s">
        <v>3897</v>
      </c>
      <c r="L1376">
        <v>270</v>
      </c>
      <c r="M1376" t="s">
        <v>3898</v>
      </c>
    </row>
    <row r="1377" spans="1:13" x14ac:dyDescent="0.35">
      <c r="A1377" t="s">
        <v>13</v>
      </c>
      <c r="B1377">
        <v>1450204</v>
      </c>
      <c r="C1377">
        <v>1450695</v>
      </c>
      <c r="E1377" t="s">
        <v>14</v>
      </c>
      <c r="F1377" t="s">
        <v>3899</v>
      </c>
      <c r="H1377">
        <v>1019358</v>
      </c>
      <c r="I1377" t="s">
        <v>17</v>
      </c>
      <c r="K1377" t="s">
        <v>3900</v>
      </c>
      <c r="L1377">
        <v>163</v>
      </c>
      <c r="M1377" t="s">
        <v>3901</v>
      </c>
    </row>
    <row r="1378" spans="1:13" x14ac:dyDescent="0.35">
      <c r="A1378" t="s">
        <v>13</v>
      </c>
      <c r="B1378">
        <v>1450891</v>
      </c>
      <c r="C1378">
        <v>1451823</v>
      </c>
      <c r="E1378" t="s">
        <v>14</v>
      </c>
      <c r="F1378" t="s">
        <v>2089</v>
      </c>
      <c r="H1378">
        <v>1019359</v>
      </c>
      <c r="I1378" t="s">
        <v>17</v>
      </c>
      <c r="K1378" t="s">
        <v>3902</v>
      </c>
      <c r="L1378">
        <v>310</v>
      </c>
      <c r="M1378" t="s">
        <v>3903</v>
      </c>
    </row>
    <row r="1379" spans="1:13" x14ac:dyDescent="0.35">
      <c r="A1379" t="s">
        <v>13</v>
      </c>
      <c r="B1379">
        <v>1451820</v>
      </c>
      <c r="C1379">
        <v>1452656</v>
      </c>
      <c r="E1379" t="s">
        <v>14</v>
      </c>
      <c r="F1379" t="s">
        <v>2089</v>
      </c>
      <c r="H1379">
        <v>1019360</v>
      </c>
      <c r="I1379" t="s">
        <v>17</v>
      </c>
      <c r="K1379" t="s">
        <v>3904</v>
      </c>
      <c r="L1379">
        <v>278</v>
      </c>
      <c r="M1379" t="s">
        <v>3905</v>
      </c>
    </row>
    <row r="1380" spans="1:13" x14ac:dyDescent="0.35">
      <c r="A1380" t="s">
        <v>13</v>
      </c>
      <c r="B1380">
        <v>1452758</v>
      </c>
      <c r="C1380">
        <v>1454074</v>
      </c>
      <c r="E1380" t="s">
        <v>14</v>
      </c>
      <c r="F1380" t="s">
        <v>1008</v>
      </c>
      <c r="H1380">
        <v>1019361</v>
      </c>
      <c r="I1380" t="s">
        <v>17</v>
      </c>
      <c r="K1380" t="s">
        <v>3906</v>
      </c>
      <c r="L1380">
        <v>438</v>
      </c>
      <c r="M1380" t="s">
        <v>3907</v>
      </c>
    </row>
    <row r="1381" spans="1:13" x14ac:dyDescent="0.35">
      <c r="A1381" t="s">
        <v>13</v>
      </c>
      <c r="B1381">
        <v>1454115</v>
      </c>
      <c r="C1381">
        <v>1455341</v>
      </c>
      <c r="E1381" t="s">
        <v>14</v>
      </c>
      <c r="F1381" t="s">
        <v>147</v>
      </c>
      <c r="H1381">
        <v>1019362</v>
      </c>
      <c r="I1381" t="s">
        <v>17</v>
      </c>
      <c r="K1381" t="s">
        <v>3908</v>
      </c>
      <c r="L1381">
        <v>408</v>
      </c>
      <c r="M1381" t="s">
        <v>3909</v>
      </c>
    </row>
    <row r="1382" spans="1:13" x14ac:dyDescent="0.35">
      <c r="A1382" t="s">
        <v>13</v>
      </c>
      <c r="B1382">
        <v>1455347</v>
      </c>
      <c r="C1382">
        <v>1456054</v>
      </c>
      <c r="E1382" t="s">
        <v>38</v>
      </c>
      <c r="F1382" t="s">
        <v>3910</v>
      </c>
      <c r="H1382">
        <v>1019363</v>
      </c>
      <c r="I1382" t="s">
        <v>17</v>
      </c>
      <c r="K1382" t="s">
        <v>3911</v>
      </c>
      <c r="L1382">
        <v>235</v>
      </c>
      <c r="M1382" t="s">
        <v>3912</v>
      </c>
    </row>
    <row r="1383" spans="1:13" x14ac:dyDescent="0.35">
      <c r="A1383" t="s">
        <v>13</v>
      </c>
      <c r="B1383">
        <v>1456136</v>
      </c>
      <c r="C1383">
        <v>1456951</v>
      </c>
      <c r="E1383" t="s">
        <v>14</v>
      </c>
      <c r="F1383" t="s">
        <v>2387</v>
      </c>
      <c r="H1383">
        <v>1019364</v>
      </c>
      <c r="I1383" t="s">
        <v>17</v>
      </c>
      <c r="K1383" t="s">
        <v>3913</v>
      </c>
      <c r="L1383">
        <v>271</v>
      </c>
      <c r="M1383" t="s">
        <v>3914</v>
      </c>
    </row>
    <row r="1384" spans="1:13" x14ac:dyDescent="0.35">
      <c r="A1384" t="s">
        <v>13</v>
      </c>
      <c r="B1384">
        <v>1457008</v>
      </c>
      <c r="C1384">
        <v>1458069</v>
      </c>
      <c r="E1384" t="s">
        <v>14</v>
      </c>
      <c r="F1384" t="s">
        <v>3915</v>
      </c>
      <c r="G1384" t="s">
        <v>3916</v>
      </c>
      <c r="H1384">
        <v>1019365</v>
      </c>
      <c r="I1384" t="s">
        <v>17</v>
      </c>
      <c r="K1384" t="s">
        <v>3917</v>
      </c>
      <c r="L1384">
        <v>353</v>
      </c>
      <c r="M1384" t="s">
        <v>3918</v>
      </c>
    </row>
    <row r="1385" spans="1:13" x14ac:dyDescent="0.35">
      <c r="A1385" t="s">
        <v>13</v>
      </c>
      <c r="B1385">
        <v>1458112</v>
      </c>
      <c r="C1385">
        <v>1460619</v>
      </c>
      <c r="E1385" t="s">
        <v>14</v>
      </c>
      <c r="F1385" t="s">
        <v>3919</v>
      </c>
      <c r="G1385" t="s">
        <v>3920</v>
      </c>
      <c r="H1385">
        <v>1019366</v>
      </c>
      <c r="I1385" t="s">
        <v>17</v>
      </c>
      <c r="K1385" t="s">
        <v>3921</v>
      </c>
      <c r="L1385">
        <v>835</v>
      </c>
      <c r="M1385" t="s">
        <v>3922</v>
      </c>
    </row>
    <row r="1386" spans="1:13" x14ac:dyDescent="0.35">
      <c r="A1386" t="s">
        <v>13</v>
      </c>
      <c r="B1386">
        <v>1461157</v>
      </c>
      <c r="C1386">
        <v>1462131</v>
      </c>
      <c r="E1386" t="s">
        <v>14</v>
      </c>
      <c r="F1386" t="s">
        <v>1533</v>
      </c>
      <c r="H1386">
        <v>1019367</v>
      </c>
      <c r="I1386" t="s">
        <v>17</v>
      </c>
      <c r="K1386" t="s">
        <v>3923</v>
      </c>
      <c r="L1386">
        <v>324</v>
      </c>
      <c r="M1386" t="s">
        <v>3924</v>
      </c>
    </row>
    <row r="1387" spans="1:13" x14ac:dyDescent="0.35">
      <c r="A1387" t="s">
        <v>13</v>
      </c>
      <c r="B1387">
        <v>1462134</v>
      </c>
      <c r="C1387">
        <v>1463519</v>
      </c>
      <c r="E1387" t="s">
        <v>14</v>
      </c>
      <c r="F1387" t="s">
        <v>1071</v>
      </c>
      <c r="H1387">
        <v>1019368</v>
      </c>
      <c r="I1387" t="s">
        <v>17</v>
      </c>
      <c r="K1387" t="s">
        <v>3925</v>
      </c>
      <c r="L1387">
        <v>461</v>
      </c>
      <c r="M1387" t="s">
        <v>3926</v>
      </c>
    </row>
    <row r="1388" spans="1:13" x14ac:dyDescent="0.35">
      <c r="A1388" t="s">
        <v>13</v>
      </c>
      <c r="B1388">
        <v>1463533</v>
      </c>
      <c r="C1388">
        <v>1463937</v>
      </c>
      <c r="E1388" t="s">
        <v>14</v>
      </c>
      <c r="F1388" t="s">
        <v>49</v>
      </c>
      <c r="H1388">
        <v>1019369</v>
      </c>
      <c r="I1388" t="s">
        <v>17</v>
      </c>
      <c r="K1388" t="s">
        <v>3927</v>
      </c>
      <c r="L1388">
        <v>134</v>
      </c>
      <c r="M1388" t="s">
        <v>3928</v>
      </c>
    </row>
    <row r="1389" spans="1:13" x14ac:dyDescent="0.35">
      <c r="A1389" t="s">
        <v>13</v>
      </c>
      <c r="B1389">
        <v>1464083</v>
      </c>
      <c r="C1389">
        <v>1465126</v>
      </c>
      <c r="E1389" t="s">
        <v>14</v>
      </c>
      <c r="F1389" t="s">
        <v>3929</v>
      </c>
      <c r="G1389" t="s">
        <v>3930</v>
      </c>
      <c r="H1389">
        <v>1019370</v>
      </c>
      <c r="I1389" t="s">
        <v>17</v>
      </c>
      <c r="K1389" t="s">
        <v>3931</v>
      </c>
      <c r="L1389">
        <v>347</v>
      </c>
      <c r="M1389" t="s">
        <v>3932</v>
      </c>
    </row>
    <row r="1390" spans="1:13" x14ac:dyDescent="0.35">
      <c r="A1390" t="s">
        <v>13</v>
      </c>
      <c r="B1390">
        <v>1465210</v>
      </c>
      <c r="C1390">
        <v>1466376</v>
      </c>
      <c r="E1390" t="s">
        <v>14</v>
      </c>
      <c r="F1390" t="s">
        <v>3933</v>
      </c>
      <c r="G1390" t="s">
        <v>3934</v>
      </c>
      <c r="H1390">
        <v>1019371</v>
      </c>
      <c r="I1390" t="s">
        <v>17</v>
      </c>
      <c r="K1390" t="s">
        <v>3935</v>
      </c>
      <c r="L1390">
        <v>388</v>
      </c>
      <c r="M1390" t="s">
        <v>3936</v>
      </c>
    </row>
    <row r="1391" spans="1:13" x14ac:dyDescent="0.35">
      <c r="A1391" t="s">
        <v>13</v>
      </c>
      <c r="B1391">
        <v>1466422</v>
      </c>
      <c r="C1391">
        <v>1467375</v>
      </c>
      <c r="E1391" t="s">
        <v>14</v>
      </c>
      <c r="F1391" t="s">
        <v>3937</v>
      </c>
      <c r="G1391" t="s">
        <v>3938</v>
      </c>
      <c r="H1391">
        <v>1019372</v>
      </c>
      <c r="I1391" t="s">
        <v>17</v>
      </c>
      <c r="K1391" t="s">
        <v>3939</v>
      </c>
      <c r="L1391">
        <v>317</v>
      </c>
      <c r="M1391" t="s">
        <v>3940</v>
      </c>
    </row>
    <row r="1392" spans="1:13" x14ac:dyDescent="0.35">
      <c r="A1392" t="s">
        <v>13</v>
      </c>
      <c r="B1392">
        <v>1467376</v>
      </c>
      <c r="C1392">
        <v>1468551</v>
      </c>
      <c r="E1392" t="s">
        <v>14</v>
      </c>
      <c r="F1392" t="s">
        <v>3941</v>
      </c>
      <c r="H1392">
        <v>1019373</v>
      </c>
      <c r="I1392" t="s">
        <v>17</v>
      </c>
      <c r="K1392" t="s">
        <v>3942</v>
      </c>
      <c r="L1392">
        <v>391</v>
      </c>
      <c r="M1392" t="s">
        <v>3943</v>
      </c>
    </row>
    <row r="1393" spans="1:13" x14ac:dyDescent="0.35">
      <c r="A1393" t="s">
        <v>13</v>
      </c>
      <c r="B1393">
        <v>1468565</v>
      </c>
      <c r="C1393">
        <v>1469524</v>
      </c>
      <c r="E1393" t="s">
        <v>14</v>
      </c>
      <c r="F1393" t="s">
        <v>2964</v>
      </c>
      <c r="G1393" t="s">
        <v>3944</v>
      </c>
      <c r="H1393">
        <v>1019374</v>
      </c>
      <c r="I1393" t="s">
        <v>17</v>
      </c>
      <c r="K1393" t="s">
        <v>3945</v>
      </c>
      <c r="L1393">
        <v>319</v>
      </c>
      <c r="M1393" t="s">
        <v>3946</v>
      </c>
    </row>
    <row r="1394" spans="1:13" x14ac:dyDescent="0.35">
      <c r="A1394" t="s">
        <v>13</v>
      </c>
      <c r="B1394">
        <v>1469528</v>
      </c>
      <c r="C1394">
        <v>1470043</v>
      </c>
      <c r="E1394" t="s">
        <v>14</v>
      </c>
      <c r="F1394" t="s">
        <v>3947</v>
      </c>
      <c r="H1394">
        <v>1019375</v>
      </c>
      <c r="I1394" t="s">
        <v>17</v>
      </c>
      <c r="K1394" t="s">
        <v>3948</v>
      </c>
      <c r="L1394">
        <v>171</v>
      </c>
      <c r="M1394" t="s">
        <v>3949</v>
      </c>
    </row>
    <row r="1395" spans="1:13" x14ac:dyDescent="0.35">
      <c r="A1395" t="s">
        <v>13</v>
      </c>
      <c r="B1395">
        <v>1470211</v>
      </c>
      <c r="C1395">
        <v>1471416</v>
      </c>
      <c r="E1395" t="s">
        <v>14</v>
      </c>
      <c r="F1395" t="s">
        <v>3950</v>
      </c>
      <c r="H1395">
        <v>1019376</v>
      </c>
      <c r="I1395" t="s">
        <v>17</v>
      </c>
      <c r="K1395" t="s">
        <v>3951</v>
      </c>
      <c r="L1395">
        <v>401</v>
      </c>
      <c r="M1395" t="s">
        <v>3952</v>
      </c>
    </row>
    <row r="1396" spans="1:13" x14ac:dyDescent="0.35">
      <c r="A1396" t="s">
        <v>13</v>
      </c>
      <c r="B1396">
        <v>1471477</v>
      </c>
      <c r="C1396">
        <v>1472910</v>
      </c>
      <c r="E1396" t="s">
        <v>14</v>
      </c>
      <c r="F1396" t="s">
        <v>3953</v>
      </c>
      <c r="G1396" t="s">
        <v>3954</v>
      </c>
      <c r="H1396">
        <v>1019377</v>
      </c>
      <c r="I1396" t="s">
        <v>17</v>
      </c>
      <c r="K1396" t="s">
        <v>3955</v>
      </c>
      <c r="L1396">
        <v>477</v>
      </c>
      <c r="M1396" t="s">
        <v>3956</v>
      </c>
    </row>
    <row r="1397" spans="1:13" x14ac:dyDescent="0.35">
      <c r="A1397" t="s">
        <v>13</v>
      </c>
      <c r="B1397">
        <v>1472977</v>
      </c>
      <c r="C1397">
        <v>1474122</v>
      </c>
      <c r="E1397" t="s">
        <v>14</v>
      </c>
      <c r="F1397" t="s">
        <v>49</v>
      </c>
      <c r="H1397">
        <v>1019378</v>
      </c>
      <c r="I1397" t="s">
        <v>17</v>
      </c>
      <c r="K1397" t="s">
        <v>3957</v>
      </c>
      <c r="L1397">
        <v>381</v>
      </c>
      <c r="M1397" t="s">
        <v>3958</v>
      </c>
    </row>
    <row r="1398" spans="1:13" x14ac:dyDescent="0.35">
      <c r="A1398" t="s">
        <v>13</v>
      </c>
      <c r="B1398">
        <v>1474119</v>
      </c>
      <c r="C1398">
        <v>1475696</v>
      </c>
      <c r="E1398" t="s">
        <v>14</v>
      </c>
      <c r="F1398" t="s">
        <v>121</v>
      </c>
      <c r="H1398">
        <v>1019379</v>
      </c>
      <c r="I1398" t="s">
        <v>17</v>
      </c>
      <c r="K1398" t="s">
        <v>3959</v>
      </c>
      <c r="L1398">
        <v>525</v>
      </c>
      <c r="M1398" t="s">
        <v>3960</v>
      </c>
    </row>
    <row r="1399" spans="1:13" x14ac:dyDescent="0.35">
      <c r="A1399" t="s">
        <v>13</v>
      </c>
      <c r="B1399">
        <v>1475683</v>
      </c>
      <c r="C1399">
        <v>1476297</v>
      </c>
      <c r="E1399" t="s">
        <v>14</v>
      </c>
      <c r="F1399" t="s">
        <v>49</v>
      </c>
      <c r="H1399">
        <v>1019380</v>
      </c>
      <c r="I1399" t="s">
        <v>17</v>
      </c>
      <c r="K1399" t="s">
        <v>3961</v>
      </c>
      <c r="L1399">
        <v>204</v>
      </c>
      <c r="M1399" t="s">
        <v>3962</v>
      </c>
    </row>
    <row r="1400" spans="1:13" x14ac:dyDescent="0.35">
      <c r="A1400" t="s">
        <v>13</v>
      </c>
      <c r="B1400">
        <v>1476343</v>
      </c>
      <c r="C1400">
        <v>1476522</v>
      </c>
      <c r="E1400" t="s">
        <v>14</v>
      </c>
      <c r="F1400" t="s">
        <v>3963</v>
      </c>
      <c r="H1400">
        <v>1019381</v>
      </c>
      <c r="I1400" t="s">
        <v>17</v>
      </c>
      <c r="K1400" t="s">
        <v>3964</v>
      </c>
      <c r="L1400">
        <v>59</v>
      </c>
      <c r="M1400" t="s">
        <v>3965</v>
      </c>
    </row>
    <row r="1401" spans="1:13" x14ac:dyDescent="0.35">
      <c r="A1401" t="s">
        <v>13</v>
      </c>
      <c r="B1401">
        <v>1476550</v>
      </c>
      <c r="C1401">
        <v>1477812</v>
      </c>
      <c r="E1401" t="s">
        <v>14</v>
      </c>
      <c r="F1401" t="s">
        <v>3966</v>
      </c>
      <c r="G1401" t="s">
        <v>3967</v>
      </c>
      <c r="H1401">
        <v>1019382</v>
      </c>
      <c r="I1401" t="s">
        <v>17</v>
      </c>
      <c r="K1401" t="s">
        <v>3968</v>
      </c>
      <c r="L1401">
        <v>420</v>
      </c>
      <c r="M1401" t="s">
        <v>3969</v>
      </c>
    </row>
    <row r="1402" spans="1:13" x14ac:dyDescent="0.35">
      <c r="A1402" t="s">
        <v>13</v>
      </c>
      <c r="B1402">
        <v>1477926</v>
      </c>
      <c r="C1402">
        <v>1478393</v>
      </c>
      <c r="E1402" t="s">
        <v>38</v>
      </c>
      <c r="F1402" t="s">
        <v>3863</v>
      </c>
      <c r="H1402">
        <v>1019383</v>
      </c>
      <c r="I1402" t="s">
        <v>17</v>
      </c>
      <c r="K1402" t="s">
        <v>3970</v>
      </c>
      <c r="L1402">
        <v>155</v>
      </c>
      <c r="M1402" t="s">
        <v>3971</v>
      </c>
    </row>
    <row r="1403" spans="1:13" x14ac:dyDescent="0.35">
      <c r="A1403" t="s">
        <v>13</v>
      </c>
      <c r="B1403">
        <v>1479362</v>
      </c>
      <c r="C1403">
        <v>1480885</v>
      </c>
      <c r="E1403" t="s">
        <v>14</v>
      </c>
      <c r="F1403" t="s">
        <v>257</v>
      </c>
      <c r="H1403">
        <v>2745366</v>
      </c>
      <c r="I1403" t="s">
        <v>258</v>
      </c>
      <c r="M1403" t="s">
        <v>3972</v>
      </c>
    </row>
    <row r="1404" spans="1:13" x14ac:dyDescent="0.35">
      <c r="A1404" t="s">
        <v>13</v>
      </c>
      <c r="B1404">
        <v>1481277</v>
      </c>
      <c r="C1404">
        <v>1484363</v>
      </c>
      <c r="E1404" t="s">
        <v>14</v>
      </c>
      <c r="F1404" t="s">
        <v>260</v>
      </c>
      <c r="H1404">
        <v>2745364</v>
      </c>
      <c r="I1404" t="s">
        <v>258</v>
      </c>
      <c r="M1404" t="s">
        <v>3973</v>
      </c>
    </row>
    <row r="1405" spans="1:13" x14ac:dyDescent="0.35">
      <c r="A1405" t="s">
        <v>13</v>
      </c>
      <c r="B1405">
        <v>1484479</v>
      </c>
      <c r="C1405">
        <v>1484595</v>
      </c>
      <c r="E1405" t="s">
        <v>14</v>
      </c>
      <c r="F1405" t="s">
        <v>262</v>
      </c>
      <c r="G1405" t="s">
        <v>263</v>
      </c>
      <c r="H1405">
        <v>2745352</v>
      </c>
      <c r="I1405" t="s">
        <v>258</v>
      </c>
      <c r="M1405" t="s">
        <v>3974</v>
      </c>
    </row>
    <row r="1406" spans="1:13" x14ac:dyDescent="0.35">
      <c r="A1406" t="s">
        <v>13</v>
      </c>
      <c r="B1406">
        <v>1484726</v>
      </c>
      <c r="C1406">
        <v>1486030</v>
      </c>
      <c r="E1406" t="s">
        <v>14</v>
      </c>
      <c r="F1406" t="s">
        <v>3975</v>
      </c>
      <c r="H1406">
        <v>1019384</v>
      </c>
      <c r="I1406" t="s">
        <v>17</v>
      </c>
      <c r="K1406" t="s">
        <v>3976</v>
      </c>
      <c r="L1406">
        <v>434</v>
      </c>
      <c r="M1406" t="s">
        <v>3977</v>
      </c>
    </row>
    <row r="1407" spans="1:13" x14ac:dyDescent="0.35">
      <c r="A1407" t="s">
        <v>13</v>
      </c>
      <c r="B1407">
        <v>1486042</v>
      </c>
      <c r="C1407">
        <v>1487028</v>
      </c>
      <c r="E1407" t="s">
        <v>14</v>
      </c>
      <c r="F1407" t="s">
        <v>3978</v>
      </c>
      <c r="H1407">
        <v>1019385</v>
      </c>
      <c r="I1407" t="s">
        <v>17</v>
      </c>
      <c r="K1407" t="s">
        <v>3979</v>
      </c>
      <c r="L1407">
        <v>328</v>
      </c>
      <c r="M1407" t="s">
        <v>3980</v>
      </c>
    </row>
    <row r="1408" spans="1:13" x14ac:dyDescent="0.35">
      <c r="A1408" t="s">
        <v>13</v>
      </c>
      <c r="B1408">
        <v>1487032</v>
      </c>
      <c r="C1408">
        <v>1487196</v>
      </c>
      <c r="E1408" t="s">
        <v>14</v>
      </c>
      <c r="F1408" t="s">
        <v>49</v>
      </c>
      <c r="H1408">
        <v>44156732</v>
      </c>
      <c r="I1408" t="s">
        <v>17</v>
      </c>
      <c r="K1408" t="s">
        <v>3981</v>
      </c>
      <c r="L1408">
        <v>54</v>
      </c>
      <c r="M1408" t="s">
        <v>3982</v>
      </c>
    </row>
    <row r="1409" spans="1:13" x14ac:dyDescent="0.35">
      <c r="A1409" t="s">
        <v>13</v>
      </c>
      <c r="B1409">
        <v>1487238</v>
      </c>
      <c r="C1409">
        <v>1488059</v>
      </c>
      <c r="E1409" t="s">
        <v>14</v>
      </c>
      <c r="F1409" t="s">
        <v>3983</v>
      </c>
      <c r="H1409">
        <v>1019387</v>
      </c>
      <c r="I1409" t="s">
        <v>17</v>
      </c>
      <c r="K1409" t="s">
        <v>3984</v>
      </c>
      <c r="L1409">
        <v>273</v>
      </c>
      <c r="M1409" t="s">
        <v>3985</v>
      </c>
    </row>
    <row r="1410" spans="1:13" x14ac:dyDescent="0.35">
      <c r="A1410" t="s">
        <v>13</v>
      </c>
      <c r="B1410">
        <v>1488059</v>
      </c>
      <c r="C1410">
        <v>1489021</v>
      </c>
      <c r="E1410" t="s">
        <v>14</v>
      </c>
      <c r="F1410" t="s">
        <v>3986</v>
      </c>
      <c r="H1410">
        <v>1019388</v>
      </c>
      <c r="I1410" t="s">
        <v>17</v>
      </c>
      <c r="K1410" t="s">
        <v>3987</v>
      </c>
      <c r="L1410">
        <v>320</v>
      </c>
      <c r="M1410" t="s">
        <v>3988</v>
      </c>
    </row>
    <row r="1411" spans="1:13" x14ac:dyDescent="0.35">
      <c r="A1411" t="s">
        <v>13</v>
      </c>
      <c r="B1411">
        <v>1489103</v>
      </c>
      <c r="C1411">
        <v>1490884</v>
      </c>
      <c r="E1411" t="s">
        <v>14</v>
      </c>
      <c r="F1411" t="s">
        <v>3989</v>
      </c>
      <c r="G1411" t="s">
        <v>3990</v>
      </c>
      <c r="H1411">
        <v>1019389</v>
      </c>
      <c r="I1411" t="s">
        <v>17</v>
      </c>
      <c r="K1411" t="s">
        <v>3991</v>
      </c>
      <c r="L1411">
        <v>593</v>
      </c>
      <c r="M1411" t="s">
        <v>3992</v>
      </c>
    </row>
    <row r="1412" spans="1:13" x14ac:dyDescent="0.35">
      <c r="A1412" t="s">
        <v>13</v>
      </c>
      <c r="B1412">
        <v>1490944</v>
      </c>
      <c r="C1412">
        <v>1492137</v>
      </c>
      <c r="E1412" t="s">
        <v>14</v>
      </c>
      <c r="F1412" t="s">
        <v>3993</v>
      </c>
      <c r="G1412" t="s">
        <v>3994</v>
      </c>
      <c r="H1412">
        <v>1019390</v>
      </c>
      <c r="I1412" t="s">
        <v>17</v>
      </c>
      <c r="K1412" t="s">
        <v>3995</v>
      </c>
      <c r="L1412">
        <v>397</v>
      </c>
      <c r="M1412" t="s">
        <v>3996</v>
      </c>
    </row>
    <row r="1413" spans="1:13" x14ac:dyDescent="0.35">
      <c r="A1413" t="s">
        <v>13</v>
      </c>
      <c r="B1413">
        <v>1492147</v>
      </c>
      <c r="C1413">
        <v>1493112</v>
      </c>
      <c r="E1413" t="s">
        <v>14</v>
      </c>
      <c r="F1413" t="s">
        <v>3997</v>
      </c>
      <c r="H1413">
        <v>1019391</v>
      </c>
      <c r="I1413" t="s">
        <v>17</v>
      </c>
      <c r="K1413" t="s">
        <v>3998</v>
      </c>
      <c r="L1413">
        <v>321</v>
      </c>
      <c r="M1413" t="s">
        <v>3999</v>
      </c>
    </row>
    <row r="1414" spans="1:13" x14ac:dyDescent="0.35">
      <c r="A1414" t="s">
        <v>13</v>
      </c>
      <c r="B1414">
        <v>1493513</v>
      </c>
      <c r="C1414">
        <v>1495177</v>
      </c>
      <c r="E1414" t="s">
        <v>14</v>
      </c>
      <c r="F1414" t="s">
        <v>4000</v>
      </c>
      <c r="H1414">
        <v>1019392</v>
      </c>
      <c r="I1414" t="s">
        <v>17</v>
      </c>
      <c r="K1414" t="s">
        <v>4001</v>
      </c>
      <c r="L1414">
        <v>554</v>
      </c>
      <c r="M1414" t="s">
        <v>4002</v>
      </c>
    </row>
    <row r="1415" spans="1:13" x14ac:dyDescent="0.35">
      <c r="A1415" t="s">
        <v>13</v>
      </c>
      <c r="B1415">
        <v>1495193</v>
      </c>
      <c r="C1415">
        <v>1495864</v>
      </c>
      <c r="E1415" t="s">
        <v>14</v>
      </c>
      <c r="F1415" t="s">
        <v>2245</v>
      </c>
      <c r="H1415">
        <v>1019393</v>
      </c>
      <c r="I1415" t="s">
        <v>17</v>
      </c>
      <c r="K1415" t="s">
        <v>4003</v>
      </c>
      <c r="L1415">
        <v>223</v>
      </c>
      <c r="M1415" t="s">
        <v>4004</v>
      </c>
    </row>
    <row r="1416" spans="1:13" x14ac:dyDescent="0.35">
      <c r="A1416" t="s">
        <v>13</v>
      </c>
      <c r="B1416">
        <v>1495861</v>
      </c>
      <c r="C1416">
        <v>1496775</v>
      </c>
      <c r="E1416" t="s">
        <v>14</v>
      </c>
      <c r="F1416" t="s">
        <v>4005</v>
      </c>
      <c r="G1416" t="s">
        <v>4006</v>
      </c>
      <c r="H1416">
        <v>1019394</v>
      </c>
      <c r="I1416" t="s">
        <v>17</v>
      </c>
      <c r="K1416" t="s">
        <v>4007</v>
      </c>
      <c r="L1416">
        <v>304</v>
      </c>
      <c r="M1416" t="s">
        <v>4008</v>
      </c>
    </row>
    <row r="1417" spans="1:13" x14ac:dyDescent="0.35">
      <c r="A1417" t="s">
        <v>13</v>
      </c>
      <c r="B1417">
        <v>1496792</v>
      </c>
      <c r="C1417">
        <v>1498324</v>
      </c>
      <c r="E1417" t="s">
        <v>38</v>
      </c>
      <c r="F1417" t="s">
        <v>127</v>
      </c>
      <c r="H1417">
        <v>1019395</v>
      </c>
      <c r="I1417" t="s">
        <v>17</v>
      </c>
      <c r="K1417" t="s">
        <v>4009</v>
      </c>
      <c r="L1417">
        <v>510</v>
      </c>
      <c r="M1417" t="s">
        <v>4010</v>
      </c>
    </row>
    <row r="1418" spans="1:13" x14ac:dyDescent="0.35">
      <c r="A1418" t="s">
        <v>13</v>
      </c>
      <c r="B1418">
        <v>1498776</v>
      </c>
      <c r="C1418">
        <v>1499648</v>
      </c>
      <c r="E1418" t="s">
        <v>14</v>
      </c>
      <c r="F1418" t="s">
        <v>4011</v>
      </c>
      <c r="H1418">
        <v>1019396</v>
      </c>
      <c r="I1418" t="s">
        <v>17</v>
      </c>
      <c r="K1418" t="s">
        <v>4012</v>
      </c>
      <c r="L1418">
        <v>290</v>
      </c>
      <c r="M1418" t="s">
        <v>4013</v>
      </c>
    </row>
    <row r="1419" spans="1:13" x14ac:dyDescent="0.35">
      <c r="A1419" t="s">
        <v>13</v>
      </c>
      <c r="B1419">
        <v>1499733</v>
      </c>
      <c r="C1419">
        <v>1500698</v>
      </c>
      <c r="E1419" t="s">
        <v>14</v>
      </c>
      <c r="F1419" t="s">
        <v>4014</v>
      </c>
      <c r="H1419">
        <v>1019397</v>
      </c>
      <c r="I1419" t="s">
        <v>17</v>
      </c>
      <c r="K1419" t="s">
        <v>4015</v>
      </c>
      <c r="L1419">
        <v>321</v>
      </c>
      <c r="M1419" t="s">
        <v>4016</v>
      </c>
    </row>
    <row r="1420" spans="1:13" x14ac:dyDescent="0.35">
      <c r="A1420" t="s">
        <v>13</v>
      </c>
      <c r="B1420">
        <v>1500908</v>
      </c>
      <c r="C1420">
        <v>1501471</v>
      </c>
      <c r="E1420" t="s">
        <v>38</v>
      </c>
      <c r="F1420" t="s">
        <v>549</v>
      </c>
      <c r="H1420">
        <v>1019398</v>
      </c>
      <c r="I1420" t="s">
        <v>17</v>
      </c>
      <c r="K1420" t="s">
        <v>4017</v>
      </c>
      <c r="L1420">
        <v>187</v>
      </c>
      <c r="M1420" t="s">
        <v>4018</v>
      </c>
    </row>
    <row r="1421" spans="1:13" x14ac:dyDescent="0.35">
      <c r="A1421" t="s">
        <v>13</v>
      </c>
      <c r="B1421">
        <v>1501710</v>
      </c>
      <c r="C1421">
        <v>1502579</v>
      </c>
      <c r="E1421" t="s">
        <v>14</v>
      </c>
      <c r="F1421" t="s">
        <v>2027</v>
      </c>
      <c r="H1421">
        <v>1019399</v>
      </c>
      <c r="I1421" t="s">
        <v>17</v>
      </c>
      <c r="K1421" t="s">
        <v>4019</v>
      </c>
      <c r="L1421">
        <v>289</v>
      </c>
      <c r="M1421" t="s">
        <v>4020</v>
      </c>
    </row>
    <row r="1422" spans="1:13" x14ac:dyDescent="0.35">
      <c r="A1422" t="s">
        <v>13</v>
      </c>
      <c r="B1422">
        <v>1502601</v>
      </c>
      <c r="C1422">
        <v>1503179</v>
      </c>
      <c r="E1422" t="s">
        <v>14</v>
      </c>
      <c r="F1422" t="s">
        <v>4021</v>
      </c>
      <c r="G1422" t="s">
        <v>4022</v>
      </c>
      <c r="H1422">
        <v>1019400</v>
      </c>
      <c r="I1422" t="s">
        <v>17</v>
      </c>
      <c r="K1422" t="s">
        <v>4023</v>
      </c>
      <c r="L1422">
        <v>192</v>
      </c>
      <c r="M1422" t="s">
        <v>4024</v>
      </c>
    </row>
    <row r="1423" spans="1:13" x14ac:dyDescent="0.35">
      <c r="A1423" t="s">
        <v>13</v>
      </c>
      <c r="B1423">
        <v>1503279</v>
      </c>
      <c r="C1423">
        <v>1504241</v>
      </c>
      <c r="E1423" t="s">
        <v>14</v>
      </c>
      <c r="F1423" t="s">
        <v>4025</v>
      </c>
      <c r="H1423">
        <v>1019401</v>
      </c>
      <c r="I1423" t="s">
        <v>17</v>
      </c>
      <c r="K1423" t="s">
        <v>4026</v>
      </c>
      <c r="L1423">
        <v>320</v>
      </c>
      <c r="M1423" t="s">
        <v>4027</v>
      </c>
    </row>
    <row r="1424" spans="1:13" x14ac:dyDescent="0.35">
      <c r="A1424" t="s">
        <v>13</v>
      </c>
      <c r="B1424">
        <v>1504238</v>
      </c>
      <c r="C1424">
        <v>1504948</v>
      </c>
      <c r="E1424" t="s">
        <v>14</v>
      </c>
      <c r="F1424" t="s">
        <v>4028</v>
      </c>
      <c r="G1424" t="s">
        <v>4029</v>
      </c>
      <c r="H1424">
        <v>1019402</v>
      </c>
      <c r="I1424" t="s">
        <v>17</v>
      </c>
      <c r="K1424" t="s">
        <v>4030</v>
      </c>
      <c r="L1424">
        <v>236</v>
      </c>
      <c r="M1424" t="s">
        <v>4031</v>
      </c>
    </row>
    <row r="1425" spans="1:13" x14ac:dyDescent="0.35">
      <c r="A1425" t="s">
        <v>13</v>
      </c>
      <c r="B1425">
        <v>1504963</v>
      </c>
      <c r="C1425">
        <v>1506576</v>
      </c>
      <c r="E1425" t="s">
        <v>14</v>
      </c>
      <c r="F1425" t="s">
        <v>4032</v>
      </c>
      <c r="G1425" t="s">
        <v>4033</v>
      </c>
      <c r="H1425">
        <v>1019403</v>
      </c>
      <c r="I1425" t="s">
        <v>17</v>
      </c>
      <c r="K1425" t="s">
        <v>4034</v>
      </c>
      <c r="L1425">
        <v>537</v>
      </c>
      <c r="M1425" t="s">
        <v>4035</v>
      </c>
    </row>
    <row r="1426" spans="1:13" x14ac:dyDescent="0.35">
      <c r="A1426" t="s">
        <v>13</v>
      </c>
      <c r="B1426">
        <v>1506659</v>
      </c>
      <c r="C1426">
        <v>1507327</v>
      </c>
      <c r="E1426" t="s">
        <v>38</v>
      </c>
      <c r="F1426" t="s">
        <v>4036</v>
      </c>
      <c r="H1426">
        <v>1019404</v>
      </c>
      <c r="I1426" t="s">
        <v>17</v>
      </c>
      <c r="K1426" t="s">
        <v>4037</v>
      </c>
      <c r="L1426">
        <v>222</v>
      </c>
      <c r="M1426" t="s">
        <v>4038</v>
      </c>
    </row>
    <row r="1427" spans="1:13" x14ac:dyDescent="0.35">
      <c r="A1427" t="s">
        <v>13</v>
      </c>
      <c r="B1427">
        <v>1507402</v>
      </c>
      <c r="C1427">
        <v>1507902</v>
      </c>
      <c r="E1427" t="s">
        <v>38</v>
      </c>
      <c r="F1427" t="s">
        <v>4039</v>
      </c>
      <c r="H1427">
        <v>1019405</v>
      </c>
      <c r="I1427" t="s">
        <v>17</v>
      </c>
      <c r="K1427" t="s">
        <v>4040</v>
      </c>
      <c r="L1427">
        <v>166</v>
      </c>
      <c r="M1427" t="s">
        <v>4041</v>
      </c>
    </row>
    <row r="1428" spans="1:13" x14ac:dyDescent="0.35">
      <c r="A1428" t="s">
        <v>13</v>
      </c>
      <c r="B1428">
        <v>1507914</v>
      </c>
      <c r="C1428">
        <v>1508729</v>
      </c>
      <c r="E1428" t="s">
        <v>38</v>
      </c>
      <c r="F1428" t="s">
        <v>1169</v>
      </c>
      <c r="H1428">
        <v>1019406</v>
      </c>
      <c r="I1428" t="s">
        <v>17</v>
      </c>
      <c r="K1428" t="s">
        <v>4042</v>
      </c>
      <c r="L1428">
        <v>271</v>
      </c>
      <c r="M1428" t="s">
        <v>4043</v>
      </c>
    </row>
    <row r="1429" spans="1:13" x14ac:dyDescent="0.35">
      <c r="A1429" t="s">
        <v>13</v>
      </c>
      <c r="B1429">
        <v>1508813</v>
      </c>
      <c r="C1429">
        <v>1510369</v>
      </c>
      <c r="E1429" t="s">
        <v>14</v>
      </c>
      <c r="F1429" t="s">
        <v>721</v>
      </c>
      <c r="H1429">
        <v>1019407</v>
      </c>
      <c r="I1429" t="s">
        <v>17</v>
      </c>
      <c r="K1429" t="s">
        <v>4044</v>
      </c>
      <c r="L1429">
        <v>518</v>
      </c>
      <c r="M1429" t="s">
        <v>4045</v>
      </c>
    </row>
    <row r="1430" spans="1:13" x14ac:dyDescent="0.35">
      <c r="A1430" t="s">
        <v>13</v>
      </c>
      <c r="B1430">
        <v>1510390</v>
      </c>
      <c r="C1430">
        <v>1512135</v>
      </c>
      <c r="E1430" t="s">
        <v>14</v>
      </c>
      <c r="F1430" t="s">
        <v>147</v>
      </c>
      <c r="H1430">
        <v>1019408</v>
      </c>
      <c r="I1430" t="s">
        <v>17</v>
      </c>
      <c r="K1430" t="s">
        <v>4046</v>
      </c>
      <c r="L1430">
        <v>581</v>
      </c>
      <c r="M1430" t="s">
        <v>4047</v>
      </c>
    </row>
    <row r="1431" spans="1:13" x14ac:dyDescent="0.35">
      <c r="A1431" t="s">
        <v>13</v>
      </c>
      <c r="B1431">
        <v>1512174</v>
      </c>
      <c r="C1431">
        <v>1512980</v>
      </c>
      <c r="E1431" t="s">
        <v>14</v>
      </c>
      <c r="F1431" t="s">
        <v>4048</v>
      </c>
      <c r="G1431" t="s">
        <v>4049</v>
      </c>
      <c r="H1431">
        <v>1019409</v>
      </c>
      <c r="I1431" t="s">
        <v>17</v>
      </c>
      <c r="K1431" t="s">
        <v>4050</v>
      </c>
      <c r="L1431">
        <v>268</v>
      </c>
      <c r="M1431" t="s">
        <v>4051</v>
      </c>
    </row>
    <row r="1432" spans="1:13" x14ac:dyDescent="0.35">
      <c r="A1432" t="s">
        <v>13</v>
      </c>
      <c r="B1432">
        <v>1512977</v>
      </c>
      <c r="C1432">
        <v>1514527</v>
      </c>
      <c r="E1432" t="s">
        <v>38</v>
      </c>
      <c r="F1432" t="s">
        <v>814</v>
      </c>
      <c r="H1432">
        <v>1019410</v>
      </c>
      <c r="I1432" t="s">
        <v>17</v>
      </c>
      <c r="K1432" t="s">
        <v>4052</v>
      </c>
      <c r="L1432">
        <v>516</v>
      </c>
      <c r="M1432" t="s">
        <v>4053</v>
      </c>
    </row>
    <row r="1433" spans="1:13" x14ac:dyDescent="0.35">
      <c r="A1433" t="s">
        <v>13</v>
      </c>
      <c r="B1433">
        <v>1514971</v>
      </c>
      <c r="C1433">
        <v>1515159</v>
      </c>
      <c r="E1433" t="s">
        <v>38</v>
      </c>
      <c r="F1433" t="s">
        <v>49</v>
      </c>
      <c r="H1433">
        <v>1019411</v>
      </c>
      <c r="I1433" t="s">
        <v>17</v>
      </c>
      <c r="K1433" t="s">
        <v>4054</v>
      </c>
      <c r="L1433">
        <v>62</v>
      </c>
      <c r="M1433" t="s">
        <v>4055</v>
      </c>
    </row>
    <row r="1434" spans="1:13" x14ac:dyDescent="0.35">
      <c r="A1434" t="s">
        <v>13</v>
      </c>
      <c r="B1434">
        <v>1515226</v>
      </c>
      <c r="C1434">
        <v>1515299</v>
      </c>
      <c r="E1434" t="s">
        <v>38</v>
      </c>
      <c r="F1434" t="s">
        <v>845</v>
      </c>
      <c r="H1434">
        <v>2745298</v>
      </c>
      <c r="I1434" t="s">
        <v>62</v>
      </c>
      <c r="M1434" t="s">
        <v>4056</v>
      </c>
    </row>
    <row r="1435" spans="1:13" x14ac:dyDescent="0.35">
      <c r="A1435" t="s">
        <v>13</v>
      </c>
      <c r="B1435">
        <v>1515405</v>
      </c>
      <c r="C1435">
        <v>1515794</v>
      </c>
      <c r="E1435" t="s">
        <v>38</v>
      </c>
      <c r="F1435" t="s">
        <v>4057</v>
      </c>
      <c r="H1435">
        <v>1019412</v>
      </c>
      <c r="I1435" t="s">
        <v>17</v>
      </c>
      <c r="K1435" t="s">
        <v>4058</v>
      </c>
      <c r="L1435">
        <v>129</v>
      </c>
      <c r="M1435" t="s">
        <v>4059</v>
      </c>
    </row>
    <row r="1436" spans="1:13" x14ac:dyDescent="0.35">
      <c r="A1436" t="s">
        <v>13</v>
      </c>
      <c r="B1436">
        <v>1515796</v>
      </c>
      <c r="C1436">
        <v>1516935</v>
      </c>
      <c r="E1436" t="s">
        <v>38</v>
      </c>
      <c r="F1436" t="s">
        <v>4060</v>
      </c>
      <c r="H1436">
        <v>1019413</v>
      </c>
      <c r="I1436" t="s">
        <v>17</v>
      </c>
      <c r="K1436" t="s">
        <v>4061</v>
      </c>
      <c r="L1436">
        <v>379</v>
      </c>
      <c r="M1436" t="s">
        <v>4062</v>
      </c>
    </row>
    <row r="1437" spans="1:13" x14ac:dyDescent="0.35">
      <c r="A1437" t="s">
        <v>13</v>
      </c>
      <c r="B1437">
        <v>1517170</v>
      </c>
      <c r="C1437">
        <v>1519461</v>
      </c>
      <c r="E1437" t="s">
        <v>14</v>
      </c>
      <c r="F1437" t="s">
        <v>4063</v>
      </c>
      <c r="G1437" t="s">
        <v>4064</v>
      </c>
      <c r="H1437">
        <v>1019414</v>
      </c>
      <c r="I1437" t="s">
        <v>17</v>
      </c>
      <c r="K1437" t="s">
        <v>4065</v>
      </c>
      <c r="L1437">
        <v>763</v>
      </c>
      <c r="M1437" t="s">
        <v>4066</v>
      </c>
    </row>
    <row r="1438" spans="1:13" x14ac:dyDescent="0.35">
      <c r="A1438" t="s">
        <v>13</v>
      </c>
      <c r="B1438">
        <v>1519601</v>
      </c>
      <c r="C1438">
        <v>1520032</v>
      </c>
      <c r="E1438" t="s">
        <v>14</v>
      </c>
      <c r="F1438" t="s">
        <v>4067</v>
      </c>
      <c r="G1438" t="s">
        <v>4068</v>
      </c>
      <c r="H1438">
        <v>1019415</v>
      </c>
      <c r="I1438" t="s">
        <v>17</v>
      </c>
      <c r="K1438" t="s">
        <v>4069</v>
      </c>
      <c r="L1438">
        <v>143</v>
      </c>
      <c r="M1438" t="s">
        <v>4070</v>
      </c>
    </row>
    <row r="1439" spans="1:13" x14ac:dyDescent="0.35">
      <c r="A1439" t="s">
        <v>13</v>
      </c>
      <c r="B1439">
        <v>1520190</v>
      </c>
      <c r="C1439">
        <v>1520948</v>
      </c>
      <c r="E1439" t="s">
        <v>14</v>
      </c>
      <c r="F1439" t="s">
        <v>4071</v>
      </c>
      <c r="H1439">
        <v>1019416</v>
      </c>
      <c r="I1439" t="s">
        <v>17</v>
      </c>
      <c r="K1439" t="s">
        <v>4072</v>
      </c>
      <c r="L1439">
        <v>252</v>
      </c>
      <c r="M1439" t="s">
        <v>4073</v>
      </c>
    </row>
    <row r="1440" spans="1:13" x14ac:dyDescent="0.35">
      <c r="A1440" t="s">
        <v>13</v>
      </c>
      <c r="B1440">
        <v>1520957</v>
      </c>
      <c r="C1440">
        <v>1521592</v>
      </c>
      <c r="E1440" t="s">
        <v>14</v>
      </c>
      <c r="F1440" t="s">
        <v>4074</v>
      </c>
      <c r="H1440">
        <v>1019417</v>
      </c>
      <c r="I1440" t="s">
        <v>17</v>
      </c>
      <c r="K1440" t="s">
        <v>4075</v>
      </c>
      <c r="L1440">
        <v>211</v>
      </c>
      <c r="M1440" t="s">
        <v>4076</v>
      </c>
    </row>
    <row r="1441" spans="1:13" x14ac:dyDescent="0.35">
      <c r="A1441" t="s">
        <v>13</v>
      </c>
      <c r="B1441">
        <v>1521771</v>
      </c>
      <c r="C1441">
        <v>1522346</v>
      </c>
      <c r="E1441" t="s">
        <v>14</v>
      </c>
      <c r="F1441" t="s">
        <v>4077</v>
      </c>
      <c r="H1441">
        <v>1019418</v>
      </c>
      <c r="I1441" t="s">
        <v>17</v>
      </c>
      <c r="K1441" t="s">
        <v>4078</v>
      </c>
      <c r="L1441">
        <v>191</v>
      </c>
      <c r="M1441" t="s">
        <v>4079</v>
      </c>
    </row>
    <row r="1442" spans="1:13" x14ac:dyDescent="0.35">
      <c r="A1442" t="s">
        <v>13</v>
      </c>
      <c r="B1442">
        <v>1522429</v>
      </c>
      <c r="C1442">
        <v>1522941</v>
      </c>
      <c r="E1442" t="s">
        <v>38</v>
      </c>
      <c r="F1442" t="s">
        <v>1443</v>
      </c>
      <c r="H1442">
        <v>1019419</v>
      </c>
      <c r="I1442" t="s">
        <v>17</v>
      </c>
      <c r="K1442" t="s">
        <v>4080</v>
      </c>
      <c r="L1442">
        <v>170</v>
      </c>
      <c r="M1442" t="s">
        <v>4081</v>
      </c>
    </row>
    <row r="1443" spans="1:13" x14ac:dyDescent="0.35">
      <c r="A1443" t="s">
        <v>13</v>
      </c>
      <c r="B1443">
        <v>1523049</v>
      </c>
      <c r="C1443">
        <v>1524440</v>
      </c>
      <c r="E1443" t="s">
        <v>38</v>
      </c>
      <c r="F1443" t="s">
        <v>49</v>
      </c>
      <c r="H1443">
        <v>1019420</v>
      </c>
      <c r="I1443" t="s">
        <v>17</v>
      </c>
      <c r="K1443" t="s">
        <v>4082</v>
      </c>
      <c r="L1443">
        <v>463</v>
      </c>
      <c r="M1443" t="s">
        <v>4083</v>
      </c>
    </row>
    <row r="1444" spans="1:13" x14ac:dyDescent="0.35">
      <c r="A1444" t="s">
        <v>13</v>
      </c>
      <c r="B1444">
        <v>1524565</v>
      </c>
      <c r="C1444">
        <v>1525413</v>
      </c>
      <c r="E1444" t="s">
        <v>38</v>
      </c>
      <c r="F1444" t="s">
        <v>49</v>
      </c>
      <c r="H1444">
        <v>1019421</v>
      </c>
      <c r="I1444" t="s">
        <v>17</v>
      </c>
      <c r="K1444" t="s">
        <v>4084</v>
      </c>
      <c r="L1444">
        <v>282</v>
      </c>
      <c r="M1444" t="s">
        <v>4085</v>
      </c>
    </row>
    <row r="1445" spans="1:13" x14ac:dyDescent="0.35">
      <c r="A1445" t="s">
        <v>13</v>
      </c>
      <c r="B1445">
        <v>1525470</v>
      </c>
      <c r="C1445">
        <v>1526534</v>
      </c>
      <c r="E1445" t="s">
        <v>38</v>
      </c>
      <c r="F1445" t="s">
        <v>3397</v>
      </c>
      <c r="H1445">
        <v>1019422</v>
      </c>
      <c r="I1445" t="s">
        <v>17</v>
      </c>
      <c r="K1445" t="s">
        <v>4086</v>
      </c>
      <c r="L1445">
        <v>354</v>
      </c>
      <c r="M1445" t="s">
        <v>4087</v>
      </c>
    </row>
    <row r="1446" spans="1:13" x14ac:dyDescent="0.35">
      <c r="A1446" t="s">
        <v>13</v>
      </c>
      <c r="B1446">
        <v>1526531</v>
      </c>
      <c r="C1446">
        <v>1527913</v>
      </c>
      <c r="E1446" t="s">
        <v>38</v>
      </c>
      <c r="F1446" t="s">
        <v>3397</v>
      </c>
      <c r="H1446">
        <v>1019423</v>
      </c>
      <c r="I1446" t="s">
        <v>17</v>
      </c>
      <c r="K1446" t="s">
        <v>4088</v>
      </c>
      <c r="L1446">
        <v>460</v>
      </c>
      <c r="M1446" t="s">
        <v>4089</v>
      </c>
    </row>
    <row r="1447" spans="1:13" x14ac:dyDescent="0.35">
      <c r="A1447" t="s">
        <v>13</v>
      </c>
      <c r="B1447">
        <v>1527984</v>
      </c>
      <c r="C1447">
        <v>1529330</v>
      </c>
      <c r="E1447" t="s">
        <v>38</v>
      </c>
      <c r="F1447" t="s">
        <v>930</v>
      </c>
      <c r="H1447">
        <v>1019424</v>
      </c>
      <c r="I1447" t="s">
        <v>17</v>
      </c>
      <c r="K1447" t="s">
        <v>4090</v>
      </c>
      <c r="L1447">
        <v>448</v>
      </c>
      <c r="M1447" t="s">
        <v>4091</v>
      </c>
    </row>
    <row r="1448" spans="1:13" x14ac:dyDescent="0.35">
      <c r="A1448" t="s">
        <v>13</v>
      </c>
      <c r="B1448">
        <v>1529486</v>
      </c>
      <c r="C1448">
        <v>1530223</v>
      </c>
      <c r="E1448" t="s">
        <v>14</v>
      </c>
      <c r="F1448" t="s">
        <v>150</v>
      </c>
      <c r="H1448">
        <v>1019425</v>
      </c>
      <c r="I1448" t="s">
        <v>17</v>
      </c>
      <c r="K1448" t="s">
        <v>4092</v>
      </c>
      <c r="L1448">
        <v>245</v>
      </c>
      <c r="M1448" t="s">
        <v>4093</v>
      </c>
    </row>
    <row r="1449" spans="1:13" x14ac:dyDescent="0.35">
      <c r="A1449" t="s">
        <v>13</v>
      </c>
      <c r="B1449">
        <v>1530338</v>
      </c>
      <c r="C1449">
        <v>1531792</v>
      </c>
      <c r="E1449" t="s">
        <v>38</v>
      </c>
      <c r="F1449" t="s">
        <v>4094</v>
      </c>
      <c r="G1449" t="s">
        <v>4095</v>
      </c>
      <c r="H1449">
        <v>1019426</v>
      </c>
      <c r="I1449" t="s">
        <v>17</v>
      </c>
      <c r="K1449" t="s">
        <v>4096</v>
      </c>
      <c r="L1449">
        <v>484</v>
      </c>
      <c r="M1449" t="s">
        <v>4097</v>
      </c>
    </row>
    <row r="1450" spans="1:13" x14ac:dyDescent="0.35">
      <c r="A1450" t="s">
        <v>13</v>
      </c>
      <c r="B1450">
        <v>1531933</v>
      </c>
      <c r="C1450">
        <v>1532397</v>
      </c>
      <c r="E1450" t="s">
        <v>14</v>
      </c>
      <c r="F1450" t="s">
        <v>4098</v>
      </c>
      <c r="H1450">
        <v>1019427</v>
      </c>
      <c r="I1450" t="s">
        <v>17</v>
      </c>
      <c r="K1450" t="s">
        <v>4099</v>
      </c>
      <c r="L1450">
        <v>154</v>
      </c>
      <c r="M1450" t="s">
        <v>4100</v>
      </c>
    </row>
    <row r="1451" spans="1:13" x14ac:dyDescent="0.35">
      <c r="A1451" t="s">
        <v>13</v>
      </c>
      <c r="B1451">
        <v>1532415</v>
      </c>
      <c r="C1451">
        <v>1532999</v>
      </c>
      <c r="E1451" t="s">
        <v>14</v>
      </c>
      <c r="F1451" t="s">
        <v>1169</v>
      </c>
      <c r="H1451">
        <v>1019428</v>
      </c>
      <c r="I1451" t="s">
        <v>17</v>
      </c>
      <c r="K1451" t="s">
        <v>4101</v>
      </c>
      <c r="L1451">
        <v>194</v>
      </c>
      <c r="M1451" t="s">
        <v>4102</v>
      </c>
    </row>
    <row r="1452" spans="1:13" x14ac:dyDescent="0.35">
      <c r="A1452" t="s">
        <v>13</v>
      </c>
      <c r="B1452">
        <v>1533041</v>
      </c>
      <c r="C1452">
        <v>1533784</v>
      </c>
      <c r="E1452" t="s">
        <v>14</v>
      </c>
      <c r="F1452" t="s">
        <v>147</v>
      </c>
      <c r="H1452">
        <v>1019429</v>
      </c>
      <c r="I1452" t="s">
        <v>17</v>
      </c>
      <c r="K1452" t="s">
        <v>4103</v>
      </c>
      <c r="L1452">
        <v>247</v>
      </c>
      <c r="M1452" t="s">
        <v>4104</v>
      </c>
    </row>
    <row r="1453" spans="1:13" x14ac:dyDescent="0.35">
      <c r="A1453" t="s">
        <v>13</v>
      </c>
      <c r="B1453">
        <v>1533781</v>
      </c>
      <c r="C1453">
        <v>1534524</v>
      </c>
      <c r="E1453" t="s">
        <v>14</v>
      </c>
      <c r="F1453" t="s">
        <v>124</v>
      </c>
      <c r="H1453">
        <v>1019430</v>
      </c>
      <c r="I1453" t="s">
        <v>17</v>
      </c>
      <c r="K1453" t="s">
        <v>4105</v>
      </c>
      <c r="L1453">
        <v>247</v>
      </c>
      <c r="M1453" t="s">
        <v>4106</v>
      </c>
    </row>
    <row r="1454" spans="1:13" x14ac:dyDescent="0.35">
      <c r="A1454" t="s">
        <v>13</v>
      </c>
      <c r="B1454">
        <v>1534526</v>
      </c>
      <c r="C1454">
        <v>1535401</v>
      </c>
      <c r="E1454" t="s">
        <v>38</v>
      </c>
      <c r="F1454" t="s">
        <v>4107</v>
      </c>
      <c r="H1454">
        <v>1019431</v>
      </c>
      <c r="I1454" t="s">
        <v>17</v>
      </c>
      <c r="K1454" t="s">
        <v>4108</v>
      </c>
      <c r="L1454">
        <v>291</v>
      </c>
      <c r="M1454" t="s">
        <v>4109</v>
      </c>
    </row>
    <row r="1455" spans="1:13" x14ac:dyDescent="0.35">
      <c r="A1455" t="s">
        <v>13</v>
      </c>
      <c r="B1455">
        <v>1535379</v>
      </c>
      <c r="C1455">
        <v>1536227</v>
      </c>
      <c r="E1455" t="s">
        <v>38</v>
      </c>
      <c r="F1455" t="s">
        <v>4110</v>
      </c>
      <c r="G1455" t="s">
        <v>4111</v>
      </c>
      <c r="H1455">
        <v>1019432</v>
      </c>
      <c r="I1455" t="s">
        <v>17</v>
      </c>
      <c r="K1455" t="s">
        <v>4112</v>
      </c>
      <c r="L1455">
        <v>282</v>
      </c>
      <c r="M1455" t="s">
        <v>4113</v>
      </c>
    </row>
    <row r="1456" spans="1:13" x14ac:dyDescent="0.35">
      <c r="A1456" t="s">
        <v>13</v>
      </c>
      <c r="B1456">
        <v>1536224</v>
      </c>
      <c r="C1456">
        <v>1537030</v>
      </c>
      <c r="E1456" t="s">
        <v>38</v>
      </c>
      <c r="F1456" t="s">
        <v>4110</v>
      </c>
      <c r="G1456" t="s">
        <v>4111</v>
      </c>
      <c r="H1456">
        <v>1019433</v>
      </c>
      <c r="I1456" t="s">
        <v>17</v>
      </c>
      <c r="K1456" t="s">
        <v>4114</v>
      </c>
      <c r="L1456">
        <v>268</v>
      </c>
      <c r="M1456" t="s">
        <v>4115</v>
      </c>
    </row>
    <row r="1457" spans="1:13" x14ac:dyDescent="0.35">
      <c r="A1457" t="s">
        <v>13</v>
      </c>
      <c r="B1457">
        <v>1537027</v>
      </c>
      <c r="C1457">
        <v>1537833</v>
      </c>
      <c r="E1457" t="s">
        <v>38</v>
      </c>
      <c r="F1457" t="s">
        <v>4116</v>
      </c>
      <c r="G1457" t="s">
        <v>4117</v>
      </c>
      <c r="H1457">
        <v>1019434</v>
      </c>
      <c r="I1457" t="s">
        <v>17</v>
      </c>
      <c r="K1457" t="s">
        <v>4118</v>
      </c>
      <c r="L1457">
        <v>268</v>
      </c>
      <c r="M1457" t="s">
        <v>4119</v>
      </c>
    </row>
    <row r="1458" spans="1:13" x14ac:dyDescent="0.35">
      <c r="A1458" t="s">
        <v>13</v>
      </c>
      <c r="B1458">
        <v>1537867</v>
      </c>
      <c r="C1458">
        <v>1538919</v>
      </c>
      <c r="E1458" t="s">
        <v>38</v>
      </c>
      <c r="F1458" t="s">
        <v>4120</v>
      </c>
      <c r="G1458" t="s">
        <v>4121</v>
      </c>
      <c r="H1458">
        <v>1019435</v>
      </c>
      <c r="I1458" t="s">
        <v>17</v>
      </c>
      <c r="K1458" t="s">
        <v>4122</v>
      </c>
      <c r="L1458">
        <v>350</v>
      </c>
      <c r="M1458" t="s">
        <v>4123</v>
      </c>
    </row>
    <row r="1459" spans="1:13" x14ac:dyDescent="0.35">
      <c r="A1459" t="s">
        <v>13</v>
      </c>
      <c r="B1459">
        <v>1538960</v>
      </c>
      <c r="C1459">
        <v>1539619</v>
      </c>
      <c r="E1459" t="s">
        <v>38</v>
      </c>
      <c r="F1459" t="s">
        <v>394</v>
      </c>
      <c r="H1459">
        <v>1019436</v>
      </c>
      <c r="I1459" t="s">
        <v>17</v>
      </c>
      <c r="K1459" t="s">
        <v>4124</v>
      </c>
      <c r="L1459">
        <v>219</v>
      </c>
      <c r="M1459" t="s">
        <v>4125</v>
      </c>
    </row>
    <row r="1460" spans="1:13" x14ac:dyDescent="0.35">
      <c r="A1460" t="s">
        <v>13</v>
      </c>
      <c r="B1460">
        <v>1539817</v>
      </c>
      <c r="C1460">
        <v>1542108</v>
      </c>
      <c r="E1460" t="s">
        <v>38</v>
      </c>
      <c r="F1460" t="s">
        <v>4126</v>
      </c>
      <c r="H1460">
        <v>1019437</v>
      </c>
      <c r="I1460" t="s">
        <v>17</v>
      </c>
      <c r="K1460" t="s">
        <v>4127</v>
      </c>
      <c r="L1460">
        <v>763</v>
      </c>
      <c r="M1460" t="s">
        <v>4128</v>
      </c>
    </row>
    <row r="1461" spans="1:13" x14ac:dyDescent="0.35">
      <c r="A1461" t="s">
        <v>13</v>
      </c>
      <c r="B1461">
        <v>1542116</v>
      </c>
      <c r="C1461">
        <v>1542922</v>
      </c>
      <c r="E1461" t="s">
        <v>38</v>
      </c>
      <c r="F1461" t="s">
        <v>4129</v>
      </c>
      <c r="G1461" t="s">
        <v>4130</v>
      </c>
      <c r="H1461">
        <v>1019438</v>
      </c>
      <c r="I1461" t="s">
        <v>17</v>
      </c>
      <c r="K1461" t="s">
        <v>4131</v>
      </c>
      <c r="L1461">
        <v>268</v>
      </c>
      <c r="M1461" t="s">
        <v>4132</v>
      </c>
    </row>
    <row r="1462" spans="1:13" x14ac:dyDescent="0.35">
      <c r="A1462" t="s">
        <v>13</v>
      </c>
      <c r="B1462">
        <v>1543151</v>
      </c>
      <c r="C1462">
        <v>1544554</v>
      </c>
      <c r="E1462" t="s">
        <v>38</v>
      </c>
      <c r="F1462" t="s">
        <v>1602</v>
      </c>
      <c r="H1462">
        <v>1019439</v>
      </c>
      <c r="I1462" t="s">
        <v>17</v>
      </c>
      <c r="K1462" t="s">
        <v>4133</v>
      </c>
      <c r="L1462">
        <v>467</v>
      </c>
      <c r="M1462" t="s">
        <v>4134</v>
      </c>
    </row>
    <row r="1463" spans="1:13" x14ac:dyDescent="0.35">
      <c r="A1463" t="s">
        <v>13</v>
      </c>
      <c r="B1463">
        <v>1544976</v>
      </c>
      <c r="C1463">
        <v>1546292</v>
      </c>
      <c r="E1463" t="s">
        <v>14</v>
      </c>
      <c r="F1463" t="s">
        <v>1674</v>
      </c>
      <c r="H1463">
        <v>1019440</v>
      </c>
      <c r="I1463" t="s">
        <v>17</v>
      </c>
      <c r="K1463" t="s">
        <v>4135</v>
      </c>
      <c r="L1463">
        <v>438</v>
      </c>
      <c r="M1463" t="s">
        <v>4136</v>
      </c>
    </row>
    <row r="1464" spans="1:13" x14ac:dyDescent="0.35">
      <c r="A1464" t="s">
        <v>13</v>
      </c>
      <c r="B1464">
        <v>1546304</v>
      </c>
      <c r="C1464">
        <v>1547692</v>
      </c>
      <c r="E1464" t="s">
        <v>38</v>
      </c>
      <c r="F1464" t="s">
        <v>265</v>
      </c>
      <c r="H1464">
        <v>1019441</v>
      </c>
      <c r="I1464" t="s">
        <v>17</v>
      </c>
      <c r="K1464" t="s">
        <v>4137</v>
      </c>
      <c r="L1464">
        <v>462</v>
      </c>
      <c r="M1464" t="s">
        <v>4138</v>
      </c>
    </row>
    <row r="1465" spans="1:13" x14ac:dyDescent="0.35">
      <c r="A1465" t="s">
        <v>13</v>
      </c>
      <c r="B1465">
        <v>1547964</v>
      </c>
      <c r="C1465">
        <v>1548440</v>
      </c>
      <c r="E1465" t="s">
        <v>38</v>
      </c>
      <c r="F1465" t="s">
        <v>4139</v>
      </c>
      <c r="H1465">
        <v>1019442</v>
      </c>
      <c r="I1465" t="s">
        <v>17</v>
      </c>
      <c r="K1465" t="s">
        <v>4140</v>
      </c>
      <c r="L1465">
        <v>158</v>
      </c>
      <c r="M1465" t="s">
        <v>4141</v>
      </c>
    </row>
    <row r="1466" spans="1:13" x14ac:dyDescent="0.35">
      <c r="A1466" t="s">
        <v>13</v>
      </c>
      <c r="B1466">
        <v>1548780</v>
      </c>
      <c r="C1466">
        <v>1549352</v>
      </c>
      <c r="E1466" t="s">
        <v>14</v>
      </c>
      <c r="F1466" t="s">
        <v>4142</v>
      </c>
      <c r="H1466">
        <v>1019443</v>
      </c>
      <c r="I1466" t="s">
        <v>17</v>
      </c>
      <c r="K1466" t="s">
        <v>4143</v>
      </c>
      <c r="L1466">
        <v>190</v>
      </c>
      <c r="M1466" t="s">
        <v>4144</v>
      </c>
    </row>
    <row r="1467" spans="1:13" x14ac:dyDescent="0.35">
      <c r="A1467" t="s">
        <v>13</v>
      </c>
      <c r="B1467">
        <v>1549403</v>
      </c>
      <c r="C1467">
        <v>1550401</v>
      </c>
      <c r="E1467" t="s">
        <v>14</v>
      </c>
      <c r="F1467" t="s">
        <v>4145</v>
      </c>
      <c r="H1467">
        <v>1019444</v>
      </c>
      <c r="I1467" t="s">
        <v>17</v>
      </c>
      <c r="K1467" t="s">
        <v>4146</v>
      </c>
      <c r="L1467">
        <v>332</v>
      </c>
      <c r="M1467" t="s">
        <v>4147</v>
      </c>
    </row>
    <row r="1468" spans="1:13" x14ac:dyDescent="0.35">
      <c r="A1468" t="s">
        <v>13</v>
      </c>
      <c r="B1468">
        <v>1550469</v>
      </c>
      <c r="C1468">
        <v>1550954</v>
      </c>
      <c r="E1468" t="s">
        <v>14</v>
      </c>
      <c r="F1468" t="s">
        <v>49</v>
      </c>
      <c r="H1468">
        <v>1019445</v>
      </c>
      <c r="I1468" t="s">
        <v>17</v>
      </c>
      <c r="K1468" t="s">
        <v>4148</v>
      </c>
      <c r="L1468">
        <v>161</v>
      </c>
      <c r="M1468" t="s">
        <v>4149</v>
      </c>
    </row>
    <row r="1469" spans="1:13" x14ac:dyDescent="0.35">
      <c r="A1469" t="s">
        <v>13</v>
      </c>
      <c r="B1469">
        <v>1551575</v>
      </c>
      <c r="C1469">
        <v>1552240</v>
      </c>
      <c r="E1469" t="s">
        <v>14</v>
      </c>
      <c r="F1469" t="s">
        <v>2721</v>
      </c>
      <c r="H1469">
        <v>1019446</v>
      </c>
      <c r="I1469" t="s">
        <v>17</v>
      </c>
      <c r="K1469" t="s">
        <v>4150</v>
      </c>
      <c r="L1469">
        <v>221</v>
      </c>
      <c r="M1469" t="s">
        <v>4151</v>
      </c>
    </row>
    <row r="1470" spans="1:13" x14ac:dyDescent="0.35">
      <c r="A1470" t="s">
        <v>13</v>
      </c>
      <c r="B1470">
        <v>1552587</v>
      </c>
      <c r="C1470">
        <v>1553975</v>
      </c>
      <c r="E1470" t="s">
        <v>14</v>
      </c>
      <c r="F1470" t="s">
        <v>2522</v>
      </c>
      <c r="H1470">
        <v>1019447</v>
      </c>
      <c r="I1470" t="s">
        <v>17</v>
      </c>
      <c r="K1470" t="s">
        <v>4152</v>
      </c>
      <c r="L1470">
        <v>462</v>
      </c>
      <c r="M1470" t="s">
        <v>4153</v>
      </c>
    </row>
    <row r="1471" spans="1:13" x14ac:dyDescent="0.35">
      <c r="A1471" t="s">
        <v>13</v>
      </c>
      <c r="B1471">
        <v>1554067</v>
      </c>
      <c r="C1471">
        <v>1554684</v>
      </c>
      <c r="E1471" t="s">
        <v>38</v>
      </c>
      <c r="F1471" t="s">
        <v>49</v>
      </c>
      <c r="H1471">
        <v>1019448</v>
      </c>
      <c r="I1471" t="s">
        <v>17</v>
      </c>
      <c r="K1471" t="s">
        <v>4154</v>
      </c>
      <c r="L1471">
        <v>205</v>
      </c>
      <c r="M1471" t="s">
        <v>4155</v>
      </c>
    </row>
    <row r="1472" spans="1:13" x14ac:dyDescent="0.35">
      <c r="A1472" t="s">
        <v>13</v>
      </c>
      <c r="B1472">
        <v>1554888</v>
      </c>
      <c r="C1472">
        <v>1555079</v>
      </c>
      <c r="E1472" t="s">
        <v>38</v>
      </c>
      <c r="F1472" t="s">
        <v>49</v>
      </c>
      <c r="H1472">
        <v>1019449</v>
      </c>
      <c r="I1472" t="s">
        <v>17</v>
      </c>
      <c r="K1472" t="s">
        <v>4156</v>
      </c>
      <c r="L1472">
        <v>63</v>
      </c>
      <c r="M1472" t="s">
        <v>4157</v>
      </c>
    </row>
    <row r="1473" spans="1:13" x14ac:dyDescent="0.35">
      <c r="A1473" t="s">
        <v>13</v>
      </c>
      <c r="B1473">
        <v>1555083</v>
      </c>
      <c r="C1473">
        <v>1555835</v>
      </c>
      <c r="E1473" t="s">
        <v>38</v>
      </c>
      <c r="F1473" t="s">
        <v>3326</v>
      </c>
      <c r="H1473">
        <v>1019450</v>
      </c>
      <c r="I1473" t="s">
        <v>17</v>
      </c>
      <c r="K1473" t="s">
        <v>4158</v>
      </c>
      <c r="L1473">
        <v>250</v>
      </c>
      <c r="M1473" t="s">
        <v>4159</v>
      </c>
    </row>
    <row r="1474" spans="1:13" x14ac:dyDescent="0.35">
      <c r="A1474" t="s">
        <v>13</v>
      </c>
      <c r="B1474">
        <v>1555835</v>
      </c>
      <c r="C1474">
        <v>1556182</v>
      </c>
      <c r="E1474" t="s">
        <v>38</v>
      </c>
      <c r="F1474" t="s">
        <v>49</v>
      </c>
      <c r="H1474">
        <v>44144966</v>
      </c>
      <c r="I1474" t="s">
        <v>17</v>
      </c>
      <c r="K1474" t="s">
        <v>4160</v>
      </c>
      <c r="L1474">
        <v>115</v>
      </c>
      <c r="M1474" t="s">
        <v>4161</v>
      </c>
    </row>
    <row r="1475" spans="1:13" x14ac:dyDescent="0.35">
      <c r="A1475" t="s">
        <v>13</v>
      </c>
      <c r="B1475">
        <v>1556376</v>
      </c>
      <c r="C1475">
        <v>1556774</v>
      </c>
      <c r="E1475" t="s">
        <v>14</v>
      </c>
      <c r="F1475" t="s">
        <v>4162</v>
      </c>
      <c r="H1475">
        <v>1019452</v>
      </c>
      <c r="I1475" t="s">
        <v>17</v>
      </c>
      <c r="K1475" t="s">
        <v>4163</v>
      </c>
      <c r="L1475">
        <v>132</v>
      </c>
      <c r="M1475" t="s">
        <v>4164</v>
      </c>
    </row>
    <row r="1476" spans="1:13" x14ac:dyDescent="0.35">
      <c r="A1476" t="s">
        <v>13</v>
      </c>
      <c r="B1476">
        <v>1557011</v>
      </c>
      <c r="C1476">
        <v>1557823</v>
      </c>
      <c r="E1476" t="s">
        <v>38</v>
      </c>
      <c r="F1476" t="s">
        <v>4165</v>
      </c>
      <c r="H1476">
        <v>1019453</v>
      </c>
      <c r="I1476" t="s">
        <v>17</v>
      </c>
      <c r="K1476" t="s">
        <v>4166</v>
      </c>
      <c r="L1476">
        <v>270</v>
      </c>
      <c r="M1476" t="s">
        <v>4167</v>
      </c>
    </row>
    <row r="1477" spans="1:13" x14ac:dyDescent="0.35">
      <c r="A1477" t="s">
        <v>13</v>
      </c>
      <c r="B1477">
        <v>1557856</v>
      </c>
      <c r="C1477">
        <v>1559493</v>
      </c>
      <c r="E1477" t="s">
        <v>38</v>
      </c>
      <c r="F1477" t="s">
        <v>4168</v>
      </c>
      <c r="G1477" t="s">
        <v>4169</v>
      </c>
      <c r="H1477">
        <v>1019454</v>
      </c>
      <c r="I1477" t="s">
        <v>17</v>
      </c>
      <c r="K1477" t="s">
        <v>4170</v>
      </c>
      <c r="L1477">
        <v>545</v>
      </c>
      <c r="M1477" t="s">
        <v>4171</v>
      </c>
    </row>
    <row r="1478" spans="1:13" x14ac:dyDescent="0.35">
      <c r="A1478" t="s">
        <v>13</v>
      </c>
      <c r="B1478">
        <v>1559494</v>
      </c>
      <c r="C1478">
        <v>1560057</v>
      </c>
      <c r="E1478" t="s">
        <v>38</v>
      </c>
      <c r="F1478" t="s">
        <v>4172</v>
      </c>
      <c r="H1478">
        <v>1019455</v>
      </c>
      <c r="I1478" t="s">
        <v>17</v>
      </c>
      <c r="K1478" t="s">
        <v>4173</v>
      </c>
      <c r="L1478">
        <v>187</v>
      </c>
      <c r="M1478" t="s">
        <v>4174</v>
      </c>
    </row>
    <row r="1479" spans="1:13" x14ac:dyDescent="0.35">
      <c r="A1479" t="s">
        <v>13</v>
      </c>
      <c r="B1479">
        <v>1560434</v>
      </c>
      <c r="C1479">
        <v>1561741</v>
      </c>
      <c r="E1479" t="s">
        <v>38</v>
      </c>
      <c r="F1479" t="s">
        <v>4175</v>
      </c>
      <c r="H1479">
        <v>1019456</v>
      </c>
      <c r="I1479" t="s">
        <v>17</v>
      </c>
      <c r="K1479" t="s">
        <v>4176</v>
      </c>
      <c r="L1479">
        <v>435</v>
      </c>
      <c r="M1479" t="s">
        <v>4177</v>
      </c>
    </row>
    <row r="1480" spans="1:13" x14ac:dyDescent="0.35">
      <c r="A1480" t="s">
        <v>13</v>
      </c>
      <c r="B1480">
        <v>1561780</v>
      </c>
      <c r="C1480">
        <v>1562556</v>
      </c>
      <c r="E1480" t="s">
        <v>14</v>
      </c>
      <c r="F1480" t="s">
        <v>4178</v>
      </c>
      <c r="H1480">
        <v>1019457</v>
      </c>
      <c r="I1480" t="s">
        <v>17</v>
      </c>
      <c r="K1480" t="s">
        <v>4179</v>
      </c>
      <c r="L1480">
        <v>258</v>
      </c>
      <c r="M1480" t="s">
        <v>4180</v>
      </c>
    </row>
    <row r="1481" spans="1:13" x14ac:dyDescent="0.35">
      <c r="A1481" t="s">
        <v>13</v>
      </c>
      <c r="B1481">
        <v>1562522</v>
      </c>
      <c r="C1481">
        <v>1563802</v>
      </c>
      <c r="E1481" t="s">
        <v>38</v>
      </c>
      <c r="F1481" t="s">
        <v>4181</v>
      </c>
      <c r="G1481" t="s">
        <v>4182</v>
      </c>
      <c r="H1481">
        <v>1019458</v>
      </c>
      <c r="I1481" t="s">
        <v>17</v>
      </c>
      <c r="K1481" t="s">
        <v>4183</v>
      </c>
      <c r="L1481">
        <v>426</v>
      </c>
      <c r="M1481" t="s">
        <v>4184</v>
      </c>
    </row>
    <row r="1482" spans="1:13" x14ac:dyDescent="0.35">
      <c r="A1482" t="s">
        <v>13</v>
      </c>
      <c r="B1482">
        <v>1563878</v>
      </c>
      <c r="C1482">
        <v>1564240</v>
      </c>
      <c r="E1482" t="s">
        <v>14</v>
      </c>
      <c r="F1482" t="s">
        <v>49</v>
      </c>
      <c r="H1482">
        <v>44144967</v>
      </c>
      <c r="I1482" t="s">
        <v>17</v>
      </c>
      <c r="K1482" t="s">
        <v>4185</v>
      </c>
      <c r="L1482">
        <v>120</v>
      </c>
      <c r="M1482" t="s">
        <v>4186</v>
      </c>
    </row>
    <row r="1483" spans="1:13" x14ac:dyDescent="0.35">
      <c r="A1483" t="s">
        <v>13</v>
      </c>
      <c r="B1483">
        <v>1564237</v>
      </c>
      <c r="C1483">
        <v>1564485</v>
      </c>
      <c r="E1483" t="s">
        <v>14</v>
      </c>
      <c r="F1483" t="s">
        <v>382</v>
      </c>
      <c r="H1483">
        <v>44144968</v>
      </c>
      <c r="I1483" t="s">
        <v>17</v>
      </c>
      <c r="K1483" t="s">
        <v>4187</v>
      </c>
      <c r="L1483">
        <v>82</v>
      </c>
      <c r="M1483" t="s">
        <v>4188</v>
      </c>
    </row>
    <row r="1484" spans="1:13" x14ac:dyDescent="0.35">
      <c r="A1484" t="s">
        <v>13</v>
      </c>
      <c r="B1484">
        <v>1564562</v>
      </c>
      <c r="C1484">
        <v>1565302</v>
      </c>
      <c r="E1484" t="s">
        <v>38</v>
      </c>
      <c r="F1484" t="s">
        <v>1841</v>
      </c>
      <c r="H1484">
        <v>1019459</v>
      </c>
      <c r="I1484" t="s">
        <v>17</v>
      </c>
      <c r="K1484" t="s">
        <v>4189</v>
      </c>
      <c r="L1484">
        <v>246</v>
      </c>
      <c r="M1484" t="s">
        <v>4190</v>
      </c>
    </row>
    <row r="1485" spans="1:13" x14ac:dyDescent="0.35">
      <c r="A1485" t="s">
        <v>13</v>
      </c>
      <c r="B1485">
        <v>1565299</v>
      </c>
      <c r="C1485">
        <v>1566438</v>
      </c>
      <c r="E1485" t="s">
        <v>38</v>
      </c>
      <c r="F1485" t="s">
        <v>1294</v>
      </c>
      <c r="H1485">
        <v>1019460</v>
      </c>
      <c r="I1485" t="s">
        <v>17</v>
      </c>
      <c r="K1485" t="s">
        <v>4191</v>
      </c>
      <c r="L1485">
        <v>379</v>
      </c>
      <c r="M1485" t="s">
        <v>4192</v>
      </c>
    </row>
    <row r="1486" spans="1:13" x14ac:dyDescent="0.35">
      <c r="A1486" t="s">
        <v>13</v>
      </c>
      <c r="B1486">
        <v>1566468</v>
      </c>
      <c r="C1486">
        <v>1567109</v>
      </c>
      <c r="E1486" t="s">
        <v>14</v>
      </c>
      <c r="F1486" t="s">
        <v>3804</v>
      </c>
      <c r="H1486">
        <v>1019461</v>
      </c>
      <c r="I1486" t="s">
        <v>17</v>
      </c>
      <c r="K1486" t="s">
        <v>4193</v>
      </c>
      <c r="L1486">
        <v>213</v>
      </c>
      <c r="M1486" t="s">
        <v>4194</v>
      </c>
    </row>
    <row r="1487" spans="1:13" x14ac:dyDescent="0.35">
      <c r="A1487" t="s">
        <v>13</v>
      </c>
      <c r="B1487">
        <v>1567114</v>
      </c>
      <c r="C1487">
        <v>1569903</v>
      </c>
      <c r="E1487" t="s">
        <v>38</v>
      </c>
      <c r="F1487" t="s">
        <v>930</v>
      </c>
      <c r="H1487">
        <v>1019462</v>
      </c>
      <c r="I1487" t="s">
        <v>17</v>
      </c>
      <c r="K1487" t="s">
        <v>4195</v>
      </c>
      <c r="L1487">
        <v>929</v>
      </c>
      <c r="M1487" t="s">
        <v>4196</v>
      </c>
    </row>
    <row r="1488" spans="1:13" x14ac:dyDescent="0.35">
      <c r="A1488" t="s">
        <v>13</v>
      </c>
      <c r="B1488">
        <v>1569929</v>
      </c>
      <c r="C1488">
        <v>1570873</v>
      </c>
      <c r="E1488" t="s">
        <v>38</v>
      </c>
      <c r="F1488" t="s">
        <v>4197</v>
      </c>
      <c r="G1488" t="s">
        <v>4198</v>
      </c>
      <c r="H1488">
        <v>1019463</v>
      </c>
      <c r="I1488" t="s">
        <v>17</v>
      </c>
      <c r="K1488" t="s">
        <v>4199</v>
      </c>
      <c r="L1488">
        <v>314</v>
      </c>
      <c r="M1488" t="s">
        <v>4200</v>
      </c>
    </row>
    <row r="1489" spans="1:13" x14ac:dyDescent="0.35">
      <c r="A1489" t="s">
        <v>13</v>
      </c>
      <c r="B1489">
        <v>1571065</v>
      </c>
      <c r="C1489">
        <v>1571382</v>
      </c>
      <c r="E1489" t="s">
        <v>38</v>
      </c>
      <c r="F1489" t="s">
        <v>4201</v>
      </c>
      <c r="G1489" t="s">
        <v>4202</v>
      </c>
      <c r="H1489">
        <v>1019464</v>
      </c>
      <c r="I1489" t="s">
        <v>17</v>
      </c>
      <c r="K1489" t="s">
        <v>4203</v>
      </c>
      <c r="L1489">
        <v>105</v>
      </c>
      <c r="M1489" t="s">
        <v>4204</v>
      </c>
    </row>
    <row r="1490" spans="1:13" x14ac:dyDescent="0.35">
      <c r="A1490" t="s">
        <v>13</v>
      </c>
      <c r="B1490">
        <v>1571503</v>
      </c>
      <c r="C1490">
        <v>1572486</v>
      </c>
      <c r="E1490" t="s">
        <v>38</v>
      </c>
      <c r="F1490" t="s">
        <v>3368</v>
      </c>
      <c r="H1490">
        <v>1019465</v>
      </c>
      <c r="I1490" t="s">
        <v>17</v>
      </c>
      <c r="K1490" t="s">
        <v>4205</v>
      </c>
      <c r="L1490">
        <v>327</v>
      </c>
      <c r="M1490" t="s">
        <v>4206</v>
      </c>
    </row>
    <row r="1491" spans="1:13" x14ac:dyDescent="0.35">
      <c r="A1491" t="s">
        <v>13</v>
      </c>
      <c r="B1491">
        <v>1572489</v>
      </c>
      <c r="C1491">
        <v>1573463</v>
      </c>
      <c r="E1491" t="s">
        <v>38</v>
      </c>
      <c r="F1491" t="s">
        <v>3368</v>
      </c>
      <c r="H1491">
        <v>1019466</v>
      </c>
      <c r="I1491" t="s">
        <v>17</v>
      </c>
      <c r="K1491" t="s">
        <v>4207</v>
      </c>
      <c r="L1491">
        <v>324</v>
      </c>
      <c r="M1491" t="s">
        <v>4208</v>
      </c>
    </row>
    <row r="1492" spans="1:13" x14ac:dyDescent="0.35">
      <c r="A1492" t="s">
        <v>13</v>
      </c>
      <c r="B1492">
        <v>1573488</v>
      </c>
      <c r="C1492">
        <v>1574900</v>
      </c>
      <c r="E1492" t="s">
        <v>38</v>
      </c>
      <c r="F1492" t="s">
        <v>4209</v>
      </c>
      <c r="G1492" t="s">
        <v>4210</v>
      </c>
      <c r="H1492">
        <v>1019467</v>
      </c>
      <c r="I1492" t="s">
        <v>17</v>
      </c>
      <c r="K1492" t="s">
        <v>4211</v>
      </c>
      <c r="L1492">
        <v>470</v>
      </c>
      <c r="M1492" t="s">
        <v>4212</v>
      </c>
    </row>
    <row r="1493" spans="1:13" x14ac:dyDescent="0.35">
      <c r="A1493" t="s">
        <v>13</v>
      </c>
      <c r="B1493">
        <v>1574942</v>
      </c>
      <c r="C1493">
        <v>1575136</v>
      </c>
      <c r="E1493" t="s">
        <v>38</v>
      </c>
      <c r="F1493" t="s">
        <v>4213</v>
      </c>
      <c r="H1493">
        <v>1019468</v>
      </c>
      <c r="I1493" t="s">
        <v>17</v>
      </c>
      <c r="K1493" t="s">
        <v>4214</v>
      </c>
      <c r="L1493">
        <v>64</v>
      </c>
      <c r="M1493" t="s">
        <v>4215</v>
      </c>
    </row>
    <row r="1494" spans="1:13" x14ac:dyDescent="0.35">
      <c r="A1494" t="s">
        <v>13</v>
      </c>
      <c r="B1494">
        <v>1575403</v>
      </c>
      <c r="C1494">
        <v>1576947</v>
      </c>
      <c r="E1494" t="s">
        <v>38</v>
      </c>
      <c r="F1494" t="s">
        <v>4216</v>
      </c>
      <c r="G1494" t="s">
        <v>4217</v>
      </c>
      <c r="H1494">
        <v>1019469</v>
      </c>
      <c r="I1494" t="s">
        <v>17</v>
      </c>
      <c r="K1494" t="s">
        <v>4218</v>
      </c>
      <c r="L1494">
        <v>514</v>
      </c>
      <c r="M1494" t="s">
        <v>4219</v>
      </c>
    </row>
    <row r="1495" spans="1:13" x14ac:dyDescent="0.35">
      <c r="A1495" t="s">
        <v>13</v>
      </c>
      <c r="B1495">
        <v>1576948</v>
      </c>
      <c r="C1495">
        <v>1578531</v>
      </c>
      <c r="E1495" t="s">
        <v>38</v>
      </c>
      <c r="F1495" t="s">
        <v>4220</v>
      </c>
      <c r="G1495" t="s">
        <v>4221</v>
      </c>
      <c r="H1495">
        <v>1019470</v>
      </c>
      <c r="I1495" t="s">
        <v>17</v>
      </c>
      <c r="K1495" t="s">
        <v>4222</v>
      </c>
      <c r="L1495">
        <v>527</v>
      </c>
      <c r="M1495" t="s">
        <v>4223</v>
      </c>
    </row>
    <row r="1496" spans="1:13" x14ac:dyDescent="0.35">
      <c r="A1496" t="s">
        <v>13</v>
      </c>
      <c r="B1496">
        <v>1578564</v>
      </c>
      <c r="C1496">
        <v>1579400</v>
      </c>
      <c r="E1496" t="s">
        <v>38</v>
      </c>
      <c r="F1496" t="s">
        <v>4224</v>
      </c>
      <c r="H1496">
        <v>1019471</v>
      </c>
      <c r="I1496" t="s">
        <v>17</v>
      </c>
      <c r="K1496" t="s">
        <v>4225</v>
      </c>
      <c r="L1496">
        <v>278</v>
      </c>
      <c r="M1496" t="s">
        <v>4226</v>
      </c>
    </row>
    <row r="1497" spans="1:13" x14ac:dyDescent="0.35">
      <c r="A1497" t="s">
        <v>13</v>
      </c>
      <c r="B1497">
        <v>1579446</v>
      </c>
      <c r="C1497">
        <v>1580708</v>
      </c>
      <c r="E1497" t="s">
        <v>38</v>
      </c>
      <c r="F1497" t="s">
        <v>4227</v>
      </c>
      <c r="H1497">
        <v>1019472</v>
      </c>
      <c r="I1497" t="s">
        <v>17</v>
      </c>
      <c r="K1497" t="s">
        <v>4228</v>
      </c>
      <c r="L1497">
        <v>420</v>
      </c>
      <c r="M1497" t="s">
        <v>4229</v>
      </c>
    </row>
    <row r="1498" spans="1:13" x14ac:dyDescent="0.35">
      <c r="A1498" t="s">
        <v>13</v>
      </c>
      <c r="B1498">
        <v>1580807</v>
      </c>
      <c r="C1498">
        <v>1581643</v>
      </c>
      <c r="E1498" t="s">
        <v>14</v>
      </c>
      <c r="F1498" t="s">
        <v>4230</v>
      </c>
      <c r="H1498">
        <v>1019473</v>
      </c>
      <c r="I1498" t="s">
        <v>17</v>
      </c>
      <c r="K1498" t="s">
        <v>4231</v>
      </c>
      <c r="L1498">
        <v>278</v>
      </c>
      <c r="M1498" t="s">
        <v>4232</v>
      </c>
    </row>
    <row r="1499" spans="1:13" x14ac:dyDescent="0.35">
      <c r="A1499" t="s">
        <v>13</v>
      </c>
      <c r="B1499">
        <v>1581857</v>
      </c>
      <c r="C1499">
        <v>1582117</v>
      </c>
      <c r="E1499" t="s">
        <v>14</v>
      </c>
      <c r="F1499" t="s">
        <v>2961</v>
      </c>
      <c r="H1499">
        <v>1019474</v>
      </c>
      <c r="I1499" t="s">
        <v>17</v>
      </c>
      <c r="K1499" t="s">
        <v>4233</v>
      </c>
      <c r="L1499">
        <v>86</v>
      </c>
      <c r="M1499" t="s">
        <v>4234</v>
      </c>
    </row>
    <row r="1500" spans="1:13" x14ac:dyDescent="0.35">
      <c r="A1500" t="s">
        <v>13</v>
      </c>
      <c r="B1500">
        <v>1582270</v>
      </c>
      <c r="C1500">
        <v>1583481</v>
      </c>
      <c r="E1500" t="s">
        <v>38</v>
      </c>
      <c r="F1500" t="s">
        <v>265</v>
      </c>
      <c r="H1500">
        <v>1019475</v>
      </c>
      <c r="I1500" t="s">
        <v>17</v>
      </c>
      <c r="K1500" t="s">
        <v>4235</v>
      </c>
      <c r="L1500">
        <v>403</v>
      </c>
      <c r="M1500" t="s">
        <v>4236</v>
      </c>
    </row>
    <row r="1501" spans="1:13" x14ac:dyDescent="0.35">
      <c r="A1501" t="s">
        <v>13</v>
      </c>
      <c r="B1501">
        <v>1583910</v>
      </c>
      <c r="C1501">
        <v>1585490</v>
      </c>
      <c r="E1501" t="s">
        <v>38</v>
      </c>
      <c r="F1501" t="s">
        <v>4237</v>
      </c>
      <c r="G1501" t="s">
        <v>4238</v>
      </c>
      <c r="H1501">
        <v>1019476</v>
      </c>
      <c r="I1501" t="s">
        <v>17</v>
      </c>
      <c r="K1501" t="s">
        <v>4239</v>
      </c>
      <c r="L1501">
        <v>526</v>
      </c>
      <c r="M1501" t="s">
        <v>4240</v>
      </c>
    </row>
    <row r="1502" spans="1:13" x14ac:dyDescent="0.35">
      <c r="A1502" t="s">
        <v>13</v>
      </c>
      <c r="B1502">
        <v>1585600</v>
      </c>
      <c r="C1502">
        <v>1586445</v>
      </c>
      <c r="E1502" t="s">
        <v>38</v>
      </c>
      <c r="F1502" t="s">
        <v>4241</v>
      </c>
      <c r="G1502" t="s">
        <v>4242</v>
      </c>
      <c r="H1502">
        <v>1019477</v>
      </c>
      <c r="I1502" t="s">
        <v>17</v>
      </c>
      <c r="K1502" t="s">
        <v>4243</v>
      </c>
      <c r="L1502">
        <v>281</v>
      </c>
      <c r="M1502" t="s">
        <v>4244</v>
      </c>
    </row>
    <row r="1503" spans="1:13" x14ac:dyDescent="0.35">
      <c r="A1503" t="s">
        <v>13</v>
      </c>
      <c r="B1503">
        <v>1586462</v>
      </c>
      <c r="C1503">
        <v>1586734</v>
      </c>
      <c r="E1503" t="s">
        <v>38</v>
      </c>
      <c r="F1503" t="s">
        <v>4245</v>
      </c>
      <c r="H1503">
        <v>1019478</v>
      </c>
      <c r="I1503" t="s">
        <v>17</v>
      </c>
      <c r="K1503" t="s">
        <v>4246</v>
      </c>
      <c r="L1503">
        <v>90</v>
      </c>
      <c r="M1503" t="s">
        <v>4247</v>
      </c>
    </row>
    <row r="1504" spans="1:13" x14ac:dyDescent="0.35">
      <c r="A1504" t="s">
        <v>13</v>
      </c>
      <c r="B1504">
        <v>1586809</v>
      </c>
      <c r="C1504">
        <v>1587504</v>
      </c>
      <c r="E1504" t="s">
        <v>38</v>
      </c>
      <c r="F1504" t="s">
        <v>394</v>
      </c>
      <c r="H1504">
        <v>1019479</v>
      </c>
      <c r="I1504" t="s">
        <v>17</v>
      </c>
      <c r="K1504" t="s">
        <v>4248</v>
      </c>
      <c r="L1504">
        <v>231</v>
      </c>
      <c r="M1504" t="s">
        <v>4249</v>
      </c>
    </row>
    <row r="1505" spans="1:13" x14ac:dyDescent="0.35">
      <c r="A1505" t="s">
        <v>13</v>
      </c>
      <c r="B1505">
        <v>1587570</v>
      </c>
      <c r="C1505">
        <v>1591235</v>
      </c>
      <c r="E1505" t="s">
        <v>38</v>
      </c>
      <c r="F1505" t="s">
        <v>4250</v>
      </c>
      <c r="G1505" t="s">
        <v>4251</v>
      </c>
      <c r="H1505">
        <v>1019480</v>
      </c>
      <c r="I1505" t="s">
        <v>17</v>
      </c>
      <c r="K1505" t="s">
        <v>4252</v>
      </c>
      <c r="L1505">
        <v>1221</v>
      </c>
      <c r="M1505" t="s">
        <v>4253</v>
      </c>
    </row>
    <row r="1506" spans="1:13" x14ac:dyDescent="0.35">
      <c r="A1506" t="s">
        <v>13</v>
      </c>
      <c r="B1506">
        <v>1591343</v>
      </c>
      <c r="C1506">
        <v>1591915</v>
      </c>
      <c r="E1506" t="s">
        <v>14</v>
      </c>
      <c r="F1506" t="s">
        <v>49</v>
      </c>
      <c r="H1506">
        <v>1019481</v>
      </c>
      <c r="I1506" t="s">
        <v>17</v>
      </c>
      <c r="K1506" t="s">
        <v>4254</v>
      </c>
      <c r="L1506">
        <v>190</v>
      </c>
      <c r="M1506" t="s">
        <v>4255</v>
      </c>
    </row>
    <row r="1507" spans="1:13" x14ac:dyDescent="0.35">
      <c r="A1507" t="s">
        <v>13</v>
      </c>
      <c r="B1507">
        <v>1591938</v>
      </c>
      <c r="C1507">
        <v>1592966</v>
      </c>
      <c r="E1507" t="s">
        <v>38</v>
      </c>
      <c r="F1507" t="s">
        <v>4256</v>
      </c>
      <c r="H1507">
        <v>1019482</v>
      </c>
      <c r="I1507" t="s">
        <v>17</v>
      </c>
      <c r="K1507" t="s">
        <v>4257</v>
      </c>
      <c r="L1507">
        <v>342</v>
      </c>
      <c r="M1507" t="s">
        <v>4258</v>
      </c>
    </row>
    <row r="1508" spans="1:13" x14ac:dyDescent="0.35">
      <c r="A1508" t="s">
        <v>13</v>
      </c>
      <c r="B1508">
        <v>1592963</v>
      </c>
      <c r="C1508">
        <v>1593322</v>
      </c>
      <c r="E1508" t="s">
        <v>38</v>
      </c>
      <c r="F1508" t="s">
        <v>801</v>
      </c>
      <c r="H1508">
        <v>44144969</v>
      </c>
      <c r="I1508" t="s">
        <v>17</v>
      </c>
      <c r="K1508" t="s">
        <v>4259</v>
      </c>
      <c r="L1508">
        <v>119</v>
      </c>
      <c r="M1508" t="s">
        <v>4260</v>
      </c>
    </row>
    <row r="1509" spans="1:13" x14ac:dyDescent="0.35">
      <c r="A1509" t="s">
        <v>13</v>
      </c>
      <c r="B1509">
        <v>1593403</v>
      </c>
      <c r="C1509">
        <v>1594515</v>
      </c>
      <c r="E1509" t="s">
        <v>14</v>
      </c>
      <c r="F1509" t="s">
        <v>804</v>
      </c>
      <c r="G1509" t="s">
        <v>805</v>
      </c>
      <c r="H1509">
        <v>1019483</v>
      </c>
      <c r="I1509" t="s">
        <v>17</v>
      </c>
      <c r="K1509" t="s">
        <v>4261</v>
      </c>
      <c r="L1509">
        <v>370</v>
      </c>
      <c r="M1509" t="s">
        <v>4262</v>
      </c>
    </row>
    <row r="1510" spans="1:13" x14ac:dyDescent="0.35">
      <c r="A1510" t="s">
        <v>13</v>
      </c>
      <c r="B1510">
        <v>1594532</v>
      </c>
      <c r="C1510">
        <v>1594954</v>
      </c>
      <c r="E1510" t="s">
        <v>14</v>
      </c>
      <c r="F1510" t="s">
        <v>808</v>
      </c>
      <c r="H1510">
        <v>1019484</v>
      </c>
      <c r="I1510" t="s">
        <v>17</v>
      </c>
      <c r="K1510" t="s">
        <v>4263</v>
      </c>
      <c r="L1510">
        <v>140</v>
      </c>
      <c r="M1510" t="s">
        <v>4264</v>
      </c>
    </row>
    <row r="1511" spans="1:13" x14ac:dyDescent="0.35">
      <c r="A1511" t="s">
        <v>13</v>
      </c>
      <c r="B1511">
        <v>1595030</v>
      </c>
      <c r="C1511">
        <v>1595671</v>
      </c>
      <c r="E1511" t="s">
        <v>14</v>
      </c>
      <c r="F1511" t="s">
        <v>4265</v>
      </c>
      <c r="H1511">
        <v>1019485</v>
      </c>
      <c r="I1511" t="s">
        <v>17</v>
      </c>
      <c r="K1511" t="s">
        <v>4266</v>
      </c>
      <c r="L1511">
        <v>213</v>
      </c>
      <c r="M1511" t="s">
        <v>4267</v>
      </c>
    </row>
    <row r="1512" spans="1:13" x14ac:dyDescent="0.35">
      <c r="A1512" t="s">
        <v>13</v>
      </c>
      <c r="B1512">
        <v>1595841</v>
      </c>
      <c r="C1512">
        <v>1596221</v>
      </c>
      <c r="E1512" t="s">
        <v>38</v>
      </c>
      <c r="F1512" t="s">
        <v>49</v>
      </c>
      <c r="H1512">
        <v>1019486</v>
      </c>
      <c r="I1512" t="s">
        <v>17</v>
      </c>
      <c r="K1512" t="s">
        <v>4268</v>
      </c>
      <c r="L1512">
        <v>126</v>
      </c>
      <c r="M1512" t="s">
        <v>4269</v>
      </c>
    </row>
    <row r="1513" spans="1:13" x14ac:dyDescent="0.35">
      <c r="A1513" t="s">
        <v>13</v>
      </c>
      <c r="B1513">
        <v>1596246</v>
      </c>
      <c r="C1513">
        <v>1597508</v>
      </c>
      <c r="E1513" t="s">
        <v>38</v>
      </c>
      <c r="F1513" t="s">
        <v>4270</v>
      </c>
      <c r="G1513" t="s">
        <v>4271</v>
      </c>
      <c r="H1513">
        <v>1019487</v>
      </c>
      <c r="I1513" t="s">
        <v>17</v>
      </c>
      <c r="K1513" t="s">
        <v>4272</v>
      </c>
      <c r="L1513">
        <v>420</v>
      </c>
      <c r="M1513" t="s">
        <v>4273</v>
      </c>
    </row>
    <row r="1514" spans="1:13" x14ac:dyDescent="0.35">
      <c r="A1514" t="s">
        <v>13</v>
      </c>
      <c r="B1514">
        <v>1597742</v>
      </c>
      <c r="C1514">
        <v>1598623</v>
      </c>
      <c r="E1514" t="s">
        <v>38</v>
      </c>
      <c r="F1514" t="s">
        <v>4274</v>
      </c>
      <c r="H1514">
        <v>1019488</v>
      </c>
      <c r="I1514" t="s">
        <v>17</v>
      </c>
      <c r="K1514" t="s">
        <v>4275</v>
      </c>
      <c r="L1514">
        <v>293</v>
      </c>
      <c r="M1514" t="s">
        <v>4276</v>
      </c>
    </row>
    <row r="1515" spans="1:13" x14ac:dyDescent="0.35">
      <c r="A1515" t="s">
        <v>13</v>
      </c>
      <c r="B1515">
        <v>1598679</v>
      </c>
      <c r="C1515">
        <v>1599617</v>
      </c>
      <c r="E1515" t="s">
        <v>14</v>
      </c>
      <c r="F1515" t="s">
        <v>336</v>
      </c>
      <c r="H1515">
        <v>1019489</v>
      </c>
      <c r="I1515" t="s">
        <v>17</v>
      </c>
      <c r="K1515" t="s">
        <v>4277</v>
      </c>
      <c r="L1515">
        <v>312</v>
      </c>
      <c r="M1515" t="s">
        <v>4278</v>
      </c>
    </row>
    <row r="1516" spans="1:13" x14ac:dyDescent="0.35">
      <c r="A1516" t="s">
        <v>13</v>
      </c>
      <c r="B1516">
        <v>1599655</v>
      </c>
      <c r="C1516">
        <v>1600680</v>
      </c>
      <c r="E1516" t="s">
        <v>14</v>
      </c>
      <c r="F1516" t="s">
        <v>49</v>
      </c>
      <c r="H1516">
        <v>1019490</v>
      </c>
      <c r="I1516" t="s">
        <v>17</v>
      </c>
      <c r="K1516" t="s">
        <v>4279</v>
      </c>
      <c r="L1516">
        <v>341</v>
      </c>
      <c r="M1516" t="s">
        <v>4280</v>
      </c>
    </row>
    <row r="1517" spans="1:13" x14ac:dyDescent="0.35">
      <c r="A1517" t="s">
        <v>13</v>
      </c>
      <c r="B1517">
        <v>1600692</v>
      </c>
      <c r="C1517">
        <v>1601807</v>
      </c>
      <c r="E1517" t="s">
        <v>14</v>
      </c>
      <c r="F1517" t="s">
        <v>4281</v>
      </c>
      <c r="H1517">
        <v>1019491</v>
      </c>
      <c r="I1517" t="s">
        <v>17</v>
      </c>
      <c r="K1517" t="s">
        <v>4282</v>
      </c>
      <c r="L1517">
        <v>371</v>
      </c>
      <c r="M1517" t="s">
        <v>4283</v>
      </c>
    </row>
    <row r="1518" spans="1:13" x14ac:dyDescent="0.35">
      <c r="A1518" t="s">
        <v>13</v>
      </c>
      <c r="B1518">
        <v>1601928</v>
      </c>
      <c r="C1518">
        <v>1602281</v>
      </c>
      <c r="E1518" t="s">
        <v>38</v>
      </c>
      <c r="F1518" t="s">
        <v>49</v>
      </c>
      <c r="H1518">
        <v>1019492</v>
      </c>
      <c r="I1518" t="s">
        <v>17</v>
      </c>
      <c r="K1518" t="s">
        <v>4284</v>
      </c>
      <c r="L1518">
        <v>117</v>
      </c>
      <c r="M1518" t="s">
        <v>4285</v>
      </c>
    </row>
    <row r="1519" spans="1:13" x14ac:dyDescent="0.35">
      <c r="A1519" t="s">
        <v>13</v>
      </c>
      <c r="B1519">
        <v>1602660</v>
      </c>
      <c r="C1519">
        <v>1603469</v>
      </c>
      <c r="E1519" t="s">
        <v>14</v>
      </c>
      <c r="F1519" t="s">
        <v>49</v>
      </c>
      <c r="H1519">
        <v>1019493</v>
      </c>
      <c r="I1519" t="s">
        <v>17</v>
      </c>
      <c r="K1519" t="s">
        <v>4286</v>
      </c>
      <c r="L1519">
        <v>269</v>
      </c>
      <c r="M1519" t="s">
        <v>4287</v>
      </c>
    </row>
    <row r="1520" spans="1:13" x14ac:dyDescent="0.35">
      <c r="A1520" t="s">
        <v>13</v>
      </c>
      <c r="B1520">
        <v>1603472</v>
      </c>
      <c r="C1520">
        <v>1604632</v>
      </c>
      <c r="E1520" t="s">
        <v>14</v>
      </c>
      <c r="F1520" t="s">
        <v>731</v>
      </c>
      <c r="H1520">
        <v>1019494</v>
      </c>
      <c r="I1520" t="s">
        <v>17</v>
      </c>
      <c r="K1520" t="s">
        <v>4288</v>
      </c>
      <c r="L1520">
        <v>386</v>
      </c>
      <c r="M1520" t="s">
        <v>4289</v>
      </c>
    </row>
    <row r="1521" spans="1:13" x14ac:dyDescent="0.35">
      <c r="A1521" t="s">
        <v>13</v>
      </c>
      <c r="B1521">
        <v>1604827</v>
      </c>
      <c r="C1521">
        <v>1605261</v>
      </c>
      <c r="E1521" t="s">
        <v>38</v>
      </c>
      <c r="F1521" t="s">
        <v>49</v>
      </c>
      <c r="H1521">
        <v>1019495</v>
      </c>
      <c r="I1521" t="s">
        <v>17</v>
      </c>
      <c r="K1521" t="s">
        <v>4290</v>
      </c>
      <c r="L1521">
        <v>144</v>
      </c>
      <c r="M1521" t="s">
        <v>4291</v>
      </c>
    </row>
    <row r="1522" spans="1:13" x14ac:dyDescent="0.35">
      <c r="A1522" t="s">
        <v>13</v>
      </c>
      <c r="B1522">
        <v>1605278</v>
      </c>
      <c r="C1522">
        <v>1605811</v>
      </c>
      <c r="E1522" t="s">
        <v>38</v>
      </c>
      <c r="F1522" t="s">
        <v>4292</v>
      </c>
      <c r="H1522">
        <v>1019496</v>
      </c>
      <c r="I1522" t="s">
        <v>17</v>
      </c>
      <c r="K1522" t="s">
        <v>4293</v>
      </c>
      <c r="L1522">
        <v>177</v>
      </c>
      <c r="M1522" t="s">
        <v>4294</v>
      </c>
    </row>
    <row r="1523" spans="1:13" x14ac:dyDescent="0.35">
      <c r="A1523" t="s">
        <v>13</v>
      </c>
      <c r="B1523">
        <v>1605858</v>
      </c>
      <c r="C1523">
        <v>1607657</v>
      </c>
      <c r="E1523" t="s">
        <v>38</v>
      </c>
      <c r="F1523" t="s">
        <v>147</v>
      </c>
      <c r="H1523">
        <v>1019497</v>
      </c>
      <c r="I1523" t="s">
        <v>17</v>
      </c>
      <c r="K1523" t="s">
        <v>4295</v>
      </c>
      <c r="L1523">
        <v>599</v>
      </c>
      <c r="M1523" t="s">
        <v>4296</v>
      </c>
    </row>
    <row r="1524" spans="1:13" x14ac:dyDescent="0.35">
      <c r="A1524" t="s">
        <v>13</v>
      </c>
      <c r="B1524">
        <v>1607658</v>
      </c>
      <c r="C1524">
        <v>1609268</v>
      </c>
      <c r="E1524" t="s">
        <v>38</v>
      </c>
      <c r="F1524" t="s">
        <v>721</v>
      </c>
      <c r="H1524">
        <v>1019498</v>
      </c>
      <c r="I1524" t="s">
        <v>17</v>
      </c>
      <c r="K1524" t="s">
        <v>4297</v>
      </c>
      <c r="L1524">
        <v>536</v>
      </c>
      <c r="M1524" t="s">
        <v>4298</v>
      </c>
    </row>
    <row r="1525" spans="1:13" x14ac:dyDescent="0.35">
      <c r="A1525" t="s">
        <v>13</v>
      </c>
      <c r="B1525">
        <v>1609422</v>
      </c>
      <c r="C1525">
        <v>1609507</v>
      </c>
      <c r="E1525" t="s">
        <v>14</v>
      </c>
      <c r="F1525" t="s">
        <v>179</v>
      </c>
      <c r="H1525">
        <v>2745334</v>
      </c>
      <c r="I1525" t="s">
        <v>62</v>
      </c>
      <c r="M1525" t="s">
        <v>4299</v>
      </c>
    </row>
    <row r="1526" spans="1:13" x14ac:dyDescent="0.35">
      <c r="A1526" t="s">
        <v>13</v>
      </c>
      <c r="B1526">
        <v>1609594</v>
      </c>
      <c r="C1526">
        <v>1609679</v>
      </c>
      <c r="E1526" t="s">
        <v>14</v>
      </c>
      <c r="F1526" t="s">
        <v>179</v>
      </c>
      <c r="H1526">
        <v>2745315</v>
      </c>
      <c r="I1526" t="s">
        <v>62</v>
      </c>
      <c r="M1526" t="s">
        <v>4300</v>
      </c>
    </row>
    <row r="1527" spans="1:13" x14ac:dyDescent="0.35">
      <c r="A1527" t="s">
        <v>13</v>
      </c>
      <c r="B1527">
        <v>1610236</v>
      </c>
      <c r="C1527">
        <v>1610847</v>
      </c>
      <c r="E1527" t="s">
        <v>14</v>
      </c>
      <c r="F1527" t="s">
        <v>549</v>
      </c>
      <c r="H1527">
        <v>1019499</v>
      </c>
      <c r="I1527" t="s">
        <v>17</v>
      </c>
      <c r="K1527" t="s">
        <v>4301</v>
      </c>
      <c r="L1527">
        <v>203</v>
      </c>
      <c r="M1527" t="s">
        <v>4302</v>
      </c>
    </row>
    <row r="1528" spans="1:13" x14ac:dyDescent="0.35">
      <c r="A1528" t="s">
        <v>13</v>
      </c>
      <c r="B1528">
        <v>1611147</v>
      </c>
      <c r="C1528">
        <v>1612238</v>
      </c>
      <c r="E1528" t="s">
        <v>38</v>
      </c>
      <c r="F1528" t="s">
        <v>4303</v>
      </c>
      <c r="G1528" t="s">
        <v>4304</v>
      </c>
      <c r="H1528">
        <v>1019500</v>
      </c>
      <c r="I1528" t="s">
        <v>17</v>
      </c>
      <c r="K1528" t="s">
        <v>4305</v>
      </c>
      <c r="L1528">
        <v>363</v>
      </c>
      <c r="M1528" t="s">
        <v>4306</v>
      </c>
    </row>
    <row r="1529" spans="1:13" x14ac:dyDescent="0.35">
      <c r="A1529" t="s">
        <v>13</v>
      </c>
      <c r="B1529">
        <v>1612231</v>
      </c>
      <c r="C1529">
        <v>1614444</v>
      </c>
      <c r="E1529" t="s">
        <v>38</v>
      </c>
      <c r="F1529" t="s">
        <v>4307</v>
      </c>
      <c r="G1529" t="s">
        <v>4308</v>
      </c>
      <c r="H1529">
        <v>1019501</v>
      </c>
      <c r="I1529" t="s">
        <v>17</v>
      </c>
      <c r="K1529" t="s">
        <v>4309</v>
      </c>
      <c r="L1529">
        <v>737</v>
      </c>
      <c r="M1529" t="s">
        <v>4310</v>
      </c>
    </row>
    <row r="1530" spans="1:13" x14ac:dyDescent="0.35">
      <c r="A1530" t="s">
        <v>13</v>
      </c>
      <c r="B1530">
        <v>1614448</v>
      </c>
      <c r="C1530">
        <v>1616298</v>
      </c>
      <c r="E1530" t="s">
        <v>38</v>
      </c>
      <c r="F1530" t="s">
        <v>4311</v>
      </c>
      <c r="H1530">
        <v>1019502</v>
      </c>
      <c r="I1530" t="s">
        <v>17</v>
      </c>
      <c r="K1530" t="s">
        <v>4312</v>
      </c>
      <c r="L1530">
        <v>616</v>
      </c>
      <c r="M1530" t="s">
        <v>4313</v>
      </c>
    </row>
    <row r="1531" spans="1:13" x14ac:dyDescent="0.35">
      <c r="A1531" t="s">
        <v>13</v>
      </c>
      <c r="B1531">
        <v>1616539</v>
      </c>
      <c r="C1531">
        <v>1617303</v>
      </c>
      <c r="E1531" t="s">
        <v>14</v>
      </c>
      <c r="F1531" t="s">
        <v>4314</v>
      </c>
      <c r="H1531">
        <v>1019503</v>
      </c>
      <c r="I1531" t="s">
        <v>17</v>
      </c>
      <c r="K1531" t="s">
        <v>4315</v>
      </c>
      <c r="L1531">
        <v>254</v>
      </c>
      <c r="M1531" t="s">
        <v>4316</v>
      </c>
    </row>
    <row r="1532" spans="1:13" x14ac:dyDescent="0.35">
      <c r="A1532" t="s">
        <v>13</v>
      </c>
      <c r="B1532">
        <v>1617398</v>
      </c>
      <c r="C1532">
        <v>1617997</v>
      </c>
      <c r="E1532" t="s">
        <v>14</v>
      </c>
      <c r="F1532" t="s">
        <v>49</v>
      </c>
      <c r="H1532">
        <v>1019504</v>
      </c>
      <c r="I1532" t="s">
        <v>17</v>
      </c>
      <c r="K1532" t="s">
        <v>4317</v>
      </c>
      <c r="L1532">
        <v>199</v>
      </c>
      <c r="M1532" t="s">
        <v>4318</v>
      </c>
    </row>
    <row r="1533" spans="1:13" x14ac:dyDescent="0.35">
      <c r="A1533" t="s">
        <v>13</v>
      </c>
      <c r="B1533">
        <v>1618318</v>
      </c>
      <c r="C1533">
        <v>1619616</v>
      </c>
      <c r="E1533" t="s">
        <v>38</v>
      </c>
      <c r="F1533" t="s">
        <v>1897</v>
      </c>
      <c r="H1533">
        <v>1019505</v>
      </c>
      <c r="I1533" t="s">
        <v>17</v>
      </c>
      <c r="K1533" t="s">
        <v>4319</v>
      </c>
      <c r="L1533">
        <v>432</v>
      </c>
      <c r="M1533" t="s">
        <v>4320</v>
      </c>
    </row>
    <row r="1534" spans="1:13" x14ac:dyDescent="0.35">
      <c r="A1534" t="s">
        <v>13</v>
      </c>
      <c r="B1534">
        <v>1619669</v>
      </c>
      <c r="C1534">
        <v>1620097</v>
      </c>
      <c r="E1534" t="s">
        <v>38</v>
      </c>
      <c r="F1534" t="s">
        <v>4321</v>
      </c>
      <c r="H1534">
        <v>1019506</v>
      </c>
      <c r="I1534" t="s">
        <v>17</v>
      </c>
      <c r="K1534" t="s">
        <v>4322</v>
      </c>
      <c r="L1534">
        <v>142</v>
      </c>
      <c r="M1534" t="s">
        <v>4323</v>
      </c>
    </row>
    <row r="1535" spans="1:13" x14ac:dyDescent="0.35">
      <c r="A1535" t="s">
        <v>13</v>
      </c>
      <c r="B1535">
        <v>1620164</v>
      </c>
      <c r="C1535">
        <v>1621009</v>
      </c>
      <c r="E1535" t="s">
        <v>38</v>
      </c>
      <c r="F1535" t="s">
        <v>4324</v>
      </c>
      <c r="H1535">
        <v>1019507</v>
      </c>
      <c r="I1535" t="s">
        <v>17</v>
      </c>
      <c r="K1535" t="s">
        <v>4325</v>
      </c>
      <c r="L1535">
        <v>281</v>
      </c>
      <c r="M1535" t="s">
        <v>4326</v>
      </c>
    </row>
    <row r="1536" spans="1:13" x14ac:dyDescent="0.35">
      <c r="A1536" t="s">
        <v>13</v>
      </c>
      <c r="B1536">
        <v>1621056</v>
      </c>
      <c r="C1536">
        <v>1621841</v>
      </c>
      <c r="E1536" t="s">
        <v>14</v>
      </c>
      <c r="F1536" t="s">
        <v>49</v>
      </c>
      <c r="H1536">
        <v>1019508</v>
      </c>
      <c r="I1536" t="s">
        <v>17</v>
      </c>
      <c r="K1536" t="s">
        <v>4327</v>
      </c>
      <c r="L1536">
        <v>261</v>
      </c>
      <c r="M1536" t="s">
        <v>4328</v>
      </c>
    </row>
    <row r="1537" spans="1:13" x14ac:dyDescent="0.35">
      <c r="A1537" t="s">
        <v>13</v>
      </c>
      <c r="B1537">
        <v>1621838</v>
      </c>
      <c r="C1537">
        <v>1622950</v>
      </c>
      <c r="E1537" t="s">
        <v>38</v>
      </c>
      <c r="F1537" t="s">
        <v>4329</v>
      </c>
      <c r="H1537">
        <v>1019509</v>
      </c>
      <c r="I1537" t="s">
        <v>17</v>
      </c>
      <c r="K1537" t="s">
        <v>4330</v>
      </c>
      <c r="L1537">
        <v>370</v>
      </c>
      <c r="M1537" t="s">
        <v>4331</v>
      </c>
    </row>
    <row r="1538" spans="1:13" x14ac:dyDescent="0.35">
      <c r="A1538" t="s">
        <v>13</v>
      </c>
      <c r="B1538">
        <v>1623024</v>
      </c>
      <c r="C1538">
        <v>1624916</v>
      </c>
      <c r="E1538" t="s">
        <v>38</v>
      </c>
      <c r="F1538" t="s">
        <v>4332</v>
      </c>
      <c r="H1538">
        <v>1019510</v>
      </c>
      <c r="I1538" t="s">
        <v>17</v>
      </c>
      <c r="K1538" t="s">
        <v>4333</v>
      </c>
      <c r="L1538">
        <v>630</v>
      </c>
      <c r="M1538" t="s">
        <v>4334</v>
      </c>
    </row>
    <row r="1539" spans="1:13" x14ac:dyDescent="0.35">
      <c r="A1539" t="s">
        <v>13</v>
      </c>
      <c r="B1539">
        <v>1625425</v>
      </c>
      <c r="C1539">
        <v>1625925</v>
      </c>
      <c r="E1539" t="s">
        <v>38</v>
      </c>
      <c r="F1539" t="s">
        <v>4335</v>
      </c>
      <c r="H1539">
        <v>1019511</v>
      </c>
      <c r="I1539" t="s">
        <v>17</v>
      </c>
      <c r="K1539" t="s">
        <v>4336</v>
      </c>
      <c r="L1539">
        <v>166</v>
      </c>
      <c r="M1539" t="s">
        <v>4337</v>
      </c>
    </row>
    <row r="1540" spans="1:13" x14ac:dyDescent="0.35">
      <c r="A1540" t="s">
        <v>13</v>
      </c>
      <c r="B1540">
        <v>1626291</v>
      </c>
      <c r="C1540">
        <v>1629110</v>
      </c>
      <c r="E1540" t="s">
        <v>14</v>
      </c>
      <c r="F1540" t="s">
        <v>4338</v>
      </c>
      <c r="G1540" t="s">
        <v>4339</v>
      </c>
      <c r="H1540">
        <v>1019512</v>
      </c>
      <c r="I1540" t="s">
        <v>17</v>
      </c>
      <c r="K1540" t="s">
        <v>4340</v>
      </c>
      <c r="L1540">
        <v>939</v>
      </c>
      <c r="M1540" t="s">
        <v>4341</v>
      </c>
    </row>
    <row r="1541" spans="1:13" x14ac:dyDescent="0.35">
      <c r="A1541" t="s">
        <v>13</v>
      </c>
      <c r="B1541">
        <v>1629298</v>
      </c>
      <c r="C1541">
        <v>1629864</v>
      </c>
      <c r="E1541" t="s">
        <v>14</v>
      </c>
      <c r="F1541" t="s">
        <v>4342</v>
      </c>
      <c r="G1541" t="s">
        <v>4343</v>
      </c>
      <c r="H1541">
        <v>1019513</v>
      </c>
      <c r="I1541" t="s">
        <v>17</v>
      </c>
      <c r="K1541" t="s">
        <v>4344</v>
      </c>
      <c r="L1541">
        <v>188</v>
      </c>
      <c r="M1541" t="s">
        <v>4345</v>
      </c>
    </row>
    <row r="1542" spans="1:13" x14ac:dyDescent="0.35">
      <c r="A1542" t="s">
        <v>13</v>
      </c>
      <c r="B1542">
        <v>1629913</v>
      </c>
      <c r="C1542">
        <v>1630671</v>
      </c>
      <c r="E1542" t="s">
        <v>14</v>
      </c>
      <c r="F1542" t="s">
        <v>4346</v>
      </c>
      <c r="H1542">
        <v>1019514</v>
      </c>
      <c r="I1542" t="s">
        <v>17</v>
      </c>
      <c r="K1542" t="s">
        <v>4347</v>
      </c>
      <c r="L1542">
        <v>252</v>
      </c>
      <c r="M1542" t="s">
        <v>4348</v>
      </c>
    </row>
    <row r="1543" spans="1:13" x14ac:dyDescent="0.35">
      <c r="A1543" t="s">
        <v>13</v>
      </c>
      <c r="B1543">
        <v>1630664</v>
      </c>
      <c r="C1543">
        <v>1631329</v>
      </c>
      <c r="E1543" t="s">
        <v>38</v>
      </c>
      <c r="F1543" t="s">
        <v>4349</v>
      </c>
      <c r="H1543">
        <v>1019515</v>
      </c>
      <c r="I1543" t="s">
        <v>17</v>
      </c>
      <c r="K1543" t="s">
        <v>4350</v>
      </c>
      <c r="L1543">
        <v>221</v>
      </c>
      <c r="M1543" t="s">
        <v>4351</v>
      </c>
    </row>
    <row r="1544" spans="1:13" x14ac:dyDescent="0.35">
      <c r="A1544" t="s">
        <v>13</v>
      </c>
      <c r="B1544">
        <v>1631350</v>
      </c>
      <c r="C1544">
        <v>1631604</v>
      </c>
      <c r="E1544" t="s">
        <v>38</v>
      </c>
      <c r="F1544" t="s">
        <v>4352</v>
      </c>
      <c r="H1544">
        <v>44144970</v>
      </c>
      <c r="I1544" t="s">
        <v>17</v>
      </c>
      <c r="K1544" t="s">
        <v>4353</v>
      </c>
      <c r="L1544">
        <v>84</v>
      </c>
      <c r="M1544" t="s">
        <v>4354</v>
      </c>
    </row>
    <row r="1545" spans="1:13" x14ac:dyDescent="0.35">
      <c r="A1545" t="s">
        <v>13</v>
      </c>
      <c r="B1545">
        <v>1631660</v>
      </c>
      <c r="C1545">
        <v>1631929</v>
      </c>
      <c r="E1545" t="s">
        <v>14</v>
      </c>
      <c r="F1545" t="s">
        <v>4355</v>
      </c>
      <c r="H1545">
        <v>1019516</v>
      </c>
      <c r="I1545" t="s">
        <v>17</v>
      </c>
      <c r="K1545" t="s">
        <v>4356</v>
      </c>
      <c r="L1545">
        <v>89</v>
      </c>
      <c r="M1545" t="s">
        <v>4357</v>
      </c>
    </row>
    <row r="1546" spans="1:13" x14ac:dyDescent="0.35">
      <c r="A1546" t="s">
        <v>13</v>
      </c>
      <c r="B1546">
        <v>1631939</v>
      </c>
      <c r="C1546">
        <v>1633327</v>
      </c>
      <c r="E1546" t="s">
        <v>14</v>
      </c>
      <c r="F1546" t="s">
        <v>4358</v>
      </c>
      <c r="H1546">
        <v>1019517</v>
      </c>
      <c r="I1546" t="s">
        <v>17</v>
      </c>
      <c r="K1546" t="s">
        <v>4359</v>
      </c>
      <c r="L1546">
        <v>462</v>
      </c>
      <c r="M1546" t="s">
        <v>4360</v>
      </c>
    </row>
    <row r="1547" spans="1:13" x14ac:dyDescent="0.35">
      <c r="A1547" t="s">
        <v>13</v>
      </c>
      <c r="B1547">
        <v>1633566</v>
      </c>
      <c r="C1547">
        <v>1636244</v>
      </c>
      <c r="E1547" t="s">
        <v>14</v>
      </c>
      <c r="F1547" t="s">
        <v>4361</v>
      </c>
      <c r="H1547">
        <v>1019518</v>
      </c>
      <c r="I1547" t="s">
        <v>17</v>
      </c>
      <c r="K1547" t="s">
        <v>4362</v>
      </c>
      <c r="L1547">
        <v>892</v>
      </c>
      <c r="M1547" t="s">
        <v>4363</v>
      </c>
    </row>
    <row r="1548" spans="1:13" x14ac:dyDescent="0.35">
      <c r="A1548" t="s">
        <v>13</v>
      </c>
      <c r="B1548">
        <v>1636241</v>
      </c>
      <c r="C1548">
        <v>1636732</v>
      </c>
      <c r="E1548" t="s">
        <v>38</v>
      </c>
      <c r="F1548" t="s">
        <v>4364</v>
      </c>
      <c r="H1548">
        <v>1019519</v>
      </c>
      <c r="I1548" t="s">
        <v>17</v>
      </c>
      <c r="K1548" t="s">
        <v>4365</v>
      </c>
      <c r="L1548">
        <v>163</v>
      </c>
      <c r="M1548" t="s">
        <v>4366</v>
      </c>
    </row>
    <row r="1549" spans="1:13" x14ac:dyDescent="0.35">
      <c r="A1549" t="s">
        <v>13</v>
      </c>
      <c r="B1549">
        <v>1637081</v>
      </c>
      <c r="C1549">
        <v>1638445</v>
      </c>
      <c r="E1549" t="s">
        <v>14</v>
      </c>
      <c r="F1549" t="s">
        <v>4367</v>
      </c>
      <c r="H1549">
        <v>1019520</v>
      </c>
      <c r="I1549" t="s">
        <v>17</v>
      </c>
      <c r="K1549" t="s">
        <v>4368</v>
      </c>
      <c r="L1549">
        <v>454</v>
      </c>
      <c r="M1549" t="s">
        <v>4369</v>
      </c>
    </row>
    <row r="1550" spans="1:13" x14ac:dyDescent="0.35">
      <c r="A1550" t="s">
        <v>13</v>
      </c>
      <c r="B1550">
        <v>1639916</v>
      </c>
      <c r="C1550">
        <v>1640158</v>
      </c>
      <c r="E1550" t="s">
        <v>14</v>
      </c>
      <c r="F1550" t="s">
        <v>4370</v>
      </c>
      <c r="H1550">
        <v>92792276</v>
      </c>
      <c r="I1550" t="s">
        <v>17</v>
      </c>
      <c r="K1550" t="s">
        <v>4371</v>
      </c>
      <c r="L1550">
        <v>80</v>
      </c>
      <c r="M1550" t="s">
        <v>4372</v>
      </c>
    </row>
    <row r="1551" spans="1:13" x14ac:dyDescent="0.35">
      <c r="A1551" t="s">
        <v>13</v>
      </c>
      <c r="B1551">
        <v>1640621</v>
      </c>
      <c r="C1551">
        <v>1641004</v>
      </c>
      <c r="E1551" t="s">
        <v>14</v>
      </c>
      <c r="F1551" t="s">
        <v>4373</v>
      </c>
      <c r="H1551">
        <v>1019522</v>
      </c>
      <c r="I1551" t="s">
        <v>17</v>
      </c>
      <c r="K1551" t="s">
        <v>4374</v>
      </c>
      <c r="L1551">
        <v>127</v>
      </c>
      <c r="M1551" t="s">
        <v>4375</v>
      </c>
    </row>
    <row r="1552" spans="1:13" x14ac:dyDescent="0.35">
      <c r="A1552" t="s">
        <v>13</v>
      </c>
      <c r="B1552">
        <v>1641043</v>
      </c>
      <c r="C1552">
        <v>1642674</v>
      </c>
      <c r="E1552" t="s">
        <v>38</v>
      </c>
      <c r="F1552" t="s">
        <v>2635</v>
      </c>
      <c r="H1552">
        <v>1019523</v>
      </c>
      <c r="I1552" t="s">
        <v>17</v>
      </c>
      <c r="K1552" t="s">
        <v>4376</v>
      </c>
      <c r="L1552">
        <v>543</v>
      </c>
      <c r="M1552" t="s">
        <v>4377</v>
      </c>
    </row>
    <row r="1553" spans="1:13" x14ac:dyDescent="0.35">
      <c r="A1553" t="s">
        <v>13</v>
      </c>
      <c r="B1553">
        <v>1642740</v>
      </c>
      <c r="C1553">
        <v>1644218</v>
      </c>
      <c r="E1553" t="s">
        <v>38</v>
      </c>
      <c r="F1553" t="s">
        <v>4378</v>
      </c>
      <c r="H1553">
        <v>92792295</v>
      </c>
      <c r="I1553" t="s">
        <v>17</v>
      </c>
      <c r="K1553" t="s">
        <v>4379</v>
      </c>
      <c r="L1553">
        <v>492</v>
      </c>
      <c r="M1553" t="s">
        <v>4380</v>
      </c>
    </row>
    <row r="1554" spans="1:13" x14ac:dyDescent="0.35">
      <c r="A1554" t="s">
        <v>13</v>
      </c>
      <c r="B1554">
        <v>1644315</v>
      </c>
      <c r="C1554">
        <v>1645514</v>
      </c>
      <c r="E1554" t="s">
        <v>38</v>
      </c>
      <c r="F1554" t="s">
        <v>4381</v>
      </c>
      <c r="H1554">
        <v>92792296</v>
      </c>
      <c r="I1554" t="s">
        <v>17</v>
      </c>
      <c r="K1554" t="s">
        <v>4382</v>
      </c>
      <c r="L1554">
        <v>399</v>
      </c>
      <c r="M1554" t="s">
        <v>4383</v>
      </c>
    </row>
    <row r="1555" spans="1:13" x14ac:dyDescent="0.35">
      <c r="A1555" t="s">
        <v>13</v>
      </c>
      <c r="B1555">
        <v>1645661</v>
      </c>
      <c r="C1555">
        <v>1646371</v>
      </c>
      <c r="E1555" t="s">
        <v>14</v>
      </c>
      <c r="F1555" t="s">
        <v>2762</v>
      </c>
      <c r="H1555">
        <v>1019526</v>
      </c>
      <c r="I1555" t="s">
        <v>17</v>
      </c>
      <c r="K1555" t="s">
        <v>2763</v>
      </c>
      <c r="L1555">
        <v>236</v>
      </c>
      <c r="M1555" t="s">
        <v>4384</v>
      </c>
    </row>
    <row r="1556" spans="1:13" x14ac:dyDescent="0.35">
      <c r="A1556" t="s">
        <v>13</v>
      </c>
      <c r="B1556">
        <v>1646549</v>
      </c>
      <c r="C1556">
        <v>1647136</v>
      </c>
      <c r="E1556" t="s">
        <v>14</v>
      </c>
      <c r="F1556" t="s">
        <v>49</v>
      </c>
      <c r="H1556">
        <v>1019527</v>
      </c>
      <c r="I1556" t="s">
        <v>17</v>
      </c>
      <c r="K1556" t="s">
        <v>4385</v>
      </c>
      <c r="L1556">
        <v>195</v>
      </c>
      <c r="M1556" t="s">
        <v>4386</v>
      </c>
    </row>
    <row r="1557" spans="1:13" x14ac:dyDescent="0.35">
      <c r="A1557" t="s">
        <v>13</v>
      </c>
      <c r="B1557">
        <v>1647209</v>
      </c>
      <c r="C1557">
        <v>1647622</v>
      </c>
      <c r="E1557" t="s">
        <v>38</v>
      </c>
      <c r="F1557" t="s">
        <v>4387</v>
      </c>
      <c r="H1557">
        <v>1019528</v>
      </c>
      <c r="I1557" t="s">
        <v>17</v>
      </c>
      <c r="K1557" t="s">
        <v>4388</v>
      </c>
      <c r="L1557">
        <v>137</v>
      </c>
      <c r="M1557" t="s">
        <v>4389</v>
      </c>
    </row>
    <row r="1558" spans="1:13" x14ac:dyDescent="0.35">
      <c r="A1558" t="s">
        <v>13</v>
      </c>
      <c r="B1558">
        <v>1647648</v>
      </c>
      <c r="C1558">
        <v>1648097</v>
      </c>
      <c r="E1558" t="s">
        <v>38</v>
      </c>
      <c r="F1558" t="s">
        <v>4390</v>
      </c>
      <c r="G1558" t="s">
        <v>4391</v>
      </c>
      <c r="H1558">
        <v>1019529</v>
      </c>
      <c r="I1558" t="s">
        <v>17</v>
      </c>
      <c r="K1558" t="s">
        <v>4392</v>
      </c>
      <c r="L1558">
        <v>149</v>
      </c>
      <c r="M1558" t="s">
        <v>4393</v>
      </c>
    </row>
    <row r="1559" spans="1:13" x14ac:dyDescent="0.35">
      <c r="A1559" t="s">
        <v>13</v>
      </c>
      <c r="B1559">
        <v>1648097</v>
      </c>
      <c r="C1559">
        <v>1649362</v>
      </c>
      <c r="E1559" t="s">
        <v>38</v>
      </c>
      <c r="F1559" t="s">
        <v>4394</v>
      </c>
      <c r="H1559">
        <v>1019530</v>
      </c>
      <c r="I1559" t="s">
        <v>17</v>
      </c>
      <c r="K1559" t="s">
        <v>4395</v>
      </c>
      <c r="L1559">
        <v>421</v>
      </c>
      <c r="M1559" t="s">
        <v>4396</v>
      </c>
    </row>
    <row r="1560" spans="1:13" x14ac:dyDescent="0.35">
      <c r="A1560" t="s">
        <v>13</v>
      </c>
      <c r="B1560">
        <v>1649364</v>
      </c>
      <c r="C1560">
        <v>1650122</v>
      </c>
      <c r="E1560" t="s">
        <v>38</v>
      </c>
      <c r="F1560" t="s">
        <v>4397</v>
      </c>
      <c r="G1560" t="s">
        <v>4398</v>
      </c>
      <c r="H1560">
        <v>1019531</v>
      </c>
      <c r="I1560" t="s">
        <v>17</v>
      </c>
      <c r="K1560" t="s">
        <v>4399</v>
      </c>
      <c r="L1560">
        <v>252</v>
      </c>
      <c r="M1560" t="s">
        <v>4400</v>
      </c>
    </row>
    <row r="1561" spans="1:13" x14ac:dyDescent="0.35">
      <c r="A1561" t="s">
        <v>13</v>
      </c>
      <c r="B1561">
        <v>1650246</v>
      </c>
      <c r="C1561">
        <v>1651424</v>
      </c>
      <c r="E1561" t="s">
        <v>38</v>
      </c>
      <c r="F1561" t="s">
        <v>4401</v>
      </c>
      <c r="G1561" t="s">
        <v>4402</v>
      </c>
      <c r="H1561">
        <v>1019532</v>
      </c>
      <c r="I1561" t="s">
        <v>17</v>
      </c>
      <c r="K1561" t="s">
        <v>4403</v>
      </c>
      <c r="L1561">
        <v>392</v>
      </c>
      <c r="M1561" t="s">
        <v>4404</v>
      </c>
    </row>
    <row r="1562" spans="1:13" x14ac:dyDescent="0.35">
      <c r="A1562" t="s">
        <v>13</v>
      </c>
      <c r="B1562">
        <v>1651430</v>
      </c>
      <c r="C1562">
        <v>1652875</v>
      </c>
      <c r="E1562" t="s">
        <v>38</v>
      </c>
      <c r="F1562" t="s">
        <v>4405</v>
      </c>
      <c r="G1562" t="s">
        <v>4406</v>
      </c>
      <c r="H1562">
        <v>1019533</v>
      </c>
      <c r="I1562" t="s">
        <v>17</v>
      </c>
      <c r="K1562" t="s">
        <v>4407</v>
      </c>
      <c r="L1562">
        <v>481</v>
      </c>
      <c r="M1562" t="s">
        <v>4408</v>
      </c>
    </row>
    <row r="1563" spans="1:13" x14ac:dyDescent="0.35">
      <c r="A1563" t="s">
        <v>13</v>
      </c>
      <c r="B1563">
        <v>1652872</v>
      </c>
      <c r="C1563">
        <v>1653586</v>
      </c>
      <c r="E1563" t="s">
        <v>38</v>
      </c>
      <c r="F1563" t="s">
        <v>141</v>
      </c>
      <c r="H1563">
        <v>1019534</v>
      </c>
      <c r="I1563" t="s">
        <v>142</v>
      </c>
      <c r="M1563" t="s">
        <v>4409</v>
      </c>
    </row>
    <row r="1564" spans="1:13" x14ac:dyDescent="0.35">
      <c r="A1564" t="s">
        <v>13</v>
      </c>
      <c r="B1564">
        <v>1653899</v>
      </c>
      <c r="C1564">
        <v>1655674</v>
      </c>
      <c r="E1564" t="s">
        <v>14</v>
      </c>
      <c r="F1564" t="s">
        <v>4410</v>
      </c>
      <c r="G1564" t="s">
        <v>4411</v>
      </c>
      <c r="H1564">
        <v>1019535</v>
      </c>
      <c r="I1564" t="s">
        <v>17</v>
      </c>
      <c r="K1564" t="s">
        <v>4412</v>
      </c>
      <c r="L1564">
        <v>591</v>
      </c>
      <c r="M1564" t="s">
        <v>4413</v>
      </c>
    </row>
    <row r="1565" spans="1:13" x14ac:dyDescent="0.35">
      <c r="A1565" t="s">
        <v>13</v>
      </c>
      <c r="B1565">
        <v>1655681</v>
      </c>
      <c r="C1565">
        <v>1656703</v>
      </c>
      <c r="E1565" t="s">
        <v>14</v>
      </c>
      <c r="F1565" t="s">
        <v>147</v>
      </c>
      <c r="H1565">
        <v>1019536</v>
      </c>
      <c r="I1565" t="s">
        <v>17</v>
      </c>
      <c r="K1565" t="s">
        <v>4414</v>
      </c>
      <c r="L1565">
        <v>340</v>
      </c>
      <c r="M1565" t="s">
        <v>4415</v>
      </c>
    </row>
    <row r="1566" spans="1:13" x14ac:dyDescent="0.35">
      <c r="A1566" t="s">
        <v>13</v>
      </c>
      <c r="B1566">
        <v>1656712</v>
      </c>
      <c r="C1566">
        <v>1657518</v>
      </c>
      <c r="E1566" t="s">
        <v>14</v>
      </c>
      <c r="F1566" t="s">
        <v>124</v>
      </c>
      <c r="H1566">
        <v>1019537</v>
      </c>
      <c r="I1566" t="s">
        <v>17</v>
      </c>
      <c r="K1566" t="s">
        <v>4416</v>
      </c>
      <c r="L1566">
        <v>268</v>
      </c>
      <c r="M1566" t="s">
        <v>4417</v>
      </c>
    </row>
    <row r="1567" spans="1:13" x14ac:dyDescent="0.35">
      <c r="A1567" t="s">
        <v>13</v>
      </c>
      <c r="B1567">
        <v>1657638</v>
      </c>
      <c r="C1567">
        <v>1658678</v>
      </c>
      <c r="E1567" t="s">
        <v>14</v>
      </c>
      <c r="F1567" t="s">
        <v>4418</v>
      </c>
      <c r="H1567">
        <v>1019538</v>
      </c>
      <c r="I1567" t="s">
        <v>17</v>
      </c>
      <c r="K1567" t="s">
        <v>4419</v>
      </c>
      <c r="L1567">
        <v>346</v>
      </c>
      <c r="M1567" t="s">
        <v>4420</v>
      </c>
    </row>
    <row r="1568" spans="1:13" x14ac:dyDescent="0.35">
      <c r="A1568" t="s">
        <v>13</v>
      </c>
      <c r="B1568">
        <v>1658788</v>
      </c>
      <c r="C1568">
        <v>1661139</v>
      </c>
      <c r="E1568" t="s">
        <v>14</v>
      </c>
      <c r="F1568" t="s">
        <v>4421</v>
      </c>
      <c r="H1568">
        <v>1019539</v>
      </c>
      <c r="I1568" t="s">
        <v>17</v>
      </c>
      <c r="K1568" t="s">
        <v>4422</v>
      </c>
      <c r="L1568">
        <v>783</v>
      </c>
      <c r="M1568" t="s">
        <v>4423</v>
      </c>
    </row>
    <row r="1569" spans="1:13" x14ac:dyDescent="0.35">
      <c r="A1569" t="s">
        <v>13</v>
      </c>
      <c r="B1569">
        <v>1661587</v>
      </c>
      <c r="C1569">
        <v>1662555</v>
      </c>
      <c r="E1569" t="s">
        <v>14</v>
      </c>
      <c r="F1569" t="s">
        <v>4424</v>
      </c>
      <c r="H1569">
        <v>1019540</v>
      </c>
      <c r="I1569" t="s">
        <v>17</v>
      </c>
      <c r="K1569" t="s">
        <v>4425</v>
      </c>
      <c r="L1569">
        <v>322</v>
      </c>
      <c r="M1569" t="s">
        <v>4426</v>
      </c>
    </row>
    <row r="1570" spans="1:13" x14ac:dyDescent="0.35">
      <c r="A1570" t="s">
        <v>13</v>
      </c>
      <c r="B1570">
        <v>1662627</v>
      </c>
      <c r="C1570">
        <v>1663559</v>
      </c>
      <c r="E1570" t="s">
        <v>38</v>
      </c>
      <c r="F1570" t="s">
        <v>4427</v>
      </c>
      <c r="H1570">
        <v>1019541</v>
      </c>
      <c r="I1570" t="s">
        <v>17</v>
      </c>
      <c r="K1570" t="s">
        <v>4428</v>
      </c>
      <c r="L1570">
        <v>310</v>
      </c>
      <c r="M1570" t="s">
        <v>4429</v>
      </c>
    </row>
    <row r="1571" spans="1:13" x14ac:dyDescent="0.35">
      <c r="A1571" t="s">
        <v>13</v>
      </c>
      <c r="B1571">
        <v>1664412</v>
      </c>
      <c r="C1571">
        <v>1666505</v>
      </c>
      <c r="E1571" t="s">
        <v>14</v>
      </c>
      <c r="F1571" t="s">
        <v>4430</v>
      </c>
      <c r="G1571" t="s">
        <v>4431</v>
      </c>
      <c r="H1571">
        <v>1019542</v>
      </c>
      <c r="I1571" t="s">
        <v>17</v>
      </c>
      <c r="K1571" t="s">
        <v>4432</v>
      </c>
      <c r="L1571">
        <v>697</v>
      </c>
      <c r="M1571" t="s">
        <v>4433</v>
      </c>
    </row>
    <row r="1572" spans="1:13" x14ac:dyDescent="0.35">
      <c r="A1572" t="s">
        <v>13</v>
      </c>
      <c r="B1572">
        <v>1666673</v>
      </c>
      <c r="C1572">
        <v>1667755</v>
      </c>
      <c r="E1572" t="s">
        <v>14</v>
      </c>
      <c r="F1572" t="s">
        <v>4434</v>
      </c>
      <c r="G1572" t="s">
        <v>4435</v>
      </c>
      <c r="H1572">
        <v>1019543</v>
      </c>
      <c r="I1572" t="s">
        <v>17</v>
      </c>
      <c r="K1572" t="s">
        <v>4436</v>
      </c>
      <c r="L1572">
        <v>360</v>
      </c>
      <c r="M1572" t="s">
        <v>4437</v>
      </c>
    </row>
    <row r="1573" spans="1:13" x14ac:dyDescent="0.35">
      <c r="A1573" t="s">
        <v>13</v>
      </c>
      <c r="B1573">
        <v>1667860</v>
      </c>
      <c r="C1573">
        <v>1669404</v>
      </c>
      <c r="E1573" t="s">
        <v>14</v>
      </c>
      <c r="F1573" t="s">
        <v>4438</v>
      </c>
      <c r="G1573" t="s">
        <v>4439</v>
      </c>
      <c r="H1573">
        <v>1019544</v>
      </c>
      <c r="I1573" t="s">
        <v>17</v>
      </c>
      <c r="K1573" t="s">
        <v>4440</v>
      </c>
      <c r="L1573">
        <v>514</v>
      </c>
      <c r="M1573" t="s">
        <v>4441</v>
      </c>
    </row>
    <row r="1574" spans="1:13" x14ac:dyDescent="0.35">
      <c r="A1574" t="s">
        <v>13</v>
      </c>
      <c r="B1574">
        <v>1669419</v>
      </c>
      <c r="C1574">
        <v>1670378</v>
      </c>
      <c r="E1574" t="s">
        <v>14</v>
      </c>
      <c r="F1574" t="s">
        <v>4442</v>
      </c>
      <c r="H1574">
        <v>1019545</v>
      </c>
      <c r="I1574" t="s">
        <v>17</v>
      </c>
      <c r="K1574" t="s">
        <v>4443</v>
      </c>
      <c r="L1574">
        <v>319</v>
      </c>
      <c r="M1574" t="s">
        <v>4444</v>
      </c>
    </row>
    <row r="1575" spans="1:13" x14ac:dyDescent="0.35">
      <c r="A1575" t="s">
        <v>13</v>
      </c>
      <c r="B1575">
        <v>1670395</v>
      </c>
      <c r="C1575">
        <v>1671102</v>
      </c>
      <c r="E1575" t="s">
        <v>14</v>
      </c>
      <c r="F1575" t="s">
        <v>4445</v>
      </c>
      <c r="G1575" t="s">
        <v>4446</v>
      </c>
      <c r="H1575">
        <v>1019546</v>
      </c>
      <c r="I1575" t="s">
        <v>17</v>
      </c>
      <c r="K1575" t="s">
        <v>4447</v>
      </c>
      <c r="L1575">
        <v>235</v>
      </c>
      <c r="M1575" t="s">
        <v>4448</v>
      </c>
    </row>
    <row r="1576" spans="1:13" x14ac:dyDescent="0.35">
      <c r="A1576" t="s">
        <v>13</v>
      </c>
      <c r="B1576">
        <v>1671270</v>
      </c>
      <c r="C1576">
        <v>1671611</v>
      </c>
      <c r="E1576" t="s">
        <v>38</v>
      </c>
      <c r="F1576" t="s">
        <v>141</v>
      </c>
      <c r="H1576">
        <v>1019547</v>
      </c>
      <c r="I1576" t="s">
        <v>142</v>
      </c>
      <c r="M1576" t="s">
        <v>4449</v>
      </c>
    </row>
    <row r="1577" spans="1:13" x14ac:dyDescent="0.35">
      <c r="A1577" t="s">
        <v>13</v>
      </c>
      <c r="B1577">
        <v>1671723</v>
      </c>
      <c r="C1577">
        <v>1673126</v>
      </c>
      <c r="E1577" t="s">
        <v>14</v>
      </c>
      <c r="F1577" t="s">
        <v>4450</v>
      </c>
      <c r="H1577">
        <v>1019548</v>
      </c>
      <c r="I1577" t="s">
        <v>17</v>
      </c>
      <c r="K1577" t="s">
        <v>4451</v>
      </c>
      <c r="L1577">
        <v>467</v>
      </c>
      <c r="M1577" t="s">
        <v>4452</v>
      </c>
    </row>
    <row r="1578" spans="1:13" x14ac:dyDescent="0.35">
      <c r="A1578" t="s">
        <v>13</v>
      </c>
      <c r="B1578">
        <v>1673290</v>
      </c>
      <c r="C1578">
        <v>1674105</v>
      </c>
      <c r="E1578" t="s">
        <v>38</v>
      </c>
      <c r="F1578" t="s">
        <v>141</v>
      </c>
      <c r="H1578">
        <v>1019549</v>
      </c>
      <c r="I1578" t="s">
        <v>142</v>
      </c>
      <c r="M1578" t="s">
        <v>4453</v>
      </c>
    </row>
    <row r="1579" spans="1:13" x14ac:dyDescent="0.35">
      <c r="A1579" t="s">
        <v>13</v>
      </c>
      <c r="B1579">
        <v>1674120</v>
      </c>
      <c r="C1579">
        <v>1675268</v>
      </c>
      <c r="E1579" t="s">
        <v>38</v>
      </c>
      <c r="F1579" t="s">
        <v>4454</v>
      </c>
      <c r="H1579">
        <v>1019550</v>
      </c>
      <c r="I1579" t="s">
        <v>17</v>
      </c>
      <c r="K1579" t="s">
        <v>4455</v>
      </c>
      <c r="L1579">
        <v>382</v>
      </c>
      <c r="M1579" t="s">
        <v>4456</v>
      </c>
    </row>
    <row r="1580" spans="1:13" x14ac:dyDescent="0.35">
      <c r="A1580" t="s">
        <v>13</v>
      </c>
      <c r="B1580">
        <v>1675265</v>
      </c>
      <c r="C1580">
        <v>1676623</v>
      </c>
      <c r="E1580" t="s">
        <v>38</v>
      </c>
      <c r="F1580" t="s">
        <v>4457</v>
      </c>
      <c r="H1580">
        <v>1019551</v>
      </c>
      <c r="I1580" t="s">
        <v>17</v>
      </c>
      <c r="K1580" t="s">
        <v>4458</v>
      </c>
      <c r="L1580">
        <v>452</v>
      </c>
      <c r="M1580" t="s">
        <v>4459</v>
      </c>
    </row>
    <row r="1581" spans="1:13" x14ac:dyDescent="0.35">
      <c r="A1581" t="s">
        <v>13</v>
      </c>
      <c r="B1581">
        <v>1677046</v>
      </c>
      <c r="C1581">
        <v>1677279</v>
      </c>
      <c r="E1581" t="s">
        <v>38</v>
      </c>
      <c r="F1581" t="s">
        <v>4460</v>
      </c>
      <c r="G1581" t="s">
        <v>4461</v>
      </c>
      <c r="H1581">
        <v>1019552</v>
      </c>
      <c r="I1581" t="s">
        <v>17</v>
      </c>
      <c r="K1581" t="s">
        <v>4462</v>
      </c>
      <c r="L1581">
        <v>77</v>
      </c>
      <c r="M1581" t="s">
        <v>4463</v>
      </c>
    </row>
    <row r="1582" spans="1:13" x14ac:dyDescent="0.35">
      <c r="A1582" t="s">
        <v>13</v>
      </c>
      <c r="B1582">
        <v>1677384</v>
      </c>
      <c r="C1582">
        <v>1680143</v>
      </c>
      <c r="E1582" t="s">
        <v>38</v>
      </c>
      <c r="F1582" t="s">
        <v>4464</v>
      </c>
      <c r="G1582" t="s">
        <v>4465</v>
      </c>
      <c r="H1582">
        <v>1019553</v>
      </c>
      <c r="I1582" t="s">
        <v>17</v>
      </c>
      <c r="K1582" t="s">
        <v>4466</v>
      </c>
      <c r="L1582">
        <v>919</v>
      </c>
      <c r="M1582" t="s">
        <v>4467</v>
      </c>
    </row>
    <row r="1583" spans="1:13" x14ac:dyDescent="0.35">
      <c r="A1583" t="s">
        <v>13</v>
      </c>
      <c r="B1583">
        <v>1680329</v>
      </c>
      <c r="C1583">
        <v>1681108</v>
      </c>
      <c r="E1583" t="s">
        <v>38</v>
      </c>
      <c r="F1583" t="s">
        <v>4468</v>
      </c>
      <c r="G1583" t="s">
        <v>4469</v>
      </c>
      <c r="H1583">
        <v>1019554</v>
      </c>
      <c r="I1583" t="s">
        <v>17</v>
      </c>
      <c r="K1583" t="s">
        <v>4470</v>
      </c>
      <c r="L1583">
        <v>259</v>
      </c>
      <c r="M1583" t="s">
        <v>4471</v>
      </c>
    </row>
    <row r="1584" spans="1:13" x14ac:dyDescent="0.35">
      <c r="A1584" t="s">
        <v>13</v>
      </c>
      <c r="B1584">
        <v>1681187</v>
      </c>
      <c r="C1584">
        <v>1682404</v>
      </c>
      <c r="E1584" t="s">
        <v>38</v>
      </c>
      <c r="F1584" t="s">
        <v>4472</v>
      </c>
      <c r="G1584" t="s">
        <v>4473</v>
      </c>
      <c r="H1584">
        <v>1019555</v>
      </c>
      <c r="I1584" t="s">
        <v>17</v>
      </c>
      <c r="K1584" t="s">
        <v>4474</v>
      </c>
      <c r="L1584">
        <v>405</v>
      </c>
      <c r="M1584" t="s">
        <v>4475</v>
      </c>
    </row>
    <row r="1585" spans="1:13" x14ac:dyDescent="0.35">
      <c r="A1585" t="s">
        <v>13</v>
      </c>
      <c r="B1585">
        <v>1682621</v>
      </c>
      <c r="C1585">
        <v>1683625</v>
      </c>
      <c r="E1585" t="s">
        <v>38</v>
      </c>
      <c r="F1585" t="s">
        <v>4476</v>
      </c>
      <c r="G1585" t="s">
        <v>4477</v>
      </c>
      <c r="H1585">
        <v>1019556</v>
      </c>
      <c r="I1585" t="s">
        <v>17</v>
      </c>
      <c r="K1585" t="s">
        <v>4478</v>
      </c>
      <c r="L1585">
        <v>334</v>
      </c>
      <c r="M1585" t="s">
        <v>4479</v>
      </c>
    </row>
    <row r="1586" spans="1:13" x14ac:dyDescent="0.35">
      <c r="A1586" t="s">
        <v>13</v>
      </c>
      <c r="B1586">
        <v>1684114</v>
      </c>
      <c r="C1586">
        <v>1685097</v>
      </c>
      <c r="E1586" t="s">
        <v>38</v>
      </c>
      <c r="F1586" t="s">
        <v>4480</v>
      </c>
      <c r="G1586" t="s">
        <v>4481</v>
      </c>
      <c r="H1586">
        <v>1019557</v>
      </c>
      <c r="I1586" t="s">
        <v>17</v>
      </c>
      <c r="K1586" t="s">
        <v>4482</v>
      </c>
      <c r="L1586">
        <v>327</v>
      </c>
      <c r="M1586" t="s">
        <v>4483</v>
      </c>
    </row>
    <row r="1587" spans="1:13" x14ac:dyDescent="0.35">
      <c r="A1587" t="s">
        <v>13</v>
      </c>
      <c r="B1587">
        <v>1685107</v>
      </c>
      <c r="C1587">
        <v>1686132</v>
      </c>
      <c r="E1587" t="s">
        <v>38</v>
      </c>
      <c r="F1587" t="s">
        <v>4484</v>
      </c>
      <c r="G1587" t="s">
        <v>4485</v>
      </c>
      <c r="H1587">
        <v>1019558</v>
      </c>
      <c r="I1587" t="s">
        <v>17</v>
      </c>
      <c r="K1587" t="s">
        <v>4486</v>
      </c>
      <c r="L1587">
        <v>341</v>
      </c>
      <c r="M1587" t="s">
        <v>4487</v>
      </c>
    </row>
    <row r="1588" spans="1:13" x14ac:dyDescent="0.35">
      <c r="A1588" t="s">
        <v>13</v>
      </c>
      <c r="B1588">
        <v>1686149</v>
      </c>
      <c r="C1588">
        <v>1687078</v>
      </c>
      <c r="E1588" t="s">
        <v>38</v>
      </c>
      <c r="F1588" t="s">
        <v>4488</v>
      </c>
      <c r="G1588" t="s">
        <v>4489</v>
      </c>
      <c r="H1588">
        <v>1019559</v>
      </c>
      <c r="I1588" t="s">
        <v>17</v>
      </c>
      <c r="K1588" t="s">
        <v>4490</v>
      </c>
      <c r="L1588">
        <v>309</v>
      </c>
      <c r="M1588" t="s">
        <v>4491</v>
      </c>
    </row>
    <row r="1589" spans="1:13" x14ac:dyDescent="0.35">
      <c r="A1589" t="s">
        <v>13</v>
      </c>
      <c r="B1589">
        <v>1687100</v>
      </c>
      <c r="C1589">
        <v>1689190</v>
      </c>
      <c r="E1589" t="s">
        <v>38</v>
      </c>
      <c r="F1589" t="s">
        <v>4492</v>
      </c>
      <c r="G1589" t="s">
        <v>4493</v>
      </c>
      <c r="H1589">
        <v>1019560</v>
      </c>
      <c r="I1589" t="s">
        <v>17</v>
      </c>
      <c r="K1589" t="s">
        <v>4494</v>
      </c>
      <c r="L1589">
        <v>696</v>
      </c>
      <c r="M1589" t="s">
        <v>4495</v>
      </c>
    </row>
    <row r="1590" spans="1:13" x14ac:dyDescent="0.35">
      <c r="A1590" t="s">
        <v>13</v>
      </c>
      <c r="B1590">
        <v>1689198</v>
      </c>
      <c r="C1590">
        <v>1689779</v>
      </c>
      <c r="E1590" t="s">
        <v>38</v>
      </c>
      <c r="F1590" t="s">
        <v>1868</v>
      </c>
      <c r="H1590">
        <v>1019561</v>
      </c>
      <c r="I1590" t="s">
        <v>17</v>
      </c>
      <c r="K1590" t="s">
        <v>4496</v>
      </c>
      <c r="L1590">
        <v>193</v>
      </c>
      <c r="M1590" t="s">
        <v>4497</v>
      </c>
    </row>
    <row r="1591" spans="1:13" x14ac:dyDescent="0.35">
      <c r="A1591" t="s">
        <v>13</v>
      </c>
      <c r="B1591">
        <v>1689866</v>
      </c>
      <c r="C1591">
        <v>1690345</v>
      </c>
      <c r="E1591" t="s">
        <v>38</v>
      </c>
      <c r="F1591" t="s">
        <v>4498</v>
      </c>
      <c r="G1591" t="s">
        <v>4499</v>
      </c>
      <c r="H1591">
        <v>1019562</v>
      </c>
      <c r="I1591" t="s">
        <v>17</v>
      </c>
      <c r="K1591" t="s">
        <v>4500</v>
      </c>
      <c r="L1591">
        <v>159</v>
      </c>
      <c r="M1591" t="s">
        <v>4501</v>
      </c>
    </row>
    <row r="1592" spans="1:13" x14ac:dyDescent="0.35">
      <c r="A1592" t="s">
        <v>13</v>
      </c>
      <c r="B1592">
        <v>1690357</v>
      </c>
      <c r="C1592">
        <v>1691625</v>
      </c>
      <c r="E1592" t="s">
        <v>38</v>
      </c>
      <c r="F1592" t="s">
        <v>4502</v>
      </c>
      <c r="H1592">
        <v>1019563</v>
      </c>
      <c r="I1592" t="s">
        <v>17</v>
      </c>
      <c r="K1592" t="s">
        <v>4503</v>
      </c>
      <c r="L1592">
        <v>422</v>
      </c>
      <c r="M1592" t="s">
        <v>4504</v>
      </c>
    </row>
    <row r="1593" spans="1:13" x14ac:dyDescent="0.35">
      <c r="A1593" t="s">
        <v>13</v>
      </c>
      <c r="B1593">
        <v>1691636</v>
      </c>
      <c r="C1593">
        <v>1692271</v>
      </c>
      <c r="E1593" t="s">
        <v>38</v>
      </c>
      <c r="F1593" t="s">
        <v>4505</v>
      </c>
      <c r="H1593">
        <v>1019564</v>
      </c>
      <c r="I1593" t="s">
        <v>17</v>
      </c>
      <c r="K1593" t="s">
        <v>4506</v>
      </c>
      <c r="L1593">
        <v>211</v>
      </c>
      <c r="M1593" t="s">
        <v>4507</v>
      </c>
    </row>
    <row r="1594" spans="1:13" x14ac:dyDescent="0.35">
      <c r="A1594" t="s">
        <v>13</v>
      </c>
      <c r="B1594">
        <v>1692272</v>
      </c>
      <c r="C1594">
        <v>1693258</v>
      </c>
      <c r="E1594" t="s">
        <v>38</v>
      </c>
      <c r="F1594" t="s">
        <v>4508</v>
      </c>
      <c r="G1594" t="s">
        <v>4509</v>
      </c>
      <c r="H1594">
        <v>1019565</v>
      </c>
      <c r="I1594" t="s">
        <v>17</v>
      </c>
      <c r="K1594" t="s">
        <v>4510</v>
      </c>
      <c r="L1594">
        <v>328</v>
      </c>
      <c r="M1594" t="s">
        <v>4511</v>
      </c>
    </row>
    <row r="1595" spans="1:13" x14ac:dyDescent="0.35">
      <c r="A1595" t="s">
        <v>13</v>
      </c>
      <c r="B1595">
        <v>1693259</v>
      </c>
      <c r="C1595">
        <v>1693918</v>
      </c>
      <c r="E1595" t="s">
        <v>38</v>
      </c>
      <c r="F1595" t="s">
        <v>4512</v>
      </c>
      <c r="G1595" t="s">
        <v>4513</v>
      </c>
      <c r="H1595">
        <v>1019566</v>
      </c>
      <c r="I1595" t="s">
        <v>17</v>
      </c>
      <c r="K1595" t="s">
        <v>4514</v>
      </c>
      <c r="L1595">
        <v>219</v>
      </c>
      <c r="M1595" t="s">
        <v>4515</v>
      </c>
    </row>
    <row r="1596" spans="1:13" x14ac:dyDescent="0.35">
      <c r="A1596" t="s">
        <v>13</v>
      </c>
      <c r="B1596">
        <v>1693964</v>
      </c>
      <c r="C1596">
        <v>1695499</v>
      </c>
      <c r="E1596" t="s">
        <v>38</v>
      </c>
      <c r="F1596" t="s">
        <v>4516</v>
      </c>
      <c r="H1596">
        <v>1019567</v>
      </c>
      <c r="I1596" t="s">
        <v>17</v>
      </c>
      <c r="K1596" t="s">
        <v>4517</v>
      </c>
      <c r="L1596">
        <v>511</v>
      </c>
      <c r="M1596" t="s">
        <v>4518</v>
      </c>
    </row>
    <row r="1597" spans="1:13" x14ac:dyDescent="0.35">
      <c r="A1597" t="s">
        <v>13</v>
      </c>
      <c r="B1597">
        <v>1695496</v>
      </c>
      <c r="C1597">
        <v>1696443</v>
      </c>
      <c r="E1597" t="s">
        <v>38</v>
      </c>
      <c r="F1597" t="s">
        <v>4519</v>
      </c>
      <c r="G1597" t="s">
        <v>4520</v>
      </c>
      <c r="H1597">
        <v>1019568</v>
      </c>
      <c r="I1597" t="s">
        <v>17</v>
      </c>
      <c r="K1597" t="s">
        <v>4521</v>
      </c>
      <c r="L1597">
        <v>315</v>
      </c>
      <c r="M1597" t="s">
        <v>4522</v>
      </c>
    </row>
    <row r="1598" spans="1:13" x14ac:dyDescent="0.35">
      <c r="A1598" t="s">
        <v>13</v>
      </c>
      <c r="B1598">
        <v>1696463</v>
      </c>
      <c r="C1598">
        <v>1696972</v>
      </c>
      <c r="E1598" t="s">
        <v>38</v>
      </c>
      <c r="F1598" t="s">
        <v>4523</v>
      </c>
      <c r="G1598" t="s">
        <v>4524</v>
      </c>
      <c r="H1598">
        <v>1019569</v>
      </c>
      <c r="I1598" t="s">
        <v>17</v>
      </c>
      <c r="K1598" t="s">
        <v>4525</v>
      </c>
      <c r="L1598">
        <v>169</v>
      </c>
      <c r="M1598" t="s">
        <v>4526</v>
      </c>
    </row>
    <row r="1599" spans="1:13" x14ac:dyDescent="0.35">
      <c r="A1599" t="s">
        <v>13</v>
      </c>
      <c r="B1599">
        <v>1697081</v>
      </c>
      <c r="C1599">
        <v>1699147</v>
      </c>
      <c r="E1599" t="s">
        <v>38</v>
      </c>
      <c r="F1599" t="s">
        <v>4527</v>
      </c>
      <c r="H1599">
        <v>1019570</v>
      </c>
      <c r="I1599" t="s">
        <v>17</v>
      </c>
      <c r="K1599" t="s">
        <v>4528</v>
      </c>
      <c r="L1599">
        <v>688</v>
      </c>
      <c r="M1599" t="s">
        <v>4529</v>
      </c>
    </row>
    <row r="1600" spans="1:13" x14ac:dyDescent="0.35">
      <c r="A1600" t="s">
        <v>13</v>
      </c>
      <c r="B1600">
        <v>1699174</v>
      </c>
      <c r="C1600">
        <v>1700397</v>
      </c>
      <c r="E1600" t="s">
        <v>38</v>
      </c>
      <c r="F1600" t="s">
        <v>4530</v>
      </c>
      <c r="G1600" t="s">
        <v>4531</v>
      </c>
      <c r="H1600">
        <v>1019571</v>
      </c>
      <c r="I1600" t="s">
        <v>17</v>
      </c>
      <c r="K1600" t="s">
        <v>4532</v>
      </c>
      <c r="L1600">
        <v>407</v>
      </c>
      <c r="M1600" t="s">
        <v>4533</v>
      </c>
    </row>
    <row r="1601" spans="1:13" x14ac:dyDescent="0.35">
      <c r="A1601" t="s">
        <v>13</v>
      </c>
      <c r="B1601">
        <v>1700505</v>
      </c>
      <c r="C1601">
        <v>1701767</v>
      </c>
      <c r="E1601" t="s">
        <v>38</v>
      </c>
      <c r="F1601" t="s">
        <v>4534</v>
      </c>
      <c r="G1601" t="s">
        <v>4535</v>
      </c>
      <c r="H1601">
        <v>1019572</v>
      </c>
      <c r="I1601" t="s">
        <v>17</v>
      </c>
      <c r="K1601" t="s">
        <v>4536</v>
      </c>
      <c r="L1601">
        <v>420</v>
      </c>
      <c r="M1601" t="s">
        <v>4537</v>
      </c>
    </row>
    <row r="1602" spans="1:13" x14ac:dyDescent="0.35">
      <c r="A1602" t="s">
        <v>13</v>
      </c>
      <c r="B1602">
        <v>1702029</v>
      </c>
      <c r="C1602">
        <v>1702316</v>
      </c>
      <c r="E1602" t="s">
        <v>38</v>
      </c>
      <c r="F1602" t="s">
        <v>4538</v>
      </c>
      <c r="G1602" t="s">
        <v>4539</v>
      </c>
      <c r="H1602">
        <v>1019573</v>
      </c>
      <c r="I1602" t="s">
        <v>17</v>
      </c>
      <c r="K1602" t="s">
        <v>4540</v>
      </c>
      <c r="L1602">
        <v>95</v>
      </c>
      <c r="M1602" t="s">
        <v>4541</v>
      </c>
    </row>
    <row r="1603" spans="1:13" x14ac:dyDescent="0.35">
      <c r="A1603" t="s">
        <v>13</v>
      </c>
      <c r="B1603">
        <v>1702408</v>
      </c>
      <c r="C1603">
        <v>1702980</v>
      </c>
      <c r="E1603" t="s">
        <v>38</v>
      </c>
      <c r="F1603" t="s">
        <v>4542</v>
      </c>
      <c r="G1603" t="s">
        <v>4543</v>
      </c>
      <c r="H1603">
        <v>1019574</v>
      </c>
      <c r="I1603" t="s">
        <v>17</v>
      </c>
      <c r="K1603" t="s">
        <v>4544</v>
      </c>
      <c r="L1603">
        <v>190</v>
      </c>
      <c r="M1603" t="s">
        <v>4545</v>
      </c>
    </row>
    <row r="1604" spans="1:13" x14ac:dyDescent="0.35">
      <c r="A1604" t="s">
        <v>13</v>
      </c>
      <c r="B1604">
        <v>1702988</v>
      </c>
      <c r="C1604">
        <v>1703308</v>
      </c>
      <c r="E1604" t="s">
        <v>38</v>
      </c>
      <c r="F1604" t="s">
        <v>4546</v>
      </c>
      <c r="G1604" t="s">
        <v>4547</v>
      </c>
      <c r="H1604">
        <v>1019575</v>
      </c>
      <c r="I1604" t="s">
        <v>17</v>
      </c>
      <c r="K1604" t="s">
        <v>4548</v>
      </c>
      <c r="L1604">
        <v>106</v>
      </c>
      <c r="M1604" t="s">
        <v>4549</v>
      </c>
    </row>
    <row r="1605" spans="1:13" x14ac:dyDescent="0.35">
      <c r="A1605" t="s">
        <v>13</v>
      </c>
      <c r="B1605">
        <v>1703514</v>
      </c>
      <c r="C1605">
        <v>1704350</v>
      </c>
      <c r="E1605" t="s">
        <v>38</v>
      </c>
      <c r="F1605" t="s">
        <v>4550</v>
      </c>
      <c r="G1605" t="s">
        <v>4551</v>
      </c>
      <c r="H1605">
        <v>1019576</v>
      </c>
      <c r="I1605" t="s">
        <v>17</v>
      </c>
      <c r="K1605" t="s">
        <v>4552</v>
      </c>
      <c r="L1605">
        <v>278</v>
      </c>
      <c r="M1605" t="s">
        <v>4553</v>
      </c>
    </row>
    <row r="1606" spans="1:13" x14ac:dyDescent="0.35">
      <c r="A1606" t="s">
        <v>13</v>
      </c>
      <c r="B1606">
        <v>1704356</v>
      </c>
      <c r="C1606">
        <v>1707697</v>
      </c>
      <c r="E1606" t="s">
        <v>38</v>
      </c>
      <c r="F1606" t="s">
        <v>4554</v>
      </c>
      <c r="G1606" t="s">
        <v>4555</v>
      </c>
      <c r="H1606">
        <v>1019577</v>
      </c>
      <c r="I1606" t="s">
        <v>17</v>
      </c>
      <c r="K1606" t="s">
        <v>4556</v>
      </c>
      <c r="L1606">
        <v>1113</v>
      </c>
      <c r="M1606" t="s">
        <v>4557</v>
      </c>
    </row>
    <row r="1607" spans="1:13" x14ac:dyDescent="0.35">
      <c r="A1607" t="s">
        <v>13</v>
      </c>
      <c r="B1607">
        <v>1707703</v>
      </c>
      <c r="C1607">
        <v>1708884</v>
      </c>
      <c r="E1607" t="s">
        <v>38</v>
      </c>
      <c r="F1607" t="s">
        <v>4558</v>
      </c>
      <c r="G1607" t="s">
        <v>4559</v>
      </c>
      <c r="H1607">
        <v>1019578</v>
      </c>
      <c r="I1607" t="s">
        <v>17</v>
      </c>
      <c r="K1607" t="s">
        <v>4560</v>
      </c>
      <c r="L1607">
        <v>393</v>
      </c>
      <c r="M1607" t="s">
        <v>4561</v>
      </c>
    </row>
    <row r="1608" spans="1:13" x14ac:dyDescent="0.35">
      <c r="A1608" t="s">
        <v>13</v>
      </c>
      <c r="B1608">
        <v>1709014</v>
      </c>
      <c r="C1608">
        <v>1710357</v>
      </c>
      <c r="E1608" t="s">
        <v>38</v>
      </c>
      <c r="F1608" t="s">
        <v>4562</v>
      </c>
      <c r="H1608">
        <v>1019579</v>
      </c>
      <c r="I1608" t="s">
        <v>17</v>
      </c>
      <c r="K1608" t="s">
        <v>4563</v>
      </c>
      <c r="L1608">
        <v>447</v>
      </c>
      <c r="M1608" t="s">
        <v>4564</v>
      </c>
    </row>
    <row r="1609" spans="1:13" x14ac:dyDescent="0.35">
      <c r="A1609" t="s">
        <v>13</v>
      </c>
      <c r="B1609">
        <v>1710410</v>
      </c>
      <c r="C1609">
        <v>1711348</v>
      </c>
      <c r="E1609" t="s">
        <v>38</v>
      </c>
      <c r="F1609" t="s">
        <v>4565</v>
      </c>
      <c r="H1609">
        <v>1019580</v>
      </c>
      <c r="I1609" t="s">
        <v>17</v>
      </c>
      <c r="K1609" t="s">
        <v>4566</v>
      </c>
      <c r="L1609">
        <v>312</v>
      </c>
      <c r="M1609" t="s">
        <v>4567</v>
      </c>
    </row>
    <row r="1610" spans="1:13" x14ac:dyDescent="0.35">
      <c r="A1610" t="s">
        <v>13</v>
      </c>
      <c r="B1610">
        <v>1711349</v>
      </c>
      <c r="C1610">
        <v>1711927</v>
      </c>
      <c r="E1610" t="s">
        <v>38</v>
      </c>
      <c r="F1610" t="s">
        <v>4568</v>
      </c>
      <c r="G1610" t="s">
        <v>4569</v>
      </c>
      <c r="H1610">
        <v>1019582</v>
      </c>
      <c r="I1610" t="s">
        <v>17</v>
      </c>
      <c r="K1610" t="s">
        <v>4570</v>
      </c>
      <c r="L1610">
        <v>192</v>
      </c>
      <c r="M1610" t="s">
        <v>4571</v>
      </c>
    </row>
    <row r="1611" spans="1:13" x14ac:dyDescent="0.35">
      <c r="A1611" t="s">
        <v>13</v>
      </c>
      <c r="B1611">
        <v>1712236</v>
      </c>
      <c r="C1611">
        <v>1713762</v>
      </c>
      <c r="E1611" t="s">
        <v>14</v>
      </c>
      <c r="F1611" t="s">
        <v>4572</v>
      </c>
      <c r="H1611">
        <v>1019583</v>
      </c>
      <c r="I1611" t="s">
        <v>17</v>
      </c>
      <c r="K1611" t="s">
        <v>4573</v>
      </c>
      <c r="L1611">
        <v>508</v>
      </c>
      <c r="M1611" t="s">
        <v>4574</v>
      </c>
    </row>
    <row r="1612" spans="1:13" x14ac:dyDescent="0.35">
      <c r="A1612" t="s">
        <v>13</v>
      </c>
      <c r="B1612">
        <v>1713830</v>
      </c>
      <c r="C1612">
        <v>1714309</v>
      </c>
      <c r="E1612" t="s">
        <v>14</v>
      </c>
      <c r="F1612" t="s">
        <v>3644</v>
      </c>
      <c r="H1612">
        <v>1019584</v>
      </c>
      <c r="I1612" t="s">
        <v>17</v>
      </c>
      <c r="K1612" t="s">
        <v>4575</v>
      </c>
      <c r="L1612">
        <v>159</v>
      </c>
      <c r="M1612" t="s">
        <v>4576</v>
      </c>
    </row>
    <row r="1613" spans="1:13" x14ac:dyDescent="0.35">
      <c r="A1613" t="s">
        <v>13</v>
      </c>
      <c r="B1613">
        <v>1714299</v>
      </c>
      <c r="C1613">
        <v>1714763</v>
      </c>
      <c r="E1613" t="s">
        <v>14</v>
      </c>
      <c r="F1613" t="s">
        <v>3644</v>
      </c>
      <c r="H1613">
        <v>1019585</v>
      </c>
      <c r="I1613" t="s">
        <v>17</v>
      </c>
      <c r="K1613" t="s">
        <v>4577</v>
      </c>
      <c r="L1613">
        <v>154</v>
      </c>
      <c r="M1613" t="s">
        <v>4578</v>
      </c>
    </row>
    <row r="1614" spans="1:13" x14ac:dyDescent="0.35">
      <c r="A1614" t="s">
        <v>13</v>
      </c>
      <c r="B1614">
        <v>1714765</v>
      </c>
      <c r="C1614">
        <v>1714953</v>
      </c>
      <c r="E1614" t="s">
        <v>14</v>
      </c>
      <c r="F1614" t="s">
        <v>49</v>
      </c>
      <c r="H1614">
        <v>1019586</v>
      </c>
      <c r="I1614" t="s">
        <v>17</v>
      </c>
      <c r="K1614" t="s">
        <v>4579</v>
      </c>
      <c r="L1614">
        <v>62</v>
      </c>
      <c r="M1614" t="s">
        <v>4580</v>
      </c>
    </row>
    <row r="1615" spans="1:13" x14ac:dyDescent="0.35">
      <c r="A1615" t="s">
        <v>13</v>
      </c>
      <c r="B1615">
        <v>1715379</v>
      </c>
      <c r="C1615">
        <v>1716062</v>
      </c>
      <c r="E1615" t="s">
        <v>38</v>
      </c>
      <c r="F1615" t="s">
        <v>4581</v>
      </c>
      <c r="G1615" t="s">
        <v>4582</v>
      </c>
      <c r="H1615">
        <v>1019587</v>
      </c>
      <c r="I1615" t="s">
        <v>17</v>
      </c>
      <c r="K1615" t="s">
        <v>4583</v>
      </c>
      <c r="L1615">
        <v>227</v>
      </c>
      <c r="M1615" t="s">
        <v>4584</v>
      </c>
    </row>
    <row r="1616" spans="1:13" x14ac:dyDescent="0.35">
      <c r="A1616" t="s">
        <v>13</v>
      </c>
      <c r="B1616">
        <v>1716129</v>
      </c>
      <c r="C1616">
        <v>1716692</v>
      </c>
      <c r="E1616" t="s">
        <v>38</v>
      </c>
      <c r="F1616" t="s">
        <v>4585</v>
      </c>
      <c r="G1616" t="s">
        <v>4586</v>
      </c>
      <c r="H1616">
        <v>1019588</v>
      </c>
      <c r="I1616" t="s">
        <v>17</v>
      </c>
      <c r="K1616" t="s">
        <v>4587</v>
      </c>
      <c r="L1616">
        <v>187</v>
      </c>
      <c r="M1616" t="s">
        <v>4588</v>
      </c>
    </row>
    <row r="1617" spans="1:13" x14ac:dyDescent="0.35">
      <c r="A1617" t="s">
        <v>13</v>
      </c>
      <c r="B1617">
        <v>1716777</v>
      </c>
      <c r="C1617">
        <v>1717868</v>
      </c>
      <c r="E1617" t="s">
        <v>38</v>
      </c>
      <c r="F1617" t="s">
        <v>4589</v>
      </c>
      <c r="H1617">
        <v>1019589</v>
      </c>
      <c r="I1617" t="s">
        <v>17</v>
      </c>
      <c r="K1617" t="s">
        <v>4590</v>
      </c>
      <c r="L1617">
        <v>363</v>
      </c>
      <c r="M1617" t="s">
        <v>4591</v>
      </c>
    </row>
    <row r="1618" spans="1:13" x14ac:dyDescent="0.35">
      <c r="A1618" t="s">
        <v>13</v>
      </c>
      <c r="B1618">
        <v>1717935</v>
      </c>
      <c r="C1618">
        <v>1719032</v>
      </c>
      <c r="E1618" t="s">
        <v>38</v>
      </c>
      <c r="F1618" t="s">
        <v>4592</v>
      </c>
      <c r="G1618" t="s">
        <v>4593</v>
      </c>
      <c r="H1618">
        <v>1019590</v>
      </c>
      <c r="I1618" t="s">
        <v>17</v>
      </c>
      <c r="K1618" t="s">
        <v>4594</v>
      </c>
      <c r="L1618">
        <v>365</v>
      </c>
      <c r="M1618" t="s">
        <v>4595</v>
      </c>
    </row>
    <row r="1619" spans="1:13" x14ac:dyDescent="0.35">
      <c r="A1619" t="s">
        <v>13</v>
      </c>
      <c r="B1619">
        <v>1719104</v>
      </c>
      <c r="C1619">
        <v>1719676</v>
      </c>
      <c r="E1619" t="s">
        <v>38</v>
      </c>
      <c r="F1619" t="s">
        <v>4596</v>
      </c>
      <c r="H1619">
        <v>1019591</v>
      </c>
      <c r="I1619" t="s">
        <v>17</v>
      </c>
      <c r="K1619" t="s">
        <v>4597</v>
      </c>
      <c r="L1619">
        <v>190</v>
      </c>
      <c r="M1619" t="s">
        <v>4598</v>
      </c>
    </row>
    <row r="1620" spans="1:13" x14ac:dyDescent="0.35">
      <c r="A1620" t="s">
        <v>13</v>
      </c>
      <c r="B1620">
        <v>1719666</v>
      </c>
      <c r="C1620">
        <v>1720889</v>
      </c>
      <c r="E1620" t="s">
        <v>38</v>
      </c>
      <c r="F1620" t="s">
        <v>4599</v>
      </c>
      <c r="G1620" t="s">
        <v>4600</v>
      </c>
      <c r="H1620">
        <v>1019592</v>
      </c>
      <c r="I1620" t="s">
        <v>17</v>
      </c>
      <c r="K1620" t="s">
        <v>4601</v>
      </c>
      <c r="L1620">
        <v>407</v>
      </c>
      <c r="M1620" t="s">
        <v>4602</v>
      </c>
    </row>
    <row r="1621" spans="1:13" x14ac:dyDescent="0.35">
      <c r="A1621" t="s">
        <v>13</v>
      </c>
      <c r="B1621">
        <v>1720968</v>
      </c>
      <c r="C1621">
        <v>1721381</v>
      </c>
      <c r="E1621" t="s">
        <v>38</v>
      </c>
      <c r="F1621" t="s">
        <v>4603</v>
      </c>
      <c r="H1621">
        <v>1019593</v>
      </c>
      <c r="I1621" t="s">
        <v>17</v>
      </c>
      <c r="K1621" t="s">
        <v>4604</v>
      </c>
      <c r="L1621">
        <v>137</v>
      </c>
      <c r="M1621" t="s">
        <v>4605</v>
      </c>
    </row>
    <row r="1622" spans="1:13" x14ac:dyDescent="0.35">
      <c r="A1622" t="s">
        <v>13</v>
      </c>
      <c r="B1622">
        <v>1721420</v>
      </c>
      <c r="C1622">
        <v>1721725</v>
      </c>
      <c r="E1622" t="s">
        <v>38</v>
      </c>
      <c r="F1622" t="s">
        <v>801</v>
      </c>
      <c r="H1622">
        <v>1019594</v>
      </c>
      <c r="I1622" t="s">
        <v>17</v>
      </c>
      <c r="K1622" t="s">
        <v>4606</v>
      </c>
      <c r="L1622">
        <v>101</v>
      </c>
      <c r="M1622" t="s">
        <v>4607</v>
      </c>
    </row>
    <row r="1623" spans="1:13" x14ac:dyDescent="0.35">
      <c r="A1623" t="s">
        <v>13</v>
      </c>
      <c r="B1623">
        <v>1721780</v>
      </c>
      <c r="C1623">
        <v>1722856</v>
      </c>
      <c r="E1623" t="s">
        <v>14</v>
      </c>
      <c r="F1623" t="s">
        <v>144</v>
      </c>
      <c r="H1623">
        <v>1019595</v>
      </c>
      <c r="I1623" t="s">
        <v>17</v>
      </c>
      <c r="K1623" t="s">
        <v>4608</v>
      </c>
      <c r="L1623">
        <v>358</v>
      </c>
      <c r="M1623" t="s">
        <v>4609</v>
      </c>
    </row>
    <row r="1624" spans="1:13" x14ac:dyDescent="0.35">
      <c r="A1624" t="s">
        <v>13</v>
      </c>
      <c r="B1624">
        <v>1722870</v>
      </c>
      <c r="C1624">
        <v>1723829</v>
      </c>
      <c r="E1624" t="s">
        <v>14</v>
      </c>
      <c r="F1624" t="s">
        <v>1008</v>
      </c>
      <c r="H1624">
        <v>1019596</v>
      </c>
      <c r="I1624" t="s">
        <v>17</v>
      </c>
      <c r="K1624" t="s">
        <v>4610</v>
      </c>
      <c r="L1624">
        <v>319</v>
      </c>
      <c r="M1624" t="s">
        <v>4611</v>
      </c>
    </row>
    <row r="1625" spans="1:13" x14ac:dyDescent="0.35">
      <c r="A1625" t="s">
        <v>13</v>
      </c>
      <c r="B1625">
        <v>1723826</v>
      </c>
      <c r="C1625">
        <v>1724581</v>
      </c>
      <c r="E1625" t="s">
        <v>14</v>
      </c>
      <c r="F1625" t="s">
        <v>147</v>
      </c>
      <c r="H1625">
        <v>1019597</v>
      </c>
      <c r="I1625" t="s">
        <v>17</v>
      </c>
      <c r="K1625" t="s">
        <v>4612</v>
      </c>
      <c r="L1625">
        <v>251</v>
      </c>
      <c r="M1625" t="s">
        <v>4613</v>
      </c>
    </row>
    <row r="1626" spans="1:13" x14ac:dyDescent="0.35">
      <c r="A1626" t="s">
        <v>13</v>
      </c>
      <c r="B1626">
        <v>1724609</v>
      </c>
      <c r="C1626">
        <v>1725439</v>
      </c>
      <c r="E1626" t="s">
        <v>38</v>
      </c>
      <c r="F1626" t="s">
        <v>4614</v>
      </c>
      <c r="H1626">
        <v>1019598</v>
      </c>
      <c r="I1626" t="s">
        <v>17</v>
      </c>
      <c r="K1626" t="s">
        <v>4615</v>
      </c>
      <c r="L1626">
        <v>276</v>
      </c>
      <c r="M1626" t="s">
        <v>4616</v>
      </c>
    </row>
    <row r="1627" spans="1:13" x14ac:dyDescent="0.35">
      <c r="A1627" t="s">
        <v>13</v>
      </c>
      <c r="B1627">
        <v>1725456</v>
      </c>
      <c r="C1627">
        <v>1726625</v>
      </c>
      <c r="E1627" t="s">
        <v>38</v>
      </c>
      <c r="F1627" t="s">
        <v>4617</v>
      </c>
      <c r="G1627" t="s">
        <v>4618</v>
      </c>
      <c r="H1627">
        <v>1019599</v>
      </c>
      <c r="I1627" t="s">
        <v>17</v>
      </c>
      <c r="K1627" t="s">
        <v>4619</v>
      </c>
      <c r="L1627">
        <v>389</v>
      </c>
      <c r="M1627" t="s">
        <v>4620</v>
      </c>
    </row>
    <row r="1628" spans="1:13" x14ac:dyDescent="0.35">
      <c r="A1628" t="s">
        <v>13</v>
      </c>
      <c r="B1628">
        <v>1726622</v>
      </c>
      <c r="C1628">
        <v>1727170</v>
      </c>
      <c r="E1628" t="s">
        <v>38</v>
      </c>
      <c r="F1628" t="s">
        <v>4621</v>
      </c>
      <c r="G1628" t="s">
        <v>4622</v>
      </c>
      <c r="H1628">
        <v>1019600</v>
      </c>
      <c r="I1628" t="s">
        <v>17</v>
      </c>
      <c r="K1628" t="s">
        <v>4623</v>
      </c>
      <c r="L1628">
        <v>182</v>
      </c>
      <c r="M1628" t="s">
        <v>4624</v>
      </c>
    </row>
    <row r="1629" spans="1:13" x14ac:dyDescent="0.35">
      <c r="A1629" t="s">
        <v>13</v>
      </c>
      <c r="B1629">
        <v>1727382</v>
      </c>
      <c r="C1629">
        <v>1730048</v>
      </c>
      <c r="E1629" t="s">
        <v>38</v>
      </c>
      <c r="F1629" t="s">
        <v>4625</v>
      </c>
      <c r="G1629" t="s">
        <v>4626</v>
      </c>
      <c r="H1629">
        <v>1019601</v>
      </c>
      <c r="I1629" t="s">
        <v>17</v>
      </c>
      <c r="K1629" t="s">
        <v>4627</v>
      </c>
      <c r="L1629">
        <v>888</v>
      </c>
      <c r="M1629" t="s">
        <v>4628</v>
      </c>
    </row>
    <row r="1630" spans="1:13" x14ac:dyDescent="0.35">
      <c r="A1630" t="s">
        <v>13</v>
      </c>
      <c r="B1630">
        <v>1730163</v>
      </c>
      <c r="C1630">
        <v>1731542</v>
      </c>
      <c r="E1630" t="s">
        <v>38</v>
      </c>
      <c r="F1630" t="s">
        <v>4629</v>
      </c>
      <c r="H1630">
        <v>1019602</v>
      </c>
      <c r="I1630" t="s">
        <v>17</v>
      </c>
      <c r="K1630" t="s">
        <v>4630</v>
      </c>
      <c r="L1630">
        <v>459</v>
      </c>
      <c r="M1630" t="s">
        <v>4631</v>
      </c>
    </row>
    <row r="1631" spans="1:13" x14ac:dyDescent="0.35">
      <c r="A1631" t="s">
        <v>13</v>
      </c>
      <c r="B1631">
        <v>1731596</v>
      </c>
      <c r="C1631">
        <v>1732795</v>
      </c>
      <c r="E1631" t="s">
        <v>38</v>
      </c>
      <c r="F1631" t="s">
        <v>4632</v>
      </c>
      <c r="H1631">
        <v>1019603</v>
      </c>
      <c r="I1631" t="s">
        <v>17</v>
      </c>
      <c r="K1631" t="s">
        <v>4633</v>
      </c>
      <c r="L1631">
        <v>399</v>
      </c>
      <c r="M1631" t="s">
        <v>4634</v>
      </c>
    </row>
    <row r="1632" spans="1:13" x14ac:dyDescent="0.35">
      <c r="A1632" t="s">
        <v>13</v>
      </c>
      <c r="B1632">
        <v>1732985</v>
      </c>
      <c r="C1632">
        <v>1734811</v>
      </c>
      <c r="E1632" t="s">
        <v>38</v>
      </c>
      <c r="F1632" t="s">
        <v>4635</v>
      </c>
      <c r="G1632" t="s">
        <v>4636</v>
      </c>
      <c r="H1632">
        <v>1019604</v>
      </c>
      <c r="I1632" t="s">
        <v>17</v>
      </c>
      <c r="K1632" t="s">
        <v>4637</v>
      </c>
      <c r="L1632">
        <v>608</v>
      </c>
      <c r="M1632" t="s">
        <v>4638</v>
      </c>
    </row>
    <row r="1633" spans="1:13" x14ac:dyDescent="0.35">
      <c r="A1633" t="s">
        <v>13</v>
      </c>
      <c r="B1633">
        <v>1735125</v>
      </c>
      <c r="C1633">
        <v>1735949</v>
      </c>
      <c r="E1633" t="s">
        <v>14</v>
      </c>
      <c r="F1633" t="s">
        <v>4639</v>
      </c>
      <c r="H1633">
        <v>1019605</v>
      </c>
      <c r="I1633" t="s">
        <v>17</v>
      </c>
      <c r="K1633" t="s">
        <v>4640</v>
      </c>
      <c r="L1633">
        <v>274</v>
      </c>
      <c r="M1633" t="s">
        <v>4641</v>
      </c>
    </row>
    <row r="1634" spans="1:13" x14ac:dyDescent="0.35">
      <c r="A1634" t="s">
        <v>13</v>
      </c>
      <c r="B1634">
        <v>1736001</v>
      </c>
      <c r="C1634">
        <v>1738679</v>
      </c>
      <c r="E1634" t="s">
        <v>38</v>
      </c>
      <c r="F1634" t="s">
        <v>930</v>
      </c>
      <c r="H1634">
        <v>1019606</v>
      </c>
      <c r="I1634" t="s">
        <v>17</v>
      </c>
      <c r="K1634" t="s">
        <v>4642</v>
      </c>
      <c r="L1634">
        <v>892</v>
      </c>
      <c r="M1634" t="s">
        <v>4643</v>
      </c>
    </row>
    <row r="1635" spans="1:13" x14ac:dyDescent="0.35">
      <c r="A1635" t="s">
        <v>13</v>
      </c>
      <c r="B1635">
        <v>1738710</v>
      </c>
      <c r="C1635">
        <v>1740569</v>
      </c>
      <c r="E1635" t="s">
        <v>38</v>
      </c>
      <c r="F1635" t="s">
        <v>829</v>
      </c>
      <c r="H1635">
        <v>1019607</v>
      </c>
      <c r="I1635" t="s">
        <v>17</v>
      </c>
      <c r="K1635" t="s">
        <v>4644</v>
      </c>
      <c r="L1635">
        <v>619</v>
      </c>
      <c r="M1635" t="s">
        <v>4645</v>
      </c>
    </row>
    <row r="1636" spans="1:13" x14ac:dyDescent="0.35">
      <c r="A1636" t="s">
        <v>13</v>
      </c>
      <c r="B1636">
        <v>1740569</v>
      </c>
      <c r="C1636">
        <v>1741219</v>
      </c>
      <c r="E1636" t="s">
        <v>38</v>
      </c>
      <c r="F1636" t="s">
        <v>49</v>
      </c>
      <c r="H1636">
        <v>1019608</v>
      </c>
      <c r="I1636" t="s">
        <v>17</v>
      </c>
      <c r="K1636" t="s">
        <v>4646</v>
      </c>
      <c r="L1636">
        <v>216</v>
      </c>
      <c r="M1636" t="s">
        <v>4647</v>
      </c>
    </row>
    <row r="1637" spans="1:13" x14ac:dyDescent="0.35">
      <c r="A1637" t="s">
        <v>13</v>
      </c>
      <c r="B1637">
        <v>1741313</v>
      </c>
      <c r="C1637">
        <v>1741909</v>
      </c>
      <c r="E1637" t="s">
        <v>14</v>
      </c>
      <c r="F1637" t="s">
        <v>1126</v>
      </c>
      <c r="H1637">
        <v>1019609</v>
      </c>
      <c r="I1637" t="s">
        <v>17</v>
      </c>
      <c r="K1637" t="s">
        <v>4648</v>
      </c>
      <c r="L1637">
        <v>198</v>
      </c>
      <c r="M1637" t="s">
        <v>4649</v>
      </c>
    </row>
    <row r="1638" spans="1:13" x14ac:dyDescent="0.35">
      <c r="A1638" t="s">
        <v>13</v>
      </c>
      <c r="B1638">
        <v>1741893</v>
      </c>
      <c r="C1638">
        <v>1742609</v>
      </c>
      <c r="E1638" t="s">
        <v>14</v>
      </c>
      <c r="F1638" t="s">
        <v>49</v>
      </c>
      <c r="H1638">
        <v>1019610</v>
      </c>
      <c r="I1638" t="s">
        <v>17</v>
      </c>
      <c r="K1638" t="s">
        <v>4650</v>
      </c>
      <c r="L1638">
        <v>238</v>
      </c>
      <c r="M1638" t="s">
        <v>4651</v>
      </c>
    </row>
    <row r="1639" spans="1:13" x14ac:dyDescent="0.35">
      <c r="A1639" t="s">
        <v>13</v>
      </c>
      <c r="B1639">
        <v>1742701</v>
      </c>
      <c r="C1639">
        <v>1743816</v>
      </c>
      <c r="E1639" t="s">
        <v>14</v>
      </c>
      <c r="F1639" t="s">
        <v>4652</v>
      </c>
      <c r="H1639">
        <v>1019611</v>
      </c>
      <c r="I1639" t="s">
        <v>17</v>
      </c>
      <c r="K1639" t="s">
        <v>4653</v>
      </c>
      <c r="L1639">
        <v>371</v>
      </c>
      <c r="M1639" t="s">
        <v>4654</v>
      </c>
    </row>
    <row r="1640" spans="1:13" x14ac:dyDescent="0.35">
      <c r="A1640" t="s">
        <v>13</v>
      </c>
      <c r="B1640">
        <v>1743843</v>
      </c>
      <c r="C1640">
        <v>1744522</v>
      </c>
      <c r="E1640" t="s">
        <v>14</v>
      </c>
      <c r="F1640" t="s">
        <v>141</v>
      </c>
      <c r="H1640">
        <v>18194965</v>
      </c>
      <c r="I1640" t="s">
        <v>142</v>
      </c>
      <c r="M1640" t="s">
        <v>4655</v>
      </c>
    </row>
    <row r="1641" spans="1:13" x14ac:dyDescent="0.35">
      <c r="A1641" t="s">
        <v>13</v>
      </c>
      <c r="B1641">
        <v>1744884</v>
      </c>
      <c r="C1641">
        <v>1746233</v>
      </c>
      <c r="E1641" t="s">
        <v>14</v>
      </c>
      <c r="F1641" t="s">
        <v>4656</v>
      </c>
      <c r="H1641">
        <v>1019614</v>
      </c>
      <c r="I1641" t="s">
        <v>17</v>
      </c>
      <c r="K1641" t="s">
        <v>4657</v>
      </c>
      <c r="L1641">
        <v>449</v>
      </c>
      <c r="M1641" t="s">
        <v>4658</v>
      </c>
    </row>
    <row r="1642" spans="1:13" x14ac:dyDescent="0.35">
      <c r="A1642" t="s">
        <v>13</v>
      </c>
      <c r="B1642">
        <v>1746230</v>
      </c>
      <c r="C1642">
        <v>1747918</v>
      </c>
      <c r="E1642" t="s">
        <v>38</v>
      </c>
      <c r="F1642" t="s">
        <v>4659</v>
      </c>
      <c r="H1642">
        <v>1019615</v>
      </c>
      <c r="I1642" t="s">
        <v>17</v>
      </c>
      <c r="K1642" t="s">
        <v>4660</v>
      </c>
      <c r="L1642">
        <v>562</v>
      </c>
      <c r="M1642" t="s">
        <v>4661</v>
      </c>
    </row>
    <row r="1643" spans="1:13" x14ac:dyDescent="0.35">
      <c r="A1643" t="s">
        <v>13</v>
      </c>
      <c r="B1643">
        <v>1747987</v>
      </c>
      <c r="C1643">
        <v>1749276</v>
      </c>
      <c r="E1643" t="s">
        <v>38</v>
      </c>
      <c r="F1643" t="s">
        <v>4662</v>
      </c>
      <c r="G1643" t="s">
        <v>4663</v>
      </c>
      <c r="H1643">
        <v>1019616</v>
      </c>
      <c r="I1643" t="s">
        <v>17</v>
      </c>
      <c r="K1643" t="s">
        <v>4664</v>
      </c>
      <c r="L1643">
        <v>429</v>
      </c>
      <c r="M1643" t="s">
        <v>4665</v>
      </c>
    </row>
    <row r="1644" spans="1:13" x14ac:dyDescent="0.35">
      <c r="A1644" t="s">
        <v>13</v>
      </c>
      <c r="B1644">
        <v>1749322</v>
      </c>
      <c r="C1644">
        <v>1749963</v>
      </c>
      <c r="E1644" t="s">
        <v>38</v>
      </c>
      <c r="F1644" t="s">
        <v>191</v>
      </c>
      <c r="H1644">
        <v>1019617</v>
      </c>
      <c r="I1644" t="s">
        <v>17</v>
      </c>
      <c r="K1644" t="s">
        <v>4666</v>
      </c>
      <c r="L1644">
        <v>213</v>
      </c>
      <c r="M1644" t="s">
        <v>4667</v>
      </c>
    </row>
    <row r="1645" spans="1:13" x14ac:dyDescent="0.35">
      <c r="A1645" t="s">
        <v>13</v>
      </c>
      <c r="B1645">
        <v>1750094</v>
      </c>
      <c r="C1645">
        <v>1750936</v>
      </c>
      <c r="E1645" t="s">
        <v>14</v>
      </c>
      <c r="F1645" t="s">
        <v>132</v>
      </c>
      <c r="H1645">
        <v>1019618</v>
      </c>
      <c r="I1645" t="s">
        <v>17</v>
      </c>
      <c r="K1645" t="s">
        <v>4668</v>
      </c>
      <c r="L1645">
        <v>280</v>
      </c>
      <c r="M1645" t="s">
        <v>4669</v>
      </c>
    </row>
    <row r="1646" spans="1:13" x14ac:dyDescent="0.35">
      <c r="A1646" t="s">
        <v>13</v>
      </c>
      <c r="B1646">
        <v>1751497</v>
      </c>
      <c r="C1646">
        <v>1752054</v>
      </c>
      <c r="E1646" t="s">
        <v>14</v>
      </c>
      <c r="F1646" t="s">
        <v>4670</v>
      </c>
      <c r="H1646">
        <v>1019619</v>
      </c>
      <c r="I1646" t="s">
        <v>17</v>
      </c>
      <c r="K1646" t="s">
        <v>4671</v>
      </c>
      <c r="L1646">
        <v>185</v>
      </c>
      <c r="M1646" t="s">
        <v>4672</v>
      </c>
    </row>
    <row r="1647" spans="1:13" x14ac:dyDescent="0.35">
      <c r="A1647" t="s">
        <v>13</v>
      </c>
      <c r="B1647">
        <v>1752255</v>
      </c>
      <c r="C1647">
        <v>1752530</v>
      </c>
      <c r="E1647" t="s">
        <v>14</v>
      </c>
      <c r="F1647" t="s">
        <v>49</v>
      </c>
      <c r="H1647">
        <v>1019620</v>
      </c>
      <c r="I1647" t="s">
        <v>17</v>
      </c>
      <c r="K1647" t="s">
        <v>4673</v>
      </c>
      <c r="L1647">
        <v>91</v>
      </c>
      <c r="M1647" t="s">
        <v>4674</v>
      </c>
    </row>
    <row r="1648" spans="1:13" x14ac:dyDescent="0.35">
      <c r="A1648" t="s">
        <v>13</v>
      </c>
      <c r="B1648">
        <v>1752612</v>
      </c>
      <c r="C1648">
        <v>1754894</v>
      </c>
      <c r="E1648" t="s">
        <v>38</v>
      </c>
      <c r="F1648" t="s">
        <v>4675</v>
      </c>
      <c r="H1648">
        <v>1019621</v>
      </c>
      <c r="I1648" t="s">
        <v>17</v>
      </c>
      <c r="K1648" t="s">
        <v>4676</v>
      </c>
      <c r="L1648">
        <v>760</v>
      </c>
      <c r="M1648" t="s">
        <v>4677</v>
      </c>
    </row>
    <row r="1649" spans="1:13" x14ac:dyDescent="0.35">
      <c r="A1649" t="s">
        <v>13</v>
      </c>
      <c r="B1649">
        <v>1754922</v>
      </c>
      <c r="C1649">
        <v>1755479</v>
      </c>
      <c r="E1649" t="s">
        <v>38</v>
      </c>
      <c r="F1649" t="s">
        <v>4678</v>
      </c>
      <c r="H1649">
        <v>1019622</v>
      </c>
      <c r="I1649" t="s">
        <v>17</v>
      </c>
      <c r="K1649" t="s">
        <v>4679</v>
      </c>
      <c r="L1649">
        <v>185</v>
      </c>
      <c r="M1649" t="s">
        <v>4680</v>
      </c>
    </row>
    <row r="1650" spans="1:13" x14ac:dyDescent="0.35">
      <c r="A1650" t="s">
        <v>13</v>
      </c>
      <c r="B1650">
        <v>1755483</v>
      </c>
      <c r="C1650">
        <v>1757084</v>
      </c>
      <c r="E1650" t="s">
        <v>38</v>
      </c>
      <c r="F1650" t="s">
        <v>1008</v>
      </c>
      <c r="H1650">
        <v>1019623</v>
      </c>
      <c r="I1650" t="s">
        <v>17</v>
      </c>
      <c r="K1650" t="s">
        <v>4681</v>
      </c>
      <c r="L1650">
        <v>533</v>
      </c>
      <c r="M1650" t="s">
        <v>4682</v>
      </c>
    </row>
    <row r="1651" spans="1:13" x14ac:dyDescent="0.35">
      <c r="A1651" t="s">
        <v>13</v>
      </c>
      <c r="B1651">
        <v>1757586</v>
      </c>
      <c r="C1651">
        <v>1758797</v>
      </c>
      <c r="E1651" t="s">
        <v>38</v>
      </c>
      <c r="F1651" t="s">
        <v>4683</v>
      </c>
      <c r="G1651" t="s">
        <v>4684</v>
      </c>
      <c r="H1651">
        <v>1019624</v>
      </c>
      <c r="I1651" t="s">
        <v>17</v>
      </c>
      <c r="K1651" t="s">
        <v>4685</v>
      </c>
      <c r="L1651">
        <v>403</v>
      </c>
      <c r="M1651" t="s">
        <v>4686</v>
      </c>
    </row>
    <row r="1652" spans="1:13" x14ac:dyDescent="0.35">
      <c r="A1652" t="s">
        <v>13</v>
      </c>
      <c r="B1652">
        <v>1758800</v>
      </c>
      <c r="C1652">
        <v>1760713</v>
      </c>
      <c r="E1652" t="s">
        <v>38</v>
      </c>
      <c r="F1652" t="s">
        <v>4687</v>
      </c>
      <c r="G1652" t="s">
        <v>4688</v>
      </c>
      <c r="H1652">
        <v>1019625</v>
      </c>
      <c r="I1652" t="s">
        <v>17</v>
      </c>
      <c r="K1652" t="s">
        <v>4689</v>
      </c>
      <c r="L1652">
        <v>637</v>
      </c>
      <c r="M1652" t="s">
        <v>4690</v>
      </c>
    </row>
    <row r="1653" spans="1:13" x14ac:dyDescent="0.35">
      <c r="A1653" t="s">
        <v>13</v>
      </c>
      <c r="B1653">
        <v>1761002</v>
      </c>
      <c r="C1653">
        <v>1761367</v>
      </c>
      <c r="E1653" t="s">
        <v>38</v>
      </c>
      <c r="F1653" t="s">
        <v>4691</v>
      </c>
      <c r="G1653" t="s">
        <v>4692</v>
      </c>
      <c r="H1653">
        <v>1019626</v>
      </c>
      <c r="I1653" t="s">
        <v>17</v>
      </c>
      <c r="K1653" t="s">
        <v>4693</v>
      </c>
      <c r="L1653">
        <v>121</v>
      </c>
      <c r="M1653" t="s">
        <v>4694</v>
      </c>
    </row>
    <row r="1654" spans="1:13" x14ac:dyDescent="0.35">
      <c r="A1654" t="s">
        <v>13</v>
      </c>
      <c r="B1654">
        <v>1761416</v>
      </c>
      <c r="C1654">
        <v>1762507</v>
      </c>
      <c r="E1654" t="s">
        <v>38</v>
      </c>
      <c r="F1654" t="s">
        <v>4695</v>
      </c>
      <c r="G1654" t="s">
        <v>4696</v>
      </c>
      <c r="H1654">
        <v>1019627</v>
      </c>
      <c r="I1654" t="s">
        <v>17</v>
      </c>
      <c r="K1654" t="s">
        <v>4697</v>
      </c>
      <c r="L1654">
        <v>363</v>
      </c>
      <c r="M1654" t="s">
        <v>4698</v>
      </c>
    </row>
    <row r="1655" spans="1:13" x14ac:dyDescent="0.35">
      <c r="A1655" t="s">
        <v>13</v>
      </c>
      <c r="B1655">
        <v>1762514</v>
      </c>
      <c r="C1655">
        <v>1763134</v>
      </c>
      <c r="E1655" t="s">
        <v>38</v>
      </c>
      <c r="F1655" t="s">
        <v>4699</v>
      </c>
      <c r="G1655" t="s">
        <v>4700</v>
      </c>
      <c r="H1655">
        <v>1019628</v>
      </c>
      <c r="I1655" t="s">
        <v>17</v>
      </c>
      <c r="K1655" t="s">
        <v>4701</v>
      </c>
      <c r="L1655">
        <v>206</v>
      </c>
      <c r="M1655" t="s">
        <v>4702</v>
      </c>
    </row>
    <row r="1656" spans="1:13" x14ac:dyDescent="0.35">
      <c r="A1656" t="s">
        <v>13</v>
      </c>
      <c r="B1656">
        <v>1763174</v>
      </c>
      <c r="C1656">
        <v>1763839</v>
      </c>
      <c r="E1656" t="s">
        <v>38</v>
      </c>
      <c r="F1656" t="s">
        <v>4703</v>
      </c>
      <c r="G1656" t="s">
        <v>4704</v>
      </c>
      <c r="H1656">
        <v>1019629</v>
      </c>
      <c r="I1656" t="s">
        <v>17</v>
      </c>
      <c r="K1656" t="s">
        <v>4705</v>
      </c>
      <c r="L1656">
        <v>221</v>
      </c>
      <c r="M1656" t="s">
        <v>4706</v>
      </c>
    </row>
    <row r="1657" spans="1:13" x14ac:dyDescent="0.35">
      <c r="A1657" t="s">
        <v>13</v>
      </c>
      <c r="B1657">
        <v>1763987</v>
      </c>
      <c r="C1657">
        <v>1764742</v>
      </c>
      <c r="E1657" t="s">
        <v>38</v>
      </c>
      <c r="F1657" t="s">
        <v>4707</v>
      </c>
      <c r="H1657">
        <v>1019630</v>
      </c>
      <c r="I1657" t="s">
        <v>17</v>
      </c>
      <c r="K1657" t="s">
        <v>4708</v>
      </c>
      <c r="L1657">
        <v>251</v>
      </c>
      <c r="M1657" t="s">
        <v>4709</v>
      </c>
    </row>
    <row r="1658" spans="1:13" x14ac:dyDescent="0.35">
      <c r="A1658" t="s">
        <v>13</v>
      </c>
      <c r="B1658">
        <v>1765012</v>
      </c>
      <c r="C1658">
        <v>1765860</v>
      </c>
      <c r="E1658" t="s">
        <v>38</v>
      </c>
      <c r="F1658" t="s">
        <v>4710</v>
      </c>
      <c r="H1658">
        <v>1019631</v>
      </c>
      <c r="I1658" t="s">
        <v>17</v>
      </c>
      <c r="K1658" t="s">
        <v>4711</v>
      </c>
      <c r="L1658">
        <v>282</v>
      </c>
      <c r="M1658" t="s">
        <v>4712</v>
      </c>
    </row>
    <row r="1659" spans="1:13" x14ac:dyDescent="0.35">
      <c r="A1659" t="s">
        <v>13</v>
      </c>
      <c r="B1659">
        <v>1765969</v>
      </c>
      <c r="C1659">
        <v>1766445</v>
      </c>
      <c r="E1659" t="s">
        <v>14</v>
      </c>
      <c r="F1659" t="s">
        <v>4713</v>
      </c>
      <c r="H1659">
        <v>1019632</v>
      </c>
      <c r="I1659" t="s">
        <v>17</v>
      </c>
      <c r="K1659" t="s">
        <v>4714</v>
      </c>
      <c r="L1659">
        <v>158</v>
      </c>
      <c r="M1659" t="s">
        <v>4715</v>
      </c>
    </row>
    <row r="1660" spans="1:13" x14ac:dyDescent="0.35">
      <c r="A1660" t="s">
        <v>13</v>
      </c>
      <c r="B1660">
        <v>1766484</v>
      </c>
      <c r="C1660">
        <v>1766948</v>
      </c>
      <c r="E1660" t="s">
        <v>38</v>
      </c>
      <c r="F1660" t="s">
        <v>49</v>
      </c>
      <c r="H1660">
        <v>1019633</v>
      </c>
      <c r="I1660" t="s">
        <v>17</v>
      </c>
      <c r="K1660" t="s">
        <v>4716</v>
      </c>
      <c r="L1660">
        <v>154</v>
      </c>
      <c r="M1660" t="s">
        <v>4717</v>
      </c>
    </row>
    <row r="1661" spans="1:13" x14ac:dyDescent="0.35">
      <c r="A1661" t="s">
        <v>13</v>
      </c>
      <c r="B1661">
        <v>1766945</v>
      </c>
      <c r="C1661">
        <v>1768030</v>
      </c>
      <c r="E1661" t="s">
        <v>38</v>
      </c>
      <c r="F1661" t="s">
        <v>1046</v>
      </c>
      <c r="H1661">
        <v>1019634</v>
      </c>
      <c r="I1661" t="s">
        <v>17</v>
      </c>
      <c r="K1661" t="s">
        <v>4718</v>
      </c>
      <c r="L1661">
        <v>361</v>
      </c>
      <c r="M1661" t="s">
        <v>4719</v>
      </c>
    </row>
    <row r="1662" spans="1:13" x14ac:dyDescent="0.35">
      <c r="A1662" t="s">
        <v>13</v>
      </c>
      <c r="B1662">
        <v>1768031</v>
      </c>
      <c r="C1662">
        <v>1768996</v>
      </c>
      <c r="E1662" t="s">
        <v>38</v>
      </c>
      <c r="F1662" t="s">
        <v>4720</v>
      </c>
      <c r="H1662">
        <v>1019635</v>
      </c>
      <c r="I1662" t="s">
        <v>17</v>
      </c>
      <c r="K1662" t="s">
        <v>4721</v>
      </c>
      <c r="L1662">
        <v>321</v>
      </c>
      <c r="M1662" t="s">
        <v>4722</v>
      </c>
    </row>
    <row r="1663" spans="1:13" x14ac:dyDescent="0.35">
      <c r="A1663" t="s">
        <v>13</v>
      </c>
      <c r="B1663">
        <v>1769019</v>
      </c>
      <c r="C1663">
        <v>1769678</v>
      </c>
      <c r="E1663" t="s">
        <v>38</v>
      </c>
      <c r="F1663" t="s">
        <v>4723</v>
      </c>
      <c r="G1663" t="s">
        <v>4724</v>
      </c>
      <c r="H1663">
        <v>1019636</v>
      </c>
      <c r="I1663" t="s">
        <v>17</v>
      </c>
      <c r="K1663" t="s">
        <v>4725</v>
      </c>
      <c r="L1663">
        <v>219</v>
      </c>
      <c r="M1663" t="s">
        <v>4726</v>
      </c>
    </row>
    <row r="1664" spans="1:13" x14ac:dyDescent="0.35">
      <c r="A1664" t="s">
        <v>13</v>
      </c>
      <c r="B1664">
        <v>1769678</v>
      </c>
      <c r="C1664">
        <v>1770316</v>
      </c>
      <c r="E1664" t="s">
        <v>38</v>
      </c>
      <c r="F1664" t="s">
        <v>4727</v>
      </c>
      <c r="H1664">
        <v>1019637</v>
      </c>
      <c r="I1664" t="s">
        <v>17</v>
      </c>
      <c r="K1664" t="s">
        <v>4728</v>
      </c>
      <c r="L1664">
        <v>212</v>
      </c>
      <c r="M1664" t="s">
        <v>4729</v>
      </c>
    </row>
    <row r="1665" spans="1:13" x14ac:dyDescent="0.35">
      <c r="A1665" t="s">
        <v>13</v>
      </c>
      <c r="B1665">
        <v>1770324</v>
      </c>
      <c r="C1665">
        <v>1772384</v>
      </c>
      <c r="E1665" t="s">
        <v>38</v>
      </c>
      <c r="F1665" t="s">
        <v>4730</v>
      </c>
      <c r="G1665" t="s">
        <v>4731</v>
      </c>
      <c r="H1665">
        <v>1019638</v>
      </c>
      <c r="I1665" t="s">
        <v>17</v>
      </c>
      <c r="K1665" t="s">
        <v>4732</v>
      </c>
      <c r="L1665">
        <v>686</v>
      </c>
      <c r="M1665" t="s">
        <v>4733</v>
      </c>
    </row>
    <row r="1666" spans="1:13" x14ac:dyDescent="0.35">
      <c r="A1666" t="s">
        <v>13</v>
      </c>
      <c r="B1666">
        <v>1772655</v>
      </c>
      <c r="C1666">
        <v>1773863</v>
      </c>
      <c r="E1666" t="s">
        <v>38</v>
      </c>
      <c r="F1666" t="s">
        <v>4734</v>
      </c>
      <c r="H1666">
        <v>1019639</v>
      </c>
      <c r="I1666" t="s">
        <v>17</v>
      </c>
      <c r="K1666" t="s">
        <v>4735</v>
      </c>
      <c r="L1666">
        <v>402</v>
      </c>
      <c r="M1666" t="s">
        <v>4736</v>
      </c>
    </row>
    <row r="1667" spans="1:13" x14ac:dyDescent="0.35">
      <c r="A1667" t="s">
        <v>13</v>
      </c>
      <c r="B1667">
        <v>1773890</v>
      </c>
      <c r="C1667">
        <v>1774438</v>
      </c>
      <c r="E1667" t="s">
        <v>38</v>
      </c>
      <c r="F1667" t="s">
        <v>4737</v>
      </c>
      <c r="H1667">
        <v>1019640</v>
      </c>
      <c r="I1667" t="s">
        <v>17</v>
      </c>
      <c r="K1667" t="s">
        <v>4738</v>
      </c>
      <c r="L1667">
        <v>182</v>
      </c>
      <c r="M1667" t="s">
        <v>4739</v>
      </c>
    </row>
    <row r="1668" spans="1:13" x14ac:dyDescent="0.35">
      <c r="A1668" t="s">
        <v>13</v>
      </c>
      <c r="B1668">
        <v>1774454</v>
      </c>
      <c r="C1668">
        <v>1775074</v>
      </c>
      <c r="E1668" t="s">
        <v>38</v>
      </c>
      <c r="F1668" t="s">
        <v>4740</v>
      </c>
      <c r="H1668">
        <v>1019641</v>
      </c>
      <c r="I1668" t="s">
        <v>17</v>
      </c>
      <c r="K1668" t="s">
        <v>4741</v>
      </c>
      <c r="L1668">
        <v>206</v>
      </c>
      <c r="M1668" t="s">
        <v>4742</v>
      </c>
    </row>
    <row r="1669" spans="1:13" x14ac:dyDescent="0.35">
      <c r="A1669" t="s">
        <v>13</v>
      </c>
      <c r="B1669">
        <v>1775676</v>
      </c>
      <c r="C1669">
        <v>1775748</v>
      </c>
      <c r="E1669" t="s">
        <v>38</v>
      </c>
      <c r="F1669" t="s">
        <v>4743</v>
      </c>
      <c r="H1669">
        <v>2745333</v>
      </c>
      <c r="I1669" t="s">
        <v>62</v>
      </c>
      <c r="M1669" t="s">
        <v>4744</v>
      </c>
    </row>
    <row r="1670" spans="1:13" x14ac:dyDescent="0.35">
      <c r="A1670" t="s">
        <v>13</v>
      </c>
      <c r="B1670">
        <v>1775782</v>
      </c>
      <c r="C1670">
        <v>1775856</v>
      </c>
      <c r="E1670" t="s">
        <v>38</v>
      </c>
      <c r="F1670" t="s">
        <v>4745</v>
      </c>
      <c r="H1670">
        <v>2745348</v>
      </c>
      <c r="I1670" t="s">
        <v>62</v>
      </c>
      <c r="M1670" t="s">
        <v>4746</v>
      </c>
    </row>
    <row r="1671" spans="1:13" x14ac:dyDescent="0.35">
      <c r="A1671" t="s">
        <v>13</v>
      </c>
      <c r="B1671">
        <v>1775867</v>
      </c>
      <c r="C1671">
        <v>1775937</v>
      </c>
      <c r="E1671" t="s">
        <v>38</v>
      </c>
      <c r="F1671" t="s">
        <v>4747</v>
      </c>
      <c r="H1671">
        <v>2745354</v>
      </c>
      <c r="I1671" t="s">
        <v>62</v>
      </c>
      <c r="M1671" t="s">
        <v>4748</v>
      </c>
    </row>
    <row r="1672" spans="1:13" x14ac:dyDescent="0.35">
      <c r="A1672" t="s">
        <v>13</v>
      </c>
      <c r="B1672">
        <v>1775979</v>
      </c>
      <c r="C1672">
        <v>1776051</v>
      </c>
      <c r="E1672" t="s">
        <v>38</v>
      </c>
      <c r="F1672" t="s">
        <v>4743</v>
      </c>
      <c r="H1672">
        <v>2745347</v>
      </c>
      <c r="I1672" t="s">
        <v>62</v>
      </c>
      <c r="M1672" t="s">
        <v>4749</v>
      </c>
    </row>
    <row r="1673" spans="1:13" x14ac:dyDescent="0.35">
      <c r="A1673" t="s">
        <v>13</v>
      </c>
      <c r="B1673">
        <v>1776085</v>
      </c>
      <c r="C1673">
        <v>1776159</v>
      </c>
      <c r="E1673" t="s">
        <v>38</v>
      </c>
      <c r="F1673" t="s">
        <v>4745</v>
      </c>
      <c r="H1673">
        <v>2745350</v>
      </c>
      <c r="I1673" t="s">
        <v>62</v>
      </c>
      <c r="M1673" t="s">
        <v>4750</v>
      </c>
    </row>
    <row r="1674" spans="1:13" x14ac:dyDescent="0.35">
      <c r="A1674" t="s">
        <v>13</v>
      </c>
      <c r="B1674">
        <v>1776193</v>
      </c>
      <c r="C1674">
        <v>1776265</v>
      </c>
      <c r="E1674" t="s">
        <v>38</v>
      </c>
      <c r="F1674" t="s">
        <v>4743</v>
      </c>
      <c r="H1674">
        <v>2745346</v>
      </c>
      <c r="I1674" t="s">
        <v>62</v>
      </c>
      <c r="M1674" t="s">
        <v>4751</v>
      </c>
    </row>
    <row r="1675" spans="1:13" x14ac:dyDescent="0.35">
      <c r="A1675" t="s">
        <v>13</v>
      </c>
      <c r="B1675">
        <v>1776613</v>
      </c>
      <c r="C1675">
        <v>1776684</v>
      </c>
      <c r="E1675" t="s">
        <v>14</v>
      </c>
      <c r="F1675" t="s">
        <v>4745</v>
      </c>
      <c r="H1675">
        <v>2745332</v>
      </c>
      <c r="I1675" t="s">
        <v>62</v>
      </c>
      <c r="M1675" t="s">
        <v>4752</v>
      </c>
    </row>
    <row r="1676" spans="1:13" x14ac:dyDescent="0.35">
      <c r="A1676" t="s">
        <v>13</v>
      </c>
      <c r="B1676">
        <v>1778099</v>
      </c>
      <c r="C1676">
        <v>1779508</v>
      </c>
      <c r="E1676" t="s">
        <v>38</v>
      </c>
      <c r="F1676" t="s">
        <v>49</v>
      </c>
      <c r="H1676">
        <v>1019642</v>
      </c>
      <c r="I1676" t="s">
        <v>17</v>
      </c>
      <c r="K1676" t="s">
        <v>4753</v>
      </c>
      <c r="L1676">
        <v>469</v>
      </c>
      <c r="M1676" t="s">
        <v>4754</v>
      </c>
    </row>
    <row r="1677" spans="1:13" x14ac:dyDescent="0.35">
      <c r="A1677" t="s">
        <v>13</v>
      </c>
      <c r="B1677">
        <v>1779551</v>
      </c>
      <c r="C1677">
        <v>1780114</v>
      </c>
      <c r="E1677" t="s">
        <v>38</v>
      </c>
      <c r="F1677" t="s">
        <v>49</v>
      </c>
      <c r="H1677">
        <v>1019643</v>
      </c>
      <c r="I1677" t="s">
        <v>17</v>
      </c>
      <c r="K1677" t="s">
        <v>4755</v>
      </c>
      <c r="L1677">
        <v>187</v>
      </c>
      <c r="M1677" t="s">
        <v>4756</v>
      </c>
    </row>
    <row r="1678" spans="1:13" x14ac:dyDescent="0.35">
      <c r="A1678" t="s">
        <v>13</v>
      </c>
      <c r="B1678">
        <v>1780504</v>
      </c>
      <c r="C1678">
        <v>1780830</v>
      </c>
      <c r="E1678" t="s">
        <v>38</v>
      </c>
      <c r="F1678" t="s">
        <v>391</v>
      </c>
      <c r="H1678">
        <v>1019644</v>
      </c>
      <c r="I1678" t="s">
        <v>17</v>
      </c>
      <c r="K1678" t="s">
        <v>4757</v>
      </c>
      <c r="L1678">
        <v>108</v>
      </c>
      <c r="M1678" t="s">
        <v>4758</v>
      </c>
    </row>
    <row r="1679" spans="1:13" x14ac:dyDescent="0.35">
      <c r="A1679" t="s">
        <v>13</v>
      </c>
      <c r="B1679">
        <v>1781016</v>
      </c>
      <c r="C1679">
        <v>1781579</v>
      </c>
      <c r="E1679" t="s">
        <v>38</v>
      </c>
      <c r="F1679" t="s">
        <v>549</v>
      </c>
      <c r="H1679">
        <v>1019645</v>
      </c>
      <c r="I1679" t="s">
        <v>17</v>
      </c>
      <c r="K1679" t="s">
        <v>4759</v>
      </c>
      <c r="L1679">
        <v>187</v>
      </c>
      <c r="M1679" t="s">
        <v>4760</v>
      </c>
    </row>
    <row r="1680" spans="1:13" x14ac:dyDescent="0.35">
      <c r="A1680" t="s">
        <v>13</v>
      </c>
      <c r="B1680">
        <v>1781924</v>
      </c>
      <c r="C1680">
        <v>1782793</v>
      </c>
      <c r="E1680" t="s">
        <v>14</v>
      </c>
      <c r="F1680" t="s">
        <v>49</v>
      </c>
      <c r="H1680">
        <v>1019646</v>
      </c>
      <c r="I1680" t="s">
        <v>17</v>
      </c>
      <c r="K1680" t="s">
        <v>4761</v>
      </c>
      <c r="L1680">
        <v>289</v>
      </c>
      <c r="M1680" t="s">
        <v>4762</v>
      </c>
    </row>
    <row r="1681" spans="1:13" x14ac:dyDescent="0.35">
      <c r="A1681" t="s">
        <v>13</v>
      </c>
      <c r="B1681">
        <v>1782891</v>
      </c>
      <c r="C1681">
        <v>1785473</v>
      </c>
      <c r="E1681" t="s">
        <v>38</v>
      </c>
      <c r="F1681" t="s">
        <v>49</v>
      </c>
      <c r="H1681">
        <v>1019647</v>
      </c>
      <c r="I1681" t="s">
        <v>17</v>
      </c>
      <c r="K1681" t="s">
        <v>4763</v>
      </c>
      <c r="L1681">
        <v>860</v>
      </c>
      <c r="M1681" t="s">
        <v>4764</v>
      </c>
    </row>
    <row r="1682" spans="1:13" x14ac:dyDescent="0.35">
      <c r="A1682" t="s">
        <v>13</v>
      </c>
      <c r="B1682">
        <v>1785729</v>
      </c>
      <c r="C1682">
        <v>1786844</v>
      </c>
      <c r="E1682" t="s">
        <v>38</v>
      </c>
      <c r="F1682" t="s">
        <v>49</v>
      </c>
      <c r="H1682">
        <v>1019648</v>
      </c>
      <c r="I1682" t="s">
        <v>17</v>
      </c>
      <c r="K1682" t="s">
        <v>4765</v>
      </c>
      <c r="L1682">
        <v>371</v>
      </c>
      <c r="M1682" t="s">
        <v>4766</v>
      </c>
    </row>
    <row r="1683" spans="1:13" x14ac:dyDescent="0.35">
      <c r="A1683" t="s">
        <v>13</v>
      </c>
      <c r="B1683">
        <v>1786904</v>
      </c>
      <c r="C1683">
        <v>1788829</v>
      </c>
      <c r="E1683" t="s">
        <v>38</v>
      </c>
      <c r="F1683" t="s">
        <v>49</v>
      </c>
      <c r="H1683">
        <v>1019649</v>
      </c>
      <c r="I1683" t="s">
        <v>17</v>
      </c>
      <c r="K1683" t="s">
        <v>4767</v>
      </c>
      <c r="L1683">
        <v>641</v>
      </c>
      <c r="M1683" t="s">
        <v>4768</v>
      </c>
    </row>
    <row r="1684" spans="1:13" x14ac:dyDescent="0.35">
      <c r="A1684" t="s">
        <v>13</v>
      </c>
      <c r="B1684">
        <v>1789080</v>
      </c>
      <c r="C1684">
        <v>1789565</v>
      </c>
      <c r="E1684" t="s">
        <v>14</v>
      </c>
      <c r="F1684" t="s">
        <v>49</v>
      </c>
      <c r="H1684">
        <v>1019650</v>
      </c>
      <c r="I1684" t="s">
        <v>17</v>
      </c>
      <c r="K1684" t="s">
        <v>4769</v>
      </c>
      <c r="L1684">
        <v>161</v>
      </c>
      <c r="M1684" t="s">
        <v>4770</v>
      </c>
    </row>
    <row r="1685" spans="1:13" x14ac:dyDescent="0.35">
      <c r="A1685" t="s">
        <v>13</v>
      </c>
      <c r="B1685">
        <v>1789580</v>
      </c>
      <c r="C1685">
        <v>1789771</v>
      </c>
      <c r="E1685" t="s">
        <v>14</v>
      </c>
      <c r="F1685" t="s">
        <v>49</v>
      </c>
      <c r="H1685">
        <v>1019651</v>
      </c>
      <c r="I1685" t="s">
        <v>17</v>
      </c>
      <c r="K1685" t="s">
        <v>4771</v>
      </c>
      <c r="L1685">
        <v>63</v>
      </c>
      <c r="M1685" t="s">
        <v>4772</v>
      </c>
    </row>
    <row r="1686" spans="1:13" x14ac:dyDescent="0.35">
      <c r="A1686" t="s">
        <v>13</v>
      </c>
      <c r="B1686">
        <v>1789833</v>
      </c>
      <c r="C1686">
        <v>1790060</v>
      </c>
      <c r="E1686" t="s">
        <v>14</v>
      </c>
      <c r="F1686" t="s">
        <v>49</v>
      </c>
      <c r="H1686">
        <v>1019652</v>
      </c>
      <c r="I1686" t="s">
        <v>17</v>
      </c>
      <c r="K1686" t="s">
        <v>4773</v>
      </c>
      <c r="L1686">
        <v>75</v>
      </c>
      <c r="M1686" t="s">
        <v>4774</v>
      </c>
    </row>
    <row r="1687" spans="1:13" x14ac:dyDescent="0.35">
      <c r="A1687" t="s">
        <v>13</v>
      </c>
      <c r="B1687">
        <v>1790458</v>
      </c>
      <c r="C1687">
        <v>1790838</v>
      </c>
      <c r="E1687" t="s">
        <v>38</v>
      </c>
      <c r="F1687" t="s">
        <v>49</v>
      </c>
      <c r="H1687">
        <v>1019653</v>
      </c>
      <c r="I1687" t="s">
        <v>17</v>
      </c>
      <c r="K1687" t="s">
        <v>4775</v>
      </c>
      <c r="L1687">
        <v>126</v>
      </c>
      <c r="M1687" t="s">
        <v>4776</v>
      </c>
    </row>
    <row r="1688" spans="1:13" x14ac:dyDescent="0.35">
      <c r="A1688" t="s">
        <v>13</v>
      </c>
      <c r="B1688">
        <v>1791842</v>
      </c>
      <c r="C1688">
        <v>1792441</v>
      </c>
      <c r="E1688" t="s">
        <v>14</v>
      </c>
      <c r="F1688" t="s">
        <v>127</v>
      </c>
      <c r="H1688">
        <v>1019654</v>
      </c>
      <c r="I1688" t="s">
        <v>17</v>
      </c>
      <c r="K1688" t="s">
        <v>4777</v>
      </c>
      <c r="L1688">
        <v>199</v>
      </c>
      <c r="M1688" t="s">
        <v>4778</v>
      </c>
    </row>
    <row r="1689" spans="1:13" x14ac:dyDescent="0.35">
      <c r="A1689" t="s">
        <v>13</v>
      </c>
      <c r="B1689">
        <v>1792443</v>
      </c>
      <c r="C1689">
        <v>1793429</v>
      </c>
      <c r="E1689" t="s">
        <v>14</v>
      </c>
      <c r="F1689" t="s">
        <v>124</v>
      </c>
      <c r="H1689">
        <v>1019655</v>
      </c>
      <c r="I1689" t="s">
        <v>17</v>
      </c>
      <c r="K1689" t="s">
        <v>4779</v>
      </c>
      <c r="L1689">
        <v>328</v>
      </c>
      <c r="M1689" t="s">
        <v>4780</v>
      </c>
    </row>
    <row r="1690" spans="1:13" x14ac:dyDescent="0.35">
      <c r="A1690" t="s">
        <v>13</v>
      </c>
      <c r="B1690">
        <v>1793714</v>
      </c>
      <c r="C1690">
        <v>1794823</v>
      </c>
      <c r="E1690" t="s">
        <v>14</v>
      </c>
      <c r="F1690" t="s">
        <v>49</v>
      </c>
      <c r="H1690">
        <v>1019656</v>
      </c>
      <c r="I1690" t="s">
        <v>17</v>
      </c>
      <c r="K1690" t="s">
        <v>4781</v>
      </c>
      <c r="L1690">
        <v>369</v>
      </c>
      <c r="M1690" t="s">
        <v>4782</v>
      </c>
    </row>
    <row r="1691" spans="1:13" x14ac:dyDescent="0.35">
      <c r="A1691" t="s">
        <v>13</v>
      </c>
      <c r="B1691">
        <v>1794824</v>
      </c>
      <c r="C1691">
        <v>1795624</v>
      </c>
      <c r="E1691" t="s">
        <v>14</v>
      </c>
      <c r="F1691" t="s">
        <v>4783</v>
      </c>
      <c r="H1691">
        <v>44144972</v>
      </c>
      <c r="I1691" t="s">
        <v>17</v>
      </c>
      <c r="K1691" t="s">
        <v>4784</v>
      </c>
      <c r="L1691">
        <v>266</v>
      </c>
      <c r="M1691" t="s">
        <v>4785</v>
      </c>
    </row>
    <row r="1692" spans="1:13" x14ac:dyDescent="0.35">
      <c r="A1692" t="s">
        <v>13</v>
      </c>
      <c r="B1692">
        <v>1795666</v>
      </c>
      <c r="C1692">
        <v>1796184</v>
      </c>
      <c r="E1692" t="s">
        <v>14</v>
      </c>
      <c r="F1692" t="s">
        <v>4786</v>
      </c>
      <c r="H1692">
        <v>1019658</v>
      </c>
      <c r="I1692" t="s">
        <v>17</v>
      </c>
      <c r="K1692" t="s">
        <v>4787</v>
      </c>
      <c r="L1692">
        <v>172</v>
      </c>
      <c r="M1692" t="s">
        <v>4788</v>
      </c>
    </row>
    <row r="1693" spans="1:13" x14ac:dyDescent="0.35">
      <c r="A1693" t="s">
        <v>13</v>
      </c>
      <c r="B1693">
        <v>1796186</v>
      </c>
      <c r="C1693">
        <v>1797052</v>
      </c>
      <c r="E1693" t="s">
        <v>14</v>
      </c>
      <c r="F1693" t="s">
        <v>49</v>
      </c>
      <c r="H1693">
        <v>1019659</v>
      </c>
      <c r="I1693" t="s">
        <v>17</v>
      </c>
      <c r="K1693" t="s">
        <v>4789</v>
      </c>
      <c r="L1693">
        <v>288</v>
      </c>
      <c r="M1693" t="s">
        <v>4790</v>
      </c>
    </row>
    <row r="1694" spans="1:13" x14ac:dyDescent="0.35">
      <c r="A1694" t="s">
        <v>13</v>
      </c>
      <c r="B1694">
        <v>1797182</v>
      </c>
      <c r="C1694">
        <v>1797340</v>
      </c>
      <c r="E1694" t="s">
        <v>14</v>
      </c>
      <c r="F1694" t="s">
        <v>49</v>
      </c>
      <c r="H1694">
        <v>44144973</v>
      </c>
      <c r="I1694" t="s">
        <v>17</v>
      </c>
      <c r="K1694" t="s">
        <v>4791</v>
      </c>
      <c r="L1694">
        <v>52</v>
      </c>
      <c r="M1694" t="s">
        <v>4792</v>
      </c>
    </row>
    <row r="1695" spans="1:13" x14ac:dyDescent="0.35">
      <c r="A1695" t="s">
        <v>13</v>
      </c>
      <c r="B1695">
        <v>1797350</v>
      </c>
      <c r="C1695">
        <v>1797772</v>
      </c>
      <c r="E1695" t="s">
        <v>14</v>
      </c>
      <c r="F1695" t="s">
        <v>49</v>
      </c>
      <c r="H1695">
        <v>1019660</v>
      </c>
      <c r="I1695" t="s">
        <v>17</v>
      </c>
      <c r="K1695" t="s">
        <v>4793</v>
      </c>
      <c r="L1695">
        <v>140</v>
      </c>
      <c r="M1695" t="s">
        <v>4794</v>
      </c>
    </row>
    <row r="1696" spans="1:13" x14ac:dyDescent="0.35">
      <c r="A1696" t="s">
        <v>13</v>
      </c>
      <c r="B1696">
        <v>1798020</v>
      </c>
      <c r="C1696">
        <v>1798757</v>
      </c>
      <c r="E1696" t="s">
        <v>38</v>
      </c>
      <c r="F1696" t="s">
        <v>49</v>
      </c>
      <c r="H1696">
        <v>1019661</v>
      </c>
      <c r="I1696" t="s">
        <v>17</v>
      </c>
      <c r="K1696" t="s">
        <v>4795</v>
      </c>
      <c r="L1696">
        <v>245</v>
      </c>
      <c r="M1696" t="s">
        <v>4796</v>
      </c>
    </row>
    <row r="1697" spans="1:13" x14ac:dyDescent="0.35">
      <c r="A1697" t="s">
        <v>13</v>
      </c>
      <c r="B1697">
        <v>1799140</v>
      </c>
      <c r="C1697">
        <v>1799409</v>
      </c>
      <c r="E1697" t="s">
        <v>14</v>
      </c>
      <c r="F1697" t="s">
        <v>4797</v>
      </c>
      <c r="H1697">
        <v>1019662</v>
      </c>
      <c r="I1697" t="s">
        <v>17</v>
      </c>
      <c r="K1697" t="s">
        <v>4798</v>
      </c>
      <c r="L1697">
        <v>89</v>
      </c>
      <c r="M1697" t="s">
        <v>4799</v>
      </c>
    </row>
    <row r="1698" spans="1:13" x14ac:dyDescent="0.35">
      <c r="A1698" t="s">
        <v>13</v>
      </c>
      <c r="B1698">
        <v>1799704</v>
      </c>
      <c r="C1698">
        <v>1800369</v>
      </c>
      <c r="E1698" t="s">
        <v>14</v>
      </c>
      <c r="F1698" t="s">
        <v>49</v>
      </c>
      <c r="H1698">
        <v>1019663</v>
      </c>
      <c r="I1698" t="s">
        <v>17</v>
      </c>
      <c r="K1698" t="s">
        <v>4800</v>
      </c>
      <c r="L1698">
        <v>221</v>
      </c>
      <c r="M1698" t="s">
        <v>4801</v>
      </c>
    </row>
    <row r="1699" spans="1:13" x14ac:dyDescent="0.35">
      <c r="A1699" t="s">
        <v>13</v>
      </c>
      <c r="B1699">
        <v>1800446</v>
      </c>
      <c r="C1699">
        <v>1800586</v>
      </c>
      <c r="E1699" t="s">
        <v>38</v>
      </c>
      <c r="F1699" t="s">
        <v>49</v>
      </c>
      <c r="H1699">
        <v>44144974</v>
      </c>
      <c r="I1699" t="s">
        <v>17</v>
      </c>
      <c r="K1699" t="s">
        <v>4802</v>
      </c>
      <c r="L1699">
        <v>46</v>
      </c>
      <c r="M1699" t="s">
        <v>4803</v>
      </c>
    </row>
    <row r="1700" spans="1:13" x14ac:dyDescent="0.35">
      <c r="A1700" t="s">
        <v>13</v>
      </c>
      <c r="B1700">
        <v>1800630</v>
      </c>
      <c r="C1700">
        <v>1800761</v>
      </c>
      <c r="E1700" t="s">
        <v>14</v>
      </c>
      <c r="F1700" t="s">
        <v>49</v>
      </c>
      <c r="H1700">
        <v>92792325</v>
      </c>
      <c r="I1700" t="s">
        <v>17</v>
      </c>
      <c r="K1700" t="s">
        <v>4804</v>
      </c>
      <c r="L1700">
        <v>43</v>
      </c>
      <c r="M1700" t="s">
        <v>4805</v>
      </c>
    </row>
    <row r="1701" spans="1:13" x14ac:dyDescent="0.35">
      <c r="A1701" t="s">
        <v>13</v>
      </c>
      <c r="B1701">
        <v>1800873</v>
      </c>
      <c r="C1701">
        <v>1801310</v>
      </c>
      <c r="E1701" t="s">
        <v>14</v>
      </c>
      <c r="F1701" t="s">
        <v>49</v>
      </c>
      <c r="H1701">
        <v>1019664</v>
      </c>
      <c r="I1701" t="s">
        <v>17</v>
      </c>
      <c r="K1701" t="s">
        <v>4806</v>
      </c>
      <c r="L1701">
        <v>145</v>
      </c>
      <c r="M1701" t="s">
        <v>4807</v>
      </c>
    </row>
    <row r="1702" spans="1:13" x14ac:dyDescent="0.35">
      <c r="A1702" t="s">
        <v>13</v>
      </c>
      <c r="B1702">
        <v>1801494</v>
      </c>
      <c r="C1702">
        <v>1802099</v>
      </c>
      <c r="E1702" t="s">
        <v>14</v>
      </c>
      <c r="F1702" t="s">
        <v>49</v>
      </c>
      <c r="H1702">
        <v>1019665</v>
      </c>
      <c r="I1702" t="s">
        <v>17</v>
      </c>
      <c r="K1702" t="s">
        <v>4808</v>
      </c>
      <c r="L1702">
        <v>201</v>
      </c>
      <c r="M1702" t="s">
        <v>4809</v>
      </c>
    </row>
    <row r="1703" spans="1:13" x14ac:dyDescent="0.35">
      <c r="A1703" t="s">
        <v>13</v>
      </c>
      <c r="B1703">
        <v>1802152</v>
      </c>
      <c r="C1703">
        <v>1802577</v>
      </c>
      <c r="E1703" t="s">
        <v>38</v>
      </c>
      <c r="F1703" t="s">
        <v>49</v>
      </c>
      <c r="H1703">
        <v>1019666</v>
      </c>
      <c r="I1703" t="s">
        <v>17</v>
      </c>
      <c r="K1703" t="s">
        <v>4810</v>
      </c>
      <c r="L1703">
        <v>141</v>
      </c>
      <c r="M1703" t="s">
        <v>4811</v>
      </c>
    </row>
    <row r="1704" spans="1:13" x14ac:dyDescent="0.35">
      <c r="A1704" t="s">
        <v>13</v>
      </c>
      <c r="B1704">
        <v>1802889</v>
      </c>
      <c r="C1704">
        <v>1803422</v>
      </c>
      <c r="E1704" t="s">
        <v>14</v>
      </c>
      <c r="F1704" t="s">
        <v>4670</v>
      </c>
      <c r="H1704">
        <v>1019667</v>
      </c>
      <c r="I1704" t="s">
        <v>17</v>
      </c>
      <c r="K1704" t="s">
        <v>4812</v>
      </c>
      <c r="L1704">
        <v>177</v>
      </c>
      <c r="M1704" t="s">
        <v>4813</v>
      </c>
    </row>
    <row r="1705" spans="1:13" x14ac:dyDescent="0.35">
      <c r="A1705" t="s">
        <v>13</v>
      </c>
      <c r="B1705">
        <v>1803630</v>
      </c>
      <c r="C1705">
        <v>1803896</v>
      </c>
      <c r="E1705" t="s">
        <v>14</v>
      </c>
      <c r="F1705" t="s">
        <v>49</v>
      </c>
      <c r="H1705">
        <v>1019668</v>
      </c>
      <c r="I1705" t="s">
        <v>17</v>
      </c>
      <c r="K1705" t="s">
        <v>4814</v>
      </c>
      <c r="L1705">
        <v>88</v>
      </c>
      <c r="M1705" t="s">
        <v>4815</v>
      </c>
    </row>
    <row r="1706" spans="1:13" x14ac:dyDescent="0.35">
      <c r="A1706" t="s">
        <v>13</v>
      </c>
      <c r="B1706">
        <v>1804134</v>
      </c>
      <c r="C1706">
        <v>1804601</v>
      </c>
      <c r="E1706" t="s">
        <v>14</v>
      </c>
      <c r="F1706" t="s">
        <v>49</v>
      </c>
      <c r="H1706">
        <v>1019669</v>
      </c>
      <c r="I1706" t="s">
        <v>17</v>
      </c>
      <c r="K1706" t="s">
        <v>4816</v>
      </c>
      <c r="L1706">
        <v>155</v>
      </c>
      <c r="M1706" t="s">
        <v>4817</v>
      </c>
    </row>
    <row r="1707" spans="1:13" x14ac:dyDescent="0.35">
      <c r="A1707" t="s">
        <v>13</v>
      </c>
      <c r="B1707">
        <v>1804629</v>
      </c>
      <c r="C1707">
        <v>1804868</v>
      </c>
      <c r="E1707" t="s">
        <v>14</v>
      </c>
      <c r="F1707" t="s">
        <v>49</v>
      </c>
      <c r="H1707">
        <v>1019670</v>
      </c>
      <c r="I1707" t="s">
        <v>17</v>
      </c>
      <c r="K1707" t="s">
        <v>4818</v>
      </c>
      <c r="L1707">
        <v>79</v>
      </c>
      <c r="M1707" t="s">
        <v>4819</v>
      </c>
    </row>
    <row r="1708" spans="1:13" x14ac:dyDescent="0.35">
      <c r="A1708" t="s">
        <v>13</v>
      </c>
      <c r="B1708">
        <v>1804988</v>
      </c>
      <c r="C1708">
        <v>1805602</v>
      </c>
      <c r="E1708" t="s">
        <v>14</v>
      </c>
      <c r="F1708" t="s">
        <v>49</v>
      </c>
      <c r="H1708">
        <v>1019671</v>
      </c>
      <c r="I1708" t="s">
        <v>17</v>
      </c>
      <c r="K1708" t="s">
        <v>4820</v>
      </c>
      <c r="L1708">
        <v>204</v>
      </c>
      <c r="M1708" t="s">
        <v>4821</v>
      </c>
    </row>
    <row r="1709" spans="1:13" x14ac:dyDescent="0.35">
      <c r="A1709" t="s">
        <v>13</v>
      </c>
      <c r="B1709">
        <v>1805775</v>
      </c>
      <c r="C1709">
        <v>1806689</v>
      </c>
      <c r="E1709" t="s">
        <v>14</v>
      </c>
      <c r="F1709" t="s">
        <v>49</v>
      </c>
      <c r="H1709">
        <v>1019672</v>
      </c>
      <c r="I1709" t="s">
        <v>17</v>
      </c>
      <c r="K1709" t="s">
        <v>4822</v>
      </c>
      <c r="L1709">
        <v>304</v>
      </c>
      <c r="M1709" t="s">
        <v>4823</v>
      </c>
    </row>
    <row r="1710" spans="1:13" x14ac:dyDescent="0.35">
      <c r="A1710" t="s">
        <v>13</v>
      </c>
      <c r="B1710">
        <v>1806774</v>
      </c>
      <c r="C1710">
        <v>1806902</v>
      </c>
      <c r="E1710" t="s">
        <v>14</v>
      </c>
      <c r="F1710" t="s">
        <v>49</v>
      </c>
      <c r="H1710">
        <v>92792326</v>
      </c>
      <c r="I1710" t="s">
        <v>17</v>
      </c>
      <c r="K1710" t="s">
        <v>4824</v>
      </c>
      <c r="L1710">
        <v>42</v>
      </c>
      <c r="M1710" t="s">
        <v>4825</v>
      </c>
    </row>
    <row r="1711" spans="1:13" x14ac:dyDescent="0.35">
      <c r="A1711" t="s">
        <v>13</v>
      </c>
      <c r="B1711">
        <v>1806941</v>
      </c>
      <c r="C1711">
        <v>1807399</v>
      </c>
      <c r="E1711" t="s">
        <v>14</v>
      </c>
      <c r="F1711" t="s">
        <v>49</v>
      </c>
      <c r="H1711">
        <v>1019673</v>
      </c>
      <c r="I1711" t="s">
        <v>17</v>
      </c>
      <c r="K1711" t="s">
        <v>4826</v>
      </c>
      <c r="L1711">
        <v>152</v>
      </c>
      <c r="M1711" t="s">
        <v>4827</v>
      </c>
    </row>
    <row r="1712" spans="1:13" x14ac:dyDescent="0.35">
      <c r="A1712" t="s">
        <v>13</v>
      </c>
      <c r="B1712">
        <v>1807547</v>
      </c>
      <c r="C1712">
        <v>1808116</v>
      </c>
      <c r="E1712" t="s">
        <v>14</v>
      </c>
      <c r="F1712" t="s">
        <v>49</v>
      </c>
      <c r="H1712">
        <v>1019674</v>
      </c>
      <c r="I1712" t="s">
        <v>17</v>
      </c>
      <c r="K1712" t="s">
        <v>4828</v>
      </c>
      <c r="L1712">
        <v>189</v>
      </c>
      <c r="M1712" t="s">
        <v>4829</v>
      </c>
    </row>
    <row r="1713" spans="1:13" x14ac:dyDescent="0.35">
      <c r="A1713" t="s">
        <v>13</v>
      </c>
      <c r="B1713">
        <v>1808137</v>
      </c>
      <c r="C1713">
        <v>1808424</v>
      </c>
      <c r="E1713" t="s">
        <v>14</v>
      </c>
      <c r="F1713" t="s">
        <v>49</v>
      </c>
      <c r="H1713">
        <v>1019675</v>
      </c>
      <c r="I1713" t="s">
        <v>17</v>
      </c>
      <c r="K1713" t="s">
        <v>4830</v>
      </c>
      <c r="L1713">
        <v>95</v>
      </c>
      <c r="M1713" t="s">
        <v>4831</v>
      </c>
    </row>
    <row r="1714" spans="1:13" x14ac:dyDescent="0.35">
      <c r="A1714" t="s">
        <v>13</v>
      </c>
      <c r="B1714">
        <v>1808500</v>
      </c>
      <c r="C1714">
        <v>1808835</v>
      </c>
      <c r="E1714" t="s">
        <v>14</v>
      </c>
      <c r="F1714" t="s">
        <v>49</v>
      </c>
      <c r="H1714">
        <v>1019676</v>
      </c>
      <c r="I1714" t="s">
        <v>17</v>
      </c>
      <c r="K1714" t="s">
        <v>4832</v>
      </c>
      <c r="L1714">
        <v>111</v>
      </c>
      <c r="M1714" t="s">
        <v>4833</v>
      </c>
    </row>
    <row r="1715" spans="1:13" x14ac:dyDescent="0.35">
      <c r="A1715" t="s">
        <v>13</v>
      </c>
      <c r="B1715">
        <v>1809761</v>
      </c>
      <c r="C1715">
        <v>1810375</v>
      </c>
      <c r="E1715" t="s">
        <v>14</v>
      </c>
      <c r="F1715" t="s">
        <v>4834</v>
      </c>
      <c r="H1715">
        <v>1019677</v>
      </c>
      <c r="I1715" t="s">
        <v>17</v>
      </c>
      <c r="K1715" t="s">
        <v>4835</v>
      </c>
      <c r="L1715">
        <v>204</v>
      </c>
      <c r="M1715" t="s">
        <v>4836</v>
      </c>
    </row>
    <row r="1716" spans="1:13" x14ac:dyDescent="0.35">
      <c r="A1716" t="s">
        <v>13</v>
      </c>
      <c r="B1716">
        <v>1810553</v>
      </c>
      <c r="C1716">
        <v>1811548</v>
      </c>
      <c r="E1716" t="s">
        <v>14</v>
      </c>
      <c r="F1716" t="s">
        <v>3804</v>
      </c>
      <c r="H1716">
        <v>1019678</v>
      </c>
      <c r="I1716" t="s">
        <v>17</v>
      </c>
      <c r="K1716" t="s">
        <v>4837</v>
      </c>
      <c r="L1716">
        <v>331</v>
      </c>
      <c r="M1716" t="s">
        <v>4838</v>
      </c>
    </row>
    <row r="1717" spans="1:13" x14ac:dyDescent="0.35">
      <c r="A1717" t="s">
        <v>13</v>
      </c>
      <c r="B1717">
        <v>1811564</v>
      </c>
      <c r="C1717">
        <v>1811941</v>
      </c>
      <c r="E1717" t="s">
        <v>14</v>
      </c>
      <c r="F1717" t="s">
        <v>49</v>
      </c>
      <c r="H1717">
        <v>1019679</v>
      </c>
      <c r="I1717" t="s">
        <v>17</v>
      </c>
      <c r="K1717" t="s">
        <v>4839</v>
      </c>
      <c r="L1717">
        <v>125</v>
      </c>
      <c r="M1717" t="s">
        <v>4840</v>
      </c>
    </row>
    <row r="1718" spans="1:13" x14ac:dyDescent="0.35">
      <c r="A1718" t="s">
        <v>13</v>
      </c>
      <c r="B1718">
        <v>1812215</v>
      </c>
      <c r="C1718">
        <v>1812694</v>
      </c>
      <c r="E1718" t="s">
        <v>14</v>
      </c>
      <c r="F1718" t="s">
        <v>4841</v>
      </c>
      <c r="H1718">
        <v>1019680</v>
      </c>
      <c r="I1718" t="s">
        <v>17</v>
      </c>
      <c r="K1718" t="s">
        <v>4842</v>
      </c>
      <c r="L1718">
        <v>159</v>
      </c>
      <c r="M1718" t="s">
        <v>4843</v>
      </c>
    </row>
    <row r="1719" spans="1:13" x14ac:dyDescent="0.35">
      <c r="A1719" t="s">
        <v>13</v>
      </c>
      <c r="B1719">
        <v>1812881</v>
      </c>
      <c r="C1719">
        <v>1813609</v>
      </c>
      <c r="E1719" t="s">
        <v>14</v>
      </c>
      <c r="F1719" t="s">
        <v>49</v>
      </c>
      <c r="H1719">
        <v>1019681</v>
      </c>
      <c r="I1719" t="s">
        <v>17</v>
      </c>
      <c r="K1719" t="s">
        <v>4844</v>
      </c>
      <c r="L1719">
        <v>242</v>
      </c>
      <c r="M1719" t="s">
        <v>4845</v>
      </c>
    </row>
    <row r="1720" spans="1:13" x14ac:dyDescent="0.35">
      <c r="A1720" t="s">
        <v>13</v>
      </c>
      <c r="B1720">
        <v>1813780</v>
      </c>
      <c r="C1720">
        <v>1814520</v>
      </c>
      <c r="E1720" t="s">
        <v>14</v>
      </c>
      <c r="F1720" t="s">
        <v>4846</v>
      </c>
      <c r="H1720">
        <v>1019682</v>
      </c>
      <c r="I1720" t="s">
        <v>17</v>
      </c>
      <c r="K1720" t="s">
        <v>4847</v>
      </c>
      <c r="L1720">
        <v>246</v>
      </c>
      <c r="M1720" t="s">
        <v>4848</v>
      </c>
    </row>
    <row r="1721" spans="1:13" x14ac:dyDescent="0.35">
      <c r="A1721" t="s">
        <v>13</v>
      </c>
      <c r="B1721">
        <v>1814887</v>
      </c>
      <c r="C1721">
        <v>1815654</v>
      </c>
      <c r="E1721" t="s">
        <v>14</v>
      </c>
      <c r="F1721" t="s">
        <v>3794</v>
      </c>
      <c r="H1721">
        <v>1019683</v>
      </c>
      <c r="I1721" t="s">
        <v>17</v>
      </c>
      <c r="K1721" t="s">
        <v>4849</v>
      </c>
      <c r="L1721">
        <v>255</v>
      </c>
      <c r="M1721" t="s">
        <v>4850</v>
      </c>
    </row>
    <row r="1722" spans="1:13" x14ac:dyDescent="0.35">
      <c r="A1722" t="s">
        <v>13</v>
      </c>
      <c r="B1722">
        <v>1815673</v>
      </c>
      <c r="C1722">
        <v>1816131</v>
      </c>
      <c r="E1722" t="s">
        <v>14</v>
      </c>
      <c r="F1722" t="s">
        <v>49</v>
      </c>
      <c r="H1722">
        <v>1019684</v>
      </c>
      <c r="I1722" t="s">
        <v>17</v>
      </c>
      <c r="K1722" t="s">
        <v>4851</v>
      </c>
      <c r="L1722">
        <v>152</v>
      </c>
      <c r="M1722" t="s">
        <v>4852</v>
      </c>
    </row>
    <row r="1723" spans="1:13" x14ac:dyDescent="0.35">
      <c r="A1723" t="s">
        <v>13</v>
      </c>
      <c r="B1723">
        <v>1816451</v>
      </c>
      <c r="C1723">
        <v>1816639</v>
      </c>
      <c r="E1723" t="s">
        <v>14</v>
      </c>
      <c r="F1723" t="s">
        <v>49</v>
      </c>
      <c r="H1723">
        <v>1019685</v>
      </c>
      <c r="I1723" t="s">
        <v>17</v>
      </c>
      <c r="K1723" t="s">
        <v>4853</v>
      </c>
      <c r="L1723">
        <v>62</v>
      </c>
      <c r="M1723" t="s">
        <v>4854</v>
      </c>
    </row>
    <row r="1724" spans="1:13" x14ac:dyDescent="0.35">
      <c r="A1724" t="s">
        <v>13</v>
      </c>
      <c r="B1724">
        <v>1817183</v>
      </c>
      <c r="C1724">
        <v>1817806</v>
      </c>
      <c r="E1724" t="s">
        <v>14</v>
      </c>
      <c r="F1724" t="s">
        <v>49</v>
      </c>
      <c r="H1724">
        <v>1019686</v>
      </c>
      <c r="I1724" t="s">
        <v>17</v>
      </c>
      <c r="K1724" t="s">
        <v>4855</v>
      </c>
      <c r="L1724">
        <v>207</v>
      </c>
      <c r="M1724" t="s">
        <v>4856</v>
      </c>
    </row>
    <row r="1725" spans="1:13" x14ac:dyDescent="0.35">
      <c r="A1725" t="s">
        <v>13</v>
      </c>
      <c r="B1725">
        <v>1817803</v>
      </c>
      <c r="C1725">
        <v>1818222</v>
      </c>
      <c r="E1725" t="s">
        <v>14</v>
      </c>
      <c r="F1725" t="s">
        <v>49</v>
      </c>
      <c r="H1725">
        <v>1019687</v>
      </c>
      <c r="I1725" t="s">
        <v>17</v>
      </c>
      <c r="K1725" t="s">
        <v>4857</v>
      </c>
      <c r="L1725">
        <v>139</v>
      </c>
      <c r="M1725" t="s">
        <v>4858</v>
      </c>
    </row>
    <row r="1726" spans="1:13" x14ac:dyDescent="0.35">
      <c r="A1726" t="s">
        <v>13</v>
      </c>
      <c r="B1726">
        <v>1818472</v>
      </c>
      <c r="C1726">
        <v>1818777</v>
      </c>
      <c r="E1726" t="s">
        <v>14</v>
      </c>
      <c r="F1726" t="s">
        <v>49</v>
      </c>
      <c r="H1726">
        <v>92792277</v>
      </c>
      <c r="I1726" t="s">
        <v>17</v>
      </c>
      <c r="K1726" t="s">
        <v>4859</v>
      </c>
      <c r="L1726">
        <v>101</v>
      </c>
      <c r="M1726" t="s">
        <v>4860</v>
      </c>
    </row>
    <row r="1727" spans="1:13" x14ac:dyDescent="0.35">
      <c r="A1727" t="s">
        <v>13</v>
      </c>
      <c r="B1727">
        <v>1818798</v>
      </c>
      <c r="C1727">
        <v>1819169</v>
      </c>
      <c r="E1727" t="s">
        <v>14</v>
      </c>
      <c r="F1727" t="s">
        <v>49</v>
      </c>
      <c r="H1727">
        <v>1019689</v>
      </c>
      <c r="I1727" t="s">
        <v>17</v>
      </c>
      <c r="K1727" t="s">
        <v>4861</v>
      </c>
      <c r="L1727">
        <v>123</v>
      </c>
      <c r="M1727" t="s">
        <v>4862</v>
      </c>
    </row>
    <row r="1728" spans="1:13" x14ac:dyDescent="0.35">
      <c r="A1728" t="s">
        <v>13</v>
      </c>
      <c r="B1728">
        <v>1819745</v>
      </c>
      <c r="C1728">
        <v>1819954</v>
      </c>
      <c r="E1728" t="s">
        <v>38</v>
      </c>
      <c r="F1728" t="s">
        <v>49</v>
      </c>
      <c r="H1728">
        <v>44144976</v>
      </c>
      <c r="I1728" t="s">
        <v>17</v>
      </c>
      <c r="K1728" t="s">
        <v>4863</v>
      </c>
      <c r="L1728">
        <v>69</v>
      </c>
      <c r="M1728" t="s">
        <v>4864</v>
      </c>
    </row>
    <row r="1729" spans="1:13" x14ac:dyDescent="0.35">
      <c r="A1729" t="s">
        <v>13</v>
      </c>
      <c r="B1729">
        <v>1820178</v>
      </c>
      <c r="C1729">
        <v>1822382</v>
      </c>
      <c r="E1729" t="s">
        <v>38</v>
      </c>
      <c r="F1729" t="s">
        <v>4865</v>
      </c>
      <c r="H1729">
        <v>1019690</v>
      </c>
      <c r="I1729" t="s">
        <v>17</v>
      </c>
      <c r="K1729" t="s">
        <v>4866</v>
      </c>
      <c r="L1729">
        <v>734</v>
      </c>
      <c r="M1729" t="s">
        <v>4867</v>
      </c>
    </row>
    <row r="1730" spans="1:13" x14ac:dyDescent="0.35">
      <c r="A1730" t="s">
        <v>13</v>
      </c>
      <c r="B1730">
        <v>1822628</v>
      </c>
      <c r="C1730">
        <v>1824325</v>
      </c>
      <c r="E1730" t="s">
        <v>14</v>
      </c>
      <c r="F1730" t="s">
        <v>49</v>
      </c>
      <c r="H1730">
        <v>1019691</v>
      </c>
      <c r="I1730" t="s">
        <v>17</v>
      </c>
      <c r="K1730" t="s">
        <v>4868</v>
      </c>
      <c r="L1730">
        <v>565</v>
      </c>
      <c r="M1730" t="s">
        <v>4869</v>
      </c>
    </row>
    <row r="1731" spans="1:13" x14ac:dyDescent="0.35">
      <c r="A1731" t="s">
        <v>13</v>
      </c>
      <c r="B1731">
        <v>1824371</v>
      </c>
      <c r="C1731">
        <v>1824592</v>
      </c>
      <c r="E1731" t="s">
        <v>14</v>
      </c>
      <c r="F1731" t="s">
        <v>49</v>
      </c>
      <c r="H1731">
        <v>1019692</v>
      </c>
      <c r="I1731" t="s">
        <v>17</v>
      </c>
      <c r="K1731" t="s">
        <v>4870</v>
      </c>
      <c r="L1731">
        <v>73</v>
      </c>
      <c r="M1731" t="s">
        <v>4871</v>
      </c>
    </row>
    <row r="1732" spans="1:13" x14ac:dyDescent="0.35">
      <c r="A1732" t="s">
        <v>13</v>
      </c>
      <c r="B1732">
        <v>1825175</v>
      </c>
      <c r="C1732">
        <v>1825606</v>
      </c>
      <c r="E1732" t="s">
        <v>38</v>
      </c>
      <c r="F1732" t="s">
        <v>49</v>
      </c>
      <c r="H1732">
        <v>1019693</v>
      </c>
      <c r="I1732" t="s">
        <v>17</v>
      </c>
      <c r="K1732" t="s">
        <v>4872</v>
      </c>
      <c r="L1732">
        <v>143</v>
      </c>
      <c r="M1732" t="s">
        <v>4873</v>
      </c>
    </row>
    <row r="1733" spans="1:13" x14ac:dyDescent="0.35">
      <c r="A1733" t="s">
        <v>13</v>
      </c>
      <c r="B1733">
        <v>1825748</v>
      </c>
      <c r="C1733">
        <v>1826937</v>
      </c>
      <c r="E1733" t="s">
        <v>38</v>
      </c>
      <c r="F1733" t="s">
        <v>731</v>
      </c>
      <c r="H1733">
        <v>1019694</v>
      </c>
      <c r="I1733" t="s">
        <v>17</v>
      </c>
      <c r="K1733" t="s">
        <v>4874</v>
      </c>
      <c r="L1733">
        <v>396</v>
      </c>
      <c r="M1733" t="s">
        <v>4875</v>
      </c>
    </row>
    <row r="1734" spans="1:13" x14ac:dyDescent="0.35">
      <c r="A1734" t="s">
        <v>13</v>
      </c>
      <c r="B1734">
        <v>1830765</v>
      </c>
      <c r="C1734">
        <v>1832066</v>
      </c>
      <c r="E1734" t="s">
        <v>14</v>
      </c>
      <c r="F1734" t="s">
        <v>49</v>
      </c>
      <c r="H1734">
        <v>1019698</v>
      </c>
      <c r="I1734" t="s">
        <v>17</v>
      </c>
      <c r="K1734" t="s">
        <v>4876</v>
      </c>
      <c r="L1734">
        <v>433</v>
      </c>
      <c r="M1734" t="s">
        <v>4877</v>
      </c>
    </row>
    <row r="1735" spans="1:13" x14ac:dyDescent="0.35">
      <c r="A1735" t="s">
        <v>13</v>
      </c>
      <c r="B1735">
        <v>1832185</v>
      </c>
      <c r="C1735">
        <v>1834047</v>
      </c>
      <c r="E1735" t="s">
        <v>14</v>
      </c>
      <c r="F1735" t="s">
        <v>4878</v>
      </c>
      <c r="H1735">
        <v>1019699</v>
      </c>
      <c r="I1735" t="s">
        <v>17</v>
      </c>
      <c r="K1735" t="s">
        <v>4879</v>
      </c>
      <c r="L1735">
        <v>620</v>
      </c>
      <c r="M1735" t="s">
        <v>4880</v>
      </c>
    </row>
    <row r="1736" spans="1:13" x14ac:dyDescent="0.35">
      <c r="A1736" t="s">
        <v>13</v>
      </c>
      <c r="B1736">
        <v>1834146</v>
      </c>
      <c r="C1736">
        <v>1834928</v>
      </c>
      <c r="E1736" t="s">
        <v>38</v>
      </c>
      <c r="F1736" t="s">
        <v>49</v>
      </c>
      <c r="H1736">
        <v>1019700</v>
      </c>
      <c r="I1736" t="s">
        <v>17</v>
      </c>
      <c r="K1736" t="s">
        <v>4881</v>
      </c>
      <c r="L1736">
        <v>260</v>
      </c>
      <c r="M1736" t="s">
        <v>4882</v>
      </c>
    </row>
    <row r="1737" spans="1:13" x14ac:dyDescent="0.35">
      <c r="A1737" t="s">
        <v>13</v>
      </c>
      <c r="B1737">
        <v>1836552</v>
      </c>
      <c r="C1737">
        <v>1838327</v>
      </c>
      <c r="E1737" t="s">
        <v>14</v>
      </c>
      <c r="F1737" t="s">
        <v>4883</v>
      </c>
      <c r="H1737">
        <v>1019701</v>
      </c>
      <c r="I1737" t="s">
        <v>17</v>
      </c>
      <c r="K1737" t="s">
        <v>4884</v>
      </c>
      <c r="L1737">
        <v>591</v>
      </c>
      <c r="M1737" t="s">
        <v>4885</v>
      </c>
    </row>
    <row r="1738" spans="1:13" x14ac:dyDescent="0.35">
      <c r="A1738" t="s">
        <v>13</v>
      </c>
      <c r="B1738">
        <v>1838349</v>
      </c>
      <c r="C1738">
        <v>1842140</v>
      </c>
      <c r="E1738" t="s">
        <v>14</v>
      </c>
      <c r="F1738" t="s">
        <v>49</v>
      </c>
      <c r="H1738">
        <v>1019702</v>
      </c>
      <c r="I1738" t="s">
        <v>17</v>
      </c>
      <c r="K1738" t="s">
        <v>4886</v>
      </c>
      <c r="L1738">
        <v>1263</v>
      </c>
      <c r="M1738" t="s">
        <v>4887</v>
      </c>
    </row>
    <row r="1739" spans="1:13" x14ac:dyDescent="0.35">
      <c r="A1739" t="s">
        <v>13</v>
      </c>
      <c r="B1739">
        <v>1842235</v>
      </c>
      <c r="C1739">
        <v>1842684</v>
      </c>
      <c r="E1739" t="s">
        <v>14</v>
      </c>
      <c r="F1739" t="s">
        <v>4888</v>
      </c>
      <c r="H1739">
        <v>1019703</v>
      </c>
      <c r="I1739" t="s">
        <v>17</v>
      </c>
      <c r="K1739" t="s">
        <v>4889</v>
      </c>
      <c r="L1739">
        <v>149</v>
      </c>
      <c r="M1739" t="s">
        <v>4890</v>
      </c>
    </row>
    <row r="1740" spans="1:13" x14ac:dyDescent="0.35">
      <c r="A1740" t="s">
        <v>13</v>
      </c>
      <c r="B1740">
        <v>1842921</v>
      </c>
      <c r="C1740">
        <v>1843340</v>
      </c>
      <c r="E1740" t="s">
        <v>14</v>
      </c>
      <c r="F1740" t="s">
        <v>49</v>
      </c>
      <c r="H1740">
        <v>1019704</v>
      </c>
      <c r="I1740" t="s">
        <v>17</v>
      </c>
      <c r="K1740" t="s">
        <v>4891</v>
      </c>
      <c r="L1740">
        <v>139</v>
      </c>
      <c r="M1740" t="s">
        <v>4892</v>
      </c>
    </row>
    <row r="1741" spans="1:13" x14ac:dyDescent="0.35">
      <c r="A1741" t="s">
        <v>13</v>
      </c>
      <c r="B1741">
        <v>1843518</v>
      </c>
      <c r="C1741">
        <v>1845359</v>
      </c>
      <c r="E1741" t="s">
        <v>14</v>
      </c>
      <c r="F1741" t="s">
        <v>930</v>
      </c>
      <c r="H1741">
        <v>1019705</v>
      </c>
      <c r="I1741" t="s">
        <v>17</v>
      </c>
      <c r="K1741" t="s">
        <v>4893</v>
      </c>
      <c r="L1741">
        <v>613</v>
      </c>
      <c r="M1741" t="s">
        <v>4894</v>
      </c>
    </row>
    <row r="1742" spans="1:13" x14ac:dyDescent="0.35">
      <c r="A1742" t="s">
        <v>13</v>
      </c>
      <c r="B1742">
        <v>1845483</v>
      </c>
      <c r="C1742">
        <v>1845860</v>
      </c>
      <c r="E1742" t="s">
        <v>14</v>
      </c>
      <c r="F1742" t="s">
        <v>49</v>
      </c>
      <c r="H1742">
        <v>1019706</v>
      </c>
      <c r="I1742" t="s">
        <v>17</v>
      </c>
      <c r="K1742" t="s">
        <v>4895</v>
      </c>
      <c r="L1742">
        <v>125</v>
      </c>
      <c r="M1742" t="s">
        <v>4896</v>
      </c>
    </row>
    <row r="1743" spans="1:13" x14ac:dyDescent="0.35">
      <c r="A1743" t="s">
        <v>13</v>
      </c>
      <c r="B1743">
        <v>1845872</v>
      </c>
      <c r="C1743">
        <v>1846210</v>
      </c>
      <c r="E1743" t="s">
        <v>14</v>
      </c>
      <c r="F1743" t="s">
        <v>4897</v>
      </c>
      <c r="H1743">
        <v>1019707</v>
      </c>
      <c r="I1743" t="s">
        <v>17</v>
      </c>
      <c r="K1743" t="s">
        <v>4898</v>
      </c>
      <c r="L1743">
        <v>112</v>
      </c>
      <c r="M1743" t="s">
        <v>4899</v>
      </c>
    </row>
    <row r="1744" spans="1:13" x14ac:dyDescent="0.35">
      <c r="A1744" t="s">
        <v>13</v>
      </c>
      <c r="B1744">
        <v>1846330</v>
      </c>
      <c r="C1744">
        <v>1846680</v>
      </c>
      <c r="E1744" t="s">
        <v>38</v>
      </c>
      <c r="F1744" t="s">
        <v>4900</v>
      </c>
      <c r="H1744">
        <v>1019708</v>
      </c>
      <c r="I1744" t="s">
        <v>17</v>
      </c>
      <c r="K1744" t="s">
        <v>4901</v>
      </c>
      <c r="L1744">
        <v>116</v>
      </c>
      <c r="M1744" t="s">
        <v>4902</v>
      </c>
    </row>
    <row r="1745" spans="1:13" x14ac:dyDescent="0.35">
      <c r="A1745" t="s">
        <v>13</v>
      </c>
      <c r="B1745">
        <v>1847315</v>
      </c>
      <c r="C1745">
        <v>1847935</v>
      </c>
      <c r="E1745" t="s">
        <v>14</v>
      </c>
      <c r="F1745" t="s">
        <v>49</v>
      </c>
      <c r="H1745">
        <v>1019709</v>
      </c>
      <c r="I1745" t="s">
        <v>17</v>
      </c>
      <c r="K1745" t="s">
        <v>4903</v>
      </c>
      <c r="L1745">
        <v>206</v>
      </c>
      <c r="M1745" t="s">
        <v>4904</v>
      </c>
    </row>
    <row r="1746" spans="1:13" x14ac:dyDescent="0.35">
      <c r="A1746" t="s">
        <v>13</v>
      </c>
      <c r="B1746">
        <v>1847938</v>
      </c>
      <c r="C1746">
        <v>1848477</v>
      </c>
      <c r="E1746" t="s">
        <v>14</v>
      </c>
      <c r="F1746" t="s">
        <v>49</v>
      </c>
      <c r="H1746">
        <v>1019710</v>
      </c>
      <c r="I1746" t="s">
        <v>17</v>
      </c>
      <c r="K1746" t="s">
        <v>4905</v>
      </c>
      <c r="L1746">
        <v>179</v>
      </c>
      <c r="M1746" t="s">
        <v>4906</v>
      </c>
    </row>
    <row r="1747" spans="1:13" x14ac:dyDescent="0.35">
      <c r="A1747" t="s">
        <v>13</v>
      </c>
      <c r="B1747">
        <v>1848509</v>
      </c>
      <c r="C1747">
        <v>1849039</v>
      </c>
      <c r="E1747" t="s">
        <v>14</v>
      </c>
      <c r="F1747" t="s">
        <v>49</v>
      </c>
      <c r="H1747">
        <v>1019711</v>
      </c>
      <c r="I1747" t="s">
        <v>17</v>
      </c>
      <c r="K1747" t="s">
        <v>4907</v>
      </c>
      <c r="L1747">
        <v>176</v>
      </c>
      <c r="M1747" t="s">
        <v>4908</v>
      </c>
    </row>
    <row r="1748" spans="1:13" x14ac:dyDescent="0.35">
      <c r="A1748" t="s">
        <v>13</v>
      </c>
      <c r="B1748">
        <v>1849039</v>
      </c>
      <c r="C1748">
        <v>1849788</v>
      </c>
      <c r="E1748" t="s">
        <v>14</v>
      </c>
      <c r="F1748" t="s">
        <v>49</v>
      </c>
      <c r="H1748">
        <v>1019712</v>
      </c>
      <c r="I1748" t="s">
        <v>17</v>
      </c>
      <c r="K1748" t="s">
        <v>4909</v>
      </c>
      <c r="L1748">
        <v>249</v>
      </c>
      <c r="M1748" t="s">
        <v>4910</v>
      </c>
    </row>
    <row r="1749" spans="1:13" x14ac:dyDescent="0.35">
      <c r="A1749" t="s">
        <v>13</v>
      </c>
      <c r="B1749">
        <v>1849781</v>
      </c>
      <c r="C1749">
        <v>1849969</v>
      </c>
      <c r="E1749" t="s">
        <v>14</v>
      </c>
      <c r="F1749" t="s">
        <v>49</v>
      </c>
      <c r="H1749">
        <v>1019713</v>
      </c>
      <c r="I1749" t="s">
        <v>17</v>
      </c>
      <c r="K1749" t="s">
        <v>4911</v>
      </c>
      <c r="L1749">
        <v>62</v>
      </c>
      <c r="M1749" t="s">
        <v>4912</v>
      </c>
    </row>
    <row r="1750" spans="1:13" x14ac:dyDescent="0.35">
      <c r="A1750" t="s">
        <v>13</v>
      </c>
      <c r="B1750">
        <v>1850074</v>
      </c>
      <c r="C1750">
        <v>1850409</v>
      </c>
      <c r="E1750" t="s">
        <v>14</v>
      </c>
      <c r="F1750" t="s">
        <v>49</v>
      </c>
      <c r="H1750">
        <v>44144977</v>
      </c>
      <c r="I1750" t="s">
        <v>17</v>
      </c>
      <c r="K1750" t="s">
        <v>4913</v>
      </c>
      <c r="L1750">
        <v>111</v>
      </c>
      <c r="M1750" t="s">
        <v>4914</v>
      </c>
    </row>
    <row r="1751" spans="1:13" x14ac:dyDescent="0.35">
      <c r="A1751" t="s">
        <v>13</v>
      </c>
      <c r="B1751">
        <v>1850471</v>
      </c>
      <c r="C1751">
        <v>1851049</v>
      </c>
      <c r="E1751" t="s">
        <v>38</v>
      </c>
      <c r="F1751" t="s">
        <v>4915</v>
      </c>
      <c r="H1751">
        <v>1019714</v>
      </c>
      <c r="I1751" t="s">
        <v>17</v>
      </c>
      <c r="K1751" t="s">
        <v>4916</v>
      </c>
      <c r="L1751">
        <v>192</v>
      </c>
      <c r="M1751" t="s">
        <v>4917</v>
      </c>
    </row>
    <row r="1752" spans="1:13" x14ac:dyDescent="0.35">
      <c r="A1752" t="s">
        <v>13</v>
      </c>
      <c r="B1752">
        <v>1851220</v>
      </c>
      <c r="C1752">
        <v>1852443</v>
      </c>
      <c r="E1752" t="s">
        <v>14</v>
      </c>
      <c r="F1752" t="s">
        <v>49</v>
      </c>
      <c r="H1752">
        <v>1019715</v>
      </c>
      <c r="I1752" t="s">
        <v>17</v>
      </c>
      <c r="K1752" t="s">
        <v>4918</v>
      </c>
      <c r="L1752">
        <v>407</v>
      </c>
      <c r="M1752" t="s">
        <v>4919</v>
      </c>
    </row>
    <row r="1753" spans="1:13" x14ac:dyDescent="0.35">
      <c r="A1753" t="s">
        <v>13</v>
      </c>
      <c r="B1753">
        <v>1852596</v>
      </c>
      <c r="C1753">
        <v>1853876</v>
      </c>
      <c r="E1753" t="s">
        <v>14</v>
      </c>
      <c r="F1753" t="s">
        <v>49</v>
      </c>
      <c r="H1753">
        <v>1019716</v>
      </c>
      <c r="I1753" t="s">
        <v>17</v>
      </c>
      <c r="K1753" t="s">
        <v>4920</v>
      </c>
      <c r="L1753">
        <v>426</v>
      </c>
      <c r="M1753" t="s">
        <v>4921</v>
      </c>
    </row>
    <row r="1754" spans="1:13" x14ac:dyDescent="0.35">
      <c r="A1754" t="s">
        <v>13</v>
      </c>
      <c r="B1754">
        <v>1854282</v>
      </c>
      <c r="C1754">
        <v>1854857</v>
      </c>
      <c r="E1754" t="s">
        <v>14</v>
      </c>
      <c r="F1754" t="s">
        <v>49</v>
      </c>
      <c r="H1754">
        <v>1019717</v>
      </c>
      <c r="I1754" t="s">
        <v>17</v>
      </c>
      <c r="K1754" t="s">
        <v>4922</v>
      </c>
      <c r="L1754">
        <v>191</v>
      </c>
      <c r="M1754" t="s">
        <v>4923</v>
      </c>
    </row>
    <row r="1755" spans="1:13" x14ac:dyDescent="0.35">
      <c r="A1755" t="s">
        <v>13</v>
      </c>
      <c r="B1755">
        <v>1855058</v>
      </c>
      <c r="C1755">
        <v>1855240</v>
      </c>
      <c r="E1755" t="s">
        <v>14</v>
      </c>
      <c r="F1755" t="s">
        <v>4924</v>
      </c>
      <c r="G1755" t="s">
        <v>4925</v>
      </c>
      <c r="H1755">
        <v>1019718</v>
      </c>
      <c r="I1755" t="s">
        <v>17</v>
      </c>
      <c r="K1755" t="s">
        <v>4926</v>
      </c>
      <c r="L1755">
        <v>60</v>
      </c>
      <c r="M1755" t="s">
        <v>4927</v>
      </c>
    </row>
    <row r="1756" spans="1:13" x14ac:dyDescent="0.35">
      <c r="A1756" t="s">
        <v>13</v>
      </c>
      <c r="B1756">
        <v>1855532</v>
      </c>
      <c r="C1756">
        <v>1856791</v>
      </c>
      <c r="E1756" t="s">
        <v>14</v>
      </c>
      <c r="F1756" t="s">
        <v>3013</v>
      </c>
      <c r="H1756">
        <v>1019719</v>
      </c>
      <c r="I1756" t="s">
        <v>17</v>
      </c>
      <c r="K1756" t="s">
        <v>4928</v>
      </c>
      <c r="L1756">
        <v>419</v>
      </c>
      <c r="M1756" t="s">
        <v>4929</v>
      </c>
    </row>
    <row r="1757" spans="1:13" x14ac:dyDescent="0.35">
      <c r="A1757" t="s">
        <v>13</v>
      </c>
      <c r="B1757">
        <v>1856885</v>
      </c>
      <c r="C1757">
        <v>1858741</v>
      </c>
      <c r="E1757" t="s">
        <v>14</v>
      </c>
      <c r="F1757" t="s">
        <v>49</v>
      </c>
      <c r="H1757">
        <v>1019720</v>
      </c>
      <c r="I1757" t="s">
        <v>17</v>
      </c>
      <c r="K1757" t="s">
        <v>4930</v>
      </c>
      <c r="L1757">
        <v>618</v>
      </c>
      <c r="M1757" t="s">
        <v>4931</v>
      </c>
    </row>
    <row r="1758" spans="1:13" x14ac:dyDescent="0.35">
      <c r="A1758" t="s">
        <v>13</v>
      </c>
      <c r="B1758">
        <v>1858949</v>
      </c>
      <c r="C1758">
        <v>1860730</v>
      </c>
      <c r="E1758" t="s">
        <v>14</v>
      </c>
      <c r="F1758" t="s">
        <v>4932</v>
      </c>
      <c r="H1758">
        <v>1019721</v>
      </c>
      <c r="I1758" t="s">
        <v>17</v>
      </c>
      <c r="K1758" t="s">
        <v>4933</v>
      </c>
      <c r="L1758">
        <v>593</v>
      </c>
      <c r="M1758" t="s">
        <v>4934</v>
      </c>
    </row>
    <row r="1759" spans="1:13" x14ac:dyDescent="0.35">
      <c r="A1759" t="s">
        <v>13</v>
      </c>
      <c r="B1759">
        <v>1860752</v>
      </c>
      <c r="C1759">
        <v>1861228</v>
      </c>
      <c r="E1759" t="s">
        <v>14</v>
      </c>
      <c r="F1759" t="s">
        <v>49</v>
      </c>
      <c r="H1759">
        <v>1019722</v>
      </c>
      <c r="I1759" t="s">
        <v>17</v>
      </c>
      <c r="K1759" t="s">
        <v>4935</v>
      </c>
      <c r="L1759">
        <v>158</v>
      </c>
      <c r="M1759" t="s">
        <v>4936</v>
      </c>
    </row>
    <row r="1760" spans="1:13" x14ac:dyDescent="0.35">
      <c r="A1760" t="s">
        <v>13</v>
      </c>
      <c r="B1760">
        <v>1861320</v>
      </c>
      <c r="C1760">
        <v>1861478</v>
      </c>
      <c r="E1760" t="s">
        <v>14</v>
      </c>
      <c r="F1760" t="s">
        <v>49</v>
      </c>
      <c r="H1760">
        <v>44156733</v>
      </c>
      <c r="I1760" t="s">
        <v>17</v>
      </c>
      <c r="K1760" t="s">
        <v>4937</v>
      </c>
      <c r="L1760">
        <v>52</v>
      </c>
      <c r="M1760" t="s">
        <v>4938</v>
      </c>
    </row>
    <row r="1761" spans="1:13" x14ac:dyDescent="0.35">
      <c r="A1761" t="s">
        <v>13</v>
      </c>
      <c r="B1761">
        <v>1861535</v>
      </c>
      <c r="C1761">
        <v>1865302</v>
      </c>
      <c r="E1761" t="s">
        <v>14</v>
      </c>
      <c r="F1761" t="s">
        <v>4939</v>
      </c>
      <c r="H1761">
        <v>92792297</v>
      </c>
      <c r="I1761" t="s">
        <v>17</v>
      </c>
      <c r="K1761" t="s">
        <v>4940</v>
      </c>
      <c r="L1761">
        <v>1255</v>
      </c>
      <c r="M1761" t="s">
        <v>4941</v>
      </c>
    </row>
    <row r="1762" spans="1:13" x14ac:dyDescent="0.35">
      <c r="A1762" t="s">
        <v>13</v>
      </c>
      <c r="B1762">
        <v>1865448</v>
      </c>
      <c r="C1762">
        <v>1865825</v>
      </c>
      <c r="E1762" t="s">
        <v>14</v>
      </c>
      <c r="F1762" t="s">
        <v>49</v>
      </c>
      <c r="H1762">
        <v>92792298</v>
      </c>
      <c r="I1762" t="s">
        <v>17</v>
      </c>
      <c r="K1762" t="s">
        <v>4942</v>
      </c>
      <c r="L1762">
        <v>125</v>
      </c>
      <c r="M1762" t="s">
        <v>4943</v>
      </c>
    </row>
    <row r="1763" spans="1:13" x14ac:dyDescent="0.35">
      <c r="A1763" t="s">
        <v>13</v>
      </c>
      <c r="B1763">
        <v>1865842</v>
      </c>
      <c r="C1763">
        <v>1866222</v>
      </c>
      <c r="E1763" t="s">
        <v>14</v>
      </c>
      <c r="F1763" t="s">
        <v>49</v>
      </c>
      <c r="H1763">
        <v>1019726</v>
      </c>
      <c r="I1763" t="s">
        <v>17</v>
      </c>
      <c r="K1763" t="s">
        <v>4944</v>
      </c>
      <c r="L1763">
        <v>126</v>
      </c>
      <c r="M1763" t="s">
        <v>4945</v>
      </c>
    </row>
    <row r="1764" spans="1:13" x14ac:dyDescent="0.35">
      <c r="A1764" t="s">
        <v>13</v>
      </c>
      <c r="B1764">
        <v>1866328</v>
      </c>
      <c r="C1764">
        <v>1866795</v>
      </c>
      <c r="E1764" t="s">
        <v>14</v>
      </c>
      <c r="F1764" t="s">
        <v>49</v>
      </c>
      <c r="H1764">
        <v>1019727</v>
      </c>
      <c r="I1764" t="s">
        <v>17</v>
      </c>
      <c r="K1764" t="s">
        <v>4946</v>
      </c>
      <c r="L1764">
        <v>155</v>
      </c>
      <c r="M1764" t="s">
        <v>4947</v>
      </c>
    </row>
    <row r="1765" spans="1:13" x14ac:dyDescent="0.35">
      <c r="A1765" t="s">
        <v>13</v>
      </c>
      <c r="B1765">
        <v>1866832</v>
      </c>
      <c r="C1765">
        <v>1867098</v>
      </c>
      <c r="E1765" t="s">
        <v>14</v>
      </c>
      <c r="F1765" t="s">
        <v>49</v>
      </c>
      <c r="H1765">
        <v>1019728</v>
      </c>
      <c r="I1765" t="s">
        <v>17</v>
      </c>
      <c r="K1765" t="s">
        <v>4948</v>
      </c>
      <c r="L1765">
        <v>88</v>
      </c>
      <c r="M1765" t="s">
        <v>4949</v>
      </c>
    </row>
    <row r="1766" spans="1:13" x14ac:dyDescent="0.35">
      <c r="A1766" t="s">
        <v>13</v>
      </c>
      <c r="B1766">
        <v>1867098</v>
      </c>
      <c r="C1766">
        <v>1867877</v>
      </c>
      <c r="E1766" t="s">
        <v>14</v>
      </c>
      <c r="F1766" t="s">
        <v>898</v>
      </c>
      <c r="H1766">
        <v>1019729</v>
      </c>
      <c r="I1766" t="s">
        <v>17</v>
      </c>
      <c r="K1766" t="s">
        <v>4950</v>
      </c>
      <c r="L1766">
        <v>259</v>
      </c>
      <c r="M1766" t="s">
        <v>4951</v>
      </c>
    </row>
    <row r="1767" spans="1:13" x14ac:dyDescent="0.35">
      <c r="A1767" t="s">
        <v>13</v>
      </c>
      <c r="B1767">
        <v>1867886</v>
      </c>
      <c r="C1767">
        <v>1868590</v>
      </c>
      <c r="E1767" t="s">
        <v>14</v>
      </c>
      <c r="F1767" t="s">
        <v>49</v>
      </c>
      <c r="H1767">
        <v>1019730</v>
      </c>
      <c r="I1767" t="s">
        <v>17</v>
      </c>
      <c r="K1767" t="s">
        <v>4952</v>
      </c>
      <c r="L1767">
        <v>234</v>
      </c>
      <c r="M1767" t="s">
        <v>4953</v>
      </c>
    </row>
    <row r="1768" spans="1:13" x14ac:dyDescent="0.35">
      <c r="A1768" t="s">
        <v>13</v>
      </c>
      <c r="B1768">
        <v>1868668</v>
      </c>
      <c r="C1768">
        <v>1868895</v>
      </c>
      <c r="E1768" t="s">
        <v>38</v>
      </c>
      <c r="F1768" t="s">
        <v>49</v>
      </c>
      <c r="H1768">
        <v>1019731</v>
      </c>
      <c r="I1768" t="s">
        <v>17</v>
      </c>
      <c r="K1768" t="s">
        <v>4954</v>
      </c>
      <c r="L1768">
        <v>75</v>
      </c>
      <c r="M1768" t="s">
        <v>4955</v>
      </c>
    </row>
    <row r="1769" spans="1:13" x14ac:dyDescent="0.35">
      <c r="A1769" t="s">
        <v>13</v>
      </c>
      <c r="B1769">
        <v>1868924</v>
      </c>
      <c r="C1769">
        <v>1871044</v>
      </c>
      <c r="E1769" t="s">
        <v>38</v>
      </c>
      <c r="F1769" t="s">
        <v>49</v>
      </c>
      <c r="H1769">
        <v>1019732</v>
      </c>
      <c r="I1769" t="s">
        <v>17</v>
      </c>
      <c r="K1769" t="s">
        <v>4956</v>
      </c>
      <c r="L1769">
        <v>706</v>
      </c>
      <c r="M1769" t="s">
        <v>4957</v>
      </c>
    </row>
    <row r="1770" spans="1:13" x14ac:dyDescent="0.35">
      <c r="A1770" t="s">
        <v>13</v>
      </c>
      <c r="B1770">
        <v>1871098</v>
      </c>
      <c r="C1770">
        <v>1871331</v>
      </c>
      <c r="E1770" t="s">
        <v>38</v>
      </c>
      <c r="F1770" t="s">
        <v>49</v>
      </c>
      <c r="H1770">
        <v>1019733</v>
      </c>
      <c r="I1770" t="s">
        <v>17</v>
      </c>
      <c r="K1770" t="s">
        <v>4958</v>
      </c>
      <c r="L1770">
        <v>77</v>
      </c>
      <c r="M1770" t="s">
        <v>4959</v>
      </c>
    </row>
    <row r="1771" spans="1:13" x14ac:dyDescent="0.35">
      <c r="A1771" t="s">
        <v>13</v>
      </c>
      <c r="B1771">
        <v>1871377</v>
      </c>
      <c r="C1771">
        <v>1877886</v>
      </c>
      <c r="E1771" t="s">
        <v>38</v>
      </c>
      <c r="F1771" t="s">
        <v>49</v>
      </c>
      <c r="H1771">
        <v>1019734</v>
      </c>
      <c r="I1771" t="s">
        <v>17</v>
      </c>
      <c r="K1771" t="s">
        <v>4960</v>
      </c>
      <c r="L1771">
        <v>2169</v>
      </c>
      <c r="M1771" t="s">
        <v>4961</v>
      </c>
    </row>
    <row r="1772" spans="1:13" x14ac:dyDescent="0.35">
      <c r="A1772" t="s">
        <v>13</v>
      </c>
      <c r="B1772">
        <v>1878312</v>
      </c>
      <c r="C1772">
        <v>1879403</v>
      </c>
      <c r="E1772" t="s">
        <v>14</v>
      </c>
      <c r="F1772" t="s">
        <v>4962</v>
      </c>
      <c r="H1772">
        <v>1019735</v>
      </c>
      <c r="I1772" t="s">
        <v>17</v>
      </c>
      <c r="K1772" t="s">
        <v>4963</v>
      </c>
      <c r="L1772">
        <v>363</v>
      </c>
      <c r="M1772" t="s">
        <v>4964</v>
      </c>
    </row>
    <row r="1773" spans="1:13" x14ac:dyDescent="0.35">
      <c r="A1773" t="s">
        <v>13</v>
      </c>
      <c r="B1773">
        <v>1879412</v>
      </c>
      <c r="C1773">
        <v>1880488</v>
      </c>
      <c r="E1773" t="s">
        <v>14</v>
      </c>
      <c r="F1773" t="s">
        <v>4965</v>
      </c>
      <c r="H1773">
        <v>1019736</v>
      </c>
      <c r="I1773" t="s">
        <v>17</v>
      </c>
      <c r="K1773" t="s">
        <v>4966</v>
      </c>
      <c r="L1773">
        <v>358</v>
      </c>
      <c r="M1773" t="s">
        <v>4967</v>
      </c>
    </row>
    <row r="1774" spans="1:13" x14ac:dyDescent="0.35">
      <c r="A1774" t="s">
        <v>13</v>
      </c>
      <c r="B1774">
        <v>1880529</v>
      </c>
      <c r="C1774">
        <v>1882388</v>
      </c>
      <c r="E1774" t="s">
        <v>14</v>
      </c>
      <c r="F1774" t="s">
        <v>4968</v>
      </c>
      <c r="H1774">
        <v>1019737</v>
      </c>
      <c r="I1774" t="s">
        <v>17</v>
      </c>
      <c r="K1774" t="s">
        <v>4969</v>
      </c>
      <c r="L1774">
        <v>619</v>
      </c>
      <c r="M1774" t="s">
        <v>4970</v>
      </c>
    </row>
    <row r="1775" spans="1:13" x14ac:dyDescent="0.35">
      <c r="A1775" t="s">
        <v>13</v>
      </c>
      <c r="B1775">
        <v>1882467</v>
      </c>
      <c r="C1775">
        <v>1883990</v>
      </c>
      <c r="E1775" t="s">
        <v>38</v>
      </c>
      <c r="F1775" t="s">
        <v>49</v>
      </c>
      <c r="H1775">
        <v>1019738</v>
      </c>
      <c r="I1775" t="s">
        <v>17</v>
      </c>
      <c r="K1775" t="s">
        <v>4971</v>
      </c>
      <c r="L1775">
        <v>507</v>
      </c>
      <c r="M1775" t="s">
        <v>4972</v>
      </c>
    </row>
    <row r="1776" spans="1:13" x14ac:dyDescent="0.35">
      <c r="A1776" t="s">
        <v>13</v>
      </c>
      <c r="B1776">
        <v>1884217</v>
      </c>
      <c r="C1776">
        <v>1884888</v>
      </c>
      <c r="E1776" t="s">
        <v>38</v>
      </c>
      <c r="F1776" t="s">
        <v>49</v>
      </c>
      <c r="H1776">
        <v>1019739</v>
      </c>
      <c r="I1776" t="s">
        <v>17</v>
      </c>
      <c r="K1776" t="s">
        <v>4973</v>
      </c>
      <c r="L1776">
        <v>223</v>
      </c>
      <c r="M1776" t="s">
        <v>4974</v>
      </c>
    </row>
    <row r="1777" spans="1:13" x14ac:dyDescent="0.35">
      <c r="A1777" t="s">
        <v>13</v>
      </c>
      <c r="B1777">
        <v>1885230</v>
      </c>
      <c r="C1777">
        <v>1887050</v>
      </c>
      <c r="E1777" t="s">
        <v>14</v>
      </c>
      <c r="F1777" t="s">
        <v>4975</v>
      </c>
      <c r="H1777">
        <v>1019740</v>
      </c>
      <c r="I1777" t="s">
        <v>17</v>
      </c>
      <c r="K1777" t="s">
        <v>4976</v>
      </c>
      <c r="L1777">
        <v>606</v>
      </c>
      <c r="M1777" t="s">
        <v>4977</v>
      </c>
    </row>
    <row r="1778" spans="1:13" x14ac:dyDescent="0.35">
      <c r="A1778" t="s">
        <v>13</v>
      </c>
      <c r="B1778">
        <v>1887405</v>
      </c>
      <c r="C1778">
        <v>1887593</v>
      </c>
      <c r="E1778" t="s">
        <v>14</v>
      </c>
      <c r="F1778" t="s">
        <v>49</v>
      </c>
      <c r="H1778">
        <v>1019741</v>
      </c>
      <c r="I1778" t="s">
        <v>17</v>
      </c>
      <c r="K1778" t="s">
        <v>4978</v>
      </c>
      <c r="L1778">
        <v>62</v>
      </c>
      <c r="M1778" t="s">
        <v>4979</v>
      </c>
    </row>
    <row r="1779" spans="1:13" x14ac:dyDescent="0.35">
      <c r="A1779" t="s">
        <v>13</v>
      </c>
      <c r="B1779">
        <v>1887685</v>
      </c>
      <c r="C1779">
        <v>1888011</v>
      </c>
      <c r="E1779" t="s">
        <v>38</v>
      </c>
      <c r="F1779" t="s">
        <v>4980</v>
      </c>
      <c r="H1779">
        <v>1019742</v>
      </c>
      <c r="I1779" t="s">
        <v>17</v>
      </c>
      <c r="K1779" t="s">
        <v>4981</v>
      </c>
      <c r="L1779">
        <v>108</v>
      </c>
      <c r="M1779" t="s">
        <v>4982</v>
      </c>
    </row>
    <row r="1780" spans="1:13" x14ac:dyDescent="0.35">
      <c r="A1780" t="s">
        <v>13</v>
      </c>
      <c r="B1780">
        <v>1888228</v>
      </c>
      <c r="C1780">
        <v>1888599</v>
      </c>
      <c r="E1780" t="s">
        <v>38</v>
      </c>
      <c r="F1780" t="s">
        <v>49</v>
      </c>
      <c r="H1780">
        <v>92792299</v>
      </c>
      <c r="I1780" t="s">
        <v>17</v>
      </c>
      <c r="K1780" t="s">
        <v>4983</v>
      </c>
      <c r="L1780">
        <v>123</v>
      </c>
      <c r="M1780" t="s">
        <v>4984</v>
      </c>
    </row>
    <row r="1781" spans="1:13" x14ac:dyDescent="0.35">
      <c r="A1781" t="s">
        <v>13</v>
      </c>
      <c r="B1781">
        <v>1890025</v>
      </c>
      <c r="C1781">
        <v>1891707</v>
      </c>
      <c r="E1781" t="s">
        <v>38</v>
      </c>
      <c r="F1781" t="s">
        <v>4985</v>
      </c>
      <c r="H1781">
        <v>1019744</v>
      </c>
      <c r="I1781" t="s">
        <v>17</v>
      </c>
      <c r="K1781" t="s">
        <v>4986</v>
      </c>
      <c r="L1781">
        <v>560</v>
      </c>
      <c r="M1781" t="s">
        <v>4987</v>
      </c>
    </row>
    <row r="1782" spans="1:13" x14ac:dyDescent="0.35">
      <c r="A1782" t="s">
        <v>13</v>
      </c>
      <c r="B1782">
        <v>1891829</v>
      </c>
      <c r="C1782">
        <v>1893037</v>
      </c>
      <c r="E1782" t="s">
        <v>38</v>
      </c>
      <c r="F1782" t="s">
        <v>4988</v>
      </c>
      <c r="H1782">
        <v>1019745</v>
      </c>
      <c r="I1782" t="s">
        <v>17</v>
      </c>
      <c r="K1782" t="s">
        <v>4989</v>
      </c>
      <c r="L1782">
        <v>402</v>
      </c>
      <c r="M1782" t="s">
        <v>4990</v>
      </c>
    </row>
    <row r="1783" spans="1:13" x14ac:dyDescent="0.35">
      <c r="A1783" t="s">
        <v>13</v>
      </c>
      <c r="B1783">
        <v>1893385</v>
      </c>
      <c r="C1783">
        <v>1894632</v>
      </c>
      <c r="E1783" t="s">
        <v>38</v>
      </c>
      <c r="F1783" t="s">
        <v>49</v>
      </c>
      <c r="H1783">
        <v>1019746</v>
      </c>
      <c r="I1783" t="s">
        <v>17</v>
      </c>
      <c r="K1783" t="s">
        <v>4991</v>
      </c>
      <c r="L1783">
        <v>415</v>
      </c>
      <c r="M1783" t="s">
        <v>4992</v>
      </c>
    </row>
    <row r="1784" spans="1:13" x14ac:dyDescent="0.35">
      <c r="A1784" t="s">
        <v>13</v>
      </c>
      <c r="B1784">
        <v>1894736</v>
      </c>
      <c r="C1784">
        <v>1897231</v>
      </c>
      <c r="E1784" t="s">
        <v>38</v>
      </c>
      <c r="F1784" t="s">
        <v>49</v>
      </c>
      <c r="H1784">
        <v>1019747</v>
      </c>
      <c r="I1784" t="s">
        <v>17</v>
      </c>
      <c r="K1784" t="s">
        <v>4993</v>
      </c>
      <c r="L1784">
        <v>831</v>
      </c>
      <c r="M1784" t="s">
        <v>4994</v>
      </c>
    </row>
    <row r="1785" spans="1:13" x14ac:dyDescent="0.35">
      <c r="A1785" t="s">
        <v>13</v>
      </c>
      <c r="B1785">
        <v>1897371</v>
      </c>
      <c r="C1785">
        <v>1899158</v>
      </c>
      <c r="E1785" t="s">
        <v>38</v>
      </c>
      <c r="F1785" t="s">
        <v>3013</v>
      </c>
      <c r="H1785">
        <v>1019748</v>
      </c>
      <c r="I1785" t="s">
        <v>17</v>
      </c>
      <c r="K1785" t="s">
        <v>4995</v>
      </c>
      <c r="L1785">
        <v>595</v>
      </c>
      <c r="M1785" t="s">
        <v>4996</v>
      </c>
    </row>
    <row r="1786" spans="1:13" x14ac:dyDescent="0.35">
      <c r="A1786" t="s">
        <v>13</v>
      </c>
      <c r="B1786">
        <v>1899230</v>
      </c>
      <c r="C1786">
        <v>1899808</v>
      </c>
      <c r="E1786" t="s">
        <v>38</v>
      </c>
      <c r="F1786" t="s">
        <v>4997</v>
      </c>
      <c r="H1786">
        <v>1019749</v>
      </c>
      <c r="I1786" t="s">
        <v>17</v>
      </c>
      <c r="K1786" t="s">
        <v>4998</v>
      </c>
      <c r="L1786">
        <v>192</v>
      </c>
      <c r="M1786" t="s">
        <v>4999</v>
      </c>
    </row>
    <row r="1787" spans="1:13" x14ac:dyDescent="0.35">
      <c r="A1787" t="s">
        <v>13</v>
      </c>
      <c r="B1787">
        <v>1899801</v>
      </c>
      <c r="C1787">
        <v>1900775</v>
      </c>
      <c r="E1787" t="s">
        <v>38</v>
      </c>
      <c r="F1787" t="s">
        <v>49</v>
      </c>
      <c r="H1787">
        <v>1019750</v>
      </c>
      <c r="I1787" t="s">
        <v>17</v>
      </c>
      <c r="K1787" t="s">
        <v>5000</v>
      </c>
      <c r="L1787">
        <v>324</v>
      </c>
      <c r="M1787" t="s">
        <v>5001</v>
      </c>
    </row>
    <row r="1788" spans="1:13" x14ac:dyDescent="0.35">
      <c r="A1788" t="s">
        <v>13</v>
      </c>
      <c r="B1788">
        <v>1901063</v>
      </c>
      <c r="C1788">
        <v>1901911</v>
      </c>
      <c r="E1788" t="s">
        <v>38</v>
      </c>
      <c r="F1788" t="s">
        <v>49</v>
      </c>
      <c r="H1788">
        <v>1019751</v>
      </c>
      <c r="I1788" t="s">
        <v>17</v>
      </c>
      <c r="K1788" t="s">
        <v>5002</v>
      </c>
      <c r="L1788">
        <v>282</v>
      </c>
      <c r="M1788" t="s">
        <v>5003</v>
      </c>
    </row>
    <row r="1789" spans="1:13" x14ac:dyDescent="0.35">
      <c r="A1789" t="s">
        <v>13</v>
      </c>
      <c r="B1789">
        <v>1902002</v>
      </c>
      <c r="C1789">
        <v>1902883</v>
      </c>
      <c r="E1789" t="s">
        <v>38</v>
      </c>
      <c r="F1789" t="s">
        <v>49</v>
      </c>
      <c r="H1789">
        <v>1019752</v>
      </c>
      <c r="I1789" t="s">
        <v>17</v>
      </c>
      <c r="K1789" t="s">
        <v>5004</v>
      </c>
      <c r="L1789">
        <v>293</v>
      </c>
      <c r="M1789" t="s">
        <v>5005</v>
      </c>
    </row>
    <row r="1790" spans="1:13" x14ac:dyDescent="0.35">
      <c r="A1790" t="s">
        <v>13</v>
      </c>
      <c r="B1790">
        <v>1903110</v>
      </c>
      <c r="C1790">
        <v>1905878</v>
      </c>
      <c r="E1790" t="s">
        <v>38</v>
      </c>
      <c r="F1790" t="s">
        <v>5006</v>
      </c>
      <c r="G1790" t="s">
        <v>5007</v>
      </c>
      <c r="H1790">
        <v>1019753</v>
      </c>
      <c r="I1790" t="s">
        <v>17</v>
      </c>
      <c r="K1790" t="s">
        <v>5008</v>
      </c>
      <c r="L1790">
        <v>922</v>
      </c>
      <c r="M1790" t="s">
        <v>5009</v>
      </c>
    </row>
    <row r="1791" spans="1:13" x14ac:dyDescent="0.35">
      <c r="A1791" t="s">
        <v>13</v>
      </c>
      <c r="B1791">
        <v>1905970</v>
      </c>
      <c r="C1791">
        <v>1906572</v>
      </c>
      <c r="E1791" t="s">
        <v>38</v>
      </c>
      <c r="F1791" t="s">
        <v>5006</v>
      </c>
      <c r="G1791" t="s">
        <v>5007</v>
      </c>
      <c r="H1791">
        <v>1019754</v>
      </c>
      <c r="I1791" t="s">
        <v>17</v>
      </c>
      <c r="K1791" t="s">
        <v>5010</v>
      </c>
      <c r="L1791">
        <v>200</v>
      </c>
      <c r="M1791" t="s">
        <v>5011</v>
      </c>
    </row>
    <row r="1792" spans="1:13" x14ac:dyDescent="0.35">
      <c r="A1792" t="s">
        <v>13</v>
      </c>
      <c r="B1792">
        <v>1906661</v>
      </c>
      <c r="C1792">
        <v>1907914</v>
      </c>
      <c r="E1792" t="s">
        <v>38</v>
      </c>
      <c r="F1792" t="s">
        <v>49</v>
      </c>
      <c r="H1792">
        <v>1019755</v>
      </c>
      <c r="I1792" t="s">
        <v>17</v>
      </c>
      <c r="K1792" t="s">
        <v>5012</v>
      </c>
      <c r="L1792">
        <v>417</v>
      </c>
      <c r="M1792" t="s">
        <v>5013</v>
      </c>
    </row>
    <row r="1793" spans="1:13" x14ac:dyDescent="0.35">
      <c r="A1793" t="s">
        <v>13</v>
      </c>
      <c r="B1793">
        <v>1907962</v>
      </c>
      <c r="C1793">
        <v>1908660</v>
      </c>
      <c r="E1793" t="s">
        <v>38</v>
      </c>
      <c r="F1793" t="s">
        <v>49</v>
      </c>
      <c r="H1793">
        <v>1019756</v>
      </c>
      <c r="I1793" t="s">
        <v>17</v>
      </c>
      <c r="K1793" t="s">
        <v>5014</v>
      </c>
      <c r="L1793">
        <v>232</v>
      </c>
      <c r="M1793" t="s">
        <v>5015</v>
      </c>
    </row>
    <row r="1794" spans="1:13" x14ac:dyDescent="0.35">
      <c r="A1794" t="s">
        <v>13</v>
      </c>
      <c r="B1794">
        <v>1908782</v>
      </c>
      <c r="C1794">
        <v>1909498</v>
      </c>
      <c r="E1794" t="s">
        <v>38</v>
      </c>
      <c r="F1794" t="s">
        <v>49</v>
      </c>
      <c r="H1794">
        <v>1019757</v>
      </c>
      <c r="I1794" t="s">
        <v>17</v>
      </c>
      <c r="K1794" t="s">
        <v>5016</v>
      </c>
      <c r="L1794">
        <v>238</v>
      </c>
      <c r="M1794" t="s">
        <v>5017</v>
      </c>
    </row>
    <row r="1795" spans="1:13" x14ac:dyDescent="0.35">
      <c r="A1795" t="s">
        <v>13</v>
      </c>
      <c r="B1795">
        <v>1909498</v>
      </c>
      <c r="C1795">
        <v>1910508</v>
      </c>
      <c r="E1795" t="s">
        <v>38</v>
      </c>
      <c r="F1795" t="s">
        <v>49</v>
      </c>
      <c r="H1795">
        <v>1019758</v>
      </c>
      <c r="I1795" t="s">
        <v>17</v>
      </c>
      <c r="K1795" t="s">
        <v>5018</v>
      </c>
      <c r="L1795">
        <v>336</v>
      </c>
      <c r="M1795" t="s">
        <v>5019</v>
      </c>
    </row>
    <row r="1796" spans="1:13" x14ac:dyDescent="0.35">
      <c r="A1796" t="s">
        <v>13</v>
      </c>
      <c r="B1796">
        <v>1910639</v>
      </c>
      <c r="C1796">
        <v>1912300</v>
      </c>
      <c r="E1796" t="s">
        <v>38</v>
      </c>
      <c r="F1796" t="s">
        <v>5020</v>
      </c>
      <c r="H1796">
        <v>1019759</v>
      </c>
      <c r="I1796" t="s">
        <v>17</v>
      </c>
      <c r="K1796" t="s">
        <v>5021</v>
      </c>
      <c r="L1796">
        <v>553</v>
      </c>
      <c r="M1796" t="s">
        <v>5022</v>
      </c>
    </row>
    <row r="1797" spans="1:13" x14ac:dyDescent="0.35">
      <c r="A1797" t="s">
        <v>13</v>
      </c>
      <c r="B1797">
        <v>1912330</v>
      </c>
      <c r="C1797">
        <v>1913820</v>
      </c>
      <c r="E1797" t="s">
        <v>38</v>
      </c>
      <c r="F1797" t="s">
        <v>49</v>
      </c>
      <c r="H1797">
        <v>1019760</v>
      </c>
      <c r="I1797" t="s">
        <v>17</v>
      </c>
      <c r="K1797" t="s">
        <v>5023</v>
      </c>
      <c r="L1797">
        <v>496</v>
      </c>
      <c r="M1797" t="s">
        <v>5024</v>
      </c>
    </row>
    <row r="1798" spans="1:13" x14ac:dyDescent="0.35">
      <c r="A1798" t="s">
        <v>13</v>
      </c>
      <c r="B1798">
        <v>1913970</v>
      </c>
      <c r="C1798">
        <v>1914329</v>
      </c>
      <c r="E1798" t="s">
        <v>38</v>
      </c>
      <c r="F1798" t="s">
        <v>49</v>
      </c>
      <c r="H1798">
        <v>1019761</v>
      </c>
      <c r="I1798" t="s">
        <v>17</v>
      </c>
      <c r="K1798" t="s">
        <v>5025</v>
      </c>
      <c r="L1798">
        <v>119</v>
      </c>
      <c r="M1798" t="s">
        <v>5026</v>
      </c>
    </row>
    <row r="1799" spans="1:13" x14ac:dyDescent="0.35">
      <c r="A1799" t="s">
        <v>13</v>
      </c>
      <c r="B1799">
        <v>1914722</v>
      </c>
      <c r="C1799">
        <v>1916233</v>
      </c>
      <c r="E1799" t="s">
        <v>38</v>
      </c>
      <c r="F1799" t="s">
        <v>3896</v>
      </c>
      <c r="H1799">
        <v>1019762</v>
      </c>
      <c r="I1799" t="s">
        <v>17</v>
      </c>
      <c r="K1799" t="s">
        <v>5027</v>
      </c>
      <c r="L1799">
        <v>503</v>
      </c>
      <c r="M1799" t="s">
        <v>5028</v>
      </c>
    </row>
    <row r="1800" spans="1:13" x14ac:dyDescent="0.35">
      <c r="A1800" t="s">
        <v>13</v>
      </c>
      <c r="B1800">
        <v>1916374</v>
      </c>
      <c r="C1800">
        <v>1916736</v>
      </c>
      <c r="E1800" t="s">
        <v>14</v>
      </c>
      <c r="F1800" t="s">
        <v>49</v>
      </c>
      <c r="H1800">
        <v>1019763</v>
      </c>
      <c r="I1800" t="s">
        <v>17</v>
      </c>
      <c r="K1800" t="s">
        <v>5029</v>
      </c>
      <c r="L1800">
        <v>120</v>
      </c>
      <c r="M1800" t="s">
        <v>5030</v>
      </c>
    </row>
    <row r="1801" spans="1:13" x14ac:dyDescent="0.35">
      <c r="A1801" t="s">
        <v>13</v>
      </c>
      <c r="B1801">
        <v>1916944</v>
      </c>
      <c r="C1801">
        <v>1917168</v>
      </c>
      <c r="E1801" t="s">
        <v>14</v>
      </c>
      <c r="F1801" t="s">
        <v>5031</v>
      </c>
      <c r="H1801">
        <v>1019764</v>
      </c>
      <c r="I1801" t="s">
        <v>17</v>
      </c>
      <c r="K1801" t="s">
        <v>5032</v>
      </c>
      <c r="L1801">
        <v>74</v>
      </c>
      <c r="M1801" t="s">
        <v>5033</v>
      </c>
    </row>
    <row r="1802" spans="1:13" x14ac:dyDescent="0.35">
      <c r="A1802" t="s">
        <v>13</v>
      </c>
      <c r="B1802">
        <v>1917326</v>
      </c>
      <c r="C1802">
        <v>1917514</v>
      </c>
      <c r="E1802" t="s">
        <v>38</v>
      </c>
      <c r="F1802" t="s">
        <v>49</v>
      </c>
      <c r="H1802">
        <v>1019765</v>
      </c>
      <c r="I1802" t="s">
        <v>17</v>
      </c>
      <c r="K1802" t="s">
        <v>5034</v>
      </c>
      <c r="L1802">
        <v>62</v>
      </c>
      <c r="M1802" t="s">
        <v>5035</v>
      </c>
    </row>
    <row r="1803" spans="1:13" x14ac:dyDescent="0.35">
      <c r="A1803" t="s">
        <v>13</v>
      </c>
      <c r="B1803">
        <v>1918700</v>
      </c>
      <c r="C1803">
        <v>1919461</v>
      </c>
      <c r="E1803" t="s">
        <v>38</v>
      </c>
      <c r="F1803" t="s">
        <v>49</v>
      </c>
      <c r="H1803">
        <v>44144978</v>
      </c>
      <c r="I1803" t="s">
        <v>17</v>
      </c>
      <c r="K1803" t="s">
        <v>5036</v>
      </c>
      <c r="L1803">
        <v>253</v>
      </c>
      <c r="M1803" t="s">
        <v>5037</v>
      </c>
    </row>
    <row r="1804" spans="1:13" x14ac:dyDescent="0.35">
      <c r="A1804" t="s">
        <v>13</v>
      </c>
      <c r="B1804">
        <v>1919643</v>
      </c>
      <c r="C1804">
        <v>1920161</v>
      </c>
      <c r="E1804" t="s">
        <v>38</v>
      </c>
      <c r="F1804" t="s">
        <v>49</v>
      </c>
      <c r="H1804">
        <v>1019767</v>
      </c>
      <c r="I1804" t="s">
        <v>17</v>
      </c>
      <c r="K1804" t="s">
        <v>5038</v>
      </c>
      <c r="L1804">
        <v>172</v>
      </c>
      <c r="M1804" t="s">
        <v>5039</v>
      </c>
    </row>
    <row r="1805" spans="1:13" x14ac:dyDescent="0.35">
      <c r="A1805" t="s">
        <v>13</v>
      </c>
      <c r="B1805">
        <v>1920344</v>
      </c>
      <c r="C1805">
        <v>1921276</v>
      </c>
      <c r="E1805" t="s">
        <v>38</v>
      </c>
      <c r="F1805" t="s">
        <v>671</v>
      </c>
      <c r="H1805">
        <v>1019768</v>
      </c>
      <c r="I1805" t="s">
        <v>17</v>
      </c>
      <c r="K1805" t="s">
        <v>5040</v>
      </c>
      <c r="L1805">
        <v>310</v>
      </c>
      <c r="M1805" t="s">
        <v>5041</v>
      </c>
    </row>
    <row r="1806" spans="1:13" x14ac:dyDescent="0.35">
      <c r="A1806" t="s">
        <v>13</v>
      </c>
      <c r="B1806">
        <v>1921544</v>
      </c>
      <c r="C1806">
        <v>1926010</v>
      </c>
      <c r="E1806" t="s">
        <v>38</v>
      </c>
      <c r="F1806" t="s">
        <v>124</v>
      </c>
      <c r="H1806">
        <v>1019769</v>
      </c>
      <c r="I1806" t="s">
        <v>17</v>
      </c>
      <c r="K1806" t="s">
        <v>5042</v>
      </c>
      <c r="L1806">
        <v>1488</v>
      </c>
      <c r="M1806" t="s">
        <v>5043</v>
      </c>
    </row>
    <row r="1807" spans="1:13" x14ac:dyDescent="0.35">
      <c r="A1807" t="s">
        <v>13</v>
      </c>
      <c r="B1807">
        <v>1926256</v>
      </c>
      <c r="C1807">
        <v>1926837</v>
      </c>
      <c r="E1807" t="s">
        <v>38</v>
      </c>
      <c r="F1807" t="s">
        <v>49</v>
      </c>
      <c r="H1807">
        <v>1019770</v>
      </c>
      <c r="I1807" t="s">
        <v>17</v>
      </c>
      <c r="K1807" t="s">
        <v>5044</v>
      </c>
      <c r="L1807">
        <v>193</v>
      </c>
      <c r="M1807" t="s">
        <v>5045</v>
      </c>
    </row>
    <row r="1808" spans="1:13" x14ac:dyDescent="0.35">
      <c r="A1808" t="s">
        <v>13</v>
      </c>
      <c r="B1808">
        <v>1927242</v>
      </c>
      <c r="C1808">
        <v>1928177</v>
      </c>
      <c r="E1808" t="s">
        <v>38</v>
      </c>
      <c r="F1808" t="s">
        <v>49</v>
      </c>
      <c r="H1808">
        <v>1019771</v>
      </c>
      <c r="I1808" t="s">
        <v>17</v>
      </c>
      <c r="K1808" t="s">
        <v>5046</v>
      </c>
      <c r="L1808">
        <v>311</v>
      </c>
      <c r="M1808" t="s">
        <v>5047</v>
      </c>
    </row>
    <row r="1809" spans="1:13" x14ac:dyDescent="0.35">
      <c r="A1809" t="s">
        <v>13</v>
      </c>
      <c r="B1809">
        <v>1928247</v>
      </c>
      <c r="C1809">
        <v>1928384</v>
      </c>
      <c r="E1809" t="s">
        <v>14</v>
      </c>
      <c r="F1809" t="s">
        <v>5048</v>
      </c>
      <c r="H1809">
        <v>1019772</v>
      </c>
      <c r="I1809" t="s">
        <v>17</v>
      </c>
      <c r="K1809" t="s">
        <v>5049</v>
      </c>
      <c r="L1809">
        <v>45</v>
      </c>
      <c r="M1809" t="s">
        <v>5050</v>
      </c>
    </row>
    <row r="1810" spans="1:13" x14ac:dyDescent="0.35">
      <c r="A1810" t="s">
        <v>13</v>
      </c>
      <c r="B1810">
        <v>1929056</v>
      </c>
      <c r="C1810">
        <v>1930879</v>
      </c>
      <c r="E1810" t="s">
        <v>38</v>
      </c>
      <c r="F1810" t="s">
        <v>49</v>
      </c>
      <c r="H1810">
        <v>1019774</v>
      </c>
      <c r="I1810" t="s">
        <v>17</v>
      </c>
      <c r="K1810" t="s">
        <v>5051</v>
      </c>
      <c r="L1810">
        <v>607</v>
      </c>
      <c r="M1810" t="s">
        <v>5052</v>
      </c>
    </row>
    <row r="1811" spans="1:13" x14ac:dyDescent="0.35">
      <c r="A1811" t="s">
        <v>13</v>
      </c>
      <c r="B1811">
        <v>1931418</v>
      </c>
      <c r="C1811">
        <v>1931879</v>
      </c>
      <c r="E1811" t="s">
        <v>38</v>
      </c>
      <c r="F1811" t="s">
        <v>49</v>
      </c>
      <c r="H1811">
        <v>1019776</v>
      </c>
      <c r="I1811" t="s">
        <v>17</v>
      </c>
      <c r="K1811" t="s">
        <v>5053</v>
      </c>
      <c r="L1811">
        <v>153</v>
      </c>
      <c r="M1811" t="s">
        <v>5054</v>
      </c>
    </row>
    <row r="1812" spans="1:13" x14ac:dyDescent="0.35">
      <c r="A1812" t="s">
        <v>13</v>
      </c>
      <c r="B1812">
        <v>1931932</v>
      </c>
      <c r="C1812">
        <v>1932291</v>
      </c>
      <c r="E1812" t="s">
        <v>38</v>
      </c>
      <c r="F1812" t="s">
        <v>138</v>
      </c>
      <c r="H1812">
        <v>1019777</v>
      </c>
      <c r="I1812" t="s">
        <v>17</v>
      </c>
      <c r="K1812" t="s">
        <v>5055</v>
      </c>
      <c r="L1812">
        <v>119</v>
      </c>
      <c r="M1812" t="s">
        <v>5056</v>
      </c>
    </row>
    <row r="1813" spans="1:13" x14ac:dyDescent="0.35">
      <c r="A1813" t="s">
        <v>13</v>
      </c>
      <c r="B1813">
        <v>1932370</v>
      </c>
      <c r="C1813">
        <v>1932879</v>
      </c>
      <c r="E1813" t="s">
        <v>38</v>
      </c>
      <c r="F1813" t="s">
        <v>49</v>
      </c>
      <c r="H1813">
        <v>1019778</v>
      </c>
      <c r="I1813" t="s">
        <v>17</v>
      </c>
      <c r="K1813" t="s">
        <v>5057</v>
      </c>
      <c r="L1813">
        <v>169</v>
      </c>
      <c r="M1813" t="s">
        <v>5058</v>
      </c>
    </row>
    <row r="1814" spans="1:13" x14ac:dyDescent="0.35">
      <c r="A1814" t="s">
        <v>13</v>
      </c>
      <c r="B1814">
        <v>1933519</v>
      </c>
      <c r="C1814">
        <v>1934358</v>
      </c>
      <c r="E1814" t="s">
        <v>38</v>
      </c>
      <c r="F1814" t="s">
        <v>5059</v>
      </c>
      <c r="H1814">
        <v>1019779</v>
      </c>
      <c r="I1814" t="s">
        <v>17</v>
      </c>
      <c r="K1814" t="s">
        <v>5060</v>
      </c>
      <c r="L1814">
        <v>279</v>
      </c>
      <c r="M1814" t="s">
        <v>5061</v>
      </c>
    </row>
    <row r="1815" spans="1:13" x14ac:dyDescent="0.35">
      <c r="A1815" t="s">
        <v>13</v>
      </c>
      <c r="B1815">
        <v>1934968</v>
      </c>
      <c r="C1815">
        <v>1935912</v>
      </c>
      <c r="E1815" t="s">
        <v>38</v>
      </c>
      <c r="F1815" t="s">
        <v>5062</v>
      </c>
      <c r="H1815">
        <v>1019780</v>
      </c>
      <c r="I1815" t="s">
        <v>17</v>
      </c>
      <c r="K1815" t="s">
        <v>5063</v>
      </c>
      <c r="L1815">
        <v>314</v>
      </c>
      <c r="M1815" t="s">
        <v>5064</v>
      </c>
    </row>
    <row r="1816" spans="1:13" x14ac:dyDescent="0.35">
      <c r="A1816" t="s">
        <v>13</v>
      </c>
      <c r="B1816">
        <v>1936283</v>
      </c>
      <c r="C1816">
        <v>1936852</v>
      </c>
      <c r="E1816" t="s">
        <v>14</v>
      </c>
      <c r="F1816" t="s">
        <v>49</v>
      </c>
      <c r="H1816">
        <v>1019781</v>
      </c>
      <c r="I1816" t="s">
        <v>17</v>
      </c>
      <c r="K1816" t="s">
        <v>5065</v>
      </c>
      <c r="L1816">
        <v>189</v>
      </c>
      <c r="M1816" t="s">
        <v>5066</v>
      </c>
    </row>
    <row r="1817" spans="1:13" x14ac:dyDescent="0.35">
      <c r="A1817" t="s">
        <v>13</v>
      </c>
      <c r="B1817">
        <v>1937483</v>
      </c>
      <c r="C1817">
        <v>1937905</v>
      </c>
      <c r="E1817" t="s">
        <v>38</v>
      </c>
      <c r="F1817" t="s">
        <v>49</v>
      </c>
      <c r="H1817">
        <v>92792300</v>
      </c>
      <c r="I1817" t="s">
        <v>17</v>
      </c>
      <c r="K1817" t="s">
        <v>5067</v>
      </c>
      <c r="L1817">
        <v>140</v>
      </c>
      <c r="M1817" t="s">
        <v>5068</v>
      </c>
    </row>
    <row r="1818" spans="1:13" x14ac:dyDescent="0.35">
      <c r="A1818" t="s">
        <v>13</v>
      </c>
      <c r="B1818">
        <v>1938528</v>
      </c>
      <c r="C1818">
        <v>1938974</v>
      </c>
      <c r="E1818" t="s">
        <v>38</v>
      </c>
      <c r="F1818" t="s">
        <v>49</v>
      </c>
      <c r="H1818">
        <v>1019784</v>
      </c>
      <c r="I1818" t="s">
        <v>17</v>
      </c>
      <c r="K1818" t="s">
        <v>5069</v>
      </c>
      <c r="L1818">
        <v>148</v>
      </c>
      <c r="M1818" t="s">
        <v>5070</v>
      </c>
    </row>
    <row r="1819" spans="1:13" x14ac:dyDescent="0.35">
      <c r="A1819" t="s">
        <v>13</v>
      </c>
      <c r="B1819">
        <v>1938945</v>
      </c>
      <c r="C1819">
        <v>1940138</v>
      </c>
      <c r="E1819" t="s">
        <v>14</v>
      </c>
      <c r="F1819" t="s">
        <v>49</v>
      </c>
      <c r="H1819">
        <v>1019785</v>
      </c>
      <c r="I1819" t="s">
        <v>17</v>
      </c>
      <c r="K1819" t="s">
        <v>5071</v>
      </c>
      <c r="L1819">
        <v>397</v>
      </c>
      <c r="M1819" t="s">
        <v>5072</v>
      </c>
    </row>
    <row r="1820" spans="1:13" x14ac:dyDescent="0.35">
      <c r="A1820" t="s">
        <v>13</v>
      </c>
      <c r="B1820">
        <v>1940257</v>
      </c>
      <c r="C1820">
        <v>1940847</v>
      </c>
      <c r="E1820" t="s">
        <v>14</v>
      </c>
      <c r="F1820" t="s">
        <v>49</v>
      </c>
      <c r="H1820">
        <v>1019786</v>
      </c>
      <c r="I1820" t="s">
        <v>17</v>
      </c>
      <c r="K1820" t="s">
        <v>5073</v>
      </c>
      <c r="L1820">
        <v>196</v>
      </c>
      <c r="M1820" t="s">
        <v>5074</v>
      </c>
    </row>
    <row r="1821" spans="1:13" x14ac:dyDescent="0.35">
      <c r="A1821" t="s">
        <v>13</v>
      </c>
      <c r="B1821">
        <v>1941107</v>
      </c>
      <c r="C1821">
        <v>1941553</v>
      </c>
      <c r="E1821" t="s">
        <v>14</v>
      </c>
      <c r="F1821" t="s">
        <v>49</v>
      </c>
      <c r="H1821">
        <v>1019787</v>
      </c>
      <c r="I1821" t="s">
        <v>17</v>
      </c>
      <c r="K1821" t="s">
        <v>5075</v>
      </c>
      <c r="L1821">
        <v>148</v>
      </c>
      <c r="M1821" t="s">
        <v>5076</v>
      </c>
    </row>
    <row r="1822" spans="1:13" x14ac:dyDescent="0.35">
      <c r="A1822" t="s">
        <v>13</v>
      </c>
      <c r="B1822">
        <v>1941729</v>
      </c>
      <c r="C1822">
        <v>1942430</v>
      </c>
      <c r="E1822" t="s">
        <v>38</v>
      </c>
      <c r="F1822" t="s">
        <v>49</v>
      </c>
      <c r="H1822">
        <v>1019788</v>
      </c>
      <c r="I1822" t="s">
        <v>17</v>
      </c>
      <c r="K1822" t="s">
        <v>5077</v>
      </c>
      <c r="L1822">
        <v>233</v>
      </c>
      <c r="M1822" t="s">
        <v>5078</v>
      </c>
    </row>
    <row r="1823" spans="1:13" x14ac:dyDescent="0.35">
      <c r="A1823" t="s">
        <v>13</v>
      </c>
      <c r="B1823">
        <v>1942519</v>
      </c>
      <c r="C1823">
        <v>1942815</v>
      </c>
      <c r="E1823" t="s">
        <v>14</v>
      </c>
      <c r="F1823" t="s">
        <v>49</v>
      </c>
      <c r="H1823">
        <v>1019789</v>
      </c>
      <c r="I1823" t="s">
        <v>17</v>
      </c>
      <c r="K1823" t="s">
        <v>5079</v>
      </c>
      <c r="L1823">
        <v>98</v>
      </c>
      <c r="M1823" t="s">
        <v>5080</v>
      </c>
    </row>
    <row r="1824" spans="1:13" x14ac:dyDescent="0.35">
      <c r="A1824" t="s">
        <v>13</v>
      </c>
      <c r="B1824">
        <v>1943689</v>
      </c>
      <c r="C1824">
        <v>1944567</v>
      </c>
      <c r="E1824" t="s">
        <v>14</v>
      </c>
      <c r="F1824" t="s">
        <v>49</v>
      </c>
      <c r="H1824">
        <v>92792301</v>
      </c>
      <c r="I1824" t="s">
        <v>17</v>
      </c>
      <c r="K1824" t="s">
        <v>5081</v>
      </c>
      <c r="L1824">
        <v>292</v>
      </c>
      <c r="M1824" t="s">
        <v>5082</v>
      </c>
    </row>
    <row r="1825" spans="1:13" x14ac:dyDescent="0.35">
      <c r="A1825" t="s">
        <v>13</v>
      </c>
      <c r="B1825">
        <v>1944605</v>
      </c>
      <c r="C1825">
        <v>1945435</v>
      </c>
      <c r="E1825" t="s">
        <v>38</v>
      </c>
      <c r="F1825" t="s">
        <v>5059</v>
      </c>
      <c r="H1825">
        <v>1019793</v>
      </c>
      <c r="I1825" t="s">
        <v>17</v>
      </c>
      <c r="K1825" t="s">
        <v>5083</v>
      </c>
      <c r="L1825">
        <v>276</v>
      </c>
      <c r="M1825" t="s">
        <v>5084</v>
      </c>
    </row>
    <row r="1826" spans="1:13" x14ac:dyDescent="0.35">
      <c r="A1826" t="s">
        <v>13</v>
      </c>
      <c r="B1826">
        <v>1945592</v>
      </c>
      <c r="C1826">
        <v>1945894</v>
      </c>
      <c r="E1826" t="s">
        <v>38</v>
      </c>
      <c r="F1826" t="s">
        <v>141</v>
      </c>
      <c r="H1826">
        <v>1019794</v>
      </c>
      <c r="I1826" t="s">
        <v>142</v>
      </c>
      <c r="M1826" t="s">
        <v>5085</v>
      </c>
    </row>
    <row r="1827" spans="1:13" x14ac:dyDescent="0.35">
      <c r="A1827" t="s">
        <v>13</v>
      </c>
      <c r="B1827">
        <v>1945949</v>
      </c>
      <c r="C1827">
        <v>1946332</v>
      </c>
      <c r="E1827" t="s">
        <v>38</v>
      </c>
      <c r="F1827" t="s">
        <v>49</v>
      </c>
      <c r="H1827">
        <v>1019795</v>
      </c>
      <c r="I1827" t="s">
        <v>17</v>
      </c>
      <c r="K1827" t="s">
        <v>5086</v>
      </c>
      <c r="L1827">
        <v>127</v>
      </c>
      <c r="M1827" t="s">
        <v>5087</v>
      </c>
    </row>
    <row r="1828" spans="1:13" x14ac:dyDescent="0.35">
      <c r="A1828" t="s">
        <v>13</v>
      </c>
      <c r="B1828">
        <v>1946606</v>
      </c>
      <c r="C1828">
        <v>1947037</v>
      </c>
      <c r="E1828" t="s">
        <v>38</v>
      </c>
      <c r="F1828" t="s">
        <v>49</v>
      </c>
      <c r="H1828">
        <v>1019797</v>
      </c>
      <c r="I1828" t="s">
        <v>17</v>
      </c>
      <c r="K1828" t="s">
        <v>5088</v>
      </c>
      <c r="L1828">
        <v>143</v>
      </c>
      <c r="M1828" t="s">
        <v>5089</v>
      </c>
    </row>
    <row r="1829" spans="1:13" x14ac:dyDescent="0.35">
      <c r="A1829" t="s">
        <v>13</v>
      </c>
      <c r="B1829">
        <v>1947067</v>
      </c>
      <c r="C1829">
        <v>1948650</v>
      </c>
      <c r="E1829" t="s">
        <v>38</v>
      </c>
      <c r="F1829" t="s">
        <v>2295</v>
      </c>
      <c r="H1829">
        <v>1019798</v>
      </c>
      <c r="I1829" t="s">
        <v>17</v>
      </c>
      <c r="K1829" t="s">
        <v>5090</v>
      </c>
      <c r="L1829">
        <v>527</v>
      </c>
      <c r="M1829" t="s">
        <v>5091</v>
      </c>
    </row>
    <row r="1830" spans="1:13" x14ac:dyDescent="0.35">
      <c r="A1830" t="s">
        <v>13</v>
      </c>
      <c r="B1830">
        <v>1949018</v>
      </c>
      <c r="C1830">
        <v>1951450</v>
      </c>
      <c r="E1830" t="s">
        <v>38</v>
      </c>
      <c r="F1830" t="s">
        <v>49</v>
      </c>
      <c r="H1830">
        <v>1019799</v>
      </c>
      <c r="I1830" t="s">
        <v>17</v>
      </c>
      <c r="K1830" t="s">
        <v>5092</v>
      </c>
      <c r="L1830">
        <v>810</v>
      </c>
      <c r="M1830" t="s">
        <v>5093</v>
      </c>
    </row>
    <row r="1831" spans="1:13" x14ac:dyDescent="0.35">
      <c r="A1831" t="s">
        <v>13</v>
      </c>
      <c r="B1831">
        <v>1951616</v>
      </c>
      <c r="C1831">
        <v>1952485</v>
      </c>
      <c r="E1831" t="s">
        <v>38</v>
      </c>
      <c r="F1831" t="s">
        <v>49</v>
      </c>
      <c r="H1831">
        <v>1019800</v>
      </c>
      <c r="I1831" t="s">
        <v>17</v>
      </c>
      <c r="K1831" t="s">
        <v>5094</v>
      </c>
      <c r="L1831">
        <v>289</v>
      </c>
      <c r="M1831" t="s">
        <v>5095</v>
      </c>
    </row>
    <row r="1832" spans="1:13" x14ac:dyDescent="0.35">
      <c r="A1832" t="s">
        <v>13</v>
      </c>
      <c r="B1832">
        <v>1952543</v>
      </c>
      <c r="C1832">
        <v>1954822</v>
      </c>
      <c r="E1832" t="s">
        <v>38</v>
      </c>
      <c r="F1832" t="s">
        <v>5096</v>
      </c>
      <c r="H1832">
        <v>1019801</v>
      </c>
      <c r="I1832" t="s">
        <v>17</v>
      </c>
      <c r="K1832" t="s">
        <v>5097</v>
      </c>
      <c r="L1832">
        <v>759</v>
      </c>
      <c r="M1832" t="s">
        <v>5098</v>
      </c>
    </row>
    <row r="1833" spans="1:13" x14ac:dyDescent="0.35">
      <c r="A1833" t="s">
        <v>13</v>
      </c>
      <c r="B1833">
        <v>1956200</v>
      </c>
      <c r="C1833">
        <v>1958287</v>
      </c>
      <c r="E1833" t="s">
        <v>38</v>
      </c>
      <c r="F1833" t="s">
        <v>5099</v>
      </c>
      <c r="H1833">
        <v>1019802</v>
      </c>
      <c r="I1833" t="s">
        <v>17</v>
      </c>
      <c r="K1833" t="s">
        <v>5100</v>
      </c>
      <c r="L1833">
        <v>695</v>
      </c>
      <c r="M1833" t="s">
        <v>5101</v>
      </c>
    </row>
    <row r="1834" spans="1:13" x14ac:dyDescent="0.35">
      <c r="A1834" t="s">
        <v>13</v>
      </c>
      <c r="B1834">
        <v>1958447</v>
      </c>
      <c r="C1834">
        <v>1959340</v>
      </c>
      <c r="E1834" t="s">
        <v>38</v>
      </c>
      <c r="F1834" t="s">
        <v>4036</v>
      </c>
      <c r="H1834">
        <v>1019803</v>
      </c>
      <c r="I1834" t="s">
        <v>17</v>
      </c>
      <c r="K1834" t="s">
        <v>5102</v>
      </c>
      <c r="L1834">
        <v>297</v>
      </c>
      <c r="M1834" t="s">
        <v>5103</v>
      </c>
    </row>
    <row r="1835" spans="1:13" x14ac:dyDescent="0.35">
      <c r="A1835" t="s">
        <v>13</v>
      </c>
      <c r="B1835">
        <v>1959762</v>
      </c>
      <c r="C1835">
        <v>1960196</v>
      </c>
      <c r="E1835" t="s">
        <v>38</v>
      </c>
      <c r="F1835" t="s">
        <v>3785</v>
      </c>
      <c r="H1835">
        <v>1019804</v>
      </c>
      <c r="I1835" t="s">
        <v>17</v>
      </c>
      <c r="K1835" t="s">
        <v>5104</v>
      </c>
      <c r="L1835">
        <v>144</v>
      </c>
      <c r="M1835" t="s">
        <v>5105</v>
      </c>
    </row>
    <row r="1836" spans="1:13" x14ac:dyDescent="0.35">
      <c r="A1836" t="s">
        <v>13</v>
      </c>
      <c r="B1836">
        <v>1960368</v>
      </c>
      <c r="C1836">
        <v>1961114</v>
      </c>
      <c r="E1836" t="s">
        <v>38</v>
      </c>
      <c r="F1836" t="s">
        <v>49</v>
      </c>
      <c r="H1836">
        <v>1019805</v>
      </c>
      <c r="I1836" t="s">
        <v>17</v>
      </c>
      <c r="K1836" t="s">
        <v>5106</v>
      </c>
      <c r="L1836">
        <v>248</v>
      </c>
      <c r="M1836" t="s">
        <v>5107</v>
      </c>
    </row>
    <row r="1837" spans="1:13" x14ac:dyDescent="0.35">
      <c r="A1837" t="s">
        <v>13</v>
      </c>
      <c r="B1837">
        <v>1961111</v>
      </c>
      <c r="C1837">
        <v>1962967</v>
      </c>
      <c r="E1837" t="s">
        <v>38</v>
      </c>
      <c r="F1837" t="s">
        <v>2295</v>
      </c>
      <c r="H1837">
        <v>1019806</v>
      </c>
      <c r="I1837" t="s">
        <v>17</v>
      </c>
      <c r="K1837" t="s">
        <v>5108</v>
      </c>
      <c r="L1837">
        <v>618</v>
      </c>
      <c r="M1837" t="s">
        <v>5109</v>
      </c>
    </row>
    <row r="1838" spans="1:13" x14ac:dyDescent="0.35">
      <c r="A1838" t="s">
        <v>13</v>
      </c>
      <c r="B1838">
        <v>1963136</v>
      </c>
      <c r="C1838">
        <v>1963429</v>
      </c>
      <c r="E1838" t="s">
        <v>38</v>
      </c>
      <c r="F1838" t="s">
        <v>49</v>
      </c>
      <c r="H1838">
        <v>1019807</v>
      </c>
      <c r="I1838" t="s">
        <v>17</v>
      </c>
      <c r="K1838" t="s">
        <v>5110</v>
      </c>
      <c r="L1838">
        <v>97</v>
      </c>
      <c r="M1838" t="s">
        <v>5111</v>
      </c>
    </row>
    <row r="1839" spans="1:13" x14ac:dyDescent="0.35">
      <c r="A1839" t="s">
        <v>13</v>
      </c>
      <c r="B1839">
        <v>1963511</v>
      </c>
      <c r="C1839">
        <v>1964731</v>
      </c>
      <c r="E1839" t="s">
        <v>38</v>
      </c>
      <c r="F1839" t="s">
        <v>49</v>
      </c>
      <c r="H1839">
        <v>1019808</v>
      </c>
      <c r="I1839" t="s">
        <v>17</v>
      </c>
      <c r="K1839" t="s">
        <v>5112</v>
      </c>
      <c r="L1839">
        <v>406</v>
      </c>
      <c r="M1839" t="s">
        <v>5113</v>
      </c>
    </row>
    <row r="1840" spans="1:13" x14ac:dyDescent="0.35">
      <c r="A1840" t="s">
        <v>13</v>
      </c>
      <c r="B1840">
        <v>1964724</v>
      </c>
      <c r="C1840">
        <v>1965902</v>
      </c>
      <c r="E1840" t="s">
        <v>38</v>
      </c>
      <c r="F1840" t="s">
        <v>49</v>
      </c>
      <c r="H1840">
        <v>1019809</v>
      </c>
      <c r="I1840" t="s">
        <v>17</v>
      </c>
      <c r="K1840" t="s">
        <v>5114</v>
      </c>
      <c r="L1840">
        <v>392</v>
      </c>
      <c r="M1840" t="s">
        <v>5115</v>
      </c>
    </row>
    <row r="1841" spans="1:13" x14ac:dyDescent="0.35">
      <c r="A1841" t="s">
        <v>13</v>
      </c>
      <c r="B1841">
        <v>1965908</v>
      </c>
      <c r="C1841">
        <v>1966240</v>
      </c>
      <c r="E1841" t="s">
        <v>38</v>
      </c>
      <c r="F1841" t="s">
        <v>49</v>
      </c>
      <c r="H1841">
        <v>1019810</v>
      </c>
      <c r="I1841" t="s">
        <v>17</v>
      </c>
      <c r="K1841" t="s">
        <v>5116</v>
      </c>
      <c r="L1841">
        <v>110</v>
      </c>
      <c r="M1841" t="s">
        <v>5117</v>
      </c>
    </row>
    <row r="1842" spans="1:13" x14ac:dyDescent="0.35">
      <c r="A1842" t="s">
        <v>13</v>
      </c>
      <c r="B1842">
        <v>1966349</v>
      </c>
      <c r="C1842">
        <v>1966987</v>
      </c>
      <c r="E1842" t="s">
        <v>14</v>
      </c>
      <c r="F1842" t="s">
        <v>5118</v>
      </c>
      <c r="H1842">
        <v>1019811</v>
      </c>
      <c r="I1842" t="s">
        <v>17</v>
      </c>
      <c r="K1842" t="s">
        <v>5119</v>
      </c>
      <c r="L1842">
        <v>212</v>
      </c>
      <c r="M1842" t="s">
        <v>5120</v>
      </c>
    </row>
    <row r="1843" spans="1:13" x14ac:dyDescent="0.35">
      <c r="A1843" t="s">
        <v>13</v>
      </c>
      <c r="B1843">
        <v>1967286</v>
      </c>
      <c r="C1843">
        <v>1967429</v>
      </c>
      <c r="E1843" t="s">
        <v>38</v>
      </c>
      <c r="F1843" t="s">
        <v>49</v>
      </c>
      <c r="H1843">
        <v>44144979</v>
      </c>
      <c r="I1843" t="s">
        <v>17</v>
      </c>
      <c r="K1843" t="s">
        <v>5121</v>
      </c>
      <c r="L1843">
        <v>47</v>
      </c>
      <c r="M1843" t="s">
        <v>5122</v>
      </c>
    </row>
    <row r="1844" spans="1:13" x14ac:dyDescent="0.35">
      <c r="A1844" t="s">
        <v>13</v>
      </c>
      <c r="B1844">
        <v>1967604</v>
      </c>
      <c r="C1844">
        <v>1968170</v>
      </c>
      <c r="E1844" t="s">
        <v>14</v>
      </c>
      <c r="F1844" t="s">
        <v>49</v>
      </c>
      <c r="H1844">
        <v>1019812</v>
      </c>
      <c r="I1844" t="s">
        <v>17</v>
      </c>
      <c r="K1844" t="s">
        <v>5123</v>
      </c>
      <c r="L1844">
        <v>188</v>
      </c>
      <c r="M1844" t="s">
        <v>5124</v>
      </c>
    </row>
    <row r="1845" spans="1:13" x14ac:dyDescent="0.35">
      <c r="A1845" t="s">
        <v>13</v>
      </c>
      <c r="B1845">
        <v>1968264</v>
      </c>
      <c r="C1845">
        <v>1969718</v>
      </c>
      <c r="E1845" t="s">
        <v>14</v>
      </c>
      <c r="F1845" t="s">
        <v>49</v>
      </c>
      <c r="H1845">
        <v>1019813</v>
      </c>
      <c r="I1845" t="s">
        <v>17</v>
      </c>
      <c r="K1845" t="s">
        <v>5125</v>
      </c>
      <c r="L1845">
        <v>484</v>
      </c>
      <c r="M1845" t="s">
        <v>5126</v>
      </c>
    </row>
    <row r="1846" spans="1:13" x14ac:dyDescent="0.35">
      <c r="A1846" t="s">
        <v>13</v>
      </c>
      <c r="B1846">
        <v>1969745</v>
      </c>
      <c r="C1846">
        <v>1970206</v>
      </c>
      <c r="E1846" t="s">
        <v>14</v>
      </c>
      <c r="F1846" t="s">
        <v>49</v>
      </c>
      <c r="H1846">
        <v>1019814</v>
      </c>
      <c r="I1846" t="s">
        <v>17</v>
      </c>
      <c r="K1846" t="s">
        <v>5127</v>
      </c>
      <c r="L1846">
        <v>153</v>
      </c>
      <c r="M1846" t="s">
        <v>5128</v>
      </c>
    </row>
    <row r="1847" spans="1:13" x14ac:dyDescent="0.35">
      <c r="A1847" t="s">
        <v>13</v>
      </c>
      <c r="B1847">
        <v>1970335</v>
      </c>
      <c r="C1847">
        <v>1971477</v>
      </c>
      <c r="E1847" t="s">
        <v>14</v>
      </c>
      <c r="F1847" t="s">
        <v>49</v>
      </c>
      <c r="H1847">
        <v>1019815</v>
      </c>
      <c r="I1847" t="s">
        <v>17</v>
      </c>
      <c r="K1847" t="s">
        <v>5129</v>
      </c>
      <c r="L1847">
        <v>380</v>
      </c>
      <c r="M1847" t="s">
        <v>5130</v>
      </c>
    </row>
    <row r="1848" spans="1:13" x14ac:dyDescent="0.35">
      <c r="A1848" t="s">
        <v>13</v>
      </c>
      <c r="B1848">
        <v>1971672</v>
      </c>
      <c r="C1848">
        <v>1973093</v>
      </c>
      <c r="E1848" t="s">
        <v>14</v>
      </c>
      <c r="F1848" t="s">
        <v>49</v>
      </c>
      <c r="H1848">
        <v>1019816</v>
      </c>
      <c r="I1848" t="s">
        <v>17</v>
      </c>
      <c r="K1848" t="s">
        <v>5131</v>
      </c>
      <c r="L1848">
        <v>473</v>
      </c>
      <c r="M1848" t="s">
        <v>5132</v>
      </c>
    </row>
    <row r="1849" spans="1:13" x14ac:dyDescent="0.35">
      <c r="A1849" t="s">
        <v>13</v>
      </c>
      <c r="B1849">
        <v>1973147</v>
      </c>
      <c r="C1849">
        <v>1973740</v>
      </c>
      <c r="E1849" t="s">
        <v>14</v>
      </c>
      <c r="F1849" t="s">
        <v>49</v>
      </c>
      <c r="H1849">
        <v>1019817</v>
      </c>
      <c r="I1849" t="s">
        <v>17</v>
      </c>
      <c r="K1849" t="s">
        <v>5133</v>
      </c>
      <c r="L1849">
        <v>197</v>
      </c>
      <c r="M1849" t="s">
        <v>5134</v>
      </c>
    </row>
    <row r="1850" spans="1:13" x14ac:dyDescent="0.35">
      <c r="A1850" t="s">
        <v>13</v>
      </c>
      <c r="B1850">
        <v>1973809</v>
      </c>
      <c r="C1850">
        <v>1974207</v>
      </c>
      <c r="E1850" t="s">
        <v>14</v>
      </c>
      <c r="F1850" t="s">
        <v>49</v>
      </c>
      <c r="H1850">
        <v>1019818</v>
      </c>
      <c r="I1850" t="s">
        <v>17</v>
      </c>
      <c r="K1850" t="s">
        <v>5135</v>
      </c>
      <c r="L1850">
        <v>132</v>
      </c>
      <c r="M1850" t="s">
        <v>5136</v>
      </c>
    </row>
    <row r="1851" spans="1:13" x14ac:dyDescent="0.35">
      <c r="A1851" t="s">
        <v>13</v>
      </c>
      <c r="B1851">
        <v>1974267</v>
      </c>
      <c r="C1851">
        <v>1974506</v>
      </c>
      <c r="E1851" t="s">
        <v>14</v>
      </c>
      <c r="F1851" t="s">
        <v>49</v>
      </c>
      <c r="H1851">
        <v>1019819</v>
      </c>
      <c r="I1851" t="s">
        <v>17</v>
      </c>
      <c r="K1851" t="s">
        <v>5137</v>
      </c>
      <c r="L1851">
        <v>79</v>
      </c>
      <c r="M1851" t="s">
        <v>5138</v>
      </c>
    </row>
    <row r="1852" spans="1:13" x14ac:dyDescent="0.35">
      <c r="A1852" t="s">
        <v>13</v>
      </c>
      <c r="B1852">
        <v>1975171</v>
      </c>
      <c r="C1852">
        <v>1975797</v>
      </c>
      <c r="E1852" t="s">
        <v>14</v>
      </c>
      <c r="F1852" t="s">
        <v>5139</v>
      </c>
      <c r="H1852">
        <v>1019820</v>
      </c>
      <c r="I1852" t="s">
        <v>17</v>
      </c>
      <c r="K1852" t="s">
        <v>5140</v>
      </c>
      <c r="L1852">
        <v>208</v>
      </c>
      <c r="M1852" t="s">
        <v>5141</v>
      </c>
    </row>
    <row r="1853" spans="1:13" x14ac:dyDescent="0.35">
      <c r="A1853" t="s">
        <v>13</v>
      </c>
      <c r="B1853">
        <v>1975916</v>
      </c>
      <c r="C1853">
        <v>1976497</v>
      </c>
      <c r="E1853" t="s">
        <v>14</v>
      </c>
      <c r="F1853" t="s">
        <v>49</v>
      </c>
      <c r="H1853">
        <v>1019821</v>
      </c>
      <c r="I1853" t="s">
        <v>17</v>
      </c>
      <c r="K1853" t="s">
        <v>5142</v>
      </c>
      <c r="L1853">
        <v>193</v>
      </c>
      <c r="M1853" t="s">
        <v>5143</v>
      </c>
    </row>
    <row r="1854" spans="1:13" x14ac:dyDescent="0.35">
      <c r="A1854" t="s">
        <v>13</v>
      </c>
      <c r="B1854">
        <v>1976522</v>
      </c>
      <c r="C1854">
        <v>1976986</v>
      </c>
      <c r="E1854" t="s">
        <v>14</v>
      </c>
      <c r="F1854" t="s">
        <v>49</v>
      </c>
      <c r="H1854">
        <v>1019822</v>
      </c>
      <c r="I1854" t="s">
        <v>17</v>
      </c>
      <c r="K1854" t="s">
        <v>5144</v>
      </c>
      <c r="L1854">
        <v>154</v>
      </c>
      <c r="M1854" t="s">
        <v>5145</v>
      </c>
    </row>
    <row r="1855" spans="1:13" x14ac:dyDescent="0.35">
      <c r="A1855" t="s">
        <v>13</v>
      </c>
      <c r="B1855">
        <v>1977043</v>
      </c>
      <c r="C1855">
        <v>1977552</v>
      </c>
      <c r="E1855" t="s">
        <v>14</v>
      </c>
      <c r="F1855" t="s">
        <v>49</v>
      </c>
      <c r="H1855">
        <v>1019823</v>
      </c>
      <c r="I1855" t="s">
        <v>17</v>
      </c>
      <c r="K1855" t="s">
        <v>5146</v>
      </c>
      <c r="L1855">
        <v>169</v>
      </c>
      <c r="M1855" t="s">
        <v>5147</v>
      </c>
    </row>
    <row r="1856" spans="1:13" x14ac:dyDescent="0.35">
      <c r="A1856" t="s">
        <v>13</v>
      </c>
      <c r="B1856">
        <v>1977772</v>
      </c>
      <c r="C1856">
        <v>1978332</v>
      </c>
      <c r="E1856" t="s">
        <v>14</v>
      </c>
      <c r="F1856" t="s">
        <v>49</v>
      </c>
      <c r="H1856">
        <v>1019824</v>
      </c>
      <c r="I1856" t="s">
        <v>17</v>
      </c>
      <c r="K1856" t="s">
        <v>5148</v>
      </c>
      <c r="L1856">
        <v>186</v>
      </c>
      <c r="M1856" t="s">
        <v>5149</v>
      </c>
    </row>
    <row r="1857" spans="1:13" x14ac:dyDescent="0.35">
      <c r="A1857" t="s">
        <v>13</v>
      </c>
      <c r="B1857">
        <v>1978452</v>
      </c>
      <c r="C1857">
        <v>1978724</v>
      </c>
      <c r="E1857" t="s">
        <v>14</v>
      </c>
      <c r="F1857" t="s">
        <v>49</v>
      </c>
      <c r="H1857">
        <v>1019825</v>
      </c>
      <c r="I1857" t="s">
        <v>17</v>
      </c>
      <c r="K1857" t="s">
        <v>5150</v>
      </c>
      <c r="L1857">
        <v>90</v>
      </c>
      <c r="M1857" t="s">
        <v>5151</v>
      </c>
    </row>
    <row r="1858" spans="1:13" x14ac:dyDescent="0.35">
      <c r="A1858" t="s">
        <v>13</v>
      </c>
      <c r="B1858">
        <v>1978738</v>
      </c>
      <c r="C1858">
        <v>1979220</v>
      </c>
      <c r="E1858" t="s">
        <v>14</v>
      </c>
      <c r="F1858" t="s">
        <v>49</v>
      </c>
      <c r="H1858">
        <v>1019826</v>
      </c>
      <c r="I1858" t="s">
        <v>17</v>
      </c>
      <c r="K1858" t="s">
        <v>5152</v>
      </c>
      <c r="L1858">
        <v>160</v>
      </c>
      <c r="M1858" t="s">
        <v>5153</v>
      </c>
    </row>
    <row r="1859" spans="1:13" x14ac:dyDescent="0.35">
      <c r="A1859" t="s">
        <v>13</v>
      </c>
      <c r="B1859">
        <v>1979239</v>
      </c>
      <c r="C1859">
        <v>1979811</v>
      </c>
      <c r="E1859" t="s">
        <v>14</v>
      </c>
      <c r="F1859" t="s">
        <v>49</v>
      </c>
      <c r="H1859">
        <v>1019827</v>
      </c>
      <c r="I1859" t="s">
        <v>17</v>
      </c>
      <c r="K1859" t="s">
        <v>5154</v>
      </c>
      <c r="L1859">
        <v>190</v>
      </c>
      <c r="M1859" t="s">
        <v>5155</v>
      </c>
    </row>
    <row r="1860" spans="1:13" x14ac:dyDescent="0.35">
      <c r="A1860" t="s">
        <v>13</v>
      </c>
      <c r="B1860">
        <v>1979995</v>
      </c>
      <c r="C1860">
        <v>1980888</v>
      </c>
      <c r="E1860" t="s">
        <v>14</v>
      </c>
      <c r="F1860" t="s">
        <v>3804</v>
      </c>
      <c r="H1860">
        <v>1019828</v>
      </c>
      <c r="I1860" t="s">
        <v>17</v>
      </c>
      <c r="K1860" t="s">
        <v>5156</v>
      </c>
      <c r="L1860">
        <v>297</v>
      </c>
      <c r="M1860" t="s">
        <v>5157</v>
      </c>
    </row>
    <row r="1861" spans="1:13" x14ac:dyDescent="0.35">
      <c r="A1861" t="s">
        <v>13</v>
      </c>
      <c r="B1861">
        <v>1980965</v>
      </c>
      <c r="C1861">
        <v>1981660</v>
      </c>
      <c r="E1861" t="s">
        <v>14</v>
      </c>
      <c r="F1861" t="s">
        <v>49</v>
      </c>
      <c r="H1861">
        <v>1019829</v>
      </c>
      <c r="I1861" t="s">
        <v>17</v>
      </c>
      <c r="K1861" t="s">
        <v>5158</v>
      </c>
      <c r="L1861">
        <v>231</v>
      </c>
      <c r="M1861" t="s">
        <v>5159</v>
      </c>
    </row>
    <row r="1862" spans="1:13" x14ac:dyDescent="0.35">
      <c r="A1862" t="s">
        <v>13</v>
      </c>
      <c r="B1862">
        <v>1981663</v>
      </c>
      <c r="C1862">
        <v>1982031</v>
      </c>
      <c r="E1862" t="s">
        <v>14</v>
      </c>
      <c r="F1862" t="s">
        <v>49</v>
      </c>
      <c r="H1862">
        <v>1019830</v>
      </c>
      <c r="I1862" t="s">
        <v>17</v>
      </c>
      <c r="K1862" t="s">
        <v>5160</v>
      </c>
      <c r="L1862">
        <v>122</v>
      </c>
      <c r="M1862" t="s">
        <v>5161</v>
      </c>
    </row>
    <row r="1863" spans="1:13" x14ac:dyDescent="0.35">
      <c r="A1863" t="s">
        <v>13</v>
      </c>
      <c r="B1863">
        <v>1982176</v>
      </c>
      <c r="C1863">
        <v>1982820</v>
      </c>
      <c r="E1863" t="s">
        <v>14</v>
      </c>
      <c r="F1863" t="s">
        <v>49</v>
      </c>
      <c r="H1863">
        <v>1019831</v>
      </c>
      <c r="I1863" t="s">
        <v>17</v>
      </c>
      <c r="K1863" t="s">
        <v>5162</v>
      </c>
      <c r="L1863">
        <v>214</v>
      </c>
      <c r="M1863" t="s">
        <v>5163</v>
      </c>
    </row>
    <row r="1864" spans="1:13" x14ac:dyDescent="0.35">
      <c r="A1864" t="s">
        <v>13</v>
      </c>
      <c r="B1864">
        <v>1982865</v>
      </c>
      <c r="C1864">
        <v>1983023</v>
      </c>
      <c r="E1864" t="s">
        <v>38</v>
      </c>
      <c r="F1864" t="s">
        <v>49</v>
      </c>
      <c r="H1864">
        <v>44144980</v>
      </c>
      <c r="I1864" t="s">
        <v>17</v>
      </c>
      <c r="K1864" t="s">
        <v>5164</v>
      </c>
      <c r="L1864">
        <v>52</v>
      </c>
      <c r="M1864" t="s">
        <v>5165</v>
      </c>
    </row>
    <row r="1865" spans="1:13" x14ac:dyDescent="0.35">
      <c r="A1865" t="s">
        <v>13</v>
      </c>
      <c r="B1865">
        <v>1983186</v>
      </c>
      <c r="C1865">
        <v>1983551</v>
      </c>
      <c r="E1865" t="s">
        <v>14</v>
      </c>
      <c r="F1865" t="s">
        <v>49</v>
      </c>
      <c r="H1865">
        <v>1019832</v>
      </c>
      <c r="I1865" t="s">
        <v>17</v>
      </c>
      <c r="K1865" t="s">
        <v>5166</v>
      </c>
      <c r="L1865">
        <v>121</v>
      </c>
      <c r="M1865" t="s">
        <v>5167</v>
      </c>
    </row>
    <row r="1866" spans="1:13" x14ac:dyDescent="0.35">
      <c r="A1866" t="s">
        <v>13</v>
      </c>
      <c r="B1866">
        <v>1983611</v>
      </c>
      <c r="C1866">
        <v>1983886</v>
      </c>
      <c r="E1866" t="s">
        <v>14</v>
      </c>
      <c r="F1866" t="s">
        <v>49</v>
      </c>
      <c r="H1866">
        <v>1019833</v>
      </c>
      <c r="I1866" t="s">
        <v>17</v>
      </c>
      <c r="K1866" t="s">
        <v>5168</v>
      </c>
      <c r="L1866">
        <v>91</v>
      </c>
      <c r="M1866" t="s">
        <v>5169</v>
      </c>
    </row>
    <row r="1867" spans="1:13" x14ac:dyDescent="0.35">
      <c r="A1867" t="s">
        <v>13</v>
      </c>
      <c r="B1867">
        <v>1983918</v>
      </c>
      <c r="C1867">
        <v>1984184</v>
      </c>
      <c r="E1867" t="s">
        <v>14</v>
      </c>
      <c r="F1867" t="s">
        <v>49</v>
      </c>
      <c r="H1867">
        <v>1019834</v>
      </c>
      <c r="I1867" t="s">
        <v>17</v>
      </c>
      <c r="K1867" t="s">
        <v>5170</v>
      </c>
      <c r="L1867">
        <v>88</v>
      </c>
      <c r="M1867" t="s">
        <v>5171</v>
      </c>
    </row>
    <row r="1868" spans="1:13" x14ac:dyDescent="0.35">
      <c r="A1868" t="s">
        <v>13</v>
      </c>
      <c r="B1868">
        <v>1984217</v>
      </c>
      <c r="C1868">
        <v>1984453</v>
      </c>
      <c r="E1868" t="s">
        <v>14</v>
      </c>
      <c r="F1868" t="s">
        <v>49</v>
      </c>
      <c r="H1868">
        <v>1019835</v>
      </c>
      <c r="I1868" t="s">
        <v>17</v>
      </c>
      <c r="K1868" t="s">
        <v>5172</v>
      </c>
      <c r="L1868">
        <v>78</v>
      </c>
      <c r="M1868" t="s">
        <v>5173</v>
      </c>
    </row>
    <row r="1869" spans="1:13" x14ac:dyDescent="0.35">
      <c r="A1869" t="s">
        <v>13</v>
      </c>
      <c r="B1869">
        <v>1984495</v>
      </c>
      <c r="C1869">
        <v>1984731</v>
      </c>
      <c r="E1869" t="s">
        <v>14</v>
      </c>
      <c r="F1869" t="s">
        <v>49</v>
      </c>
      <c r="H1869">
        <v>1019836</v>
      </c>
      <c r="I1869" t="s">
        <v>17</v>
      </c>
      <c r="K1869" t="s">
        <v>5174</v>
      </c>
      <c r="L1869">
        <v>78</v>
      </c>
      <c r="M1869" t="s">
        <v>5175</v>
      </c>
    </row>
    <row r="1870" spans="1:13" x14ac:dyDescent="0.35">
      <c r="A1870" t="s">
        <v>13</v>
      </c>
      <c r="B1870">
        <v>1985092</v>
      </c>
      <c r="C1870">
        <v>1985367</v>
      </c>
      <c r="E1870" t="s">
        <v>14</v>
      </c>
      <c r="F1870" t="s">
        <v>49</v>
      </c>
      <c r="H1870">
        <v>1019837</v>
      </c>
      <c r="I1870" t="s">
        <v>17</v>
      </c>
      <c r="K1870" t="s">
        <v>5176</v>
      </c>
      <c r="L1870">
        <v>91</v>
      </c>
      <c r="M1870" t="s">
        <v>5177</v>
      </c>
    </row>
    <row r="1871" spans="1:13" x14ac:dyDescent="0.35">
      <c r="A1871" t="s">
        <v>13</v>
      </c>
      <c r="B1871">
        <v>1985439</v>
      </c>
      <c r="C1871">
        <v>1986458</v>
      </c>
      <c r="E1871" t="s">
        <v>38</v>
      </c>
      <c r="F1871" t="s">
        <v>4373</v>
      </c>
      <c r="H1871">
        <v>1019838</v>
      </c>
      <c r="I1871" t="s">
        <v>17</v>
      </c>
      <c r="K1871" t="s">
        <v>5178</v>
      </c>
      <c r="L1871">
        <v>339</v>
      </c>
      <c r="M1871" t="s">
        <v>5179</v>
      </c>
    </row>
    <row r="1872" spans="1:13" x14ac:dyDescent="0.35">
      <c r="A1872" t="s">
        <v>13</v>
      </c>
      <c r="B1872">
        <v>1987467</v>
      </c>
      <c r="C1872">
        <v>1988664</v>
      </c>
      <c r="E1872" t="s">
        <v>38</v>
      </c>
      <c r="F1872" t="s">
        <v>141</v>
      </c>
      <c r="H1872">
        <v>44144981</v>
      </c>
      <c r="I1872" t="s">
        <v>142</v>
      </c>
      <c r="M1872" t="s">
        <v>5180</v>
      </c>
    </row>
    <row r="1873" spans="1:13" x14ac:dyDescent="0.35">
      <c r="A1873" t="s">
        <v>13</v>
      </c>
      <c r="B1873">
        <v>1988775</v>
      </c>
      <c r="C1873">
        <v>1989605</v>
      </c>
      <c r="E1873" t="s">
        <v>38</v>
      </c>
      <c r="F1873" t="s">
        <v>5181</v>
      </c>
      <c r="H1873">
        <v>1019843</v>
      </c>
      <c r="I1873" t="s">
        <v>17</v>
      </c>
      <c r="K1873" t="s">
        <v>5182</v>
      </c>
      <c r="L1873">
        <v>276</v>
      </c>
      <c r="M1873" t="s">
        <v>5183</v>
      </c>
    </row>
    <row r="1874" spans="1:13" x14ac:dyDescent="0.35">
      <c r="A1874" t="s">
        <v>13</v>
      </c>
      <c r="B1874">
        <v>1989871</v>
      </c>
      <c r="C1874">
        <v>1990764</v>
      </c>
      <c r="E1874" t="s">
        <v>38</v>
      </c>
      <c r="F1874" t="s">
        <v>4036</v>
      </c>
      <c r="H1874">
        <v>1019844</v>
      </c>
      <c r="I1874" t="s">
        <v>17</v>
      </c>
      <c r="K1874" t="s">
        <v>5184</v>
      </c>
      <c r="L1874">
        <v>297</v>
      </c>
      <c r="M1874" t="s">
        <v>5185</v>
      </c>
    </row>
    <row r="1875" spans="1:13" x14ac:dyDescent="0.35">
      <c r="A1875" t="s">
        <v>13</v>
      </c>
      <c r="B1875">
        <v>1991186</v>
      </c>
      <c r="C1875">
        <v>1991620</v>
      </c>
      <c r="E1875" t="s">
        <v>38</v>
      </c>
      <c r="F1875" t="s">
        <v>3785</v>
      </c>
      <c r="H1875">
        <v>1019845</v>
      </c>
      <c r="I1875" t="s">
        <v>17</v>
      </c>
      <c r="K1875" t="s">
        <v>5186</v>
      </c>
      <c r="L1875">
        <v>144</v>
      </c>
      <c r="M1875" t="s">
        <v>5187</v>
      </c>
    </row>
    <row r="1876" spans="1:13" x14ac:dyDescent="0.35">
      <c r="A1876" t="s">
        <v>13</v>
      </c>
      <c r="B1876">
        <v>1991792</v>
      </c>
      <c r="C1876">
        <v>1992538</v>
      </c>
      <c r="E1876" t="s">
        <v>38</v>
      </c>
      <c r="F1876" t="s">
        <v>49</v>
      </c>
      <c r="H1876">
        <v>1019846</v>
      </c>
      <c r="I1876" t="s">
        <v>17</v>
      </c>
      <c r="K1876" t="s">
        <v>5106</v>
      </c>
      <c r="L1876">
        <v>248</v>
      </c>
      <c r="M1876" t="s">
        <v>5188</v>
      </c>
    </row>
    <row r="1877" spans="1:13" x14ac:dyDescent="0.35">
      <c r="A1877" t="s">
        <v>13</v>
      </c>
      <c r="B1877">
        <v>1992535</v>
      </c>
      <c r="C1877">
        <v>1994121</v>
      </c>
      <c r="E1877" t="s">
        <v>38</v>
      </c>
      <c r="F1877" t="s">
        <v>2295</v>
      </c>
      <c r="H1877">
        <v>1019847</v>
      </c>
      <c r="I1877" t="s">
        <v>17</v>
      </c>
      <c r="K1877" t="s">
        <v>5189</v>
      </c>
      <c r="L1877">
        <v>528</v>
      </c>
      <c r="M1877" t="s">
        <v>5190</v>
      </c>
    </row>
    <row r="1878" spans="1:13" x14ac:dyDescent="0.35">
      <c r="A1878" t="s">
        <v>13</v>
      </c>
      <c r="B1878">
        <v>1994605</v>
      </c>
      <c r="C1878">
        <v>1995198</v>
      </c>
      <c r="E1878" t="s">
        <v>38</v>
      </c>
      <c r="F1878" t="s">
        <v>49</v>
      </c>
      <c r="H1878">
        <v>1019848</v>
      </c>
      <c r="I1878" t="s">
        <v>17</v>
      </c>
      <c r="K1878" t="s">
        <v>5191</v>
      </c>
      <c r="L1878">
        <v>197</v>
      </c>
      <c r="M1878" t="s">
        <v>5192</v>
      </c>
    </row>
    <row r="1879" spans="1:13" x14ac:dyDescent="0.35">
      <c r="A1879" t="s">
        <v>13</v>
      </c>
      <c r="B1879">
        <v>1995780</v>
      </c>
      <c r="C1879">
        <v>1996073</v>
      </c>
      <c r="E1879" t="s">
        <v>38</v>
      </c>
      <c r="F1879" t="s">
        <v>141</v>
      </c>
      <c r="H1879">
        <v>1019849</v>
      </c>
      <c r="I1879" t="s">
        <v>142</v>
      </c>
      <c r="M1879" t="s">
        <v>5193</v>
      </c>
    </row>
    <row r="1880" spans="1:13" x14ac:dyDescent="0.35">
      <c r="A1880" t="s">
        <v>13</v>
      </c>
      <c r="B1880">
        <v>1996106</v>
      </c>
      <c r="C1880">
        <v>1996540</v>
      </c>
      <c r="E1880" t="s">
        <v>14</v>
      </c>
      <c r="F1880" t="s">
        <v>5194</v>
      </c>
      <c r="H1880">
        <v>1019850</v>
      </c>
      <c r="I1880" t="s">
        <v>17</v>
      </c>
      <c r="K1880" t="s">
        <v>5195</v>
      </c>
      <c r="L1880">
        <v>144</v>
      </c>
      <c r="M1880" t="s">
        <v>5196</v>
      </c>
    </row>
    <row r="1881" spans="1:13" x14ac:dyDescent="0.35">
      <c r="A1881" t="s">
        <v>13</v>
      </c>
      <c r="B1881">
        <v>1996768</v>
      </c>
      <c r="C1881">
        <v>1997115</v>
      </c>
      <c r="E1881" t="s">
        <v>14</v>
      </c>
      <c r="F1881" t="s">
        <v>49</v>
      </c>
      <c r="H1881">
        <v>1019851</v>
      </c>
      <c r="I1881" t="s">
        <v>17</v>
      </c>
      <c r="K1881" t="s">
        <v>5197</v>
      </c>
      <c r="L1881">
        <v>115</v>
      </c>
      <c r="M1881" t="s">
        <v>5198</v>
      </c>
    </row>
    <row r="1882" spans="1:13" x14ac:dyDescent="0.35">
      <c r="A1882" t="s">
        <v>13</v>
      </c>
      <c r="B1882">
        <v>1997168</v>
      </c>
      <c r="C1882">
        <v>1997506</v>
      </c>
      <c r="E1882" t="s">
        <v>14</v>
      </c>
      <c r="F1882" t="s">
        <v>49</v>
      </c>
      <c r="H1882">
        <v>1019852</v>
      </c>
      <c r="I1882" t="s">
        <v>17</v>
      </c>
      <c r="K1882" t="s">
        <v>5199</v>
      </c>
      <c r="L1882">
        <v>112</v>
      </c>
      <c r="M1882" t="s">
        <v>5200</v>
      </c>
    </row>
    <row r="1883" spans="1:13" x14ac:dyDescent="0.35">
      <c r="A1883" t="s">
        <v>13</v>
      </c>
      <c r="B1883">
        <v>1997545</v>
      </c>
      <c r="C1883">
        <v>1998243</v>
      </c>
      <c r="E1883" t="s">
        <v>14</v>
      </c>
      <c r="F1883" t="s">
        <v>5201</v>
      </c>
      <c r="H1883">
        <v>1019853</v>
      </c>
      <c r="I1883" t="s">
        <v>17</v>
      </c>
      <c r="K1883" t="s">
        <v>5202</v>
      </c>
      <c r="L1883">
        <v>232</v>
      </c>
      <c r="M1883" t="s">
        <v>5203</v>
      </c>
    </row>
    <row r="1884" spans="1:13" x14ac:dyDescent="0.35">
      <c r="A1884" t="s">
        <v>13</v>
      </c>
      <c r="B1884">
        <v>1998289</v>
      </c>
      <c r="C1884">
        <v>1999545</v>
      </c>
      <c r="E1884" t="s">
        <v>14</v>
      </c>
      <c r="F1884" t="s">
        <v>5204</v>
      </c>
      <c r="G1884" t="s">
        <v>5205</v>
      </c>
      <c r="H1884">
        <v>1019854</v>
      </c>
      <c r="I1884" t="s">
        <v>17</v>
      </c>
      <c r="K1884" t="s">
        <v>5206</v>
      </c>
      <c r="L1884">
        <v>418</v>
      </c>
      <c r="M1884" t="s">
        <v>5207</v>
      </c>
    </row>
    <row r="1885" spans="1:13" x14ac:dyDescent="0.35">
      <c r="A1885" t="s">
        <v>13</v>
      </c>
      <c r="B1885">
        <v>1999542</v>
      </c>
      <c r="C1885">
        <v>1999952</v>
      </c>
      <c r="E1885" t="s">
        <v>14</v>
      </c>
      <c r="F1885" t="s">
        <v>5208</v>
      </c>
      <c r="G1885" t="s">
        <v>5209</v>
      </c>
      <c r="H1885">
        <v>1019855</v>
      </c>
      <c r="I1885" t="s">
        <v>17</v>
      </c>
      <c r="K1885" t="s">
        <v>5210</v>
      </c>
      <c r="L1885">
        <v>136</v>
      </c>
      <c r="M1885" t="s">
        <v>5211</v>
      </c>
    </row>
    <row r="1886" spans="1:13" x14ac:dyDescent="0.35">
      <c r="A1886" t="s">
        <v>13</v>
      </c>
      <c r="B1886">
        <v>2000518</v>
      </c>
      <c r="C1886">
        <v>2001216</v>
      </c>
      <c r="E1886" t="s">
        <v>38</v>
      </c>
      <c r="F1886" t="s">
        <v>5212</v>
      </c>
      <c r="G1886" t="s">
        <v>5213</v>
      </c>
      <c r="H1886">
        <v>1019856</v>
      </c>
      <c r="I1886" t="s">
        <v>17</v>
      </c>
      <c r="K1886" t="s">
        <v>5214</v>
      </c>
      <c r="L1886">
        <v>232</v>
      </c>
      <c r="M1886" t="s">
        <v>5215</v>
      </c>
    </row>
    <row r="1887" spans="1:13" x14ac:dyDescent="0.35">
      <c r="A1887" t="s">
        <v>13</v>
      </c>
      <c r="B1887">
        <v>2001498</v>
      </c>
      <c r="C1887">
        <v>2002115</v>
      </c>
      <c r="E1887" t="s">
        <v>14</v>
      </c>
      <c r="F1887" t="s">
        <v>5216</v>
      </c>
      <c r="H1887">
        <v>1019857</v>
      </c>
      <c r="I1887" t="s">
        <v>17</v>
      </c>
      <c r="K1887" t="s">
        <v>5217</v>
      </c>
      <c r="L1887">
        <v>205</v>
      </c>
      <c r="M1887" t="s">
        <v>5218</v>
      </c>
    </row>
    <row r="1888" spans="1:13" x14ac:dyDescent="0.35">
      <c r="A1888" t="s">
        <v>13</v>
      </c>
      <c r="B1888">
        <v>2002126</v>
      </c>
      <c r="C1888">
        <v>2003337</v>
      </c>
      <c r="E1888" t="s">
        <v>14</v>
      </c>
      <c r="F1888" t="s">
        <v>5219</v>
      </c>
      <c r="H1888">
        <v>1019858</v>
      </c>
      <c r="I1888" t="s">
        <v>17</v>
      </c>
      <c r="K1888" t="s">
        <v>5220</v>
      </c>
      <c r="L1888">
        <v>403</v>
      </c>
      <c r="M1888" t="s">
        <v>5221</v>
      </c>
    </row>
    <row r="1889" spans="1:13" x14ac:dyDescent="0.35">
      <c r="A1889" t="s">
        <v>13</v>
      </c>
      <c r="B1889">
        <v>2003399</v>
      </c>
      <c r="C1889">
        <v>2005309</v>
      </c>
      <c r="E1889" t="s">
        <v>38</v>
      </c>
      <c r="F1889" t="s">
        <v>5222</v>
      </c>
      <c r="G1889" t="s">
        <v>5223</v>
      </c>
      <c r="H1889">
        <v>1019859</v>
      </c>
      <c r="I1889" t="s">
        <v>17</v>
      </c>
      <c r="K1889" t="s">
        <v>5224</v>
      </c>
      <c r="L1889">
        <v>636</v>
      </c>
      <c r="M1889" t="s">
        <v>5225</v>
      </c>
    </row>
    <row r="1890" spans="1:13" x14ac:dyDescent="0.35">
      <c r="A1890" t="s">
        <v>13</v>
      </c>
      <c r="B1890">
        <v>2005459</v>
      </c>
      <c r="C1890">
        <v>2006697</v>
      </c>
      <c r="E1890" t="s">
        <v>38</v>
      </c>
      <c r="F1890" t="s">
        <v>5226</v>
      </c>
      <c r="H1890">
        <v>1019860</v>
      </c>
      <c r="I1890" t="s">
        <v>17</v>
      </c>
      <c r="K1890" t="s">
        <v>5227</v>
      </c>
      <c r="L1890">
        <v>412</v>
      </c>
      <c r="M1890" t="s">
        <v>5228</v>
      </c>
    </row>
    <row r="1891" spans="1:13" x14ac:dyDescent="0.35">
      <c r="A1891" t="s">
        <v>13</v>
      </c>
      <c r="B1891">
        <v>2006774</v>
      </c>
      <c r="C1891">
        <v>2007637</v>
      </c>
      <c r="E1891" t="s">
        <v>38</v>
      </c>
      <c r="F1891" t="s">
        <v>5229</v>
      </c>
      <c r="H1891">
        <v>1019861</v>
      </c>
      <c r="I1891" t="s">
        <v>17</v>
      </c>
      <c r="K1891" t="s">
        <v>5230</v>
      </c>
      <c r="L1891">
        <v>287</v>
      </c>
      <c r="M1891" t="s">
        <v>5231</v>
      </c>
    </row>
    <row r="1892" spans="1:13" x14ac:dyDescent="0.35">
      <c r="A1892" t="s">
        <v>13</v>
      </c>
      <c r="B1892">
        <v>2007735</v>
      </c>
      <c r="C1892">
        <v>2008184</v>
      </c>
      <c r="E1892" t="s">
        <v>38</v>
      </c>
      <c r="F1892" t="s">
        <v>5232</v>
      </c>
      <c r="G1892" t="s">
        <v>5233</v>
      </c>
      <c r="H1892">
        <v>1019862</v>
      </c>
      <c r="I1892" t="s">
        <v>17</v>
      </c>
      <c r="K1892" t="s">
        <v>5234</v>
      </c>
      <c r="L1892">
        <v>149</v>
      </c>
      <c r="M1892" t="s">
        <v>5235</v>
      </c>
    </row>
    <row r="1893" spans="1:13" x14ac:dyDescent="0.35">
      <c r="A1893" t="s">
        <v>13</v>
      </c>
      <c r="B1893">
        <v>2008250</v>
      </c>
      <c r="C1893">
        <v>2008801</v>
      </c>
      <c r="E1893" t="s">
        <v>14</v>
      </c>
      <c r="F1893" t="s">
        <v>5236</v>
      </c>
      <c r="H1893">
        <v>1019863</v>
      </c>
      <c r="I1893" t="s">
        <v>17</v>
      </c>
      <c r="K1893" t="s">
        <v>5237</v>
      </c>
      <c r="L1893">
        <v>183</v>
      </c>
      <c r="M1893" t="s">
        <v>5238</v>
      </c>
    </row>
    <row r="1894" spans="1:13" x14ac:dyDescent="0.35">
      <c r="A1894" t="s">
        <v>13</v>
      </c>
      <c r="B1894">
        <v>2008873</v>
      </c>
      <c r="C1894">
        <v>2009082</v>
      </c>
      <c r="E1894" t="s">
        <v>38</v>
      </c>
      <c r="F1894" t="s">
        <v>49</v>
      </c>
      <c r="H1894">
        <v>1019864</v>
      </c>
      <c r="I1894" t="s">
        <v>17</v>
      </c>
      <c r="K1894" t="s">
        <v>5239</v>
      </c>
      <c r="L1894">
        <v>69</v>
      </c>
      <c r="M1894" t="s">
        <v>5240</v>
      </c>
    </row>
    <row r="1895" spans="1:13" x14ac:dyDescent="0.35">
      <c r="A1895" t="s">
        <v>13</v>
      </c>
      <c r="B1895">
        <v>2009277</v>
      </c>
      <c r="C1895">
        <v>2009570</v>
      </c>
      <c r="E1895" t="s">
        <v>38</v>
      </c>
      <c r="F1895" t="s">
        <v>5241</v>
      </c>
      <c r="H1895">
        <v>1019865</v>
      </c>
      <c r="I1895" t="s">
        <v>17</v>
      </c>
      <c r="K1895" t="s">
        <v>5242</v>
      </c>
      <c r="L1895">
        <v>97</v>
      </c>
      <c r="M1895" t="s">
        <v>5243</v>
      </c>
    </row>
    <row r="1896" spans="1:13" x14ac:dyDescent="0.35">
      <c r="A1896" t="s">
        <v>13</v>
      </c>
      <c r="B1896">
        <v>2009721</v>
      </c>
      <c r="C1896">
        <v>2010563</v>
      </c>
      <c r="E1896" t="s">
        <v>38</v>
      </c>
      <c r="F1896" t="s">
        <v>2308</v>
      </c>
      <c r="H1896">
        <v>1019866</v>
      </c>
      <c r="I1896" t="s">
        <v>17</v>
      </c>
      <c r="K1896" t="s">
        <v>5244</v>
      </c>
      <c r="L1896">
        <v>280</v>
      </c>
      <c r="M1896" t="s">
        <v>5245</v>
      </c>
    </row>
    <row r="1897" spans="1:13" x14ac:dyDescent="0.35">
      <c r="A1897" t="s">
        <v>13</v>
      </c>
      <c r="B1897">
        <v>2010633</v>
      </c>
      <c r="C1897">
        <v>2011385</v>
      </c>
      <c r="E1897" t="s">
        <v>14</v>
      </c>
      <c r="F1897" t="s">
        <v>5246</v>
      </c>
      <c r="G1897" t="s">
        <v>5247</v>
      </c>
      <c r="H1897">
        <v>1019867</v>
      </c>
      <c r="I1897" t="s">
        <v>17</v>
      </c>
      <c r="K1897" t="s">
        <v>5248</v>
      </c>
      <c r="L1897">
        <v>250</v>
      </c>
      <c r="M1897" t="s">
        <v>5249</v>
      </c>
    </row>
    <row r="1898" spans="1:13" x14ac:dyDescent="0.35">
      <c r="A1898" t="s">
        <v>13</v>
      </c>
      <c r="B1898">
        <v>2011875</v>
      </c>
      <c r="C1898">
        <v>2013359</v>
      </c>
      <c r="E1898" t="s">
        <v>14</v>
      </c>
      <c r="F1898" t="s">
        <v>780</v>
      </c>
      <c r="H1898">
        <v>44144982</v>
      </c>
      <c r="I1898" t="s">
        <v>17</v>
      </c>
      <c r="K1898" t="s">
        <v>5250</v>
      </c>
      <c r="L1898">
        <v>494</v>
      </c>
      <c r="M1898" t="s">
        <v>5251</v>
      </c>
    </row>
    <row r="1899" spans="1:13" x14ac:dyDescent="0.35">
      <c r="A1899" t="s">
        <v>13</v>
      </c>
      <c r="B1899">
        <v>2014159</v>
      </c>
      <c r="C1899">
        <v>2015496</v>
      </c>
      <c r="E1899" t="s">
        <v>38</v>
      </c>
      <c r="F1899" t="s">
        <v>5252</v>
      </c>
      <c r="H1899">
        <v>1019869</v>
      </c>
      <c r="I1899" t="s">
        <v>17</v>
      </c>
      <c r="K1899" t="s">
        <v>5253</v>
      </c>
      <c r="L1899">
        <v>445</v>
      </c>
      <c r="M1899" t="s">
        <v>5254</v>
      </c>
    </row>
    <row r="1900" spans="1:13" x14ac:dyDescent="0.35">
      <c r="A1900" t="s">
        <v>13</v>
      </c>
      <c r="B1900">
        <v>2015582</v>
      </c>
      <c r="C1900">
        <v>2016121</v>
      </c>
      <c r="E1900" t="s">
        <v>38</v>
      </c>
      <c r="F1900" t="s">
        <v>49</v>
      </c>
      <c r="H1900">
        <v>1019870</v>
      </c>
      <c r="I1900" t="s">
        <v>17</v>
      </c>
      <c r="K1900" t="s">
        <v>5255</v>
      </c>
      <c r="L1900">
        <v>179</v>
      </c>
      <c r="M1900" t="s">
        <v>5256</v>
      </c>
    </row>
    <row r="1901" spans="1:13" x14ac:dyDescent="0.35">
      <c r="A1901" t="s">
        <v>13</v>
      </c>
      <c r="B1901">
        <v>2016254</v>
      </c>
      <c r="C1901">
        <v>2017966</v>
      </c>
      <c r="E1901" t="s">
        <v>38</v>
      </c>
      <c r="F1901" t="s">
        <v>930</v>
      </c>
      <c r="H1901">
        <v>1019871</v>
      </c>
      <c r="I1901" t="s">
        <v>17</v>
      </c>
      <c r="K1901" t="s">
        <v>5257</v>
      </c>
      <c r="L1901">
        <v>570</v>
      </c>
      <c r="M1901" t="s">
        <v>5258</v>
      </c>
    </row>
    <row r="1902" spans="1:13" x14ac:dyDescent="0.35">
      <c r="A1902" t="s">
        <v>13</v>
      </c>
      <c r="B1902">
        <v>2017963</v>
      </c>
      <c r="C1902">
        <v>2018202</v>
      </c>
      <c r="E1902" t="s">
        <v>38</v>
      </c>
      <c r="F1902" t="s">
        <v>5259</v>
      </c>
      <c r="H1902">
        <v>1019872</v>
      </c>
      <c r="I1902" t="s">
        <v>17</v>
      </c>
      <c r="K1902" t="s">
        <v>5260</v>
      </c>
      <c r="L1902">
        <v>79</v>
      </c>
      <c r="M1902" t="s">
        <v>5261</v>
      </c>
    </row>
    <row r="1903" spans="1:13" x14ac:dyDescent="0.35">
      <c r="A1903" t="s">
        <v>13</v>
      </c>
      <c r="B1903">
        <v>2018260</v>
      </c>
      <c r="C1903">
        <v>2018757</v>
      </c>
      <c r="E1903" t="s">
        <v>14</v>
      </c>
      <c r="F1903" t="s">
        <v>5262</v>
      </c>
      <c r="H1903">
        <v>1019873</v>
      </c>
      <c r="I1903" t="s">
        <v>17</v>
      </c>
      <c r="K1903" t="s">
        <v>5263</v>
      </c>
      <c r="L1903">
        <v>165</v>
      </c>
      <c r="M1903" t="s">
        <v>5264</v>
      </c>
    </row>
    <row r="1904" spans="1:13" x14ac:dyDescent="0.35">
      <c r="A1904" t="s">
        <v>13</v>
      </c>
      <c r="B1904">
        <v>2018750</v>
      </c>
      <c r="C1904">
        <v>2020279</v>
      </c>
      <c r="E1904" t="s">
        <v>14</v>
      </c>
      <c r="F1904" t="s">
        <v>5265</v>
      </c>
      <c r="H1904">
        <v>1019874</v>
      </c>
      <c r="I1904" t="s">
        <v>17</v>
      </c>
      <c r="K1904" t="s">
        <v>5266</v>
      </c>
      <c r="L1904">
        <v>509</v>
      </c>
      <c r="M1904" t="s">
        <v>5267</v>
      </c>
    </row>
    <row r="1905" spans="1:13" x14ac:dyDescent="0.35">
      <c r="A1905" t="s">
        <v>13</v>
      </c>
      <c r="B1905">
        <v>2020293</v>
      </c>
      <c r="C1905">
        <v>2020727</v>
      </c>
      <c r="E1905" t="s">
        <v>14</v>
      </c>
      <c r="F1905" t="s">
        <v>5268</v>
      </c>
      <c r="G1905" t="s">
        <v>5269</v>
      </c>
      <c r="H1905">
        <v>1019875</v>
      </c>
      <c r="I1905" t="s">
        <v>17</v>
      </c>
      <c r="K1905" t="s">
        <v>5270</v>
      </c>
      <c r="L1905">
        <v>144</v>
      </c>
      <c r="M1905" t="s">
        <v>5271</v>
      </c>
    </row>
    <row r="1906" spans="1:13" x14ac:dyDescent="0.35">
      <c r="A1906" t="s">
        <v>13</v>
      </c>
      <c r="B1906">
        <v>2020854</v>
      </c>
      <c r="C1906">
        <v>2021849</v>
      </c>
      <c r="E1906" t="s">
        <v>14</v>
      </c>
      <c r="F1906" t="s">
        <v>1762</v>
      </c>
      <c r="H1906">
        <v>1019876</v>
      </c>
      <c r="I1906" t="s">
        <v>17</v>
      </c>
      <c r="K1906" t="s">
        <v>5272</v>
      </c>
      <c r="L1906">
        <v>331</v>
      </c>
      <c r="M1906" t="s">
        <v>5273</v>
      </c>
    </row>
    <row r="1907" spans="1:13" x14ac:dyDescent="0.35">
      <c r="A1907" t="s">
        <v>13</v>
      </c>
      <c r="B1907">
        <v>2022266</v>
      </c>
      <c r="C1907">
        <v>2022952</v>
      </c>
      <c r="E1907" t="s">
        <v>14</v>
      </c>
      <c r="F1907" t="s">
        <v>5274</v>
      </c>
      <c r="H1907">
        <v>1019877</v>
      </c>
      <c r="I1907" t="s">
        <v>17</v>
      </c>
      <c r="K1907" t="s">
        <v>5275</v>
      </c>
      <c r="L1907">
        <v>228</v>
      </c>
      <c r="M1907" t="s">
        <v>5276</v>
      </c>
    </row>
    <row r="1908" spans="1:13" x14ac:dyDescent="0.35">
      <c r="A1908" t="s">
        <v>13</v>
      </c>
      <c r="B1908">
        <v>2022959</v>
      </c>
      <c r="C1908">
        <v>2023948</v>
      </c>
      <c r="E1908" t="s">
        <v>14</v>
      </c>
      <c r="F1908" t="s">
        <v>5277</v>
      </c>
      <c r="G1908" t="s">
        <v>5278</v>
      </c>
      <c r="H1908">
        <v>1019878</v>
      </c>
      <c r="I1908" t="s">
        <v>17</v>
      </c>
      <c r="K1908" t="s">
        <v>5279</v>
      </c>
      <c r="L1908">
        <v>329</v>
      </c>
      <c r="M1908" t="s">
        <v>5280</v>
      </c>
    </row>
    <row r="1909" spans="1:13" x14ac:dyDescent="0.35">
      <c r="A1909" t="s">
        <v>13</v>
      </c>
      <c r="B1909">
        <v>2023945</v>
      </c>
      <c r="C1909">
        <v>2025078</v>
      </c>
      <c r="E1909" t="s">
        <v>38</v>
      </c>
      <c r="F1909" t="s">
        <v>5281</v>
      </c>
      <c r="H1909">
        <v>1019879</v>
      </c>
      <c r="I1909" t="s">
        <v>17</v>
      </c>
      <c r="K1909" t="s">
        <v>5282</v>
      </c>
      <c r="L1909">
        <v>377</v>
      </c>
      <c r="M1909" t="s">
        <v>5283</v>
      </c>
    </row>
    <row r="1910" spans="1:13" x14ac:dyDescent="0.35">
      <c r="A1910" t="s">
        <v>13</v>
      </c>
      <c r="B1910">
        <v>2025423</v>
      </c>
      <c r="C1910">
        <v>2026382</v>
      </c>
      <c r="E1910" t="s">
        <v>14</v>
      </c>
      <c r="F1910" t="s">
        <v>5284</v>
      </c>
      <c r="H1910">
        <v>1019880</v>
      </c>
      <c r="I1910" t="s">
        <v>17</v>
      </c>
      <c r="K1910" t="s">
        <v>5285</v>
      </c>
      <c r="L1910">
        <v>319</v>
      </c>
      <c r="M1910" t="s">
        <v>5286</v>
      </c>
    </row>
    <row r="1911" spans="1:13" x14ac:dyDescent="0.35">
      <c r="A1911" t="s">
        <v>13</v>
      </c>
      <c r="B1911">
        <v>2026506</v>
      </c>
      <c r="C1911">
        <v>2029046</v>
      </c>
      <c r="E1911" t="s">
        <v>14</v>
      </c>
      <c r="F1911" t="s">
        <v>930</v>
      </c>
      <c r="H1911">
        <v>1019881</v>
      </c>
      <c r="I1911" t="s">
        <v>17</v>
      </c>
      <c r="K1911" t="s">
        <v>5287</v>
      </c>
      <c r="L1911">
        <v>846</v>
      </c>
      <c r="M1911" t="s">
        <v>5288</v>
      </c>
    </row>
    <row r="1912" spans="1:13" x14ac:dyDescent="0.35">
      <c r="A1912" t="s">
        <v>13</v>
      </c>
      <c r="B1912">
        <v>2029177</v>
      </c>
      <c r="C1912">
        <v>2030160</v>
      </c>
      <c r="E1912" t="s">
        <v>14</v>
      </c>
      <c r="F1912" t="s">
        <v>5289</v>
      </c>
      <c r="H1912">
        <v>1019882</v>
      </c>
      <c r="I1912" t="s">
        <v>17</v>
      </c>
      <c r="K1912" t="s">
        <v>5290</v>
      </c>
      <c r="L1912">
        <v>327</v>
      </c>
      <c r="M1912" t="s">
        <v>5291</v>
      </c>
    </row>
    <row r="1913" spans="1:13" x14ac:dyDescent="0.35">
      <c r="A1913" t="s">
        <v>13</v>
      </c>
      <c r="B1913">
        <v>2030274</v>
      </c>
      <c r="C1913">
        <v>2031365</v>
      </c>
      <c r="E1913" t="s">
        <v>38</v>
      </c>
      <c r="F1913" t="s">
        <v>5292</v>
      </c>
      <c r="H1913">
        <v>1019883</v>
      </c>
      <c r="I1913" t="s">
        <v>17</v>
      </c>
      <c r="K1913" t="s">
        <v>5293</v>
      </c>
      <c r="L1913">
        <v>363</v>
      </c>
      <c r="M1913" t="s">
        <v>5294</v>
      </c>
    </row>
    <row r="1914" spans="1:13" x14ac:dyDescent="0.35">
      <c r="A1914" t="s">
        <v>13</v>
      </c>
      <c r="B1914">
        <v>2031478</v>
      </c>
      <c r="C1914">
        <v>2035386</v>
      </c>
      <c r="E1914" t="s">
        <v>14</v>
      </c>
      <c r="F1914" t="s">
        <v>5295</v>
      </c>
      <c r="G1914" t="s">
        <v>5296</v>
      </c>
      <c r="H1914">
        <v>1019884</v>
      </c>
      <c r="I1914" t="s">
        <v>17</v>
      </c>
      <c r="K1914" t="s">
        <v>5297</v>
      </c>
      <c r="L1914">
        <v>1302</v>
      </c>
      <c r="M1914" t="s">
        <v>5298</v>
      </c>
    </row>
    <row r="1915" spans="1:13" x14ac:dyDescent="0.35">
      <c r="A1915" t="s">
        <v>13</v>
      </c>
      <c r="B1915">
        <v>2035428</v>
      </c>
      <c r="C1915">
        <v>2035880</v>
      </c>
      <c r="E1915" t="s">
        <v>38</v>
      </c>
      <c r="F1915" t="s">
        <v>5299</v>
      </c>
      <c r="G1915" t="s">
        <v>5300</v>
      </c>
      <c r="H1915">
        <v>1019885</v>
      </c>
      <c r="I1915" t="s">
        <v>17</v>
      </c>
      <c r="K1915" t="s">
        <v>5301</v>
      </c>
      <c r="L1915">
        <v>150</v>
      </c>
      <c r="M1915" t="s">
        <v>5302</v>
      </c>
    </row>
    <row r="1916" spans="1:13" x14ac:dyDescent="0.35">
      <c r="A1916" t="s">
        <v>13</v>
      </c>
      <c r="B1916">
        <v>2035987</v>
      </c>
      <c r="C1916">
        <v>2036409</v>
      </c>
      <c r="E1916" t="s">
        <v>38</v>
      </c>
      <c r="F1916" t="s">
        <v>49</v>
      </c>
      <c r="H1916">
        <v>92792302</v>
      </c>
      <c r="I1916" t="s">
        <v>17</v>
      </c>
      <c r="K1916" t="s">
        <v>5303</v>
      </c>
      <c r="L1916">
        <v>140</v>
      </c>
      <c r="M1916" t="s">
        <v>5304</v>
      </c>
    </row>
    <row r="1917" spans="1:13" x14ac:dyDescent="0.35">
      <c r="A1917" t="s">
        <v>13</v>
      </c>
      <c r="B1917">
        <v>2036749</v>
      </c>
      <c r="C1917">
        <v>2037510</v>
      </c>
      <c r="E1917" t="s">
        <v>14</v>
      </c>
      <c r="F1917" t="s">
        <v>5305</v>
      </c>
      <c r="G1917" t="s">
        <v>5306</v>
      </c>
      <c r="H1917">
        <v>1019887</v>
      </c>
      <c r="I1917" t="s">
        <v>17</v>
      </c>
      <c r="K1917" t="s">
        <v>5307</v>
      </c>
      <c r="L1917">
        <v>253</v>
      </c>
      <c r="M1917" t="s">
        <v>5308</v>
      </c>
    </row>
    <row r="1918" spans="1:13" x14ac:dyDescent="0.35">
      <c r="A1918" t="s">
        <v>13</v>
      </c>
      <c r="B1918">
        <v>2037815</v>
      </c>
      <c r="C1918">
        <v>2038594</v>
      </c>
      <c r="E1918" t="s">
        <v>14</v>
      </c>
      <c r="F1918" t="s">
        <v>353</v>
      </c>
      <c r="H1918">
        <v>1019888</v>
      </c>
      <c r="I1918" t="s">
        <v>17</v>
      </c>
      <c r="K1918" t="s">
        <v>5309</v>
      </c>
      <c r="L1918">
        <v>259</v>
      </c>
      <c r="M1918" t="s">
        <v>5310</v>
      </c>
    </row>
    <row r="1919" spans="1:13" x14ac:dyDescent="0.35">
      <c r="A1919" t="s">
        <v>13</v>
      </c>
      <c r="B1919">
        <v>2038591</v>
      </c>
      <c r="C1919">
        <v>2039553</v>
      </c>
      <c r="E1919" t="s">
        <v>14</v>
      </c>
      <c r="F1919" t="s">
        <v>5311</v>
      </c>
      <c r="H1919">
        <v>1019889</v>
      </c>
      <c r="I1919" t="s">
        <v>17</v>
      </c>
      <c r="K1919" t="s">
        <v>5312</v>
      </c>
      <c r="L1919">
        <v>320</v>
      </c>
      <c r="M1919" t="s">
        <v>5313</v>
      </c>
    </row>
    <row r="1920" spans="1:13" x14ac:dyDescent="0.35">
      <c r="A1920" t="s">
        <v>13</v>
      </c>
      <c r="B1920">
        <v>2039615</v>
      </c>
      <c r="C1920">
        <v>2041312</v>
      </c>
      <c r="E1920" t="s">
        <v>38</v>
      </c>
      <c r="F1920" t="s">
        <v>5314</v>
      </c>
      <c r="G1920" t="s">
        <v>5315</v>
      </c>
      <c r="H1920">
        <v>1019890</v>
      </c>
      <c r="I1920" t="s">
        <v>17</v>
      </c>
      <c r="K1920" t="s">
        <v>5316</v>
      </c>
      <c r="L1920">
        <v>565</v>
      </c>
      <c r="M1920" t="s">
        <v>5317</v>
      </c>
    </row>
    <row r="1921" spans="1:13" x14ac:dyDescent="0.35">
      <c r="A1921" t="s">
        <v>13</v>
      </c>
      <c r="B1921">
        <v>2041728</v>
      </c>
      <c r="C1921">
        <v>2042522</v>
      </c>
      <c r="E1921" t="s">
        <v>14</v>
      </c>
      <c r="F1921" t="s">
        <v>353</v>
      </c>
      <c r="H1921">
        <v>1019891</v>
      </c>
      <c r="I1921" t="s">
        <v>17</v>
      </c>
      <c r="K1921" t="s">
        <v>5318</v>
      </c>
      <c r="L1921">
        <v>264</v>
      </c>
      <c r="M1921" t="s">
        <v>5319</v>
      </c>
    </row>
    <row r="1922" spans="1:13" x14ac:dyDescent="0.35">
      <c r="A1922" t="s">
        <v>13</v>
      </c>
      <c r="B1922">
        <v>2042519</v>
      </c>
      <c r="C1922">
        <v>2043511</v>
      </c>
      <c r="E1922" t="s">
        <v>14</v>
      </c>
      <c r="F1922" t="s">
        <v>5320</v>
      </c>
      <c r="H1922">
        <v>1019892</v>
      </c>
      <c r="I1922" t="s">
        <v>17</v>
      </c>
      <c r="K1922" t="s">
        <v>5321</v>
      </c>
      <c r="L1922">
        <v>330</v>
      </c>
      <c r="M1922" t="s">
        <v>5322</v>
      </c>
    </row>
    <row r="1923" spans="1:13" x14ac:dyDescent="0.35">
      <c r="A1923" t="s">
        <v>13</v>
      </c>
      <c r="B1923">
        <v>2043508</v>
      </c>
      <c r="C1923">
        <v>2045574</v>
      </c>
      <c r="E1923" t="s">
        <v>14</v>
      </c>
      <c r="F1923" t="s">
        <v>5323</v>
      </c>
      <c r="H1923">
        <v>1019893</v>
      </c>
      <c r="I1923" t="s">
        <v>17</v>
      </c>
      <c r="K1923" t="s">
        <v>5324</v>
      </c>
      <c r="L1923">
        <v>688</v>
      </c>
      <c r="M1923" t="s">
        <v>5325</v>
      </c>
    </row>
    <row r="1924" spans="1:13" x14ac:dyDescent="0.35">
      <c r="A1924" t="s">
        <v>13</v>
      </c>
      <c r="B1924">
        <v>2045762</v>
      </c>
      <c r="C1924">
        <v>2046031</v>
      </c>
      <c r="E1924" t="s">
        <v>14</v>
      </c>
      <c r="F1924" t="s">
        <v>5326</v>
      </c>
      <c r="H1924">
        <v>1019894</v>
      </c>
      <c r="I1924" t="s">
        <v>17</v>
      </c>
      <c r="K1924" t="s">
        <v>5327</v>
      </c>
      <c r="L1924">
        <v>89</v>
      </c>
      <c r="M1924" t="s">
        <v>5328</v>
      </c>
    </row>
    <row r="1925" spans="1:13" x14ac:dyDescent="0.35">
      <c r="A1925" t="s">
        <v>13</v>
      </c>
      <c r="B1925">
        <v>2046711</v>
      </c>
      <c r="C1925">
        <v>2047238</v>
      </c>
      <c r="E1925" t="s">
        <v>38</v>
      </c>
      <c r="F1925" t="s">
        <v>49</v>
      </c>
      <c r="H1925">
        <v>1019895</v>
      </c>
      <c r="I1925" t="s">
        <v>17</v>
      </c>
      <c r="K1925" t="s">
        <v>5329</v>
      </c>
      <c r="L1925">
        <v>175</v>
      </c>
      <c r="M1925" t="s">
        <v>5330</v>
      </c>
    </row>
    <row r="1926" spans="1:13" x14ac:dyDescent="0.35">
      <c r="A1926" t="s">
        <v>13</v>
      </c>
      <c r="B1926">
        <v>2047317</v>
      </c>
      <c r="C1926">
        <v>2048606</v>
      </c>
      <c r="E1926" t="s">
        <v>38</v>
      </c>
      <c r="F1926" t="s">
        <v>5331</v>
      </c>
      <c r="H1926">
        <v>1019896</v>
      </c>
      <c r="I1926" t="s">
        <v>17</v>
      </c>
      <c r="K1926" t="s">
        <v>5332</v>
      </c>
      <c r="L1926">
        <v>429</v>
      </c>
      <c r="M1926" t="s">
        <v>5333</v>
      </c>
    </row>
    <row r="1927" spans="1:13" x14ac:dyDescent="0.35">
      <c r="A1927" t="s">
        <v>13</v>
      </c>
      <c r="B1927">
        <v>2048647</v>
      </c>
      <c r="C1927">
        <v>2050176</v>
      </c>
      <c r="E1927" t="s">
        <v>38</v>
      </c>
      <c r="F1927" t="s">
        <v>5334</v>
      </c>
      <c r="G1927" t="s">
        <v>5335</v>
      </c>
      <c r="H1927">
        <v>1019897</v>
      </c>
      <c r="I1927" t="s">
        <v>17</v>
      </c>
      <c r="K1927" t="s">
        <v>5336</v>
      </c>
      <c r="L1927">
        <v>509</v>
      </c>
      <c r="M1927" t="s">
        <v>5337</v>
      </c>
    </row>
    <row r="1928" spans="1:13" x14ac:dyDescent="0.35">
      <c r="A1928" t="s">
        <v>13</v>
      </c>
      <c r="B1928">
        <v>2050351</v>
      </c>
      <c r="C1928">
        <v>2051109</v>
      </c>
      <c r="E1928" t="s">
        <v>14</v>
      </c>
      <c r="F1928" t="s">
        <v>49</v>
      </c>
      <c r="H1928">
        <v>1019898</v>
      </c>
      <c r="I1928" t="s">
        <v>17</v>
      </c>
      <c r="K1928" t="s">
        <v>5338</v>
      </c>
      <c r="L1928">
        <v>252</v>
      </c>
      <c r="M1928" t="s">
        <v>5339</v>
      </c>
    </row>
    <row r="1929" spans="1:13" x14ac:dyDescent="0.35">
      <c r="A1929" t="s">
        <v>13</v>
      </c>
      <c r="B1929">
        <v>2051306</v>
      </c>
      <c r="C1929">
        <v>2051845</v>
      </c>
      <c r="E1929" t="s">
        <v>14</v>
      </c>
      <c r="F1929" t="s">
        <v>49</v>
      </c>
      <c r="H1929">
        <v>1019899</v>
      </c>
      <c r="I1929" t="s">
        <v>17</v>
      </c>
      <c r="K1929" t="s">
        <v>5340</v>
      </c>
      <c r="L1929">
        <v>179</v>
      </c>
      <c r="M1929" t="s">
        <v>5341</v>
      </c>
    </row>
    <row r="1930" spans="1:13" x14ac:dyDescent="0.35">
      <c r="A1930" t="s">
        <v>13</v>
      </c>
      <c r="B1930">
        <v>2051842</v>
      </c>
      <c r="C1930">
        <v>2052675</v>
      </c>
      <c r="E1930" t="s">
        <v>38</v>
      </c>
      <c r="F1930" t="s">
        <v>5342</v>
      </c>
      <c r="G1930" t="s">
        <v>5343</v>
      </c>
      <c r="H1930">
        <v>1019900</v>
      </c>
      <c r="I1930" t="s">
        <v>17</v>
      </c>
      <c r="K1930" t="s">
        <v>5344</v>
      </c>
      <c r="L1930">
        <v>277</v>
      </c>
      <c r="M1930" t="s">
        <v>5345</v>
      </c>
    </row>
    <row r="1931" spans="1:13" x14ac:dyDescent="0.35">
      <c r="A1931" t="s">
        <v>13</v>
      </c>
      <c r="B1931">
        <v>2052681</v>
      </c>
      <c r="C1931">
        <v>2053586</v>
      </c>
      <c r="E1931" t="s">
        <v>38</v>
      </c>
      <c r="F1931" t="s">
        <v>5346</v>
      </c>
      <c r="G1931" t="s">
        <v>5347</v>
      </c>
      <c r="H1931">
        <v>1019901</v>
      </c>
      <c r="I1931" t="s">
        <v>17</v>
      </c>
      <c r="K1931" t="s">
        <v>5348</v>
      </c>
      <c r="L1931">
        <v>301</v>
      </c>
      <c r="M1931" t="s">
        <v>5349</v>
      </c>
    </row>
    <row r="1932" spans="1:13" x14ac:dyDescent="0.35">
      <c r="A1932" t="s">
        <v>13</v>
      </c>
      <c r="B1932">
        <v>2053606</v>
      </c>
      <c r="C1932">
        <v>2054226</v>
      </c>
      <c r="E1932" t="s">
        <v>38</v>
      </c>
      <c r="F1932" t="s">
        <v>49</v>
      </c>
      <c r="H1932">
        <v>1019902</v>
      </c>
      <c r="I1932" t="s">
        <v>17</v>
      </c>
      <c r="K1932" t="s">
        <v>5350</v>
      </c>
      <c r="L1932">
        <v>206</v>
      </c>
      <c r="M1932" t="s">
        <v>5351</v>
      </c>
    </row>
    <row r="1933" spans="1:13" x14ac:dyDescent="0.35">
      <c r="A1933" t="s">
        <v>13</v>
      </c>
      <c r="B1933">
        <v>2054403</v>
      </c>
      <c r="C1933">
        <v>2055764</v>
      </c>
      <c r="E1933" t="s">
        <v>14</v>
      </c>
      <c r="F1933" t="s">
        <v>5352</v>
      </c>
      <c r="H1933">
        <v>1019903</v>
      </c>
      <c r="I1933" t="s">
        <v>17</v>
      </c>
      <c r="K1933" t="s">
        <v>5353</v>
      </c>
      <c r="L1933">
        <v>453</v>
      </c>
      <c r="M1933" t="s">
        <v>5354</v>
      </c>
    </row>
    <row r="1934" spans="1:13" x14ac:dyDescent="0.35">
      <c r="A1934" t="s">
        <v>13</v>
      </c>
      <c r="B1934">
        <v>2055765</v>
      </c>
      <c r="C1934">
        <v>2056790</v>
      </c>
      <c r="E1934" t="s">
        <v>14</v>
      </c>
      <c r="F1934" t="s">
        <v>549</v>
      </c>
      <c r="H1934">
        <v>1019904</v>
      </c>
      <c r="I1934" t="s">
        <v>17</v>
      </c>
      <c r="K1934" t="s">
        <v>5355</v>
      </c>
      <c r="L1934">
        <v>341</v>
      </c>
      <c r="M1934" t="s">
        <v>5356</v>
      </c>
    </row>
    <row r="1935" spans="1:13" x14ac:dyDescent="0.35">
      <c r="A1935" t="s">
        <v>13</v>
      </c>
      <c r="B1935">
        <v>2057117</v>
      </c>
      <c r="C1935">
        <v>2057788</v>
      </c>
      <c r="E1935" t="s">
        <v>38</v>
      </c>
      <c r="F1935" t="s">
        <v>5357</v>
      </c>
      <c r="H1935">
        <v>1019905</v>
      </c>
      <c r="I1935" t="s">
        <v>17</v>
      </c>
      <c r="K1935" t="s">
        <v>5358</v>
      </c>
      <c r="L1935">
        <v>223</v>
      </c>
      <c r="M1935" t="s">
        <v>5359</v>
      </c>
    </row>
    <row r="1936" spans="1:13" x14ac:dyDescent="0.35">
      <c r="A1936" t="s">
        <v>13</v>
      </c>
      <c r="B1936">
        <v>2057852</v>
      </c>
      <c r="C1936">
        <v>2059432</v>
      </c>
      <c r="E1936" t="s">
        <v>38</v>
      </c>
      <c r="F1936" t="s">
        <v>5360</v>
      </c>
      <c r="G1936" t="s">
        <v>5361</v>
      </c>
      <c r="H1936">
        <v>1019906</v>
      </c>
      <c r="I1936" t="s">
        <v>17</v>
      </c>
      <c r="K1936" t="s">
        <v>5362</v>
      </c>
      <c r="L1936">
        <v>526</v>
      </c>
      <c r="M1936" t="s">
        <v>5363</v>
      </c>
    </row>
    <row r="1937" spans="1:13" x14ac:dyDescent="0.35">
      <c r="A1937" t="s">
        <v>13</v>
      </c>
      <c r="B1937">
        <v>2059774</v>
      </c>
      <c r="C1937">
        <v>2060502</v>
      </c>
      <c r="E1937" t="s">
        <v>14</v>
      </c>
      <c r="F1937" t="s">
        <v>5364</v>
      </c>
      <c r="G1937" t="s">
        <v>5365</v>
      </c>
      <c r="H1937">
        <v>1019907</v>
      </c>
      <c r="I1937" t="s">
        <v>17</v>
      </c>
      <c r="K1937" t="s">
        <v>5366</v>
      </c>
      <c r="L1937">
        <v>242</v>
      </c>
      <c r="M1937" t="s">
        <v>5367</v>
      </c>
    </row>
    <row r="1938" spans="1:13" x14ac:dyDescent="0.35">
      <c r="A1938" t="s">
        <v>13</v>
      </c>
      <c r="B1938">
        <v>2060620</v>
      </c>
      <c r="C1938">
        <v>2061507</v>
      </c>
      <c r="E1938" t="s">
        <v>14</v>
      </c>
      <c r="F1938" t="s">
        <v>5368</v>
      </c>
      <c r="G1938" t="s">
        <v>5369</v>
      </c>
      <c r="H1938">
        <v>1019908</v>
      </c>
      <c r="I1938" t="s">
        <v>17</v>
      </c>
      <c r="K1938" t="s">
        <v>5370</v>
      </c>
      <c r="L1938">
        <v>295</v>
      </c>
      <c r="M1938" t="s">
        <v>5371</v>
      </c>
    </row>
    <row r="1939" spans="1:13" x14ac:dyDescent="0.35">
      <c r="A1939" t="s">
        <v>13</v>
      </c>
      <c r="B1939">
        <v>2061629</v>
      </c>
      <c r="C1939">
        <v>2062315</v>
      </c>
      <c r="E1939" t="s">
        <v>14</v>
      </c>
      <c r="F1939" t="s">
        <v>5372</v>
      </c>
      <c r="G1939" t="s">
        <v>5373</v>
      </c>
      <c r="H1939">
        <v>1019909</v>
      </c>
      <c r="I1939" t="s">
        <v>17</v>
      </c>
      <c r="K1939" t="s">
        <v>5374</v>
      </c>
      <c r="L1939">
        <v>228</v>
      </c>
      <c r="M1939" t="s">
        <v>5375</v>
      </c>
    </row>
    <row r="1940" spans="1:13" x14ac:dyDescent="0.35">
      <c r="A1940" t="s">
        <v>13</v>
      </c>
      <c r="B1940">
        <v>2062441</v>
      </c>
      <c r="C1940">
        <v>2063262</v>
      </c>
      <c r="E1940" t="s">
        <v>14</v>
      </c>
      <c r="F1940" t="s">
        <v>3769</v>
      </c>
      <c r="H1940">
        <v>1019910</v>
      </c>
      <c r="I1940" t="s">
        <v>17</v>
      </c>
      <c r="K1940" t="s">
        <v>5376</v>
      </c>
      <c r="L1940">
        <v>273</v>
      </c>
      <c r="M1940" t="s">
        <v>5377</v>
      </c>
    </row>
    <row r="1941" spans="1:13" x14ac:dyDescent="0.35">
      <c r="A1941" t="s">
        <v>13</v>
      </c>
      <c r="B1941">
        <v>2063295</v>
      </c>
      <c r="C1941">
        <v>2063942</v>
      </c>
      <c r="E1941" t="s">
        <v>38</v>
      </c>
      <c r="F1941" t="s">
        <v>5378</v>
      </c>
      <c r="G1941" t="s">
        <v>5379</v>
      </c>
      <c r="H1941">
        <v>1019911</v>
      </c>
      <c r="I1941" t="s">
        <v>17</v>
      </c>
      <c r="K1941" t="s">
        <v>5380</v>
      </c>
      <c r="L1941">
        <v>215</v>
      </c>
      <c r="M1941" t="s">
        <v>5381</v>
      </c>
    </row>
    <row r="1942" spans="1:13" x14ac:dyDescent="0.35">
      <c r="A1942" t="s">
        <v>13</v>
      </c>
      <c r="B1942">
        <v>2063986</v>
      </c>
      <c r="C1942">
        <v>2065116</v>
      </c>
      <c r="E1942" t="s">
        <v>38</v>
      </c>
      <c r="F1942" t="s">
        <v>5382</v>
      </c>
      <c r="G1942" t="s">
        <v>5383</v>
      </c>
      <c r="H1942">
        <v>1019912</v>
      </c>
      <c r="I1942" t="s">
        <v>17</v>
      </c>
      <c r="K1942" t="s">
        <v>5384</v>
      </c>
      <c r="L1942">
        <v>376</v>
      </c>
      <c r="M1942" t="s">
        <v>5385</v>
      </c>
    </row>
    <row r="1943" spans="1:13" x14ac:dyDescent="0.35">
      <c r="A1943" t="s">
        <v>13</v>
      </c>
      <c r="B1943">
        <v>2065391</v>
      </c>
      <c r="C1943">
        <v>2065606</v>
      </c>
      <c r="E1943" t="s">
        <v>38</v>
      </c>
      <c r="F1943" t="s">
        <v>5386</v>
      </c>
      <c r="H1943">
        <v>1019913</v>
      </c>
      <c r="I1943" t="s">
        <v>17</v>
      </c>
      <c r="K1943" t="s">
        <v>5387</v>
      </c>
      <c r="L1943">
        <v>71</v>
      </c>
      <c r="M1943" t="s">
        <v>5388</v>
      </c>
    </row>
    <row r="1944" spans="1:13" x14ac:dyDescent="0.35">
      <c r="A1944" t="s">
        <v>13</v>
      </c>
      <c r="B1944">
        <v>2065664</v>
      </c>
      <c r="C1944">
        <v>2066383</v>
      </c>
      <c r="E1944" t="s">
        <v>38</v>
      </c>
      <c r="F1944" t="s">
        <v>49</v>
      </c>
      <c r="H1944">
        <v>1019914</v>
      </c>
      <c r="I1944" t="s">
        <v>17</v>
      </c>
      <c r="K1944" t="s">
        <v>5389</v>
      </c>
      <c r="L1944">
        <v>239</v>
      </c>
      <c r="M1944" t="s">
        <v>5390</v>
      </c>
    </row>
    <row r="1945" spans="1:13" x14ac:dyDescent="0.35">
      <c r="A1945" t="s">
        <v>13</v>
      </c>
      <c r="B1945">
        <v>2066539</v>
      </c>
      <c r="C1945">
        <v>2067144</v>
      </c>
      <c r="E1945" t="s">
        <v>14</v>
      </c>
      <c r="F1945" t="s">
        <v>5391</v>
      </c>
      <c r="G1945" t="s">
        <v>5392</v>
      </c>
      <c r="H1945">
        <v>1019915</v>
      </c>
      <c r="I1945" t="s">
        <v>17</v>
      </c>
      <c r="K1945" t="s">
        <v>5393</v>
      </c>
      <c r="L1945">
        <v>201</v>
      </c>
      <c r="M1945" t="s">
        <v>5394</v>
      </c>
    </row>
    <row r="1946" spans="1:13" x14ac:dyDescent="0.35">
      <c r="A1946" t="s">
        <v>13</v>
      </c>
      <c r="B1946">
        <v>2067177</v>
      </c>
      <c r="C1946">
        <v>2067869</v>
      </c>
      <c r="E1946" t="s">
        <v>14</v>
      </c>
      <c r="F1946" t="s">
        <v>5395</v>
      </c>
      <c r="H1946">
        <v>1019916</v>
      </c>
      <c r="I1946" t="s">
        <v>17</v>
      </c>
      <c r="K1946" t="s">
        <v>5396</v>
      </c>
      <c r="L1946">
        <v>230</v>
      </c>
      <c r="M1946" t="s">
        <v>5397</v>
      </c>
    </row>
    <row r="1947" spans="1:13" x14ac:dyDescent="0.35">
      <c r="A1947" t="s">
        <v>13</v>
      </c>
      <c r="B1947">
        <v>2067866</v>
      </c>
      <c r="C1947">
        <v>2068477</v>
      </c>
      <c r="E1947" t="s">
        <v>14</v>
      </c>
      <c r="F1947" t="s">
        <v>3077</v>
      </c>
      <c r="H1947">
        <v>1019917</v>
      </c>
      <c r="I1947" t="s">
        <v>17</v>
      </c>
      <c r="K1947" t="s">
        <v>5398</v>
      </c>
      <c r="L1947">
        <v>203</v>
      </c>
      <c r="M1947" t="s">
        <v>5399</v>
      </c>
    </row>
    <row r="1948" spans="1:13" x14ac:dyDescent="0.35">
      <c r="A1948" t="s">
        <v>13</v>
      </c>
      <c r="B1948">
        <v>2068553</v>
      </c>
      <c r="C1948">
        <v>2069383</v>
      </c>
      <c r="E1948" t="s">
        <v>38</v>
      </c>
      <c r="F1948" t="s">
        <v>5400</v>
      </c>
      <c r="H1948">
        <v>1019918</v>
      </c>
      <c r="I1948" t="s">
        <v>17</v>
      </c>
      <c r="K1948" t="s">
        <v>5401</v>
      </c>
      <c r="L1948">
        <v>276</v>
      </c>
      <c r="M1948" t="s">
        <v>5402</v>
      </c>
    </row>
    <row r="1949" spans="1:13" x14ac:dyDescent="0.35">
      <c r="A1949" t="s">
        <v>13</v>
      </c>
      <c r="B1949">
        <v>2069613</v>
      </c>
      <c r="C1949">
        <v>2069936</v>
      </c>
      <c r="E1949" t="s">
        <v>38</v>
      </c>
      <c r="F1949" t="s">
        <v>138</v>
      </c>
      <c r="H1949">
        <v>1019919</v>
      </c>
      <c r="I1949" t="s">
        <v>17</v>
      </c>
      <c r="K1949" t="s">
        <v>5403</v>
      </c>
      <c r="L1949">
        <v>107</v>
      </c>
      <c r="M1949" t="s">
        <v>5404</v>
      </c>
    </row>
    <row r="1950" spans="1:13" x14ac:dyDescent="0.35">
      <c r="A1950" t="s">
        <v>13</v>
      </c>
      <c r="B1950">
        <v>2069994</v>
      </c>
      <c r="C1950">
        <v>2070512</v>
      </c>
      <c r="E1950" t="s">
        <v>38</v>
      </c>
      <c r="F1950" t="s">
        <v>5405</v>
      </c>
      <c r="H1950">
        <v>1019920</v>
      </c>
      <c r="I1950" t="s">
        <v>17</v>
      </c>
      <c r="K1950" t="s">
        <v>5406</v>
      </c>
      <c r="L1950">
        <v>172</v>
      </c>
      <c r="M1950" t="s">
        <v>5407</v>
      </c>
    </row>
    <row r="1951" spans="1:13" x14ac:dyDescent="0.35">
      <c r="A1951" t="s">
        <v>13</v>
      </c>
      <c r="B1951">
        <v>2070516</v>
      </c>
      <c r="C1951">
        <v>2071121</v>
      </c>
      <c r="E1951" t="s">
        <v>38</v>
      </c>
      <c r="F1951" t="s">
        <v>5408</v>
      </c>
      <c r="G1951" t="s">
        <v>4724</v>
      </c>
      <c r="H1951">
        <v>1019921</v>
      </c>
      <c r="I1951" t="s">
        <v>17</v>
      </c>
      <c r="K1951" t="s">
        <v>5409</v>
      </c>
      <c r="L1951">
        <v>201</v>
      </c>
      <c r="M1951" t="s">
        <v>5410</v>
      </c>
    </row>
    <row r="1952" spans="1:13" x14ac:dyDescent="0.35">
      <c r="A1952" t="s">
        <v>13</v>
      </c>
      <c r="B1952">
        <v>2071315</v>
      </c>
      <c r="C1952">
        <v>2071602</v>
      </c>
      <c r="E1952" t="s">
        <v>14</v>
      </c>
      <c r="F1952" t="s">
        <v>5411</v>
      </c>
      <c r="H1952">
        <v>1019922</v>
      </c>
      <c r="I1952" t="s">
        <v>17</v>
      </c>
      <c r="K1952" t="s">
        <v>5412</v>
      </c>
      <c r="L1952">
        <v>95</v>
      </c>
      <c r="M1952" t="s">
        <v>5413</v>
      </c>
    </row>
    <row r="1953" spans="1:13" x14ac:dyDescent="0.35">
      <c r="A1953" t="s">
        <v>13</v>
      </c>
      <c r="B1953">
        <v>2071796</v>
      </c>
      <c r="C1953">
        <v>2072905</v>
      </c>
      <c r="E1953" t="s">
        <v>38</v>
      </c>
      <c r="F1953" t="s">
        <v>5414</v>
      </c>
      <c r="H1953">
        <v>1019924</v>
      </c>
      <c r="I1953" t="s">
        <v>17</v>
      </c>
      <c r="K1953" t="s">
        <v>5415</v>
      </c>
      <c r="L1953">
        <v>369</v>
      </c>
      <c r="M1953" t="s">
        <v>5416</v>
      </c>
    </row>
    <row r="1954" spans="1:13" x14ac:dyDescent="0.35">
      <c r="A1954" t="s">
        <v>13</v>
      </c>
      <c r="B1954">
        <v>2073291</v>
      </c>
      <c r="C1954">
        <v>2076170</v>
      </c>
      <c r="E1954" t="s">
        <v>38</v>
      </c>
      <c r="F1954" t="s">
        <v>5417</v>
      </c>
      <c r="H1954">
        <v>1019925</v>
      </c>
      <c r="I1954" t="s">
        <v>17</v>
      </c>
      <c r="K1954" t="s">
        <v>5418</v>
      </c>
      <c r="L1954">
        <v>959</v>
      </c>
      <c r="M1954" t="s">
        <v>5419</v>
      </c>
    </row>
    <row r="1955" spans="1:13" x14ac:dyDescent="0.35">
      <c r="A1955" t="s">
        <v>13</v>
      </c>
      <c r="B1955">
        <v>2076389</v>
      </c>
      <c r="C1955">
        <v>2077024</v>
      </c>
      <c r="E1955" t="s">
        <v>38</v>
      </c>
      <c r="F1955" t="s">
        <v>5420</v>
      </c>
      <c r="H1955">
        <v>1019926</v>
      </c>
      <c r="I1955" t="s">
        <v>17</v>
      </c>
      <c r="K1955" t="s">
        <v>5421</v>
      </c>
      <c r="L1955">
        <v>211</v>
      </c>
      <c r="M1955" t="s">
        <v>5422</v>
      </c>
    </row>
    <row r="1956" spans="1:13" x14ac:dyDescent="0.35">
      <c r="A1956" t="s">
        <v>13</v>
      </c>
      <c r="B1956">
        <v>2077119</v>
      </c>
      <c r="C1956">
        <v>2079275</v>
      </c>
      <c r="E1956" t="s">
        <v>38</v>
      </c>
      <c r="F1956" t="s">
        <v>5423</v>
      </c>
      <c r="H1956">
        <v>1019927</v>
      </c>
      <c r="I1956" t="s">
        <v>17</v>
      </c>
      <c r="K1956" t="s">
        <v>5424</v>
      </c>
      <c r="L1956">
        <v>718</v>
      </c>
      <c r="M1956" t="s">
        <v>5425</v>
      </c>
    </row>
    <row r="1957" spans="1:13" x14ac:dyDescent="0.35">
      <c r="A1957" t="s">
        <v>13</v>
      </c>
      <c r="B1957">
        <v>2079278</v>
      </c>
      <c r="C1957">
        <v>2080183</v>
      </c>
      <c r="E1957" t="s">
        <v>38</v>
      </c>
      <c r="F1957" t="s">
        <v>5426</v>
      </c>
      <c r="G1957" t="s">
        <v>5427</v>
      </c>
      <c r="H1957">
        <v>1019928</v>
      </c>
      <c r="I1957" t="s">
        <v>17</v>
      </c>
      <c r="K1957" t="s">
        <v>5428</v>
      </c>
      <c r="L1957">
        <v>301</v>
      </c>
      <c r="M1957" t="s">
        <v>5429</v>
      </c>
    </row>
    <row r="1958" spans="1:13" x14ac:dyDescent="0.35">
      <c r="A1958" t="s">
        <v>13</v>
      </c>
      <c r="B1958">
        <v>2080384</v>
      </c>
      <c r="C1958">
        <v>2081136</v>
      </c>
      <c r="E1958" t="s">
        <v>38</v>
      </c>
      <c r="F1958" t="s">
        <v>5430</v>
      </c>
      <c r="G1958" t="s">
        <v>5431</v>
      </c>
      <c r="H1958">
        <v>1019929</v>
      </c>
      <c r="I1958" t="s">
        <v>17</v>
      </c>
      <c r="K1958" t="s">
        <v>5432</v>
      </c>
      <c r="L1958">
        <v>250</v>
      </c>
      <c r="M1958" t="s">
        <v>5433</v>
      </c>
    </row>
    <row r="1959" spans="1:13" x14ac:dyDescent="0.35">
      <c r="A1959" t="s">
        <v>13</v>
      </c>
      <c r="B1959">
        <v>2081188</v>
      </c>
      <c r="C1959">
        <v>2081934</v>
      </c>
      <c r="E1959" t="s">
        <v>38</v>
      </c>
      <c r="F1959" t="s">
        <v>5434</v>
      </c>
      <c r="G1959" t="s">
        <v>5435</v>
      </c>
      <c r="H1959">
        <v>1019930</v>
      </c>
      <c r="I1959" t="s">
        <v>17</v>
      </c>
      <c r="K1959" t="s">
        <v>5436</v>
      </c>
      <c r="L1959">
        <v>248</v>
      </c>
      <c r="M1959" t="s">
        <v>5437</v>
      </c>
    </row>
    <row r="1960" spans="1:13" x14ac:dyDescent="0.35">
      <c r="A1960" t="s">
        <v>13</v>
      </c>
      <c r="B1960">
        <v>2082115</v>
      </c>
      <c r="C1960">
        <v>2082816</v>
      </c>
      <c r="E1960" t="s">
        <v>14</v>
      </c>
      <c r="F1960" t="s">
        <v>1812</v>
      </c>
      <c r="H1960">
        <v>1019931</v>
      </c>
      <c r="I1960" t="s">
        <v>17</v>
      </c>
      <c r="K1960" t="s">
        <v>5438</v>
      </c>
      <c r="L1960">
        <v>233</v>
      </c>
      <c r="M1960" t="s">
        <v>5439</v>
      </c>
    </row>
    <row r="1961" spans="1:13" x14ac:dyDescent="0.35">
      <c r="A1961" t="s">
        <v>13</v>
      </c>
      <c r="B1961">
        <v>2082929</v>
      </c>
      <c r="C1961">
        <v>2085190</v>
      </c>
      <c r="E1961" t="s">
        <v>38</v>
      </c>
      <c r="F1961" t="s">
        <v>5440</v>
      </c>
      <c r="H1961">
        <v>1019932</v>
      </c>
      <c r="I1961" t="s">
        <v>17</v>
      </c>
      <c r="K1961" t="s">
        <v>5441</v>
      </c>
      <c r="L1961">
        <v>753</v>
      </c>
      <c r="M1961" t="s">
        <v>5442</v>
      </c>
    </row>
    <row r="1962" spans="1:13" x14ac:dyDescent="0.35">
      <c r="A1962" t="s">
        <v>13</v>
      </c>
      <c r="B1962">
        <v>2085433</v>
      </c>
      <c r="C1962">
        <v>2085702</v>
      </c>
      <c r="E1962" t="s">
        <v>38</v>
      </c>
      <c r="F1962" t="s">
        <v>5443</v>
      </c>
      <c r="G1962" t="s">
        <v>5444</v>
      </c>
      <c r="H1962">
        <v>1019933</v>
      </c>
      <c r="I1962" t="s">
        <v>17</v>
      </c>
      <c r="K1962" t="s">
        <v>5445</v>
      </c>
      <c r="L1962">
        <v>89</v>
      </c>
      <c r="M1962" t="s">
        <v>5446</v>
      </c>
    </row>
    <row r="1963" spans="1:13" x14ac:dyDescent="0.35">
      <c r="A1963" t="s">
        <v>13</v>
      </c>
      <c r="B1963">
        <v>2085876</v>
      </c>
      <c r="C1963">
        <v>2086826</v>
      </c>
      <c r="E1963" t="s">
        <v>38</v>
      </c>
      <c r="F1963" t="s">
        <v>3845</v>
      </c>
      <c r="H1963">
        <v>1019934</v>
      </c>
      <c r="I1963" t="s">
        <v>17</v>
      </c>
      <c r="K1963" t="s">
        <v>5447</v>
      </c>
      <c r="L1963">
        <v>316</v>
      </c>
      <c r="M1963" t="s">
        <v>5448</v>
      </c>
    </row>
    <row r="1964" spans="1:13" x14ac:dyDescent="0.35">
      <c r="A1964" t="s">
        <v>13</v>
      </c>
      <c r="B1964">
        <v>2086916</v>
      </c>
      <c r="C1964">
        <v>2087941</v>
      </c>
      <c r="E1964" t="s">
        <v>38</v>
      </c>
      <c r="F1964" t="s">
        <v>5449</v>
      </c>
      <c r="H1964">
        <v>1019935</v>
      </c>
      <c r="I1964" t="s">
        <v>17</v>
      </c>
      <c r="K1964" t="s">
        <v>5450</v>
      </c>
      <c r="L1964">
        <v>341</v>
      </c>
      <c r="M1964" t="s">
        <v>5451</v>
      </c>
    </row>
    <row r="1965" spans="1:13" x14ac:dyDescent="0.35">
      <c r="A1965" t="s">
        <v>13</v>
      </c>
      <c r="B1965">
        <v>2087973</v>
      </c>
      <c r="C1965">
        <v>2088866</v>
      </c>
      <c r="E1965" t="s">
        <v>14</v>
      </c>
      <c r="F1965" t="s">
        <v>5452</v>
      </c>
      <c r="G1965" t="s">
        <v>5453</v>
      </c>
      <c r="H1965">
        <v>1019936</v>
      </c>
      <c r="I1965" t="s">
        <v>17</v>
      </c>
      <c r="K1965" t="s">
        <v>5454</v>
      </c>
      <c r="L1965">
        <v>297</v>
      </c>
      <c r="M1965" t="s">
        <v>5455</v>
      </c>
    </row>
    <row r="1966" spans="1:13" x14ac:dyDescent="0.35">
      <c r="A1966" t="s">
        <v>13</v>
      </c>
      <c r="B1966">
        <v>2089215</v>
      </c>
      <c r="C1966">
        <v>2089868</v>
      </c>
      <c r="E1966" t="s">
        <v>38</v>
      </c>
      <c r="F1966" t="s">
        <v>5456</v>
      </c>
      <c r="H1966">
        <v>1019937</v>
      </c>
      <c r="I1966" t="s">
        <v>17</v>
      </c>
      <c r="K1966" t="s">
        <v>5457</v>
      </c>
      <c r="L1966">
        <v>217</v>
      </c>
      <c r="M1966" t="s">
        <v>5458</v>
      </c>
    </row>
    <row r="1967" spans="1:13" x14ac:dyDescent="0.35">
      <c r="A1967" t="s">
        <v>13</v>
      </c>
      <c r="B1967">
        <v>2089858</v>
      </c>
      <c r="C1967">
        <v>2090664</v>
      </c>
      <c r="E1967" t="s">
        <v>38</v>
      </c>
      <c r="F1967" t="s">
        <v>3320</v>
      </c>
      <c r="H1967">
        <v>1019938</v>
      </c>
      <c r="I1967" t="s">
        <v>17</v>
      </c>
      <c r="K1967" t="s">
        <v>5459</v>
      </c>
      <c r="L1967">
        <v>268</v>
      </c>
      <c r="M1967" t="s">
        <v>5460</v>
      </c>
    </row>
    <row r="1968" spans="1:13" x14ac:dyDescent="0.35">
      <c r="A1968" t="s">
        <v>13</v>
      </c>
      <c r="B1968">
        <v>2090748</v>
      </c>
      <c r="C1968">
        <v>2092061</v>
      </c>
      <c r="E1968" t="s">
        <v>38</v>
      </c>
      <c r="F1968" t="s">
        <v>5461</v>
      </c>
      <c r="H1968">
        <v>1019939</v>
      </c>
      <c r="I1968" t="s">
        <v>17</v>
      </c>
      <c r="K1968" t="s">
        <v>5462</v>
      </c>
      <c r="L1968">
        <v>437</v>
      </c>
      <c r="M1968" t="s">
        <v>5463</v>
      </c>
    </row>
    <row r="1969" spans="1:13" x14ac:dyDescent="0.35">
      <c r="A1969" t="s">
        <v>13</v>
      </c>
      <c r="B1969">
        <v>2092048</v>
      </c>
      <c r="C1969">
        <v>2093046</v>
      </c>
      <c r="E1969" t="s">
        <v>38</v>
      </c>
      <c r="F1969" t="s">
        <v>4878</v>
      </c>
      <c r="H1969">
        <v>1019940</v>
      </c>
      <c r="I1969" t="s">
        <v>17</v>
      </c>
      <c r="K1969" t="s">
        <v>5464</v>
      </c>
      <c r="L1969">
        <v>332</v>
      </c>
      <c r="M1969" t="s">
        <v>5465</v>
      </c>
    </row>
    <row r="1970" spans="1:13" x14ac:dyDescent="0.35">
      <c r="A1970" t="s">
        <v>13</v>
      </c>
      <c r="B1970">
        <v>2093052</v>
      </c>
      <c r="C1970">
        <v>2093501</v>
      </c>
      <c r="E1970" t="s">
        <v>38</v>
      </c>
      <c r="F1970" t="s">
        <v>5466</v>
      </c>
      <c r="G1970" t="s">
        <v>5467</v>
      </c>
      <c r="H1970">
        <v>1019941</v>
      </c>
      <c r="I1970" t="s">
        <v>17</v>
      </c>
      <c r="K1970" t="s">
        <v>5468</v>
      </c>
      <c r="L1970">
        <v>149</v>
      </c>
      <c r="M1970" t="s">
        <v>5469</v>
      </c>
    </row>
    <row r="1971" spans="1:13" x14ac:dyDescent="0.35">
      <c r="A1971" t="s">
        <v>13</v>
      </c>
      <c r="B1971">
        <v>2093709</v>
      </c>
      <c r="C1971">
        <v>2096723</v>
      </c>
      <c r="E1971" t="s">
        <v>38</v>
      </c>
      <c r="F1971" t="s">
        <v>5470</v>
      </c>
      <c r="G1971" t="s">
        <v>5471</v>
      </c>
      <c r="H1971">
        <v>1019942</v>
      </c>
      <c r="I1971" t="s">
        <v>17</v>
      </c>
      <c r="K1971" t="s">
        <v>5472</v>
      </c>
      <c r="L1971">
        <v>1004</v>
      </c>
      <c r="M1971" t="s">
        <v>5473</v>
      </c>
    </row>
    <row r="1972" spans="1:13" x14ac:dyDescent="0.35">
      <c r="A1972" t="s">
        <v>13</v>
      </c>
      <c r="B1972">
        <v>2096841</v>
      </c>
      <c r="C1972">
        <v>2097179</v>
      </c>
      <c r="E1972" t="s">
        <v>38</v>
      </c>
      <c r="F1972" t="s">
        <v>5474</v>
      </c>
      <c r="H1972">
        <v>1019943</v>
      </c>
      <c r="I1972" t="s">
        <v>17</v>
      </c>
      <c r="K1972" t="s">
        <v>5475</v>
      </c>
      <c r="L1972">
        <v>112</v>
      </c>
      <c r="M1972" t="s">
        <v>5476</v>
      </c>
    </row>
    <row r="1973" spans="1:13" x14ac:dyDescent="0.35">
      <c r="A1973" t="s">
        <v>13</v>
      </c>
      <c r="B1973">
        <v>2097377</v>
      </c>
      <c r="C1973">
        <v>2098375</v>
      </c>
      <c r="E1973" t="s">
        <v>38</v>
      </c>
      <c r="F1973" t="s">
        <v>5477</v>
      </c>
      <c r="G1973" t="s">
        <v>5478</v>
      </c>
      <c r="H1973">
        <v>1019944</v>
      </c>
      <c r="I1973" t="s">
        <v>17</v>
      </c>
      <c r="K1973" t="s">
        <v>5479</v>
      </c>
      <c r="L1973">
        <v>332</v>
      </c>
      <c r="M1973" t="s">
        <v>5480</v>
      </c>
    </row>
    <row r="1974" spans="1:13" x14ac:dyDescent="0.35">
      <c r="A1974" t="s">
        <v>13</v>
      </c>
      <c r="B1974">
        <v>2098409</v>
      </c>
      <c r="C1974">
        <v>2098945</v>
      </c>
      <c r="E1974" t="s">
        <v>38</v>
      </c>
      <c r="F1974" t="s">
        <v>5481</v>
      </c>
      <c r="G1974" t="s">
        <v>5482</v>
      </c>
      <c r="H1974">
        <v>1019945</v>
      </c>
      <c r="I1974" t="s">
        <v>17</v>
      </c>
      <c r="K1974" t="s">
        <v>5483</v>
      </c>
      <c r="L1974">
        <v>178</v>
      </c>
      <c r="M1974" t="s">
        <v>5484</v>
      </c>
    </row>
    <row r="1975" spans="1:13" x14ac:dyDescent="0.35">
      <c r="A1975" t="s">
        <v>13</v>
      </c>
      <c r="B1975">
        <v>2099000</v>
      </c>
      <c r="C1975">
        <v>2099818</v>
      </c>
      <c r="E1975" t="s">
        <v>14</v>
      </c>
      <c r="F1975" t="s">
        <v>5485</v>
      </c>
      <c r="H1975">
        <v>1019946</v>
      </c>
      <c r="I1975" t="s">
        <v>17</v>
      </c>
      <c r="K1975" t="s">
        <v>5486</v>
      </c>
      <c r="L1975">
        <v>272</v>
      </c>
      <c r="M1975" t="s">
        <v>5487</v>
      </c>
    </row>
    <row r="1976" spans="1:13" x14ac:dyDescent="0.35">
      <c r="A1976" t="s">
        <v>13</v>
      </c>
      <c r="B1976">
        <v>2100240</v>
      </c>
      <c r="C1976">
        <v>2101844</v>
      </c>
      <c r="E1976" t="s">
        <v>14</v>
      </c>
      <c r="F1976" t="s">
        <v>5488</v>
      </c>
      <c r="H1976">
        <v>1019947</v>
      </c>
      <c r="I1976" t="s">
        <v>17</v>
      </c>
      <c r="K1976" t="s">
        <v>5489</v>
      </c>
      <c r="L1976">
        <v>534</v>
      </c>
      <c r="M1976" t="s">
        <v>5490</v>
      </c>
    </row>
    <row r="1977" spans="1:13" x14ac:dyDescent="0.35">
      <c r="A1977" t="s">
        <v>13</v>
      </c>
      <c r="B1977">
        <v>2102023</v>
      </c>
      <c r="C1977">
        <v>2102949</v>
      </c>
      <c r="E1977" t="s">
        <v>14</v>
      </c>
      <c r="F1977" t="s">
        <v>124</v>
      </c>
      <c r="H1977">
        <v>1019948</v>
      </c>
      <c r="I1977" t="s">
        <v>17</v>
      </c>
      <c r="K1977" t="s">
        <v>5491</v>
      </c>
      <c r="L1977">
        <v>308</v>
      </c>
      <c r="M1977" t="s">
        <v>5492</v>
      </c>
    </row>
    <row r="1978" spans="1:13" x14ac:dyDescent="0.35">
      <c r="A1978" t="s">
        <v>13</v>
      </c>
      <c r="B1978">
        <v>2102942</v>
      </c>
      <c r="C1978">
        <v>2103976</v>
      </c>
      <c r="E1978" t="s">
        <v>14</v>
      </c>
      <c r="F1978" t="s">
        <v>124</v>
      </c>
      <c r="H1978">
        <v>1019949</v>
      </c>
      <c r="I1978" t="s">
        <v>17</v>
      </c>
      <c r="K1978" t="s">
        <v>5493</v>
      </c>
      <c r="L1978">
        <v>344</v>
      </c>
      <c r="M1978" t="s">
        <v>5494</v>
      </c>
    </row>
    <row r="1979" spans="1:13" x14ac:dyDescent="0.35">
      <c r="A1979" t="s">
        <v>13</v>
      </c>
      <c r="B1979">
        <v>2103973</v>
      </c>
      <c r="C1979">
        <v>2105706</v>
      </c>
      <c r="E1979" t="s">
        <v>14</v>
      </c>
      <c r="F1979" t="s">
        <v>147</v>
      </c>
      <c r="H1979">
        <v>1019950</v>
      </c>
      <c r="I1979" t="s">
        <v>17</v>
      </c>
      <c r="K1979" t="s">
        <v>5495</v>
      </c>
      <c r="L1979">
        <v>577</v>
      </c>
      <c r="M1979" t="s">
        <v>5496</v>
      </c>
    </row>
    <row r="1980" spans="1:13" x14ac:dyDescent="0.35">
      <c r="A1980" t="s">
        <v>13</v>
      </c>
      <c r="B1980">
        <v>2105798</v>
      </c>
      <c r="C1980">
        <v>2107564</v>
      </c>
      <c r="E1980" t="s">
        <v>38</v>
      </c>
      <c r="F1980" t="s">
        <v>5497</v>
      </c>
      <c r="H1980">
        <v>1019951</v>
      </c>
      <c r="I1980" t="s">
        <v>17</v>
      </c>
      <c r="K1980" t="s">
        <v>5498</v>
      </c>
      <c r="L1980">
        <v>588</v>
      </c>
      <c r="M1980" t="s">
        <v>5499</v>
      </c>
    </row>
    <row r="1981" spans="1:13" x14ac:dyDescent="0.35">
      <c r="A1981" t="s">
        <v>13</v>
      </c>
      <c r="B1981">
        <v>2107652</v>
      </c>
      <c r="C1981">
        <v>2108389</v>
      </c>
      <c r="E1981" t="s">
        <v>14</v>
      </c>
      <c r="F1981" t="s">
        <v>5500</v>
      </c>
      <c r="G1981" t="s">
        <v>5501</v>
      </c>
      <c r="H1981">
        <v>1019952</v>
      </c>
      <c r="I1981" t="s">
        <v>17</v>
      </c>
      <c r="K1981" t="s">
        <v>5502</v>
      </c>
      <c r="L1981">
        <v>245</v>
      </c>
      <c r="M1981" t="s">
        <v>5503</v>
      </c>
    </row>
    <row r="1982" spans="1:13" x14ac:dyDescent="0.35">
      <c r="A1982" t="s">
        <v>13</v>
      </c>
      <c r="B1982">
        <v>2108386</v>
      </c>
      <c r="C1982">
        <v>2109132</v>
      </c>
      <c r="E1982" t="s">
        <v>38</v>
      </c>
      <c r="F1982" t="s">
        <v>2924</v>
      </c>
      <c r="H1982">
        <v>1019953</v>
      </c>
      <c r="I1982" t="s">
        <v>17</v>
      </c>
      <c r="K1982" t="s">
        <v>5504</v>
      </c>
      <c r="L1982">
        <v>248</v>
      </c>
      <c r="M1982" t="s">
        <v>5505</v>
      </c>
    </row>
    <row r="1983" spans="1:13" x14ac:dyDescent="0.35">
      <c r="A1983" t="s">
        <v>13</v>
      </c>
      <c r="B1983">
        <v>2109152</v>
      </c>
      <c r="C1983">
        <v>2110255</v>
      </c>
      <c r="E1983" t="s">
        <v>38</v>
      </c>
      <c r="F1983" t="s">
        <v>103</v>
      </c>
      <c r="H1983">
        <v>1019954</v>
      </c>
      <c r="I1983" t="s">
        <v>17</v>
      </c>
      <c r="K1983" t="s">
        <v>5506</v>
      </c>
      <c r="L1983">
        <v>367</v>
      </c>
      <c r="M1983" t="s">
        <v>5507</v>
      </c>
    </row>
    <row r="1984" spans="1:13" x14ac:dyDescent="0.35">
      <c r="A1984" t="s">
        <v>13</v>
      </c>
      <c r="B1984">
        <v>2110431</v>
      </c>
      <c r="C1984">
        <v>2111183</v>
      </c>
      <c r="E1984" t="s">
        <v>38</v>
      </c>
      <c r="F1984" t="s">
        <v>5508</v>
      </c>
      <c r="G1984" t="s">
        <v>5509</v>
      </c>
      <c r="H1984">
        <v>1019955</v>
      </c>
      <c r="I1984" t="s">
        <v>17</v>
      </c>
      <c r="K1984" t="s">
        <v>5510</v>
      </c>
      <c r="L1984">
        <v>250</v>
      </c>
      <c r="M1984" t="s">
        <v>5511</v>
      </c>
    </row>
    <row r="1985" spans="1:13" x14ac:dyDescent="0.35">
      <c r="A1985" t="s">
        <v>13</v>
      </c>
      <c r="B1985">
        <v>2111238</v>
      </c>
      <c r="C1985">
        <v>2112662</v>
      </c>
      <c r="E1985" t="s">
        <v>14</v>
      </c>
      <c r="F1985" t="s">
        <v>5512</v>
      </c>
      <c r="H1985">
        <v>1019956</v>
      </c>
      <c r="I1985" t="s">
        <v>17</v>
      </c>
      <c r="K1985" t="s">
        <v>5513</v>
      </c>
      <c r="L1985">
        <v>474</v>
      </c>
      <c r="M1985" t="s">
        <v>5514</v>
      </c>
    </row>
    <row r="1986" spans="1:13" x14ac:dyDescent="0.35">
      <c r="A1986" t="s">
        <v>13</v>
      </c>
      <c r="B1986">
        <v>2112714</v>
      </c>
      <c r="C1986">
        <v>2113634</v>
      </c>
      <c r="E1986" t="s">
        <v>38</v>
      </c>
      <c r="F1986" t="s">
        <v>356</v>
      </c>
      <c r="H1986">
        <v>1019957</v>
      </c>
      <c r="I1986" t="s">
        <v>17</v>
      </c>
      <c r="K1986" t="s">
        <v>5515</v>
      </c>
      <c r="L1986">
        <v>306</v>
      </c>
      <c r="M1986" t="s">
        <v>5516</v>
      </c>
    </row>
    <row r="1987" spans="1:13" x14ac:dyDescent="0.35">
      <c r="A1987" t="s">
        <v>13</v>
      </c>
      <c r="B1987">
        <v>2113861</v>
      </c>
      <c r="C1987">
        <v>2115363</v>
      </c>
      <c r="E1987" t="s">
        <v>38</v>
      </c>
      <c r="F1987" t="s">
        <v>5517</v>
      </c>
      <c r="G1987" t="s">
        <v>5518</v>
      </c>
      <c r="H1987">
        <v>1019958</v>
      </c>
      <c r="I1987" t="s">
        <v>17</v>
      </c>
      <c r="K1987" t="s">
        <v>5519</v>
      </c>
      <c r="L1987">
        <v>500</v>
      </c>
      <c r="M1987" t="s">
        <v>5520</v>
      </c>
    </row>
    <row r="1988" spans="1:13" x14ac:dyDescent="0.35">
      <c r="A1988" t="s">
        <v>13</v>
      </c>
      <c r="B1988">
        <v>2115761</v>
      </c>
      <c r="C1988">
        <v>2116777</v>
      </c>
      <c r="E1988" t="s">
        <v>14</v>
      </c>
      <c r="F1988" t="s">
        <v>391</v>
      </c>
      <c r="H1988">
        <v>1019959</v>
      </c>
      <c r="I1988" t="s">
        <v>17</v>
      </c>
      <c r="K1988" t="s">
        <v>5521</v>
      </c>
      <c r="L1988">
        <v>338</v>
      </c>
      <c r="M1988" t="s">
        <v>5522</v>
      </c>
    </row>
    <row r="1989" spans="1:13" x14ac:dyDescent="0.35">
      <c r="A1989" t="s">
        <v>13</v>
      </c>
      <c r="B1989">
        <v>2116916</v>
      </c>
      <c r="C1989">
        <v>2118313</v>
      </c>
      <c r="E1989" t="s">
        <v>14</v>
      </c>
      <c r="F1989" t="s">
        <v>5523</v>
      </c>
      <c r="G1989" t="s">
        <v>5524</v>
      </c>
      <c r="H1989">
        <v>1019960</v>
      </c>
      <c r="I1989" t="s">
        <v>17</v>
      </c>
      <c r="K1989" t="s">
        <v>5525</v>
      </c>
      <c r="L1989">
        <v>465</v>
      </c>
      <c r="M1989" t="s">
        <v>5526</v>
      </c>
    </row>
    <row r="1990" spans="1:13" x14ac:dyDescent="0.35">
      <c r="A1990" t="s">
        <v>13</v>
      </c>
      <c r="B1990">
        <v>2118736</v>
      </c>
      <c r="C1990">
        <v>2119083</v>
      </c>
      <c r="E1990" t="s">
        <v>14</v>
      </c>
      <c r="F1990" t="s">
        <v>49</v>
      </c>
      <c r="H1990">
        <v>1019961</v>
      </c>
      <c r="I1990" t="s">
        <v>17</v>
      </c>
      <c r="K1990" t="s">
        <v>5527</v>
      </c>
      <c r="L1990">
        <v>115</v>
      </c>
      <c r="M1990" t="s">
        <v>5528</v>
      </c>
    </row>
    <row r="1991" spans="1:13" x14ac:dyDescent="0.35">
      <c r="A1991" t="s">
        <v>13</v>
      </c>
      <c r="B1991">
        <v>2119139</v>
      </c>
      <c r="C1991">
        <v>2119498</v>
      </c>
      <c r="E1991" t="s">
        <v>14</v>
      </c>
      <c r="F1991" t="s">
        <v>49</v>
      </c>
      <c r="H1991">
        <v>1019962</v>
      </c>
      <c r="I1991" t="s">
        <v>17</v>
      </c>
      <c r="K1991" t="s">
        <v>5529</v>
      </c>
      <c r="L1991">
        <v>119</v>
      </c>
      <c r="M1991" t="s">
        <v>5530</v>
      </c>
    </row>
    <row r="1992" spans="1:13" x14ac:dyDescent="0.35">
      <c r="A1992" t="s">
        <v>13</v>
      </c>
      <c r="B1992">
        <v>2119628</v>
      </c>
      <c r="C1992">
        <v>2120359</v>
      </c>
      <c r="E1992" t="s">
        <v>14</v>
      </c>
      <c r="F1992" t="s">
        <v>49</v>
      </c>
      <c r="H1992">
        <v>1019963</v>
      </c>
      <c r="I1992" t="s">
        <v>17</v>
      </c>
      <c r="K1992" t="s">
        <v>5531</v>
      </c>
      <c r="L1992">
        <v>243</v>
      </c>
      <c r="M1992" t="s">
        <v>5532</v>
      </c>
    </row>
    <row r="1993" spans="1:13" x14ac:dyDescent="0.35">
      <c r="A1993" t="s">
        <v>13</v>
      </c>
      <c r="B1993">
        <v>2120356</v>
      </c>
      <c r="C1993">
        <v>2121231</v>
      </c>
      <c r="E1993" t="s">
        <v>38</v>
      </c>
      <c r="F1993" t="s">
        <v>1627</v>
      </c>
      <c r="G1993" t="s">
        <v>1628</v>
      </c>
      <c r="H1993">
        <v>1019964</v>
      </c>
      <c r="I1993" t="s">
        <v>17</v>
      </c>
      <c r="K1993" t="s">
        <v>5533</v>
      </c>
      <c r="L1993">
        <v>291</v>
      </c>
      <c r="M1993" t="s">
        <v>5534</v>
      </c>
    </row>
    <row r="1994" spans="1:13" x14ac:dyDescent="0.35">
      <c r="A1994" t="s">
        <v>13</v>
      </c>
      <c r="B1994">
        <v>2121293</v>
      </c>
      <c r="C1994">
        <v>2123161</v>
      </c>
      <c r="E1994" t="s">
        <v>38</v>
      </c>
      <c r="F1994" t="s">
        <v>164</v>
      </c>
      <c r="H1994">
        <v>1019965</v>
      </c>
      <c r="I1994" t="s">
        <v>17</v>
      </c>
      <c r="K1994" t="s">
        <v>5535</v>
      </c>
      <c r="L1994">
        <v>622</v>
      </c>
      <c r="M1994" t="s">
        <v>5536</v>
      </c>
    </row>
    <row r="1995" spans="1:13" x14ac:dyDescent="0.35">
      <c r="A1995" t="s">
        <v>13</v>
      </c>
      <c r="B1995">
        <v>2123216</v>
      </c>
      <c r="C1995">
        <v>2123848</v>
      </c>
      <c r="E1995" t="s">
        <v>38</v>
      </c>
      <c r="F1995" t="s">
        <v>240</v>
      </c>
      <c r="H1995">
        <v>1019966</v>
      </c>
      <c r="I1995" t="s">
        <v>17</v>
      </c>
      <c r="K1995" t="s">
        <v>5537</v>
      </c>
      <c r="L1995">
        <v>210</v>
      </c>
      <c r="M1995" t="s">
        <v>5538</v>
      </c>
    </row>
    <row r="1996" spans="1:13" x14ac:dyDescent="0.35">
      <c r="A1996" t="s">
        <v>13</v>
      </c>
      <c r="B1996">
        <v>2123845</v>
      </c>
      <c r="C1996">
        <v>2124978</v>
      </c>
      <c r="E1996" t="s">
        <v>38</v>
      </c>
      <c r="F1996" t="s">
        <v>237</v>
      </c>
      <c r="H1996">
        <v>1019967</v>
      </c>
      <c r="I1996" t="s">
        <v>17</v>
      </c>
      <c r="K1996" t="s">
        <v>5539</v>
      </c>
      <c r="L1996">
        <v>377</v>
      </c>
      <c r="M1996" t="s">
        <v>5540</v>
      </c>
    </row>
    <row r="1997" spans="1:13" x14ac:dyDescent="0.35">
      <c r="A1997" t="s">
        <v>13</v>
      </c>
      <c r="B1997">
        <v>2125089</v>
      </c>
      <c r="C1997">
        <v>2126048</v>
      </c>
      <c r="E1997" t="s">
        <v>14</v>
      </c>
      <c r="F1997" t="s">
        <v>124</v>
      </c>
      <c r="H1997">
        <v>1019968</v>
      </c>
      <c r="I1997" t="s">
        <v>17</v>
      </c>
      <c r="K1997" t="s">
        <v>5541</v>
      </c>
      <c r="L1997">
        <v>319</v>
      </c>
      <c r="M1997" t="s">
        <v>5542</v>
      </c>
    </row>
    <row r="1998" spans="1:13" x14ac:dyDescent="0.35">
      <c r="A1998" t="s">
        <v>13</v>
      </c>
      <c r="B1998">
        <v>2126064</v>
      </c>
      <c r="C1998">
        <v>2126756</v>
      </c>
      <c r="E1998" t="s">
        <v>14</v>
      </c>
      <c r="F1998" t="s">
        <v>147</v>
      </c>
      <c r="H1998">
        <v>1019969</v>
      </c>
      <c r="I1998" t="s">
        <v>17</v>
      </c>
      <c r="K1998" t="s">
        <v>5543</v>
      </c>
      <c r="L1998">
        <v>230</v>
      </c>
      <c r="M1998" t="s">
        <v>5544</v>
      </c>
    </row>
    <row r="1999" spans="1:13" x14ac:dyDescent="0.35">
      <c r="A1999" t="s">
        <v>13</v>
      </c>
      <c r="B1999">
        <v>2127347</v>
      </c>
      <c r="C1999">
        <v>2128528</v>
      </c>
      <c r="E1999" t="s">
        <v>38</v>
      </c>
      <c r="F1999" t="s">
        <v>5545</v>
      </c>
      <c r="G1999" t="s">
        <v>5546</v>
      </c>
      <c r="H1999">
        <v>1019970</v>
      </c>
      <c r="I1999" t="s">
        <v>17</v>
      </c>
      <c r="K1999" t="s">
        <v>5547</v>
      </c>
      <c r="L1999">
        <v>393</v>
      </c>
      <c r="M1999" t="s">
        <v>5548</v>
      </c>
    </row>
    <row r="2000" spans="1:13" x14ac:dyDescent="0.35">
      <c r="A2000" t="s">
        <v>13</v>
      </c>
      <c r="B2000">
        <v>2128666</v>
      </c>
      <c r="C2000">
        <v>2129880</v>
      </c>
      <c r="E2000" t="s">
        <v>38</v>
      </c>
      <c r="F2000" t="s">
        <v>5549</v>
      </c>
      <c r="H2000">
        <v>1019971</v>
      </c>
      <c r="I2000" t="s">
        <v>17</v>
      </c>
      <c r="K2000" t="s">
        <v>5550</v>
      </c>
      <c r="L2000">
        <v>404</v>
      </c>
      <c r="M2000" t="s">
        <v>5551</v>
      </c>
    </row>
    <row r="2001" spans="1:13" x14ac:dyDescent="0.35">
      <c r="A2001" t="s">
        <v>13</v>
      </c>
      <c r="B2001">
        <v>2129900</v>
      </c>
      <c r="C2001">
        <v>2131078</v>
      </c>
      <c r="E2001" t="s">
        <v>38</v>
      </c>
      <c r="F2001" t="s">
        <v>5552</v>
      </c>
      <c r="G2001" t="s">
        <v>5553</v>
      </c>
      <c r="H2001">
        <v>1019972</v>
      </c>
      <c r="I2001" t="s">
        <v>17</v>
      </c>
      <c r="K2001" t="s">
        <v>5554</v>
      </c>
      <c r="L2001">
        <v>392</v>
      </c>
      <c r="M2001" t="s">
        <v>5555</v>
      </c>
    </row>
    <row r="2002" spans="1:13" x14ac:dyDescent="0.35">
      <c r="A2002" t="s">
        <v>13</v>
      </c>
      <c r="B2002">
        <v>2131322</v>
      </c>
      <c r="C2002">
        <v>2131765</v>
      </c>
      <c r="E2002" t="s">
        <v>14</v>
      </c>
      <c r="F2002" t="s">
        <v>5556</v>
      </c>
      <c r="H2002">
        <v>1019973</v>
      </c>
      <c r="I2002" t="s">
        <v>17</v>
      </c>
      <c r="K2002" t="s">
        <v>5557</v>
      </c>
      <c r="L2002">
        <v>147</v>
      </c>
      <c r="M2002" t="s">
        <v>5558</v>
      </c>
    </row>
    <row r="2003" spans="1:13" x14ac:dyDescent="0.35">
      <c r="A2003" t="s">
        <v>13</v>
      </c>
      <c r="B2003">
        <v>2131822</v>
      </c>
      <c r="C2003">
        <v>2133402</v>
      </c>
      <c r="E2003" t="s">
        <v>38</v>
      </c>
      <c r="F2003" t="s">
        <v>49</v>
      </c>
      <c r="H2003">
        <v>1019974</v>
      </c>
      <c r="I2003" t="s">
        <v>17</v>
      </c>
      <c r="K2003" t="s">
        <v>5559</v>
      </c>
      <c r="L2003">
        <v>526</v>
      </c>
      <c r="M2003" t="s">
        <v>5560</v>
      </c>
    </row>
    <row r="2004" spans="1:13" x14ac:dyDescent="0.35">
      <c r="A2004" t="s">
        <v>13</v>
      </c>
      <c r="B2004">
        <v>2133403</v>
      </c>
      <c r="C2004">
        <v>2134260</v>
      </c>
      <c r="E2004" t="s">
        <v>38</v>
      </c>
      <c r="F2004" t="s">
        <v>147</v>
      </c>
      <c r="H2004">
        <v>1019975</v>
      </c>
      <c r="I2004" t="s">
        <v>17</v>
      </c>
      <c r="K2004" t="s">
        <v>5561</v>
      </c>
      <c r="L2004">
        <v>285</v>
      </c>
      <c r="M2004" t="s">
        <v>5562</v>
      </c>
    </row>
    <row r="2005" spans="1:13" x14ac:dyDescent="0.35">
      <c r="A2005" t="s">
        <v>13</v>
      </c>
      <c r="B2005">
        <v>2134451</v>
      </c>
      <c r="C2005">
        <v>2135551</v>
      </c>
      <c r="E2005" t="s">
        <v>38</v>
      </c>
      <c r="F2005" t="s">
        <v>5563</v>
      </c>
      <c r="G2005" t="s">
        <v>5564</v>
      </c>
      <c r="H2005">
        <v>1019976</v>
      </c>
      <c r="I2005" t="s">
        <v>17</v>
      </c>
      <c r="K2005" t="s">
        <v>5565</v>
      </c>
      <c r="L2005">
        <v>366</v>
      </c>
      <c r="M2005" t="s">
        <v>5566</v>
      </c>
    </row>
    <row r="2006" spans="1:13" x14ac:dyDescent="0.35">
      <c r="A2006" t="s">
        <v>13</v>
      </c>
      <c r="B2006">
        <v>2135644</v>
      </c>
      <c r="C2006">
        <v>2136144</v>
      </c>
      <c r="E2006" t="s">
        <v>14</v>
      </c>
      <c r="F2006" t="s">
        <v>5567</v>
      </c>
      <c r="H2006">
        <v>44144983</v>
      </c>
      <c r="I2006" t="s">
        <v>17</v>
      </c>
      <c r="K2006" t="s">
        <v>5568</v>
      </c>
      <c r="L2006">
        <v>166</v>
      </c>
      <c r="M2006" t="s">
        <v>5569</v>
      </c>
    </row>
    <row r="2007" spans="1:13" x14ac:dyDescent="0.35">
      <c r="A2007" t="s">
        <v>13</v>
      </c>
      <c r="B2007">
        <v>2136232</v>
      </c>
      <c r="C2007">
        <v>2137125</v>
      </c>
      <c r="E2007" t="s">
        <v>38</v>
      </c>
      <c r="F2007" t="s">
        <v>5570</v>
      </c>
      <c r="H2007">
        <v>1019978</v>
      </c>
      <c r="I2007" t="s">
        <v>17</v>
      </c>
      <c r="K2007" t="s">
        <v>5571</v>
      </c>
      <c r="L2007">
        <v>297</v>
      </c>
      <c r="M2007" t="s">
        <v>5572</v>
      </c>
    </row>
    <row r="2008" spans="1:13" x14ac:dyDescent="0.35">
      <c r="A2008" t="s">
        <v>13</v>
      </c>
      <c r="B2008">
        <v>2137283</v>
      </c>
      <c r="C2008">
        <v>2137840</v>
      </c>
      <c r="E2008" t="s">
        <v>38</v>
      </c>
      <c r="F2008" t="s">
        <v>5573</v>
      </c>
      <c r="G2008" t="s">
        <v>5574</v>
      </c>
      <c r="H2008">
        <v>1019979</v>
      </c>
      <c r="I2008" t="s">
        <v>17</v>
      </c>
      <c r="K2008" t="s">
        <v>5575</v>
      </c>
      <c r="L2008">
        <v>185</v>
      </c>
      <c r="M2008" t="s">
        <v>5576</v>
      </c>
    </row>
    <row r="2009" spans="1:13" x14ac:dyDescent="0.35">
      <c r="A2009" t="s">
        <v>13</v>
      </c>
      <c r="B2009">
        <v>2137933</v>
      </c>
      <c r="C2009">
        <v>2138664</v>
      </c>
      <c r="E2009" t="s">
        <v>38</v>
      </c>
      <c r="F2009" t="s">
        <v>5577</v>
      </c>
      <c r="G2009" t="s">
        <v>5578</v>
      </c>
      <c r="H2009">
        <v>1019980</v>
      </c>
      <c r="I2009" t="s">
        <v>17</v>
      </c>
      <c r="K2009" t="s">
        <v>5579</v>
      </c>
      <c r="L2009">
        <v>243</v>
      </c>
      <c r="M2009" t="s">
        <v>5580</v>
      </c>
    </row>
    <row r="2010" spans="1:13" x14ac:dyDescent="0.35">
      <c r="A2010" t="s">
        <v>13</v>
      </c>
      <c r="B2010">
        <v>2139000</v>
      </c>
      <c r="C2010">
        <v>2139827</v>
      </c>
      <c r="E2010" t="s">
        <v>38</v>
      </c>
      <c r="F2010" t="s">
        <v>5581</v>
      </c>
      <c r="G2010" t="s">
        <v>5582</v>
      </c>
      <c r="H2010">
        <v>1019981</v>
      </c>
      <c r="I2010" t="s">
        <v>17</v>
      </c>
      <c r="K2010" t="s">
        <v>5583</v>
      </c>
      <c r="L2010">
        <v>275</v>
      </c>
      <c r="M2010" t="s">
        <v>5584</v>
      </c>
    </row>
    <row r="2011" spans="1:13" x14ac:dyDescent="0.35">
      <c r="A2011" t="s">
        <v>13</v>
      </c>
      <c r="B2011">
        <v>2140068</v>
      </c>
      <c r="C2011">
        <v>2140886</v>
      </c>
      <c r="E2011" t="s">
        <v>38</v>
      </c>
      <c r="F2011" t="s">
        <v>5585</v>
      </c>
      <c r="G2011" t="s">
        <v>5586</v>
      </c>
      <c r="H2011">
        <v>1019982</v>
      </c>
      <c r="I2011" t="s">
        <v>17</v>
      </c>
      <c r="K2011" t="s">
        <v>5587</v>
      </c>
      <c r="L2011">
        <v>272</v>
      </c>
      <c r="M2011" t="s">
        <v>5588</v>
      </c>
    </row>
    <row r="2012" spans="1:13" x14ac:dyDescent="0.35">
      <c r="A2012" t="s">
        <v>13</v>
      </c>
      <c r="B2012">
        <v>2141269</v>
      </c>
      <c r="C2012">
        <v>2141763</v>
      </c>
      <c r="E2012" t="s">
        <v>14</v>
      </c>
      <c r="F2012" t="s">
        <v>2482</v>
      </c>
      <c r="H2012">
        <v>1019983</v>
      </c>
      <c r="I2012" t="s">
        <v>17</v>
      </c>
      <c r="K2012" t="s">
        <v>5589</v>
      </c>
      <c r="L2012">
        <v>164</v>
      </c>
      <c r="M2012" t="s">
        <v>5590</v>
      </c>
    </row>
    <row r="2013" spans="1:13" x14ac:dyDescent="0.35">
      <c r="A2013" t="s">
        <v>13</v>
      </c>
      <c r="B2013">
        <v>2141760</v>
      </c>
      <c r="C2013">
        <v>2142707</v>
      </c>
      <c r="E2013" t="s">
        <v>38</v>
      </c>
      <c r="F2013" t="s">
        <v>5591</v>
      </c>
      <c r="H2013">
        <v>1019984</v>
      </c>
      <c r="I2013" t="s">
        <v>17</v>
      </c>
      <c r="K2013" t="s">
        <v>5592</v>
      </c>
      <c r="L2013">
        <v>315</v>
      </c>
      <c r="M2013" t="s">
        <v>5593</v>
      </c>
    </row>
    <row r="2014" spans="1:13" x14ac:dyDescent="0.35">
      <c r="A2014" t="s">
        <v>13</v>
      </c>
      <c r="B2014">
        <v>2142882</v>
      </c>
      <c r="C2014">
        <v>2144066</v>
      </c>
      <c r="E2014" t="s">
        <v>38</v>
      </c>
      <c r="F2014" t="s">
        <v>5594</v>
      </c>
      <c r="G2014" t="s">
        <v>5595</v>
      </c>
      <c r="H2014">
        <v>1019985</v>
      </c>
      <c r="I2014" t="s">
        <v>17</v>
      </c>
      <c r="K2014" t="s">
        <v>5596</v>
      </c>
      <c r="L2014">
        <v>394</v>
      </c>
      <c r="M2014" t="s">
        <v>5597</v>
      </c>
    </row>
    <row r="2015" spans="1:13" x14ac:dyDescent="0.35">
      <c r="A2015" t="s">
        <v>13</v>
      </c>
      <c r="B2015">
        <v>2144063</v>
      </c>
      <c r="C2015">
        <v>2145586</v>
      </c>
      <c r="E2015" t="s">
        <v>38</v>
      </c>
      <c r="F2015" t="s">
        <v>5598</v>
      </c>
      <c r="H2015">
        <v>1019986</v>
      </c>
      <c r="I2015" t="s">
        <v>17</v>
      </c>
      <c r="K2015" t="s">
        <v>5599</v>
      </c>
      <c r="L2015">
        <v>507</v>
      </c>
      <c r="M2015" t="s">
        <v>5600</v>
      </c>
    </row>
    <row r="2016" spans="1:13" x14ac:dyDescent="0.35">
      <c r="A2016" t="s">
        <v>13</v>
      </c>
      <c r="B2016">
        <v>2145573</v>
      </c>
      <c r="C2016">
        <v>2145941</v>
      </c>
      <c r="E2016" t="s">
        <v>38</v>
      </c>
      <c r="F2016" t="s">
        <v>5601</v>
      </c>
      <c r="H2016">
        <v>1019987</v>
      </c>
      <c r="I2016" t="s">
        <v>17</v>
      </c>
      <c r="K2016" t="s">
        <v>5602</v>
      </c>
      <c r="L2016">
        <v>122</v>
      </c>
      <c r="M2016" t="s">
        <v>5603</v>
      </c>
    </row>
    <row r="2017" spans="1:13" x14ac:dyDescent="0.35">
      <c r="A2017" t="s">
        <v>13</v>
      </c>
      <c r="B2017">
        <v>2146261</v>
      </c>
      <c r="C2017">
        <v>2146566</v>
      </c>
      <c r="E2017" t="s">
        <v>38</v>
      </c>
      <c r="F2017" t="s">
        <v>5604</v>
      </c>
      <c r="H2017">
        <v>1019988</v>
      </c>
      <c r="I2017" t="s">
        <v>17</v>
      </c>
      <c r="K2017" t="s">
        <v>5605</v>
      </c>
      <c r="L2017">
        <v>101</v>
      </c>
      <c r="M2017" t="s">
        <v>5606</v>
      </c>
    </row>
    <row r="2018" spans="1:13" x14ac:dyDescent="0.35">
      <c r="A2018" t="s">
        <v>13</v>
      </c>
      <c r="B2018">
        <v>2146563</v>
      </c>
      <c r="C2018">
        <v>2147231</v>
      </c>
      <c r="E2018" t="s">
        <v>38</v>
      </c>
      <c r="F2018" t="s">
        <v>5607</v>
      </c>
      <c r="H2018">
        <v>1019989</v>
      </c>
      <c r="I2018" t="s">
        <v>17</v>
      </c>
      <c r="K2018" t="s">
        <v>5608</v>
      </c>
      <c r="L2018">
        <v>222</v>
      </c>
      <c r="M2018" t="s">
        <v>5609</v>
      </c>
    </row>
    <row r="2019" spans="1:13" x14ac:dyDescent="0.35">
      <c r="A2019" t="s">
        <v>13</v>
      </c>
      <c r="B2019">
        <v>2147258</v>
      </c>
      <c r="C2019">
        <v>2148046</v>
      </c>
      <c r="E2019" t="s">
        <v>38</v>
      </c>
      <c r="F2019" t="s">
        <v>5610</v>
      </c>
      <c r="G2019" t="s">
        <v>5611</v>
      </c>
      <c r="H2019">
        <v>1019990</v>
      </c>
      <c r="I2019" t="s">
        <v>17</v>
      </c>
      <c r="K2019" t="s">
        <v>5612</v>
      </c>
      <c r="L2019">
        <v>262</v>
      </c>
      <c r="M2019" t="s">
        <v>5613</v>
      </c>
    </row>
    <row r="2020" spans="1:13" x14ac:dyDescent="0.35">
      <c r="A2020" t="s">
        <v>13</v>
      </c>
      <c r="B2020">
        <v>2148225</v>
      </c>
      <c r="C2020">
        <v>2149169</v>
      </c>
      <c r="E2020" t="s">
        <v>14</v>
      </c>
      <c r="F2020" t="s">
        <v>1885</v>
      </c>
      <c r="H2020">
        <v>1019991</v>
      </c>
      <c r="I2020" t="s">
        <v>17</v>
      </c>
      <c r="K2020" t="s">
        <v>5614</v>
      </c>
      <c r="L2020">
        <v>314</v>
      </c>
      <c r="M2020" t="s">
        <v>5615</v>
      </c>
    </row>
    <row r="2021" spans="1:13" x14ac:dyDescent="0.35">
      <c r="A2021" t="s">
        <v>13</v>
      </c>
      <c r="B2021">
        <v>2149631</v>
      </c>
      <c r="C2021">
        <v>2149972</v>
      </c>
      <c r="E2021" t="s">
        <v>38</v>
      </c>
      <c r="F2021" t="s">
        <v>5616</v>
      </c>
      <c r="G2021" t="s">
        <v>5617</v>
      </c>
      <c r="H2021">
        <v>1019992</v>
      </c>
      <c r="I2021" t="s">
        <v>17</v>
      </c>
      <c r="K2021" t="s">
        <v>5618</v>
      </c>
      <c r="L2021">
        <v>113</v>
      </c>
      <c r="M2021" t="s">
        <v>5619</v>
      </c>
    </row>
    <row r="2022" spans="1:13" x14ac:dyDescent="0.35">
      <c r="A2022" t="s">
        <v>13</v>
      </c>
      <c r="B2022">
        <v>2150335</v>
      </c>
      <c r="C2022">
        <v>2151000</v>
      </c>
      <c r="E2022" t="s">
        <v>14</v>
      </c>
      <c r="F2022" t="s">
        <v>5620</v>
      </c>
      <c r="H2022">
        <v>1019993</v>
      </c>
      <c r="I2022" t="s">
        <v>17</v>
      </c>
      <c r="K2022" t="s">
        <v>5621</v>
      </c>
      <c r="L2022">
        <v>221</v>
      </c>
      <c r="M2022" t="s">
        <v>5622</v>
      </c>
    </row>
    <row r="2023" spans="1:13" x14ac:dyDescent="0.35">
      <c r="A2023" t="s">
        <v>13</v>
      </c>
      <c r="B2023">
        <v>2150997</v>
      </c>
      <c r="C2023">
        <v>2152121</v>
      </c>
      <c r="E2023" t="s">
        <v>14</v>
      </c>
      <c r="F2023" t="s">
        <v>5623</v>
      </c>
      <c r="G2023" t="s">
        <v>5624</v>
      </c>
      <c r="H2023">
        <v>1019994</v>
      </c>
      <c r="I2023" t="s">
        <v>17</v>
      </c>
      <c r="K2023" t="s">
        <v>5625</v>
      </c>
      <c r="L2023">
        <v>374</v>
      </c>
      <c r="M2023" t="s">
        <v>5626</v>
      </c>
    </row>
    <row r="2024" spans="1:13" x14ac:dyDescent="0.35">
      <c r="A2024" t="s">
        <v>13</v>
      </c>
      <c r="B2024">
        <v>2152135</v>
      </c>
      <c r="C2024">
        <v>2152332</v>
      </c>
      <c r="E2024" t="s">
        <v>14</v>
      </c>
      <c r="F2024" t="s">
        <v>5627</v>
      </c>
      <c r="G2024" t="s">
        <v>5628</v>
      </c>
      <c r="H2024">
        <v>1019995</v>
      </c>
      <c r="I2024" t="s">
        <v>17</v>
      </c>
      <c r="K2024" t="s">
        <v>5629</v>
      </c>
      <c r="L2024">
        <v>65</v>
      </c>
      <c r="M2024" t="s">
        <v>5630</v>
      </c>
    </row>
    <row r="2025" spans="1:13" x14ac:dyDescent="0.35">
      <c r="A2025" t="s">
        <v>13</v>
      </c>
      <c r="B2025">
        <v>2152334</v>
      </c>
      <c r="C2025">
        <v>2153116</v>
      </c>
      <c r="E2025" t="s">
        <v>14</v>
      </c>
      <c r="F2025" t="s">
        <v>5631</v>
      </c>
      <c r="H2025">
        <v>1019996</v>
      </c>
      <c r="I2025" t="s">
        <v>17</v>
      </c>
      <c r="K2025" t="s">
        <v>5632</v>
      </c>
      <c r="L2025">
        <v>260</v>
      </c>
      <c r="M2025" t="s">
        <v>5633</v>
      </c>
    </row>
    <row r="2026" spans="1:13" x14ac:dyDescent="0.35">
      <c r="A2026" t="s">
        <v>13</v>
      </c>
      <c r="B2026">
        <v>2153118</v>
      </c>
      <c r="C2026">
        <v>2154194</v>
      </c>
      <c r="E2026" t="s">
        <v>14</v>
      </c>
      <c r="F2026" t="s">
        <v>633</v>
      </c>
      <c r="H2026">
        <v>1019997</v>
      </c>
      <c r="I2026" t="s">
        <v>17</v>
      </c>
      <c r="K2026" t="s">
        <v>5634</v>
      </c>
      <c r="L2026">
        <v>358</v>
      </c>
      <c r="M2026" t="s">
        <v>5635</v>
      </c>
    </row>
    <row r="2027" spans="1:13" x14ac:dyDescent="0.35">
      <c r="A2027" t="s">
        <v>13</v>
      </c>
      <c r="B2027">
        <v>2154457</v>
      </c>
      <c r="C2027">
        <v>2156733</v>
      </c>
      <c r="E2027" t="s">
        <v>38</v>
      </c>
      <c r="F2027" t="s">
        <v>5636</v>
      </c>
      <c r="H2027">
        <v>1019998</v>
      </c>
      <c r="I2027" t="s">
        <v>17</v>
      </c>
      <c r="K2027" t="s">
        <v>5637</v>
      </c>
      <c r="L2027">
        <v>758</v>
      </c>
      <c r="M2027" t="s">
        <v>5638</v>
      </c>
    </row>
    <row r="2028" spans="1:13" x14ac:dyDescent="0.35">
      <c r="A2028" t="s">
        <v>13</v>
      </c>
      <c r="B2028">
        <v>2156744</v>
      </c>
      <c r="C2028">
        <v>2157721</v>
      </c>
      <c r="E2028" t="s">
        <v>38</v>
      </c>
      <c r="F2028" t="s">
        <v>532</v>
      </c>
      <c r="H2028">
        <v>1019999</v>
      </c>
      <c r="I2028" t="s">
        <v>17</v>
      </c>
      <c r="K2028" t="s">
        <v>5639</v>
      </c>
      <c r="L2028">
        <v>325</v>
      </c>
      <c r="M2028" t="s">
        <v>5640</v>
      </c>
    </row>
    <row r="2029" spans="1:13" x14ac:dyDescent="0.35">
      <c r="A2029" t="s">
        <v>13</v>
      </c>
      <c r="B2029">
        <v>2157751</v>
      </c>
      <c r="C2029">
        <v>2159082</v>
      </c>
      <c r="E2029" t="s">
        <v>38</v>
      </c>
      <c r="F2029" t="s">
        <v>5641</v>
      </c>
      <c r="H2029">
        <v>1020000</v>
      </c>
      <c r="I2029" t="s">
        <v>17</v>
      </c>
      <c r="K2029" t="s">
        <v>5642</v>
      </c>
      <c r="L2029">
        <v>443</v>
      </c>
      <c r="M2029" t="s">
        <v>5643</v>
      </c>
    </row>
    <row r="2030" spans="1:13" x14ac:dyDescent="0.35">
      <c r="A2030" t="s">
        <v>13</v>
      </c>
      <c r="B2030">
        <v>2159284</v>
      </c>
      <c r="C2030">
        <v>2160537</v>
      </c>
      <c r="E2030" t="s">
        <v>38</v>
      </c>
      <c r="F2030" t="s">
        <v>5644</v>
      </c>
      <c r="H2030">
        <v>1020001</v>
      </c>
      <c r="I2030" t="s">
        <v>17</v>
      </c>
      <c r="K2030" t="s">
        <v>5645</v>
      </c>
      <c r="L2030">
        <v>417</v>
      </c>
      <c r="M2030" t="s">
        <v>5646</v>
      </c>
    </row>
    <row r="2031" spans="1:13" x14ac:dyDescent="0.35">
      <c r="A2031" t="s">
        <v>13</v>
      </c>
      <c r="B2031">
        <v>2161108</v>
      </c>
      <c r="C2031">
        <v>2161488</v>
      </c>
      <c r="E2031" t="s">
        <v>38</v>
      </c>
      <c r="F2031" t="s">
        <v>49</v>
      </c>
      <c r="H2031">
        <v>1020002</v>
      </c>
      <c r="I2031" t="s">
        <v>17</v>
      </c>
      <c r="K2031" t="s">
        <v>5647</v>
      </c>
      <c r="L2031">
        <v>126</v>
      </c>
      <c r="M2031" t="s">
        <v>5648</v>
      </c>
    </row>
    <row r="2032" spans="1:13" x14ac:dyDescent="0.35">
      <c r="A2032" t="s">
        <v>13</v>
      </c>
      <c r="B2032">
        <v>2161504</v>
      </c>
      <c r="C2032">
        <v>2162196</v>
      </c>
      <c r="E2032" t="s">
        <v>38</v>
      </c>
      <c r="F2032" t="s">
        <v>409</v>
      </c>
      <c r="H2032">
        <v>1020003</v>
      </c>
      <c r="I2032" t="s">
        <v>17</v>
      </c>
      <c r="K2032" t="s">
        <v>5649</v>
      </c>
      <c r="L2032">
        <v>230</v>
      </c>
      <c r="M2032" t="s">
        <v>5650</v>
      </c>
    </row>
    <row r="2033" spans="1:13" x14ac:dyDescent="0.35">
      <c r="A2033" t="s">
        <v>13</v>
      </c>
      <c r="B2033">
        <v>2162193</v>
      </c>
      <c r="C2033">
        <v>2163071</v>
      </c>
      <c r="E2033" t="s">
        <v>38</v>
      </c>
      <c r="F2033" t="s">
        <v>5651</v>
      </c>
      <c r="G2033" t="s">
        <v>5652</v>
      </c>
      <c r="H2033">
        <v>1020004</v>
      </c>
      <c r="I2033" t="s">
        <v>17</v>
      </c>
      <c r="K2033" t="s">
        <v>5653</v>
      </c>
      <c r="L2033">
        <v>292</v>
      </c>
      <c r="M2033" t="s">
        <v>5654</v>
      </c>
    </row>
    <row r="2034" spans="1:13" x14ac:dyDescent="0.35">
      <c r="A2034" t="s">
        <v>13</v>
      </c>
      <c r="B2034">
        <v>2163098</v>
      </c>
      <c r="C2034">
        <v>2163748</v>
      </c>
      <c r="E2034" t="s">
        <v>14</v>
      </c>
      <c r="F2034" t="s">
        <v>5655</v>
      </c>
      <c r="H2034">
        <v>1020005</v>
      </c>
      <c r="I2034" t="s">
        <v>17</v>
      </c>
      <c r="K2034" t="s">
        <v>5656</v>
      </c>
      <c r="L2034">
        <v>216</v>
      </c>
      <c r="M2034" t="s">
        <v>5657</v>
      </c>
    </row>
    <row r="2035" spans="1:13" x14ac:dyDescent="0.35">
      <c r="A2035" t="s">
        <v>13</v>
      </c>
      <c r="B2035">
        <v>2163745</v>
      </c>
      <c r="C2035">
        <v>2164260</v>
      </c>
      <c r="E2035" t="s">
        <v>38</v>
      </c>
      <c r="F2035" t="s">
        <v>5658</v>
      </c>
      <c r="G2035" t="s">
        <v>5659</v>
      </c>
      <c r="H2035">
        <v>1020006</v>
      </c>
      <c r="I2035" t="s">
        <v>17</v>
      </c>
      <c r="K2035" t="s">
        <v>5660</v>
      </c>
      <c r="L2035">
        <v>171</v>
      </c>
      <c r="M2035" t="s">
        <v>5661</v>
      </c>
    </row>
    <row r="2036" spans="1:13" x14ac:dyDescent="0.35">
      <c r="A2036" t="s">
        <v>13</v>
      </c>
      <c r="B2036">
        <v>2164390</v>
      </c>
      <c r="C2036">
        <v>2164740</v>
      </c>
      <c r="E2036" t="s">
        <v>14</v>
      </c>
      <c r="F2036" t="s">
        <v>2600</v>
      </c>
      <c r="H2036">
        <v>1020007</v>
      </c>
      <c r="I2036" t="s">
        <v>17</v>
      </c>
      <c r="K2036" t="s">
        <v>5662</v>
      </c>
      <c r="L2036">
        <v>116</v>
      </c>
      <c r="M2036" t="s">
        <v>5663</v>
      </c>
    </row>
    <row r="2037" spans="1:13" x14ac:dyDescent="0.35">
      <c r="A2037" t="s">
        <v>13</v>
      </c>
      <c r="B2037">
        <v>2164812</v>
      </c>
      <c r="C2037">
        <v>2165309</v>
      </c>
      <c r="E2037" t="s">
        <v>38</v>
      </c>
      <c r="F2037" t="s">
        <v>5664</v>
      </c>
      <c r="G2037" t="s">
        <v>5665</v>
      </c>
      <c r="H2037">
        <v>1020008</v>
      </c>
      <c r="I2037" t="s">
        <v>17</v>
      </c>
      <c r="K2037" t="s">
        <v>5666</v>
      </c>
      <c r="L2037">
        <v>165</v>
      </c>
      <c r="M2037" t="s">
        <v>5667</v>
      </c>
    </row>
    <row r="2038" spans="1:13" x14ac:dyDescent="0.35">
      <c r="A2038" t="s">
        <v>13</v>
      </c>
      <c r="B2038">
        <v>2165625</v>
      </c>
      <c r="C2038">
        <v>2166101</v>
      </c>
      <c r="E2038" t="s">
        <v>14</v>
      </c>
      <c r="F2038" t="s">
        <v>420</v>
      </c>
      <c r="H2038">
        <v>1020009</v>
      </c>
      <c r="I2038" t="s">
        <v>17</v>
      </c>
      <c r="K2038" t="s">
        <v>5668</v>
      </c>
      <c r="L2038">
        <v>158</v>
      </c>
      <c r="M2038" t="s">
        <v>5669</v>
      </c>
    </row>
    <row r="2039" spans="1:13" x14ac:dyDescent="0.35">
      <c r="A2039" t="s">
        <v>13</v>
      </c>
      <c r="B2039">
        <v>2166121</v>
      </c>
      <c r="C2039">
        <v>2166990</v>
      </c>
      <c r="E2039" t="s">
        <v>38</v>
      </c>
      <c r="F2039" t="s">
        <v>124</v>
      </c>
      <c r="H2039">
        <v>1020010</v>
      </c>
      <c r="I2039" t="s">
        <v>17</v>
      </c>
      <c r="K2039" t="s">
        <v>5670</v>
      </c>
      <c r="L2039">
        <v>289</v>
      </c>
      <c r="M2039" t="s">
        <v>5671</v>
      </c>
    </row>
    <row r="2040" spans="1:13" x14ac:dyDescent="0.35">
      <c r="A2040" t="s">
        <v>13</v>
      </c>
      <c r="B2040">
        <v>2166987</v>
      </c>
      <c r="C2040">
        <v>2167865</v>
      </c>
      <c r="E2040" t="s">
        <v>38</v>
      </c>
      <c r="F2040" t="s">
        <v>147</v>
      </c>
      <c r="H2040">
        <v>1020011</v>
      </c>
      <c r="I2040" t="s">
        <v>17</v>
      </c>
      <c r="K2040" t="s">
        <v>5672</v>
      </c>
      <c r="L2040">
        <v>292</v>
      </c>
      <c r="M2040" t="s">
        <v>5673</v>
      </c>
    </row>
    <row r="2041" spans="1:13" x14ac:dyDescent="0.35">
      <c r="A2041" t="s">
        <v>13</v>
      </c>
      <c r="B2041">
        <v>2167941</v>
      </c>
      <c r="C2041">
        <v>2169584</v>
      </c>
      <c r="E2041" t="s">
        <v>38</v>
      </c>
      <c r="F2041" t="s">
        <v>5674</v>
      </c>
      <c r="G2041" t="s">
        <v>5675</v>
      </c>
      <c r="H2041">
        <v>1020012</v>
      </c>
      <c r="I2041" t="s">
        <v>17</v>
      </c>
      <c r="K2041" t="s">
        <v>5676</v>
      </c>
      <c r="L2041">
        <v>547</v>
      </c>
      <c r="M2041" t="s">
        <v>5677</v>
      </c>
    </row>
    <row r="2042" spans="1:13" x14ac:dyDescent="0.35">
      <c r="A2042" t="s">
        <v>13</v>
      </c>
      <c r="B2042">
        <v>2169663</v>
      </c>
      <c r="C2042">
        <v>2171741</v>
      </c>
      <c r="E2042" t="s">
        <v>38</v>
      </c>
      <c r="F2042" t="s">
        <v>5678</v>
      </c>
      <c r="H2042">
        <v>1020013</v>
      </c>
      <c r="I2042" t="s">
        <v>17</v>
      </c>
      <c r="K2042" t="s">
        <v>5679</v>
      </c>
      <c r="L2042">
        <v>692</v>
      </c>
      <c r="M2042" t="s">
        <v>5680</v>
      </c>
    </row>
    <row r="2043" spans="1:13" x14ac:dyDescent="0.35">
      <c r="A2043" t="s">
        <v>13</v>
      </c>
      <c r="B2043">
        <v>2171748</v>
      </c>
      <c r="C2043">
        <v>2172086</v>
      </c>
      <c r="E2043" t="s">
        <v>38</v>
      </c>
      <c r="F2043" t="s">
        <v>5681</v>
      </c>
      <c r="G2043" t="s">
        <v>5682</v>
      </c>
      <c r="H2043">
        <v>1020014</v>
      </c>
      <c r="I2043" t="s">
        <v>17</v>
      </c>
      <c r="K2043" t="s">
        <v>5683</v>
      </c>
      <c r="L2043">
        <v>112</v>
      </c>
      <c r="M2043" t="s">
        <v>5684</v>
      </c>
    </row>
    <row r="2044" spans="1:13" x14ac:dyDescent="0.35">
      <c r="A2044" t="s">
        <v>13</v>
      </c>
      <c r="B2044">
        <v>2172151</v>
      </c>
      <c r="C2044">
        <v>2173467</v>
      </c>
      <c r="E2044" t="s">
        <v>38</v>
      </c>
      <c r="F2044" t="s">
        <v>4457</v>
      </c>
      <c r="H2044">
        <v>1020015</v>
      </c>
      <c r="I2044" t="s">
        <v>17</v>
      </c>
      <c r="K2044" t="s">
        <v>5685</v>
      </c>
      <c r="L2044">
        <v>438</v>
      </c>
      <c r="M2044" t="s">
        <v>5686</v>
      </c>
    </row>
    <row r="2045" spans="1:13" x14ac:dyDescent="0.35">
      <c r="A2045" t="s">
        <v>13</v>
      </c>
      <c r="B2045">
        <v>2173756</v>
      </c>
      <c r="C2045">
        <v>2175504</v>
      </c>
      <c r="E2045" t="s">
        <v>38</v>
      </c>
      <c r="F2045" t="s">
        <v>5687</v>
      </c>
      <c r="G2045" t="s">
        <v>5688</v>
      </c>
      <c r="H2045">
        <v>1020016</v>
      </c>
      <c r="I2045" t="s">
        <v>17</v>
      </c>
      <c r="K2045" t="s">
        <v>5689</v>
      </c>
      <c r="L2045">
        <v>582</v>
      </c>
      <c r="M2045" t="s">
        <v>5690</v>
      </c>
    </row>
    <row r="2046" spans="1:13" x14ac:dyDescent="0.35">
      <c r="A2046" t="s">
        <v>13</v>
      </c>
      <c r="B2046">
        <v>2176107</v>
      </c>
      <c r="C2046">
        <v>2179481</v>
      </c>
      <c r="E2046" t="s">
        <v>38</v>
      </c>
      <c r="F2046" t="s">
        <v>49</v>
      </c>
      <c r="H2046">
        <v>1020017</v>
      </c>
      <c r="I2046" t="s">
        <v>17</v>
      </c>
      <c r="K2046" t="s">
        <v>5691</v>
      </c>
      <c r="L2046">
        <v>1124</v>
      </c>
      <c r="M2046" t="s">
        <v>5692</v>
      </c>
    </row>
    <row r="2047" spans="1:13" x14ac:dyDescent="0.35">
      <c r="A2047" t="s">
        <v>13</v>
      </c>
      <c r="B2047">
        <v>2179625</v>
      </c>
      <c r="C2047">
        <v>2183092</v>
      </c>
      <c r="E2047" t="s">
        <v>38</v>
      </c>
      <c r="F2047" t="s">
        <v>5693</v>
      </c>
      <c r="G2047" t="s">
        <v>5694</v>
      </c>
      <c r="H2047">
        <v>1020018</v>
      </c>
      <c r="I2047" t="s">
        <v>17</v>
      </c>
      <c r="K2047" t="s">
        <v>5695</v>
      </c>
      <c r="L2047">
        <v>1155</v>
      </c>
      <c r="M2047" t="s">
        <v>5696</v>
      </c>
    </row>
    <row r="2048" spans="1:13" x14ac:dyDescent="0.35">
      <c r="A2048" t="s">
        <v>13</v>
      </c>
      <c r="B2048">
        <v>2183107</v>
      </c>
      <c r="C2048">
        <v>2183391</v>
      </c>
      <c r="E2048" t="s">
        <v>38</v>
      </c>
      <c r="F2048" t="s">
        <v>5697</v>
      </c>
      <c r="H2048">
        <v>1020019</v>
      </c>
      <c r="I2048" t="s">
        <v>17</v>
      </c>
      <c r="K2048" t="s">
        <v>5698</v>
      </c>
      <c r="L2048">
        <v>94</v>
      </c>
      <c r="M2048" t="s">
        <v>5699</v>
      </c>
    </row>
    <row r="2049" spans="1:13" x14ac:dyDescent="0.35">
      <c r="A2049" t="s">
        <v>13</v>
      </c>
      <c r="B2049">
        <v>2183402</v>
      </c>
      <c r="C2049">
        <v>2185258</v>
      </c>
      <c r="E2049" t="s">
        <v>38</v>
      </c>
      <c r="F2049" t="s">
        <v>49</v>
      </c>
      <c r="H2049">
        <v>1020020</v>
      </c>
      <c r="I2049" t="s">
        <v>17</v>
      </c>
      <c r="K2049" t="s">
        <v>5700</v>
      </c>
      <c r="L2049">
        <v>618</v>
      </c>
      <c r="M2049" t="s">
        <v>5701</v>
      </c>
    </row>
    <row r="2050" spans="1:13" x14ac:dyDescent="0.35">
      <c r="A2050" t="s">
        <v>13</v>
      </c>
      <c r="B2050">
        <v>2185348</v>
      </c>
      <c r="C2050">
        <v>2186208</v>
      </c>
      <c r="E2050" t="s">
        <v>38</v>
      </c>
      <c r="F2050" t="s">
        <v>69</v>
      </c>
      <c r="H2050">
        <v>1020021</v>
      </c>
      <c r="I2050" t="s">
        <v>17</v>
      </c>
      <c r="K2050" t="s">
        <v>5702</v>
      </c>
      <c r="L2050">
        <v>286</v>
      </c>
      <c r="M2050" t="s">
        <v>5703</v>
      </c>
    </row>
    <row r="2051" spans="1:13" x14ac:dyDescent="0.35">
      <c r="A2051" t="s">
        <v>13</v>
      </c>
      <c r="B2051">
        <v>2186323</v>
      </c>
      <c r="C2051">
        <v>2187132</v>
      </c>
      <c r="E2051" t="s">
        <v>14</v>
      </c>
      <c r="F2051" t="s">
        <v>194</v>
      </c>
      <c r="H2051">
        <v>1020022</v>
      </c>
      <c r="I2051" t="s">
        <v>17</v>
      </c>
      <c r="K2051" t="s">
        <v>5704</v>
      </c>
      <c r="L2051">
        <v>269</v>
      </c>
      <c r="M2051" t="s">
        <v>5705</v>
      </c>
    </row>
    <row r="2052" spans="1:13" x14ac:dyDescent="0.35">
      <c r="A2052" t="s">
        <v>13</v>
      </c>
      <c r="B2052">
        <v>2187230</v>
      </c>
      <c r="C2052">
        <v>2187679</v>
      </c>
      <c r="E2052" t="s">
        <v>38</v>
      </c>
      <c r="F2052" t="s">
        <v>3785</v>
      </c>
      <c r="H2052">
        <v>1020023</v>
      </c>
      <c r="I2052" t="s">
        <v>17</v>
      </c>
      <c r="K2052" t="s">
        <v>5706</v>
      </c>
      <c r="L2052">
        <v>149</v>
      </c>
      <c r="M2052" t="s">
        <v>5707</v>
      </c>
    </row>
    <row r="2053" spans="1:13" x14ac:dyDescent="0.35">
      <c r="A2053" t="s">
        <v>13</v>
      </c>
      <c r="B2053">
        <v>2187689</v>
      </c>
      <c r="C2053">
        <v>2188306</v>
      </c>
      <c r="E2053" t="s">
        <v>38</v>
      </c>
      <c r="F2053" t="s">
        <v>5708</v>
      </c>
      <c r="H2053">
        <v>1020024</v>
      </c>
      <c r="I2053" t="s">
        <v>17</v>
      </c>
      <c r="K2053" t="s">
        <v>5709</v>
      </c>
      <c r="L2053">
        <v>205</v>
      </c>
      <c r="M2053" t="s">
        <v>5710</v>
      </c>
    </row>
    <row r="2054" spans="1:13" x14ac:dyDescent="0.35">
      <c r="A2054" t="s">
        <v>13</v>
      </c>
      <c r="B2054">
        <v>2188310</v>
      </c>
      <c r="C2054">
        <v>2189170</v>
      </c>
      <c r="E2054" t="s">
        <v>38</v>
      </c>
      <c r="F2054" t="s">
        <v>5711</v>
      </c>
      <c r="G2054" t="s">
        <v>5712</v>
      </c>
      <c r="H2054">
        <v>1020025</v>
      </c>
      <c r="I2054" t="s">
        <v>17</v>
      </c>
      <c r="K2054" t="s">
        <v>5713</v>
      </c>
      <c r="L2054">
        <v>286</v>
      </c>
      <c r="M2054" t="s">
        <v>5714</v>
      </c>
    </row>
    <row r="2055" spans="1:13" x14ac:dyDescent="0.35">
      <c r="A2055" t="s">
        <v>13</v>
      </c>
      <c r="B2055">
        <v>2189163</v>
      </c>
      <c r="C2055">
        <v>2189906</v>
      </c>
      <c r="E2055" t="s">
        <v>38</v>
      </c>
      <c r="F2055" t="s">
        <v>5715</v>
      </c>
      <c r="G2055" t="s">
        <v>5716</v>
      </c>
      <c r="H2055">
        <v>1020026</v>
      </c>
      <c r="I2055" t="s">
        <v>17</v>
      </c>
      <c r="K2055" t="s">
        <v>5717</v>
      </c>
      <c r="L2055">
        <v>247</v>
      </c>
      <c r="M2055" t="s">
        <v>5718</v>
      </c>
    </row>
    <row r="2056" spans="1:13" x14ac:dyDescent="0.35">
      <c r="A2056" t="s">
        <v>13</v>
      </c>
      <c r="B2056">
        <v>2189903</v>
      </c>
      <c r="C2056">
        <v>2190439</v>
      </c>
      <c r="E2056" t="s">
        <v>38</v>
      </c>
      <c r="F2056" t="s">
        <v>5719</v>
      </c>
      <c r="H2056">
        <v>1020027</v>
      </c>
      <c r="I2056" t="s">
        <v>17</v>
      </c>
      <c r="K2056" t="s">
        <v>5720</v>
      </c>
      <c r="L2056">
        <v>178</v>
      </c>
      <c r="M2056" t="s">
        <v>5721</v>
      </c>
    </row>
    <row r="2057" spans="1:13" x14ac:dyDescent="0.35">
      <c r="A2057" t="s">
        <v>13</v>
      </c>
      <c r="B2057">
        <v>2190537</v>
      </c>
      <c r="C2057">
        <v>2191328</v>
      </c>
      <c r="E2057" t="s">
        <v>38</v>
      </c>
      <c r="F2057" t="s">
        <v>5722</v>
      </c>
      <c r="H2057">
        <v>1020028</v>
      </c>
      <c r="I2057" t="s">
        <v>17</v>
      </c>
      <c r="K2057" t="s">
        <v>5723</v>
      </c>
      <c r="L2057">
        <v>263</v>
      </c>
      <c r="M2057" t="s">
        <v>5724</v>
      </c>
    </row>
    <row r="2058" spans="1:13" x14ac:dyDescent="0.35">
      <c r="A2058" t="s">
        <v>13</v>
      </c>
      <c r="B2058">
        <v>2191543</v>
      </c>
      <c r="C2058">
        <v>2193168</v>
      </c>
      <c r="E2058" t="s">
        <v>14</v>
      </c>
      <c r="F2058" t="s">
        <v>127</v>
      </c>
      <c r="H2058">
        <v>1020029</v>
      </c>
      <c r="I2058" t="s">
        <v>17</v>
      </c>
      <c r="K2058" t="s">
        <v>5725</v>
      </c>
      <c r="L2058">
        <v>541</v>
      </c>
      <c r="M2058" t="s">
        <v>5726</v>
      </c>
    </row>
    <row r="2059" spans="1:13" x14ac:dyDescent="0.35">
      <c r="A2059" t="s">
        <v>13</v>
      </c>
      <c r="B2059">
        <v>2193165</v>
      </c>
      <c r="C2059">
        <v>2194697</v>
      </c>
      <c r="E2059" t="s">
        <v>14</v>
      </c>
      <c r="F2059" t="s">
        <v>5727</v>
      </c>
      <c r="H2059">
        <v>1020030</v>
      </c>
      <c r="I2059" t="s">
        <v>17</v>
      </c>
      <c r="K2059" t="s">
        <v>5728</v>
      </c>
      <c r="L2059">
        <v>510</v>
      </c>
      <c r="M2059" t="s">
        <v>5729</v>
      </c>
    </row>
    <row r="2060" spans="1:13" x14ac:dyDescent="0.35">
      <c r="A2060" t="s">
        <v>13</v>
      </c>
      <c r="B2060">
        <v>2194739</v>
      </c>
      <c r="C2060">
        <v>2196082</v>
      </c>
      <c r="E2060" t="s">
        <v>38</v>
      </c>
      <c r="F2060" t="s">
        <v>5730</v>
      </c>
      <c r="G2060" t="s">
        <v>5731</v>
      </c>
      <c r="H2060">
        <v>1020031</v>
      </c>
      <c r="I2060" t="s">
        <v>17</v>
      </c>
      <c r="K2060" t="s">
        <v>5732</v>
      </c>
      <c r="L2060">
        <v>447</v>
      </c>
      <c r="M2060" t="s">
        <v>5733</v>
      </c>
    </row>
    <row r="2061" spans="1:13" x14ac:dyDescent="0.35">
      <c r="A2061" t="s">
        <v>13</v>
      </c>
      <c r="B2061">
        <v>2196883</v>
      </c>
      <c r="C2061">
        <v>2198007</v>
      </c>
      <c r="E2061" t="s">
        <v>14</v>
      </c>
      <c r="F2061" t="s">
        <v>5194</v>
      </c>
      <c r="H2061">
        <v>1020032</v>
      </c>
      <c r="I2061" t="s">
        <v>17</v>
      </c>
      <c r="K2061" t="s">
        <v>5734</v>
      </c>
      <c r="L2061">
        <v>374</v>
      </c>
      <c r="M2061" t="s">
        <v>5735</v>
      </c>
    </row>
    <row r="2062" spans="1:13" x14ac:dyDescent="0.35">
      <c r="A2062" t="s">
        <v>13</v>
      </c>
      <c r="B2062">
        <v>2198004</v>
      </c>
      <c r="C2062">
        <v>2198402</v>
      </c>
      <c r="E2062" t="s">
        <v>38</v>
      </c>
      <c r="F2062" t="s">
        <v>49</v>
      </c>
      <c r="H2062">
        <v>1020033</v>
      </c>
      <c r="I2062" t="s">
        <v>17</v>
      </c>
      <c r="K2062" t="s">
        <v>5736</v>
      </c>
      <c r="L2062">
        <v>132</v>
      </c>
      <c r="M2062" t="s">
        <v>5737</v>
      </c>
    </row>
    <row r="2063" spans="1:13" x14ac:dyDescent="0.35">
      <c r="A2063" t="s">
        <v>13</v>
      </c>
      <c r="B2063">
        <v>2198433</v>
      </c>
      <c r="C2063">
        <v>2199761</v>
      </c>
      <c r="E2063" t="s">
        <v>14</v>
      </c>
      <c r="F2063" t="s">
        <v>5738</v>
      </c>
      <c r="H2063">
        <v>1020034</v>
      </c>
      <c r="I2063" t="s">
        <v>17</v>
      </c>
      <c r="K2063" t="s">
        <v>5739</v>
      </c>
      <c r="L2063">
        <v>442</v>
      </c>
      <c r="M2063" t="s">
        <v>5740</v>
      </c>
    </row>
    <row r="2064" spans="1:13" x14ac:dyDescent="0.35">
      <c r="A2064" t="s">
        <v>13</v>
      </c>
      <c r="B2064">
        <v>2199808</v>
      </c>
      <c r="C2064">
        <v>2201073</v>
      </c>
      <c r="E2064" t="s">
        <v>14</v>
      </c>
      <c r="F2064" t="s">
        <v>5741</v>
      </c>
      <c r="H2064">
        <v>1020035</v>
      </c>
      <c r="I2064" t="s">
        <v>17</v>
      </c>
      <c r="K2064" t="s">
        <v>5742</v>
      </c>
      <c r="L2064">
        <v>421</v>
      </c>
      <c r="M2064" t="s">
        <v>5743</v>
      </c>
    </row>
    <row r="2065" spans="1:13" x14ac:dyDescent="0.35">
      <c r="A2065" t="s">
        <v>13</v>
      </c>
      <c r="B2065">
        <v>2201070</v>
      </c>
      <c r="C2065">
        <v>2201408</v>
      </c>
      <c r="E2065" t="s">
        <v>38</v>
      </c>
      <c r="F2065" t="s">
        <v>49</v>
      </c>
      <c r="H2065">
        <v>1020036</v>
      </c>
      <c r="I2065" t="s">
        <v>17</v>
      </c>
      <c r="K2065" t="s">
        <v>5744</v>
      </c>
      <c r="L2065">
        <v>112</v>
      </c>
      <c r="M2065" t="s">
        <v>5745</v>
      </c>
    </row>
    <row r="2066" spans="1:13" x14ac:dyDescent="0.35">
      <c r="A2066" t="s">
        <v>13</v>
      </c>
      <c r="B2066">
        <v>2201591</v>
      </c>
      <c r="C2066">
        <v>2201869</v>
      </c>
      <c r="E2066" t="s">
        <v>38</v>
      </c>
      <c r="F2066" t="s">
        <v>49</v>
      </c>
      <c r="H2066">
        <v>1020037</v>
      </c>
      <c r="I2066" t="s">
        <v>17</v>
      </c>
      <c r="K2066" t="s">
        <v>5746</v>
      </c>
      <c r="L2066">
        <v>92</v>
      </c>
      <c r="M2066" t="s">
        <v>5747</v>
      </c>
    </row>
    <row r="2067" spans="1:13" x14ac:dyDescent="0.35">
      <c r="A2067" t="s">
        <v>13</v>
      </c>
      <c r="B2067">
        <v>2201989</v>
      </c>
      <c r="C2067">
        <v>2204481</v>
      </c>
      <c r="E2067" t="s">
        <v>38</v>
      </c>
      <c r="F2067" t="s">
        <v>5748</v>
      </c>
      <c r="G2067" t="s">
        <v>5749</v>
      </c>
      <c r="H2067">
        <v>1020038</v>
      </c>
      <c r="I2067" t="s">
        <v>17</v>
      </c>
      <c r="K2067" t="s">
        <v>5750</v>
      </c>
      <c r="L2067">
        <v>830</v>
      </c>
      <c r="M2067" t="s">
        <v>5751</v>
      </c>
    </row>
    <row r="2068" spans="1:13" x14ac:dyDescent="0.35">
      <c r="A2068" t="s">
        <v>13</v>
      </c>
      <c r="B2068">
        <v>2204588</v>
      </c>
      <c r="C2068">
        <v>2205490</v>
      </c>
      <c r="E2068" t="s">
        <v>38</v>
      </c>
      <c r="F2068" t="s">
        <v>356</v>
      </c>
      <c r="H2068">
        <v>1020039</v>
      </c>
      <c r="I2068" t="s">
        <v>17</v>
      </c>
      <c r="K2068" t="s">
        <v>5752</v>
      </c>
      <c r="L2068">
        <v>300</v>
      </c>
      <c r="M2068" t="s">
        <v>5753</v>
      </c>
    </row>
    <row r="2069" spans="1:13" x14ac:dyDescent="0.35">
      <c r="A2069" t="s">
        <v>13</v>
      </c>
      <c r="B2069">
        <v>2205665</v>
      </c>
      <c r="C2069">
        <v>2207092</v>
      </c>
      <c r="E2069" t="s">
        <v>38</v>
      </c>
      <c r="F2069" t="s">
        <v>5754</v>
      </c>
      <c r="G2069" t="s">
        <v>5755</v>
      </c>
      <c r="H2069">
        <v>1020040</v>
      </c>
      <c r="I2069" t="s">
        <v>17</v>
      </c>
      <c r="K2069" t="s">
        <v>5756</v>
      </c>
      <c r="L2069">
        <v>475</v>
      </c>
      <c r="M2069" t="s">
        <v>5757</v>
      </c>
    </row>
    <row r="2070" spans="1:13" x14ac:dyDescent="0.35">
      <c r="A2070" t="s">
        <v>13</v>
      </c>
      <c r="B2070">
        <v>2207299</v>
      </c>
      <c r="C2070">
        <v>2208249</v>
      </c>
      <c r="E2070" t="s">
        <v>38</v>
      </c>
      <c r="F2070" t="s">
        <v>5758</v>
      </c>
      <c r="G2070" t="s">
        <v>5759</v>
      </c>
      <c r="H2070">
        <v>1020041</v>
      </c>
      <c r="I2070" t="s">
        <v>17</v>
      </c>
      <c r="K2070" t="s">
        <v>5760</v>
      </c>
      <c r="L2070">
        <v>316</v>
      </c>
      <c r="M2070" t="s">
        <v>5761</v>
      </c>
    </row>
    <row r="2071" spans="1:13" x14ac:dyDescent="0.35">
      <c r="A2071" t="s">
        <v>13</v>
      </c>
      <c r="B2071">
        <v>2208364</v>
      </c>
      <c r="C2071">
        <v>2209149</v>
      </c>
      <c r="E2071" t="s">
        <v>38</v>
      </c>
      <c r="F2071" t="s">
        <v>5762</v>
      </c>
      <c r="H2071">
        <v>1020042</v>
      </c>
      <c r="I2071" t="s">
        <v>17</v>
      </c>
      <c r="K2071" t="s">
        <v>5763</v>
      </c>
      <c r="L2071">
        <v>261</v>
      </c>
      <c r="M2071" t="s">
        <v>5764</v>
      </c>
    </row>
    <row r="2072" spans="1:13" x14ac:dyDescent="0.35">
      <c r="A2072" t="s">
        <v>13</v>
      </c>
      <c r="B2072">
        <v>2209229</v>
      </c>
      <c r="C2072">
        <v>2209888</v>
      </c>
      <c r="E2072" t="s">
        <v>38</v>
      </c>
      <c r="F2072" t="s">
        <v>5765</v>
      </c>
      <c r="H2072">
        <v>1020043</v>
      </c>
      <c r="I2072" t="s">
        <v>17</v>
      </c>
      <c r="K2072" t="s">
        <v>5766</v>
      </c>
      <c r="L2072">
        <v>219</v>
      </c>
      <c r="M2072" t="s">
        <v>5767</v>
      </c>
    </row>
    <row r="2073" spans="1:13" x14ac:dyDescent="0.35">
      <c r="A2073" t="s">
        <v>13</v>
      </c>
      <c r="B2073">
        <v>2209917</v>
      </c>
      <c r="C2073">
        <v>2210273</v>
      </c>
      <c r="E2073" t="s">
        <v>38</v>
      </c>
      <c r="F2073" t="s">
        <v>5768</v>
      </c>
      <c r="G2073" t="s">
        <v>5769</v>
      </c>
      <c r="H2073">
        <v>1020044</v>
      </c>
      <c r="I2073" t="s">
        <v>17</v>
      </c>
      <c r="K2073" t="s">
        <v>5770</v>
      </c>
      <c r="L2073">
        <v>118</v>
      </c>
      <c r="M2073" t="s">
        <v>5771</v>
      </c>
    </row>
    <row r="2074" spans="1:13" x14ac:dyDescent="0.35">
      <c r="A2074" t="s">
        <v>13</v>
      </c>
      <c r="B2074">
        <v>2210270</v>
      </c>
      <c r="C2074">
        <v>2211046</v>
      </c>
      <c r="E2074" t="s">
        <v>38</v>
      </c>
      <c r="F2074" t="s">
        <v>5772</v>
      </c>
      <c r="G2074" t="s">
        <v>5773</v>
      </c>
      <c r="H2074">
        <v>1020045</v>
      </c>
      <c r="I2074" t="s">
        <v>17</v>
      </c>
      <c r="K2074" t="s">
        <v>5774</v>
      </c>
      <c r="L2074">
        <v>258</v>
      </c>
      <c r="M2074" t="s">
        <v>5775</v>
      </c>
    </row>
    <row r="2075" spans="1:13" x14ac:dyDescent="0.35">
      <c r="A2075" t="s">
        <v>13</v>
      </c>
      <c r="B2075">
        <v>2211048</v>
      </c>
      <c r="C2075">
        <v>2211875</v>
      </c>
      <c r="E2075" t="s">
        <v>38</v>
      </c>
      <c r="F2075" t="s">
        <v>2308</v>
      </c>
      <c r="H2075">
        <v>1020046</v>
      </c>
      <c r="I2075" t="s">
        <v>17</v>
      </c>
      <c r="K2075" t="s">
        <v>5776</v>
      </c>
      <c r="L2075">
        <v>275</v>
      </c>
      <c r="M2075" t="s">
        <v>5777</v>
      </c>
    </row>
    <row r="2076" spans="1:13" x14ac:dyDescent="0.35">
      <c r="A2076" t="s">
        <v>13</v>
      </c>
      <c r="B2076">
        <v>2211879</v>
      </c>
      <c r="C2076">
        <v>2212619</v>
      </c>
      <c r="E2076" t="s">
        <v>38</v>
      </c>
      <c r="F2076" t="s">
        <v>5778</v>
      </c>
      <c r="G2076" t="s">
        <v>5779</v>
      </c>
      <c r="H2076">
        <v>1020047</v>
      </c>
      <c r="I2076" t="s">
        <v>17</v>
      </c>
      <c r="K2076" t="s">
        <v>5780</v>
      </c>
      <c r="L2076">
        <v>246</v>
      </c>
      <c r="M2076" t="s">
        <v>5781</v>
      </c>
    </row>
    <row r="2077" spans="1:13" x14ac:dyDescent="0.35">
      <c r="A2077" t="s">
        <v>13</v>
      </c>
      <c r="B2077">
        <v>2212638</v>
      </c>
      <c r="C2077">
        <v>2213273</v>
      </c>
      <c r="E2077" t="s">
        <v>38</v>
      </c>
      <c r="F2077" t="s">
        <v>5782</v>
      </c>
      <c r="G2077" t="s">
        <v>5783</v>
      </c>
      <c r="H2077">
        <v>1020048</v>
      </c>
      <c r="I2077" t="s">
        <v>17</v>
      </c>
      <c r="K2077" t="s">
        <v>5784</v>
      </c>
      <c r="L2077">
        <v>211</v>
      </c>
      <c r="M2077" t="s">
        <v>5785</v>
      </c>
    </row>
    <row r="2078" spans="1:13" x14ac:dyDescent="0.35">
      <c r="A2078" t="s">
        <v>13</v>
      </c>
      <c r="B2078">
        <v>2213624</v>
      </c>
      <c r="C2078">
        <v>2213757</v>
      </c>
      <c r="E2078" t="s">
        <v>38</v>
      </c>
      <c r="F2078" t="s">
        <v>141</v>
      </c>
      <c r="H2078">
        <v>92792303</v>
      </c>
      <c r="I2078" t="s">
        <v>142</v>
      </c>
      <c r="M2078" t="s">
        <v>5786</v>
      </c>
    </row>
    <row r="2079" spans="1:13" x14ac:dyDescent="0.35">
      <c r="A2079" t="s">
        <v>13</v>
      </c>
      <c r="B2079">
        <v>2214318</v>
      </c>
      <c r="C2079">
        <v>2215586</v>
      </c>
      <c r="E2079" t="s">
        <v>38</v>
      </c>
      <c r="F2079" t="s">
        <v>265</v>
      </c>
      <c r="H2079">
        <v>1020049</v>
      </c>
      <c r="I2079" t="s">
        <v>17</v>
      </c>
      <c r="K2079" t="s">
        <v>5787</v>
      </c>
      <c r="L2079">
        <v>422</v>
      </c>
      <c r="M2079" t="s">
        <v>5788</v>
      </c>
    </row>
    <row r="2080" spans="1:13" x14ac:dyDescent="0.35">
      <c r="A2080" t="s">
        <v>13</v>
      </c>
      <c r="B2080">
        <v>2215636</v>
      </c>
      <c r="C2080">
        <v>2215863</v>
      </c>
      <c r="E2080" t="s">
        <v>38</v>
      </c>
      <c r="F2080" t="s">
        <v>49</v>
      </c>
      <c r="H2080">
        <v>1020050</v>
      </c>
      <c r="I2080" t="s">
        <v>17</v>
      </c>
      <c r="K2080" t="s">
        <v>5789</v>
      </c>
      <c r="L2080">
        <v>75</v>
      </c>
      <c r="M2080" t="s">
        <v>5790</v>
      </c>
    </row>
    <row r="2081" spans="1:13" x14ac:dyDescent="0.35">
      <c r="A2081" t="s">
        <v>13</v>
      </c>
      <c r="B2081">
        <v>2215866</v>
      </c>
      <c r="C2081">
        <v>2216474</v>
      </c>
      <c r="E2081" t="s">
        <v>38</v>
      </c>
      <c r="F2081" t="s">
        <v>5791</v>
      </c>
      <c r="G2081" t="s">
        <v>5792</v>
      </c>
      <c r="H2081">
        <v>1020051</v>
      </c>
      <c r="I2081" t="s">
        <v>17</v>
      </c>
      <c r="K2081" t="s">
        <v>5793</v>
      </c>
      <c r="L2081">
        <v>202</v>
      </c>
      <c r="M2081" t="s">
        <v>5794</v>
      </c>
    </row>
    <row r="2082" spans="1:13" x14ac:dyDescent="0.35">
      <c r="A2082" t="s">
        <v>13</v>
      </c>
      <c r="B2082">
        <v>2216491</v>
      </c>
      <c r="C2082">
        <v>2217591</v>
      </c>
      <c r="E2082" t="s">
        <v>38</v>
      </c>
      <c r="F2082" t="s">
        <v>664</v>
      </c>
      <c r="H2082">
        <v>1020052</v>
      </c>
      <c r="I2082" t="s">
        <v>17</v>
      </c>
      <c r="K2082" t="s">
        <v>5795</v>
      </c>
      <c r="L2082">
        <v>366</v>
      </c>
      <c r="M2082" t="s">
        <v>5796</v>
      </c>
    </row>
    <row r="2083" spans="1:13" x14ac:dyDescent="0.35">
      <c r="A2083" t="s">
        <v>13</v>
      </c>
      <c r="B2083">
        <v>2217597</v>
      </c>
      <c r="C2083">
        <v>2218925</v>
      </c>
      <c r="E2083" t="s">
        <v>38</v>
      </c>
      <c r="F2083" t="s">
        <v>5797</v>
      </c>
      <c r="G2083" t="s">
        <v>5798</v>
      </c>
      <c r="H2083">
        <v>1020053</v>
      </c>
      <c r="I2083" t="s">
        <v>17</v>
      </c>
      <c r="K2083" t="s">
        <v>5799</v>
      </c>
      <c r="L2083">
        <v>442</v>
      </c>
      <c r="M2083" t="s">
        <v>5800</v>
      </c>
    </row>
    <row r="2084" spans="1:13" x14ac:dyDescent="0.35">
      <c r="A2084" t="s">
        <v>13</v>
      </c>
      <c r="B2084">
        <v>2219159</v>
      </c>
      <c r="C2084">
        <v>2220361</v>
      </c>
      <c r="E2084" t="s">
        <v>14</v>
      </c>
      <c r="F2084" t="s">
        <v>3644</v>
      </c>
      <c r="H2084">
        <v>1020054</v>
      </c>
      <c r="I2084" t="s">
        <v>17</v>
      </c>
      <c r="K2084" t="s">
        <v>5801</v>
      </c>
      <c r="L2084">
        <v>400</v>
      </c>
      <c r="M2084" t="s">
        <v>5802</v>
      </c>
    </row>
    <row r="2085" spans="1:13" x14ac:dyDescent="0.35">
      <c r="A2085" t="s">
        <v>13</v>
      </c>
      <c r="B2085">
        <v>2220456</v>
      </c>
      <c r="C2085">
        <v>2221109</v>
      </c>
      <c r="E2085" t="s">
        <v>38</v>
      </c>
      <c r="F2085" t="s">
        <v>49</v>
      </c>
      <c r="H2085">
        <v>1020055</v>
      </c>
      <c r="I2085" t="s">
        <v>17</v>
      </c>
      <c r="K2085" t="s">
        <v>5803</v>
      </c>
      <c r="L2085">
        <v>217</v>
      </c>
      <c r="M2085" t="s">
        <v>5804</v>
      </c>
    </row>
    <row r="2086" spans="1:13" x14ac:dyDescent="0.35">
      <c r="A2086" t="s">
        <v>13</v>
      </c>
      <c r="B2086">
        <v>2221184</v>
      </c>
      <c r="C2086">
        <v>2221828</v>
      </c>
      <c r="E2086" t="s">
        <v>38</v>
      </c>
      <c r="F2086" t="s">
        <v>49</v>
      </c>
      <c r="H2086">
        <v>1020056</v>
      </c>
      <c r="I2086" t="s">
        <v>17</v>
      </c>
      <c r="K2086" t="s">
        <v>5805</v>
      </c>
      <c r="L2086">
        <v>214</v>
      </c>
      <c r="M2086" t="s">
        <v>5806</v>
      </c>
    </row>
    <row r="2087" spans="1:13" x14ac:dyDescent="0.35">
      <c r="A2087" t="s">
        <v>13</v>
      </c>
      <c r="B2087">
        <v>2221946</v>
      </c>
      <c r="C2087">
        <v>2222521</v>
      </c>
      <c r="E2087" t="s">
        <v>14</v>
      </c>
      <c r="F2087" t="s">
        <v>1126</v>
      </c>
      <c r="H2087">
        <v>1020057</v>
      </c>
      <c r="I2087" t="s">
        <v>17</v>
      </c>
      <c r="K2087" t="s">
        <v>5807</v>
      </c>
      <c r="L2087">
        <v>191</v>
      </c>
      <c r="M2087" t="s">
        <v>5808</v>
      </c>
    </row>
    <row r="2088" spans="1:13" x14ac:dyDescent="0.35">
      <c r="A2088" t="s">
        <v>13</v>
      </c>
      <c r="B2088">
        <v>2222528</v>
      </c>
      <c r="C2088">
        <v>2225038</v>
      </c>
      <c r="E2088" t="s">
        <v>14</v>
      </c>
      <c r="F2088" t="s">
        <v>5809</v>
      </c>
      <c r="G2088" t="s">
        <v>5810</v>
      </c>
      <c r="H2088">
        <v>1020058</v>
      </c>
      <c r="I2088" t="s">
        <v>17</v>
      </c>
      <c r="K2088" t="s">
        <v>5811</v>
      </c>
      <c r="L2088">
        <v>836</v>
      </c>
      <c r="M2088" t="s">
        <v>5812</v>
      </c>
    </row>
    <row r="2089" spans="1:13" x14ac:dyDescent="0.35">
      <c r="A2089" t="s">
        <v>13</v>
      </c>
      <c r="B2089">
        <v>2225149</v>
      </c>
      <c r="C2089">
        <v>2225952</v>
      </c>
      <c r="E2089" t="s">
        <v>14</v>
      </c>
      <c r="F2089" t="s">
        <v>1169</v>
      </c>
      <c r="H2089">
        <v>1020059</v>
      </c>
      <c r="I2089" t="s">
        <v>17</v>
      </c>
      <c r="K2089" t="s">
        <v>5813</v>
      </c>
      <c r="L2089">
        <v>267</v>
      </c>
      <c r="M2089" t="s">
        <v>5814</v>
      </c>
    </row>
    <row r="2090" spans="1:13" x14ac:dyDescent="0.35">
      <c r="A2090" t="s">
        <v>13</v>
      </c>
      <c r="B2090">
        <v>2225987</v>
      </c>
      <c r="C2090">
        <v>2226763</v>
      </c>
      <c r="E2090" t="s">
        <v>38</v>
      </c>
      <c r="F2090" t="s">
        <v>5815</v>
      </c>
      <c r="H2090">
        <v>1020060</v>
      </c>
      <c r="I2090" t="s">
        <v>17</v>
      </c>
      <c r="K2090" t="s">
        <v>5816</v>
      </c>
      <c r="L2090">
        <v>258</v>
      </c>
      <c r="M2090" t="s">
        <v>5817</v>
      </c>
    </row>
    <row r="2091" spans="1:13" x14ac:dyDescent="0.35">
      <c r="A2091" t="s">
        <v>13</v>
      </c>
      <c r="B2091">
        <v>2226766</v>
      </c>
      <c r="C2091">
        <v>2227779</v>
      </c>
      <c r="E2091" t="s">
        <v>38</v>
      </c>
      <c r="F2091" t="s">
        <v>524</v>
      </c>
      <c r="H2091">
        <v>1020061</v>
      </c>
      <c r="I2091" t="s">
        <v>17</v>
      </c>
      <c r="K2091" t="s">
        <v>5818</v>
      </c>
      <c r="L2091">
        <v>337</v>
      </c>
      <c r="M2091" t="s">
        <v>5819</v>
      </c>
    </row>
    <row r="2092" spans="1:13" x14ac:dyDescent="0.35">
      <c r="A2092" t="s">
        <v>13</v>
      </c>
      <c r="B2092">
        <v>2227906</v>
      </c>
      <c r="C2092">
        <v>2228904</v>
      </c>
      <c r="E2092" t="s">
        <v>14</v>
      </c>
      <c r="F2092" t="s">
        <v>532</v>
      </c>
      <c r="H2092">
        <v>1020062</v>
      </c>
      <c r="I2092" t="s">
        <v>17</v>
      </c>
      <c r="K2092" t="s">
        <v>5820</v>
      </c>
      <c r="L2092">
        <v>332</v>
      </c>
      <c r="M2092" t="s">
        <v>5821</v>
      </c>
    </row>
    <row r="2093" spans="1:13" x14ac:dyDescent="0.35">
      <c r="A2093" t="s">
        <v>13</v>
      </c>
      <c r="B2093">
        <v>2229096</v>
      </c>
      <c r="C2093">
        <v>2229896</v>
      </c>
      <c r="E2093" t="s">
        <v>38</v>
      </c>
      <c r="F2093" t="s">
        <v>147</v>
      </c>
      <c r="H2093">
        <v>1020063</v>
      </c>
      <c r="I2093" t="s">
        <v>17</v>
      </c>
      <c r="K2093" t="s">
        <v>5822</v>
      </c>
      <c r="L2093">
        <v>266</v>
      </c>
      <c r="M2093" t="s">
        <v>5823</v>
      </c>
    </row>
    <row r="2094" spans="1:13" x14ac:dyDescent="0.35">
      <c r="A2094" t="s">
        <v>13</v>
      </c>
      <c r="B2094">
        <v>2229897</v>
      </c>
      <c r="C2094">
        <v>2230907</v>
      </c>
      <c r="E2094" t="s">
        <v>38</v>
      </c>
      <c r="F2094" t="s">
        <v>144</v>
      </c>
      <c r="H2094">
        <v>1020064</v>
      </c>
      <c r="I2094" t="s">
        <v>17</v>
      </c>
      <c r="K2094" t="s">
        <v>5824</v>
      </c>
      <c r="L2094">
        <v>336</v>
      </c>
      <c r="M2094" t="s">
        <v>5825</v>
      </c>
    </row>
    <row r="2095" spans="1:13" x14ac:dyDescent="0.35">
      <c r="A2095" t="s">
        <v>13</v>
      </c>
      <c r="B2095">
        <v>2230944</v>
      </c>
      <c r="C2095">
        <v>2231933</v>
      </c>
      <c r="E2095" t="s">
        <v>38</v>
      </c>
      <c r="F2095" t="s">
        <v>1008</v>
      </c>
      <c r="H2095">
        <v>1020065</v>
      </c>
      <c r="I2095" t="s">
        <v>17</v>
      </c>
      <c r="K2095" t="s">
        <v>5826</v>
      </c>
      <c r="L2095">
        <v>329</v>
      </c>
      <c r="M2095" t="s">
        <v>5827</v>
      </c>
    </row>
    <row r="2096" spans="1:13" x14ac:dyDescent="0.35">
      <c r="A2096" t="s">
        <v>13</v>
      </c>
      <c r="B2096">
        <v>2232014</v>
      </c>
      <c r="C2096">
        <v>2232457</v>
      </c>
      <c r="E2096" t="s">
        <v>38</v>
      </c>
      <c r="F2096" t="s">
        <v>3866</v>
      </c>
      <c r="H2096">
        <v>1020066</v>
      </c>
      <c r="I2096" t="s">
        <v>17</v>
      </c>
      <c r="K2096" t="s">
        <v>5828</v>
      </c>
      <c r="L2096">
        <v>147</v>
      </c>
      <c r="M2096" t="s">
        <v>5829</v>
      </c>
    </row>
    <row r="2097" spans="1:13" x14ac:dyDescent="0.35">
      <c r="A2097" t="s">
        <v>13</v>
      </c>
      <c r="B2097">
        <v>2232671</v>
      </c>
      <c r="C2097">
        <v>2234074</v>
      </c>
      <c r="E2097" t="s">
        <v>14</v>
      </c>
      <c r="F2097" t="s">
        <v>3655</v>
      </c>
      <c r="H2097">
        <v>1020067</v>
      </c>
      <c r="I2097" t="s">
        <v>17</v>
      </c>
      <c r="K2097" t="s">
        <v>5830</v>
      </c>
      <c r="L2097">
        <v>467</v>
      </c>
      <c r="M2097" t="s">
        <v>5831</v>
      </c>
    </row>
    <row r="2098" spans="1:13" x14ac:dyDescent="0.35">
      <c r="A2098" t="s">
        <v>13</v>
      </c>
      <c r="B2098">
        <v>2234159</v>
      </c>
      <c r="C2098">
        <v>2234767</v>
      </c>
      <c r="E2098" t="s">
        <v>14</v>
      </c>
      <c r="F2098" t="s">
        <v>49</v>
      </c>
      <c r="H2098">
        <v>1020068</v>
      </c>
      <c r="I2098" t="s">
        <v>17</v>
      </c>
      <c r="K2098" t="s">
        <v>5832</v>
      </c>
      <c r="L2098">
        <v>202</v>
      </c>
      <c r="M2098" t="s">
        <v>5833</v>
      </c>
    </row>
    <row r="2099" spans="1:13" x14ac:dyDescent="0.35">
      <c r="A2099" t="s">
        <v>13</v>
      </c>
      <c r="B2099">
        <v>2234853</v>
      </c>
      <c r="C2099">
        <v>2237288</v>
      </c>
      <c r="E2099" t="s">
        <v>14</v>
      </c>
      <c r="F2099" t="s">
        <v>5834</v>
      </c>
      <c r="G2099" t="s">
        <v>5835</v>
      </c>
      <c r="H2099">
        <v>1020069</v>
      </c>
      <c r="I2099" t="s">
        <v>17</v>
      </c>
      <c r="K2099" t="s">
        <v>5836</v>
      </c>
      <c r="L2099">
        <v>811</v>
      </c>
      <c r="M2099" t="s">
        <v>5837</v>
      </c>
    </row>
    <row r="2100" spans="1:13" x14ac:dyDescent="0.35">
      <c r="A2100" t="s">
        <v>13</v>
      </c>
      <c r="B2100">
        <v>2237332</v>
      </c>
      <c r="C2100">
        <v>2238357</v>
      </c>
      <c r="E2100" t="s">
        <v>14</v>
      </c>
      <c r="F2100" t="s">
        <v>3345</v>
      </c>
      <c r="H2100">
        <v>1020070</v>
      </c>
      <c r="I2100" t="s">
        <v>17</v>
      </c>
      <c r="K2100" t="s">
        <v>5838</v>
      </c>
      <c r="L2100">
        <v>341</v>
      </c>
      <c r="M2100" t="s">
        <v>5839</v>
      </c>
    </row>
    <row r="2101" spans="1:13" x14ac:dyDescent="0.35">
      <c r="A2101" t="s">
        <v>13</v>
      </c>
      <c r="B2101">
        <v>2238479</v>
      </c>
      <c r="C2101">
        <v>2238610</v>
      </c>
      <c r="E2101" t="s">
        <v>14</v>
      </c>
      <c r="F2101" t="s">
        <v>49</v>
      </c>
      <c r="H2101">
        <v>92792327</v>
      </c>
      <c r="I2101" t="s">
        <v>17</v>
      </c>
      <c r="K2101" t="s">
        <v>5840</v>
      </c>
      <c r="L2101">
        <v>43</v>
      </c>
      <c r="M2101" t="s">
        <v>5841</v>
      </c>
    </row>
    <row r="2102" spans="1:13" x14ac:dyDescent="0.35">
      <c r="A2102" t="s">
        <v>13</v>
      </c>
      <c r="B2102">
        <v>2238692</v>
      </c>
      <c r="C2102">
        <v>2239066</v>
      </c>
      <c r="E2102" t="s">
        <v>38</v>
      </c>
      <c r="F2102" t="s">
        <v>49</v>
      </c>
      <c r="H2102">
        <v>1020071</v>
      </c>
      <c r="I2102" t="s">
        <v>17</v>
      </c>
      <c r="K2102" t="s">
        <v>5842</v>
      </c>
      <c r="L2102">
        <v>124</v>
      </c>
      <c r="M2102" t="s">
        <v>5843</v>
      </c>
    </row>
    <row r="2103" spans="1:13" x14ac:dyDescent="0.35">
      <c r="A2103" t="s">
        <v>13</v>
      </c>
      <c r="B2103">
        <v>2239506</v>
      </c>
      <c r="C2103">
        <v>2240546</v>
      </c>
      <c r="E2103" t="s">
        <v>38</v>
      </c>
      <c r="F2103" t="s">
        <v>49</v>
      </c>
      <c r="H2103">
        <v>1020072</v>
      </c>
      <c r="I2103" t="s">
        <v>17</v>
      </c>
      <c r="K2103" t="s">
        <v>5844</v>
      </c>
      <c r="L2103">
        <v>346</v>
      </c>
      <c r="M2103" t="s">
        <v>5845</v>
      </c>
    </row>
    <row r="2104" spans="1:13" x14ac:dyDescent="0.35">
      <c r="A2104" t="s">
        <v>13</v>
      </c>
      <c r="B2104">
        <v>2240682</v>
      </c>
      <c r="C2104">
        <v>2241728</v>
      </c>
      <c r="E2104" t="s">
        <v>14</v>
      </c>
      <c r="F2104" t="s">
        <v>2071</v>
      </c>
      <c r="H2104">
        <v>1020073</v>
      </c>
      <c r="I2104" t="s">
        <v>17</v>
      </c>
      <c r="K2104" t="s">
        <v>5846</v>
      </c>
      <c r="L2104">
        <v>348</v>
      </c>
      <c r="M2104" t="s">
        <v>5847</v>
      </c>
    </row>
    <row r="2105" spans="1:13" x14ac:dyDescent="0.35">
      <c r="A2105" t="s">
        <v>13</v>
      </c>
      <c r="B2105">
        <v>2241736</v>
      </c>
      <c r="C2105">
        <v>2242116</v>
      </c>
      <c r="E2105" t="s">
        <v>38</v>
      </c>
      <c r="F2105" t="s">
        <v>466</v>
      </c>
      <c r="H2105">
        <v>1020074</v>
      </c>
      <c r="I2105" t="s">
        <v>17</v>
      </c>
      <c r="K2105" t="s">
        <v>5848</v>
      </c>
      <c r="L2105">
        <v>126</v>
      </c>
      <c r="M2105" t="s">
        <v>5849</v>
      </c>
    </row>
    <row r="2106" spans="1:13" x14ac:dyDescent="0.35">
      <c r="A2106" t="s">
        <v>13</v>
      </c>
      <c r="B2106">
        <v>2242127</v>
      </c>
      <c r="C2106">
        <v>2242360</v>
      </c>
      <c r="E2106" t="s">
        <v>38</v>
      </c>
      <c r="F2106" t="s">
        <v>49</v>
      </c>
      <c r="H2106">
        <v>1020075</v>
      </c>
      <c r="I2106" t="s">
        <v>17</v>
      </c>
      <c r="K2106" t="s">
        <v>5850</v>
      </c>
      <c r="L2106">
        <v>77</v>
      </c>
      <c r="M2106" t="s">
        <v>5851</v>
      </c>
    </row>
    <row r="2107" spans="1:13" x14ac:dyDescent="0.35">
      <c r="A2107" t="s">
        <v>13</v>
      </c>
      <c r="B2107">
        <v>2242391</v>
      </c>
      <c r="C2107">
        <v>2243044</v>
      </c>
      <c r="E2107" t="s">
        <v>38</v>
      </c>
      <c r="F2107" t="s">
        <v>5852</v>
      </c>
      <c r="H2107">
        <v>1020076</v>
      </c>
      <c r="I2107" t="s">
        <v>17</v>
      </c>
      <c r="K2107" t="s">
        <v>5853</v>
      </c>
      <c r="L2107">
        <v>217</v>
      </c>
      <c r="M2107" t="s">
        <v>5854</v>
      </c>
    </row>
    <row r="2108" spans="1:13" x14ac:dyDescent="0.35">
      <c r="A2108" t="s">
        <v>13</v>
      </c>
      <c r="B2108">
        <v>2243099</v>
      </c>
      <c r="C2108">
        <v>2244823</v>
      </c>
      <c r="E2108" t="s">
        <v>14</v>
      </c>
      <c r="F2108" t="s">
        <v>5855</v>
      </c>
      <c r="G2108" t="s">
        <v>5856</v>
      </c>
      <c r="H2108">
        <v>1020077</v>
      </c>
      <c r="I2108" t="s">
        <v>17</v>
      </c>
      <c r="K2108" t="s">
        <v>5857</v>
      </c>
      <c r="L2108">
        <v>574</v>
      </c>
      <c r="M2108" t="s">
        <v>5858</v>
      </c>
    </row>
    <row r="2109" spans="1:13" x14ac:dyDescent="0.35">
      <c r="A2109" t="s">
        <v>13</v>
      </c>
      <c r="B2109">
        <v>2244862</v>
      </c>
      <c r="C2109">
        <v>2246172</v>
      </c>
      <c r="E2109" t="s">
        <v>38</v>
      </c>
      <c r="F2109" t="s">
        <v>5859</v>
      </c>
      <c r="G2109" t="s">
        <v>5860</v>
      </c>
      <c r="H2109">
        <v>1020078</v>
      </c>
      <c r="I2109" t="s">
        <v>17</v>
      </c>
      <c r="K2109" t="s">
        <v>5861</v>
      </c>
      <c r="L2109">
        <v>436</v>
      </c>
      <c r="M2109" t="s">
        <v>5862</v>
      </c>
    </row>
    <row r="2110" spans="1:13" x14ac:dyDescent="0.35">
      <c r="A2110" t="s">
        <v>13</v>
      </c>
      <c r="B2110">
        <v>2246387</v>
      </c>
      <c r="C2110">
        <v>2246896</v>
      </c>
      <c r="E2110" t="s">
        <v>14</v>
      </c>
      <c r="F2110" t="s">
        <v>49</v>
      </c>
      <c r="H2110">
        <v>1020079</v>
      </c>
      <c r="I2110" t="s">
        <v>17</v>
      </c>
      <c r="K2110" t="s">
        <v>5863</v>
      </c>
      <c r="L2110">
        <v>169</v>
      </c>
      <c r="M2110" t="s">
        <v>5864</v>
      </c>
    </row>
    <row r="2111" spans="1:13" x14ac:dyDescent="0.35">
      <c r="A2111" t="s">
        <v>13</v>
      </c>
      <c r="B2111">
        <v>2247004</v>
      </c>
      <c r="C2111">
        <v>2248209</v>
      </c>
      <c r="E2111" t="s">
        <v>38</v>
      </c>
      <c r="F2111" t="s">
        <v>5865</v>
      </c>
      <c r="H2111">
        <v>1020080</v>
      </c>
      <c r="I2111" t="s">
        <v>17</v>
      </c>
      <c r="K2111" t="s">
        <v>5866</v>
      </c>
      <c r="L2111">
        <v>401</v>
      </c>
      <c r="M2111" t="s">
        <v>5867</v>
      </c>
    </row>
    <row r="2112" spans="1:13" x14ac:dyDescent="0.35">
      <c r="A2112" t="s">
        <v>13</v>
      </c>
      <c r="B2112">
        <v>2248356</v>
      </c>
      <c r="C2112">
        <v>2251922</v>
      </c>
      <c r="E2112" t="s">
        <v>38</v>
      </c>
      <c r="F2112" t="s">
        <v>5868</v>
      </c>
      <c r="G2112" t="s">
        <v>5869</v>
      </c>
      <c r="H2112">
        <v>1020081</v>
      </c>
      <c r="I2112" t="s">
        <v>17</v>
      </c>
      <c r="K2112" t="s">
        <v>5870</v>
      </c>
      <c r="L2112">
        <v>1188</v>
      </c>
      <c r="M2112" t="s">
        <v>5871</v>
      </c>
    </row>
    <row r="2113" spans="1:13" x14ac:dyDescent="0.35">
      <c r="A2113" t="s">
        <v>13</v>
      </c>
      <c r="B2113">
        <v>2252018</v>
      </c>
      <c r="C2113">
        <v>2252860</v>
      </c>
      <c r="E2113" t="s">
        <v>14</v>
      </c>
      <c r="F2113" t="s">
        <v>5872</v>
      </c>
      <c r="G2113" t="s">
        <v>5873</v>
      </c>
      <c r="H2113">
        <v>1020082</v>
      </c>
      <c r="I2113" t="s">
        <v>17</v>
      </c>
      <c r="K2113" t="s">
        <v>5874</v>
      </c>
      <c r="L2113">
        <v>280</v>
      </c>
      <c r="M2113" t="s">
        <v>5875</v>
      </c>
    </row>
    <row r="2114" spans="1:13" x14ac:dyDescent="0.35">
      <c r="A2114" t="s">
        <v>13</v>
      </c>
      <c r="B2114">
        <v>2253193</v>
      </c>
      <c r="C2114">
        <v>2253663</v>
      </c>
      <c r="E2114" t="s">
        <v>14</v>
      </c>
      <c r="F2114" t="s">
        <v>5876</v>
      </c>
      <c r="H2114">
        <v>1020083</v>
      </c>
      <c r="I2114" t="s">
        <v>17</v>
      </c>
      <c r="K2114" t="s">
        <v>5877</v>
      </c>
      <c r="L2114">
        <v>156</v>
      </c>
      <c r="M2114" t="s">
        <v>5878</v>
      </c>
    </row>
    <row r="2115" spans="1:13" x14ac:dyDescent="0.35">
      <c r="A2115" t="s">
        <v>13</v>
      </c>
      <c r="B2115">
        <v>2253660</v>
      </c>
      <c r="C2115">
        <v>2254646</v>
      </c>
      <c r="E2115" t="s">
        <v>14</v>
      </c>
      <c r="F2115" t="s">
        <v>5708</v>
      </c>
      <c r="H2115">
        <v>1020084</v>
      </c>
      <c r="I2115" t="s">
        <v>17</v>
      </c>
      <c r="K2115" t="s">
        <v>5879</v>
      </c>
      <c r="L2115">
        <v>328</v>
      </c>
      <c r="M2115" t="s">
        <v>5880</v>
      </c>
    </row>
    <row r="2116" spans="1:13" x14ac:dyDescent="0.35">
      <c r="A2116" t="s">
        <v>13</v>
      </c>
      <c r="B2116">
        <v>2254681</v>
      </c>
      <c r="C2116">
        <v>2255568</v>
      </c>
      <c r="E2116" t="s">
        <v>38</v>
      </c>
      <c r="F2116" t="s">
        <v>1841</v>
      </c>
      <c r="H2116">
        <v>1020085</v>
      </c>
      <c r="I2116" t="s">
        <v>17</v>
      </c>
      <c r="K2116" t="s">
        <v>5881</v>
      </c>
      <c r="L2116">
        <v>295</v>
      </c>
      <c r="M2116" t="s">
        <v>5882</v>
      </c>
    </row>
    <row r="2117" spans="1:13" x14ac:dyDescent="0.35">
      <c r="A2117" t="s">
        <v>13</v>
      </c>
      <c r="B2117">
        <v>2255736</v>
      </c>
      <c r="C2117">
        <v>2258390</v>
      </c>
      <c r="E2117" t="s">
        <v>38</v>
      </c>
      <c r="F2117" t="s">
        <v>5883</v>
      </c>
      <c r="H2117">
        <v>44144984</v>
      </c>
      <c r="I2117" t="s">
        <v>17</v>
      </c>
      <c r="K2117" t="s">
        <v>5884</v>
      </c>
      <c r="L2117">
        <v>884</v>
      </c>
      <c r="M2117" t="s">
        <v>5885</v>
      </c>
    </row>
    <row r="2118" spans="1:13" x14ac:dyDescent="0.35">
      <c r="A2118" t="s">
        <v>13</v>
      </c>
      <c r="B2118">
        <v>2258360</v>
      </c>
      <c r="C2118">
        <v>2259313</v>
      </c>
      <c r="E2118" t="s">
        <v>38</v>
      </c>
      <c r="F2118" t="s">
        <v>5886</v>
      </c>
      <c r="H2118">
        <v>1020087</v>
      </c>
      <c r="I2118" t="s">
        <v>17</v>
      </c>
      <c r="K2118" t="s">
        <v>5887</v>
      </c>
      <c r="L2118">
        <v>317</v>
      </c>
      <c r="M2118" t="s">
        <v>5888</v>
      </c>
    </row>
    <row r="2119" spans="1:13" x14ac:dyDescent="0.35">
      <c r="A2119" t="s">
        <v>13</v>
      </c>
      <c r="B2119">
        <v>2259419</v>
      </c>
      <c r="C2119">
        <v>2260000</v>
      </c>
      <c r="E2119" t="s">
        <v>38</v>
      </c>
      <c r="F2119" t="s">
        <v>49</v>
      </c>
      <c r="H2119">
        <v>1020088</v>
      </c>
      <c r="I2119" t="s">
        <v>17</v>
      </c>
      <c r="K2119" t="s">
        <v>5889</v>
      </c>
      <c r="L2119">
        <v>193</v>
      </c>
      <c r="M2119" t="s">
        <v>5890</v>
      </c>
    </row>
    <row r="2120" spans="1:13" x14ac:dyDescent="0.35">
      <c r="A2120" t="s">
        <v>13</v>
      </c>
      <c r="B2120">
        <v>2260000</v>
      </c>
      <c r="C2120">
        <v>2260932</v>
      </c>
      <c r="E2120" t="s">
        <v>38</v>
      </c>
      <c r="F2120" t="s">
        <v>958</v>
      </c>
      <c r="H2120">
        <v>1020089</v>
      </c>
      <c r="I2120" t="s">
        <v>17</v>
      </c>
      <c r="K2120" t="s">
        <v>5891</v>
      </c>
      <c r="L2120">
        <v>310</v>
      </c>
      <c r="M2120" t="s">
        <v>5892</v>
      </c>
    </row>
    <row r="2121" spans="1:13" x14ac:dyDescent="0.35">
      <c r="A2121" t="s">
        <v>13</v>
      </c>
      <c r="B2121">
        <v>2260932</v>
      </c>
      <c r="C2121">
        <v>2261513</v>
      </c>
      <c r="E2121" t="s">
        <v>38</v>
      </c>
      <c r="F2121" t="s">
        <v>5893</v>
      </c>
      <c r="G2121" t="s">
        <v>5894</v>
      </c>
      <c r="H2121">
        <v>1020090</v>
      </c>
      <c r="I2121" t="s">
        <v>17</v>
      </c>
      <c r="K2121" t="s">
        <v>5895</v>
      </c>
      <c r="L2121">
        <v>193</v>
      </c>
      <c r="M2121" t="s">
        <v>5896</v>
      </c>
    </row>
    <row r="2122" spans="1:13" x14ac:dyDescent="0.35">
      <c r="A2122" t="s">
        <v>13</v>
      </c>
      <c r="B2122">
        <v>2261833</v>
      </c>
      <c r="C2122">
        <v>2262693</v>
      </c>
      <c r="E2122" t="s">
        <v>14</v>
      </c>
      <c r="F2122" t="s">
        <v>49</v>
      </c>
      <c r="H2122">
        <v>1020091</v>
      </c>
      <c r="I2122" t="s">
        <v>17</v>
      </c>
      <c r="K2122" t="s">
        <v>5897</v>
      </c>
      <c r="L2122">
        <v>286</v>
      </c>
      <c r="M2122" t="s">
        <v>5898</v>
      </c>
    </row>
    <row r="2123" spans="1:13" x14ac:dyDescent="0.35">
      <c r="A2123" t="s">
        <v>13</v>
      </c>
      <c r="B2123">
        <v>2262851</v>
      </c>
      <c r="C2123">
        <v>2264503</v>
      </c>
      <c r="E2123" t="s">
        <v>14</v>
      </c>
      <c r="F2123" t="s">
        <v>2635</v>
      </c>
      <c r="H2123">
        <v>1020092</v>
      </c>
      <c r="I2123" t="s">
        <v>17</v>
      </c>
      <c r="K2123" t="s">
        <v>5899</v>
      </c>
      <c r="L2123">
        <v>550</v>
      </c>
      <c r="M2123" t="s">
        <v>5900</v>
      </c>
    </row>
    <row r="2124" spans="1:13" x14ac:dyDescent="0.35">
      <c r="A2124" t="s">
        <v>13</v>
      </c>
      <c r="B2124">
        <v>2264507</v>
      </c>
      <c r="C2124">
        <v>2265109</v>
      </c>
      <c r="E2124" t="s">
        <v>38</v>
      </c>
      <c r="F2124" t="s">
        <v>49</v>
      </c>
      <c r="H2124">
        <v>1020093</v>
      </c>
      <c r="I2124" t="s">
        <v>17</v>
      </c>
      <c r="K2124" t="s">
        <v>5901</v>
      </c>
      <c r="L2124">
        <v>200</v>
      </c>
      <c r="M2124" t="s">
        <v>5902</v>
      </c>
    </row>
    <row r="2125" spans="1:13" x14ac:dyDescent="0.35">
      <c r="A2125" t="s">
        <v>13</v>
      </c>
      <c r="B2125">
        <v>2265421</v>
      </c>
      <c r="C2125">
        <v>2266398</v>
      </c>
      <c r="E2125" t="s">
        <v>14</v>
      </c>
      <c r="F2125" t="s">
        <v>5903</v>
      </c>
      <c r="H2125">
        <v>1020094</v>
      </c>
      <c r="I2125" t="s">
        <v>17</v>
      </c>
      <c r="K2125" t="s">
        <v>5904</v>
      </c>
      <c r="L2125">
        <v>325</v>
      </c>
      <c r="M2125" t="s">
        <v>5905</v>
      </c>
    </row>
    <row r="2126" spans="1:13" x14ac:dyDescent="0.35">
      <c r="A2126" t="s">
        <v>13</v>
      </c>
      <c r="B2126">
        <v>2266895</v>
      </c>
      <c r="C2126">
        <v>2268298</v>
      </c>
      <c r="E2126" t="s">
        <v>38</v>
      </c>
      <c r="F2126" t="s">
        <v>5906</v>
      </c>
      <c r="H2126">
        <v>1020096</v>
      </c>
      <c r="I2126" t="s">
        <v>17</v>
      </c>
      <c r="K2126" t="s">
        <v>5907</v>
      </c>
      <c r="L2126">
        <v>467</v>
      </c>
      <c r="M2126" t="s">
        <v>5908</v>
      </c>
    </row>
    <row r="2127" spans="1:13" x14ac:dyDescent="0.35">
      <c r="A2127" t="s">
        <v>13</v>
      </c>
      <c r="B2127">
        <v>2268386</v>
      </c>
      <c r="C2127">
        <v>2269246</v>
      </c>
      <c r="E2127" t="s">
        <v>38</v>
      </c>
      <c r="F2127" t="s">
        <v>425</v>
      </c>
      <c r="H2127">
        <v>1020097</v>
      </c>
      <c r="I2127" t="s">
        <v>17</v>
      </c>
      <c r="K2127" t="s">
        <v>5909</v>
      </c>
      <c r="L2127">
        <v>286</v>
      </c>
      <c r="M2127" t="s">
        <v>5910</v>
      </c>
    </row>
    <row r="2128" spans="1:13" x14ac:dyDescent="0.35">
      <c r="A2128" t="s">
        <v>13</v>
      </c>
      <c r="B2128">
        <v>2269258</v>
      </c>
      <c r="C2128">
        <v>2270262</v>
      </c>
      <c r="E2128" t="s">
        <v>38</v>
      </c>
      <c r="F2128" t="s">
        <v>4077</v>
      </c>
      <c r="H2128">
        <v>1020098</v>
      </c>
      <c r="I2128" t="s">
        <v>17</v>
      </c>
      <c r="K2128" t="s">
        <v>5911</v>
      </c>
      <c r="L2128">
        <v>334</v>
      </c>
      <c r="M2128" t="s">
        <v>5912</v>
      </c>
    </row>
    <row r="2129" spans="1:13" x14ac:dyDescent="0.35">
      <c r="A2129" t="s">
        <v>13</v>
      </c>
      <c r="B2129">
        <v>2270256</v>
      </c>
      <c r="C2129">
        <v>2270870</v>
      </c>
      <c r="E2129" t="s">
        <v>38</v>
      </c>
      <c r="F2129" t="s">
        <v>49</v>
      </c>
      <c r="H2129">
        <v>1020099</v>
      </c>
      <c r="I2129" t="s">
        <v>17</v>
      </c>
      <c r="K2129" t="s">
        <v>5913</v>
      </c>
      <c r="L2129">
        <v>204</v>
      </c>
      <c r="M2129" t="s">
        <v>5914</v>
      </c>
    </row>
    <row r="2130" spans="1:13" x14ac:dyDescent="0.35">
      <c r="A2130" t="s">
        <v>13</v>
      </c>
      <c r="B2130">
        <v>2270986</v>
      </c>
      <c r="C2130">
        <v>2274150</v>
      </c>
      <c r="E2130" t="s">
        <v>38</v>
      </c>
      <c r="F2130" t="s">
        <v>5915</v>
      </c>
      <c r="G2130" t="s">
        <v>5916</v>
      </c>
      <c r="H2130">
        <v>1020100</v>
      </c>
      <c r="I2130" t="s">
        <v>17</v>
      </c>
      <c r="K2130" t="s">
        <v>5917</v>
      </c>
      <c r="L2130">
        <v>1054</v>
      </c>
      <c r="M2130" t="s">
        <v>5918</v>
      </c>
    </row>
    <row r="2131" spans="1:13" x14ac:dyDescent="0.35">
      <c r="A2131" t="s">
        <v>13</v>
      </c>
      <c r="B2131">
        <v>2274471</v>
      </c>
      <c r="C2131">
        <v>2274689</v>
      </c>
      <c r="E2131" t="s">
        <v>38</v>
      </c>
      <c r="F2131" t="s">
        <v>49</v>
      </c>
      <c r="H2131">
        <v>1020101</v>
      </c>
      <c r="I2131" t="s">
        <v>17</v>
      </c>
      <c r="K2131" t="s">
        <v>5919</v>
      </c>
      <c r="L2131">
        <v>72</v>
      </c>
      <c r="M2131" t="s">
        <v>5920</v>
      </c>
    </row>
    <row r="2132" spans="1:13" x14ac:dyDescent="0.35">
      <c r="A2132" t="s">
        <v>13</v>
      </c>
      <c r="B2132">
        <v>2274765</v>
      </c>
      <c r="C2132">
        <v>2275862</v>
      </c>
      <c r="E2132" t="s">
        <v>38</v>
      </c>
      <c r="F2132" t="s">
        <v>5722</v>
      </c>
      <c r="H2132">
        <v>1020102</v>
      </c>
      <c r="I2132" t="s">
        <v>17</v>
      </c>
      <c r="K2132" t="s">
        <v>5921</v>
      </c>
      <c r="L2132">
        <v>365</v>
      </c>
      <c r="M2132" t="s">
        <v>5922</v>
      </c>
    </row>
    <row r="2133" spans="1:13" x14ac:dyDescent="0.35">
      <c r="A2133" t="s">
        <v>13</v>
      </c>
      <c r="B2133">
        <v>2276351</v>
      </c>
      <c r="C2133">
        <v>2276638</v>
      </c>
      <c r="E2133" t="s">
        <v>38</v>
      </c>
      <c r="F2133" t="s">
        <v>5923</v>
      </c>
      <c r="H2133">
        <v>1020103</v>
      </c>
      <c r="I2133" t="s">
        <v>17</v>
      </c>
      <c r="K2133" t="s">
        <v>5924</v>
      </c>
      <c r="L2133">
        <v>95</v>
      </c>
      <c r="M2133" t="s">
        <v>5925</v>
      </c>
    </row>
    <row r="2134" spans="1:13" x14ac:dyDescent="0.35">
      <c r="A2134" t="s">
        <v>13</v>
      </c>
      <c r="B2134">
        <v>2276879</v>
      </c>
      <c r="C2134">
        <v>2277337</v>
      </c>
      <c r="E2134" t="s">
        <v>38</v>
      </c>
      <c r="F2134" t="s">
        <v>5926</v>
      </c>
      <c r="H2134">
        <v>1020104</v>
      </c>
      <c r="I2134" t="s">
        <v>17</v>
      </c>
      <c r="K2134" t="s">
        <v>5927</v>
      </c>
      <c r="L2134">
        <v>152</v>
      </c>
      <c r="M2134" t="s">
        <v>5928</v>
      </c>
    </row>
    <row r="2135" spans="1:13" x14ac:dyDescent="0.35">
      <c r="A2135" t="s">
        <v>13</v>
      </c>
      <c r="B2135">
        <v>2277414</v>
      </c>
      <c r="C2135">
        <v>2278118</v>
      </c>
      <c r="E2135" t="s">
        <v>38</v>
      </c>
      <c r="F2135" t="s">
        <v>5929</v>
      </c>
      <c r="H2135">
        <v>1020105</v>
      </c>
      <c r="I2135" t="s">
        <v>17</v>
      </c>
      <c r="K2135" t="s">
        <v>5930</v>
      </c>
      <c r="L2135">
        <v>234</v>
      </c>
      <c r="M2135" t="s">
        <v>5931</v>
      </c>
    </row>
    <row r="2136" spans="1:13" x14ac:dyDescent="0.35">
      <c r="A2136" t="s">
        <v>13</v>
      </c>
      <c r="B2136">
        <v>2278120</v>
      </c>
      <c r="C2136">
        <v>2278860</v>
      </c>
      <c r="E2136" t="s">
        <v>38</v>
      </c>
      <c r="F2136" t="s">
        <v>5932</v>
      </c>
      <c r="G2136" t="s">
        <v>5933</v>
      </c>
      <c r="H2136">
        <v>1020106</v>
      </c>
      <c r="I2136" t="s">
        <v>17</v>
      </c>
      <c r="K2136" t="s">
        <v>5934</v>
      </c>
      <c r="L2136">
        <v>246</v>
      </c>
      <c r="M2136" t="s">
        <v>5935</v>
      </c>
    </row>
    <row r="2137" spans="1:13" x14ac:dyDescent="0.35">
      <c r="A2137" t="s">
        <v>13</v>
      </c>
      <c r="B2137">
        <v>2278888</v>
      </c>
      <c r="C2137">
        <v>2280216</v>
      </c>
      <c r="E2137" t="s">
        <v>38</v>
      </c>
      <c r="F2137" t="s">
        <v>5936</v>
      </c>
      <c r="G2137" t="s">
        <v>5937</v>
      </c>
      <c r="H2137">
        <v>1020107</v>
      </c>
      <c r="I2137" t="s">
        <v>17</v>
      </c>
      <c r="K2137" t="s">
        <v>5938</v>
      </c>
      <c r="L2137">
        <v>442</v>
      </c>
      <c r="M2137" t="s">
        <v>5939</v>
      </c>
    </row>
    <row r="2138" spans="1:13" x14ac:dyDescent="0.35">
      <c r="A2138" t="s">
        <v>13</v>
      </c>
      <c r="B2138">
        <v>2280468</v>
      </c>
      <c r="C2138">
        <v>2281136</v>
      </c>
      <c r="E2138" t="s">
        <v>38</v>
      </c>
      <c r="F2138" t="s">
        <v>5940</v>
      </c>
      <c r="G2138" t="s">
        <v>5941</v>
      </c>
      <c r="H2138">
        <v>1020108</v>
      </c>
      <c r="I2138" t="s">
        <v>17</v>
      </c>
      <c r="K2138" t="s">
        <v>5942</v>
      </c>
      <c r="L2138">
        <v>222</v>
      </c>
      <c r="M2138" t="s">
        <v>5943</v>
      </c>
    </row>
    <row r="2139" spans="1:13" x14ac:dyDescent="0.35">
      <c r="A2139" t="s">
        <v>13</v>
      </c>
      <c r="B2139">
        <v>2281164</v>
      </c>
      <c r="C2139">
        <v>2282546</v>
      </c>
      <c r="E2139" t="s">
        <v>38</v>
      </c>
      <c r="F2139" t="s">
        <v>5944</v>
      </c>
      <c r="G2139" t="s">
        <v>5945</v>
      </c>
      <c r="H2139">
        <v>1020109</v>
      </c>
      <c r="I2139" t="s">
        <v>17</v>
      </c>
      <c r="K2139" t="s">
        <v>5946</v>
      </c>
      <c r="L2139">
        <v>460</v>
      </c>
      <c r="M2139" t="s">
        <v>5947</v>
      </c>
    </row>
    <row r="2140" spans="1:13" x14ac:dyDescent="0.35">
      <c r="A2140" t="s">
        <v>13</v>
      </c>
      <c r="B2140">
        <v>2282659</v>
      </c>
      <c r="C2140">
        <v>2283750</v>
      </c>
      <c r="E2140" t="s">
        <v>38</v>
      </c>
      <c r="F2140" t="s">
        <v>5948</v>
      </c>
      <c r="G2140" t="s">
        <v>5949</v>
      </c>
      <c r="H2140">
        <v>1020110</v>
      </c>
      <c r="I2140" t="s">
        <v>17</v>
      </c>
      <c r="K2140" t="s">
        <v>5950</v>
      </c>
      <c r="L2140">
        <v>363</v>
      </c>
      <c r="M2140" t="s">
        <v>5951</v>
      </c>
    </row>
    <row r="2141" spans="1:13" x14ac:dyDescent="0.35">
      <c r="A2141" t="s">
        <v>13</v>
      </c>
      <c r="B2141">
        <v>2283780</v>
      </c>
      <c r="C2141">
        <v>2285432</v>
      </c>
      <c r="E2141" t="s">
        <v>38</v>
      </c>
      <c r="F2141" t="s">
        <v>5952</v>
      </c>
      <c r="H2141">
        <v>1020111</v>
      </c>
      <c r="I2141" t="s">
        <v>17</v>
      </c>
      <c r="K2141" t="s">
        <v>5953</v>
      </c>
      <c r="L2141">
        <v>550</v>
      </c>
      <c r="M2141" t="s">
        <v>5954</v>
      </c>
    </row>
    <row r="2142" spans="1:13" x14ac:dyDescent="0.35">
      <c r="A2142" t="s">
        <v>13</v>
      </c>
      <c r="B2142">
        <v>2285435</v>
      </c>
      <c r="C2142">
        <v>2286853</v>
      </c>
      <c r="E2142" t="s">
        <v>38</v>
      </c>
      <c r="F2142" t="s">
        <v>5955</v>
      </c>
      <c r="G2142" t="s">
        <v>5956</v>
      </c>
      <c r="H2142">
        <v>1020112</v>
      </c>
      <c r="I2142" t="s">
        <v>17</v>
      </c>
      <c r="K2142" t="s">
        <v>5957</v>
      </c>
      <c r="L2142">
        <v>472</v>
      </c>
      <c r="M2142" t="s">
        <v>5958</v>
      </c>
    </row>
    <row r="2143" spans="1:13" x14ac:dyDescent="0.35">
      <c r="A2143" t="s">
        <v>13</v>
      </c>
      <c r="B2143">
        <v>2286860</v>
      </c>
      <c r="C2143">
        <v>2287960</v>
      </c>
      <c r="E2143" t="s">
        <v>38</v>
      </c>
      <c r="F2143" t="s">
        <v>5959</v>
      </c>
      <c r="G2143" t="s">
        <v>5960</v>
      </c>
      <c r="H2143">
        <v>1020113</v>
      </c>
      <c r="I2143" t="s">
        <v>17</v>
      </c>
      <c r="K2143" t="s">
        <v>5961</v>
      </c>
      <c r="L2143">
        <v>366</v>
      </c>
      <c r="M2143" t="s">
        <v>5962</v>
      </c>
    </row>
    <row r="2144" spans="1:13" x14ac:dyDescent="0.35">
      <c r="A2144" t="s">
        <v>13</v>
      </c>
      <c r="B2144">
        <v>2287967</v>
      </c>
      <c r="C2144">
        <v>2289511</v>
      </c>
      <c r="E2144" t="s">
        <v>38</v>
      </c>
      <c r="F2144" t="s">
        <v>5963</v>
      </c>
      <c r="G2144" t="s">
        <v>5964</v>
      </c>
      <c r="H2144">
        <v>1020114</v>
      </c>
      <c r="I2144" t="s">
        <v>17</v>
      </c>
      <c r="K2144" t="s">
        <v>5965</v>
      </c>
      <c r="L2144">
        <v>514</v>
      </c>
      <c r="M2144" t="s">
        <v>5966</v>
      </c>
    </row>
    <row r="2145" spans="1:13" x14ac:dyDescent="0.35">
      <c r="A2145" t="s">
        <v>13</v>
      </c>
      <c r="B2145">
        <v>2289521</v>
      </c>
      <c r="C2145">
        <v>2291086</v>
      </c>
      <c r="E2145" t="s">
        <v>38</v>
      </c>
      <c r="F2145" t="s">
        <v>5967</v>
      </c>
      <c r="H2145">
        <v>1020115</v>
      </c>
      <c r="I2145" t="s">
        <v>17</v>
      </c>
      <c r="K2145" t="s">
        <v>5968</v>
      </c>
      <c r="L2145">
        <v>521</v>
      </c>
      <c r="M2145" t="s">
        <v>5969</v>
      </c>
    </row>
    <row r="2146" spans="1:13" x14ac:dyDescent="0.35">
      <c r="A2146" t="s">
        <v>13</v>
      </c>
      <c r="B2146">
        <v>2291210</v>
      </c>
      <c r="C2146">
        <v>2293165</v>
      </c>
      <c r="E2146" t="s">
        <v>38</v>
      </c>
      <c r="F2146" t="s">
        <v>5970</v>
      </c>
      <c r="H2146">
        <v>1020116</v>
      </c>
      <c r="I2146" t="s">
        <v>17</v>
      </c>
      <c r="K2146" t="s">
        <v>5971</v>
      </c>
      <c r="L2146">
        <v>651</v>
      </c>
      <c r="M2146" t="s">
        <v>5972</v>
      </c>
    </row>
    <row r="2147" spans="1:13" x14ac:dyDescent="0.35">
      <c r="A2147" t="s">
        <v>13</v>
      </c>
      <c r="B2147">
        <v>2293321</v>
      </c>
      <c r="C2147">
        <v>2294118</v>
      </c>
      <c r="E2147" t="s">
        <v>38</v>
      </c>
      <c r="F2147" t="s">
        <v>49</v>
      </c>
      <c r="H2147">
        <v>1020117</v>
      </c>
      <c r="I2147" t="s">
        <v>17</v>
      </c>
      <c r="K2147" t="s">
        <v>5973</v>
      </c>
      <c r="L2147">
        <v>265</v>
      </c>
      <c r="M2147" t="s">
        <v>5974</v>
      </c>
    </row>
    <row r="2148" spans="1:13" x14ac:dyDescent="0.35">
      <c r="A2148" t="s">
        <v>13</v>
      </c>
      <c r="B2148">
        <v>2294115</v>
      </c>
      <c r="C2148">
        <v>2295128</v>
      </c>
      <c r="E2148" t="s">
        <v>38</v>
      </c>
      <c r="F2148" t="s">
        <v>5975</v>
      </c>
      <c r="G2148" t="s">
        <v>5976</v>
      </c>
      <c r="H2148">
        <v>1020118</v>
      </c>
      <c r="I2148" t="s">
        <v>17</v>
      </c>
      <c r="K2148" t="s">
        <v>5977</v>
      </c>
      <c r="L2148">
        <v>337</v>
      </c>
      <c r="M2148" t="s">
        <v>5978</v>
      </c>
    </row>
    <row r="2149" spans="1:13" x14ac:dyDescent="0.35">
      <c r="A2149" t="s">
        <v>13</v>
      </c>
      <c r="B2149">
        <v>2295374</v>
      </c>
      <c r="C2149">
        <v>2295805</v>
      </c>
      <c r="E2149" t="s">
        <v>38</v>
      </c>
      <c r="F2149" t="s">
        <v>5979</v>
      </c>
      <c r="G2149" t="s">
        <v>5980</v>
      </c>
      <c r="H2149">
        <v>1020119</v>
      </c>
      <c r="I2149" t="s">
        <v>17</v>
      </c>
      <c r="K2149" t="s">
        <v>5981</v>
      </c>
      <c r="L2149">
        <v>143</v>
      </c>
      <c r="M2149" t="s">
        <v>5982</v>
      </c>
    </row>
    <row r="2150" spans="1:13" x14ac:dyDescent="0.35">
      <c r="A2150" t="s">
        <v>13</v>
      </c>
      <c r="B2150">
        <v>2296506</v>
      </c>
      <c r="C2150">
        <v>2296899</v>
      </c>
      <c r="E2150" t="s">
        <v>38</v>
      </c>
      <c r="F2150" t="s">
        <v>141</v>
      </c>
      <c r="H2150">
        <v>1020120</v>
      </c>
      <c r="I2150" t="s">
        <v>142</v>
      </c>
      <c r="M2150" t="s">
        <v>5983</v>
      </c>
    </row>
    <row r="2151" spans="1:13" x14ac:dyDescent="0.35">
      <c r="A2151" t="s">
        <v>13</v>
      </c>
      <c r="B2151">
        <v>2297229</v>
      </c>
      <c r="C2151">
        <v>2297654</v>
      </c>
      <c r="E2151" t="s">
        <v>38</v>
      </c>
      <c r="F2151" t="s">
        <v>5984</v>
      </c>
      <c r="H2151">
        <v>1020121</v>
      </c>
      <c r="I2151" t="s">
        <v>17</v>
      </c>
      <c r="K2151" t="s">
        <v>5985</v>
      </c>
      <c r="L2151">
        <v>141</v>
      </c>
      <c r="M2151" t="s">
        <v>5986</v>
      </c>
    </row>
    <row r="2152" spans="1:13" x14ac:dyDescent="0.35">
      <c r="A2152" t="s">
        <v>13</v>
      </c>
      <c r="B2152">
        <v>2297879</v>
      </c>
      <c r="C2152">
        <v>2298442</v>
      </c>
      <c r="E2152" t="s">
        <v>14</v>
      </c>
      <c r="F2152" t="s">
        <v>549</v>
      </c>
      <c r="H2152">
        <v>1020122</v>
      </c>
      <c r="I2152" t="s">
        <v>17</v>
      </c>
      <c r="K2152" t="s">
        <v>5987</v>
      </c>
      <c r="L2152">
        <v>187</v>
      </c>
      <c r="M2152" t="s">
        <v>5988</v>
      </c>
    </row>
    <row r="2153" spans="1:13" x14ac:dyDescent="0.35">
      <c r="A2153" t="s">
        <v>13</v>
      </c>
      <c r="B2153">
        <v>2298449</v>
      </c>
      <c r="C2153">
        <v>2299429</v>
      </c>
      <c r="E2153" t="s">
        <v>38</v>
      </c>
      <c r="F2153" t="s">
        <v>5989</v>
      </c>
      <c r="G2153" t="s">
        <v>5990</v>
      </c>
      <c r="H2153">
        <v>1020123</v>
      </c>
      <c r="I2153" t="s">
        <v>17</v>
      </c>
      <c r="K2153" t="s">
        <v>5991</v>
      </c>
      <c r="L2153">
        <v>326</v>
      </c>
      <c r="M2153" t="s">
        <v>5992</v>
      </c>
    </row>
    <row r="2154" spans="1:13" x14ac:dyDescent="0.35">
      <c r="A2154" t="s">
        <v>13</v>
      </c>
      <c r="B2154">
        <v>2299540</v>
      </c>
      <c r="C2154">
        <v>2300640</v>
      </c>
      <c r="E2154" t="s">
        <v>14</v>
      </c>
      <c r="F2154" t="s">
        <v>5993</v>
      </c>
      <c r="G2154" t="s">
        <v>5994</v>
      </c>
      <c r="H2154">
        <v>1020124</v>
      </c>
      <c r="I2154" t="s">
        <v>17</v>
      </c>
      <c r="K2154" t="s">
        <v>5995</v>
      </c>
      <c r="L2154">
        <v>366</v>
      </c>
      <c r="M2154" t="s">
        <v>5996</v>
      </c>
    </row>
    <row r="2155" spans="1:13" x14ac:dyDescent="0.35">
      <c r="A2155" t="s">
        <v>13</v>
      </c>
      <c r="B2155">
        <v>2300650</v>
      </c>
      <c r="C2155">
        <v>2302179</v>
      </c>
      <c r="E2155" t="s">
        <v>14</v>
      </c>
      <c r="F2155" t="s">
        <v>5997</v>
      </c>
      <c r="H2155">
        <v>1020125</v>
      </c>
      <c r="I2155" t="s">
        <v>17</v>
      </c>
      <c r="K2155" t="s">
        <v>5998</v>
      </c>
      <c r="L2155">
        <v>509</v>
      </c>
      <c r="M2155" t="s">
        <v>5999</v>
      </c>
    </row>
    <row r="2156" spans="1:13" x14ac:dyDescent="0.35">
      <c r="A2156" t="s">
        <v>13</v>
      </c>
      <c r="B2156">
        <v>2302249</v>
      </c>
      <c r="C2156">
        <v>2302620</v>
      </c>
      <c r="E2156" t="s">
        <v>38</v>
      </c>
      <c r="F2156" t="s">
        <v>6000</v>
      </c>
      <c r="H2156">
        <v>1020126</v>
      </c>
      <c r="I2156" t="s">
        <v>17</v>
      </c>
      <c r="K2156" t="s">
        <v>6001</v>
      </c>
      <c r="L2156">
        <v>123</v>
      </c>
      <c r="M2156" t="s">
        <v>6002</v>
      </c>
    </row>
    <row r="2157" spans="1:13" x14ac:dyDescent="0.35">
      <c r="A2157" t="s">
        <v>13</v>
      </c>
      <c r="B2157">
        <v>2302762</v>
      </c>
      <c r="C2157">
        <v>2304984</v>
      </c>
      <c r="E2157" t="s">
        <v>14</v>
      </c>
      <c r="F2157" t="s">
        <v>157</v>
      </c>
      <c r="G2157" t="s">
        <v>158</v>
      </c>
      <c r="H2157">
        <v>1020127</v>
      </c>
      <c r="I2157" t="s">
        <v>17</v>
      </c>
      <c r="K2157" t="s">
        <v>6003</v>
      </c>
      <c r="L2157">
        <v>740</v>
      </c>
      <c r="M2157" t="s">
        <v>6004</v>
      </c>
    </row>
    <row r="2158" spans="1:13" x14ac:dyDescent="0.35">
      <c r="A2158" t="s">
        <v>13</v>
      </c>
      <c r="B2158">
        <v>2304984</v>
      </c>
      <c r="C2158">
        <v>2306222</v>
      </c>
      <c r="E2158" t="s">
        <v>14</v>
      </c>
      <c r="F2158" t="s">
        <v>6005</v>
      </c>
      <c r="H2158">
        <v>1020128</v>
      </c>
      <c r="I2158" t="s">
        <v>17</v>
      </c>
      <c r="K2158" t="s">
        <v>6006</v>
      </c>
      <c r="L2158">
        <v>412</v>
      </c>
      <c r="M2158" t="s">
        <v>6007</v>
      </c>
    </row>
    <row r="2159" spans="1:13" x14ac:dyDescent="0.35">
      <c r="A2159" t="s">
        <v>13</v>
      </c>
      <c r="B2159">
        <v>2306315</v>
      </c>
      <c r="C2159">
        <v>2307625</v>
      </c>
      <c r="E2159" t="s">
        <v>14</v>
      </c>
      <c r="F2159" t="s">
        <v>6008</v>
      </c>
      <c r="G2159" t="s">
        <v>6009</v>
      </c>
      <c r="H2159">
        <v>1020129</v>
      </c>
      <c r="I2159" t="s">
        <v>17</v>
      </c>
      <c r="K2159" t="s">
        <v>6010</v>
      </c>
      <c r="L2159">
        <v>436</v>
      </c>
      <c r="M2159" t="s">
        <v>6011</v>
      </c>
    </row>
    <row r="2160" spans="1:13" x14ac:dyDescent="0.35">
      <c r="A2160" t="s">
        <v>13</v>
      </c>
      <c r="B2160">
        <v>2307695</v>
      </c>
      <c r="C2160">
        <v>2309083</v>
      </c>
      <c r="E2160" t="s">
        <v>38</v>
      </c>
      <c r="F2160" t="s">
        <v>6012</v>
      </c>
      <c r="H2160">
        <v>1020130</v>
      </c>
      <c r="I2160" t="s">
        <v>17</v>
      </c>
      <c r="K2160" t="s">
        <v>6013</v>
      </c>
      <c r="L2160">
        <v>462</v>
      </c>
      <c r="M2160" t="s">
        <v>6014</v>
      </c>
    </row>
    <row r="2161" spans="1:13" x14ac:dyDescent="0.35">
      <c r="A2161" t="s">
        <v>13</v>
      </c>
      <c r="B2161">
        <v>2309171</v>
      </c>
      <c r="C2161">
        <v>2309677</v>
      </c>
      <c r="E2161" t="s">
        <v>38</v>
      </c>
      <c r="F2161" t="s">
        <v>6015</v>
      </c>
      <c r="H2161">
        <v>1020131</v>
      </c>
      <c r="I2161" t="s">
        <v>17</v>
      </c>
      <c r="K2161" t="s">
        <v>6016</v>
      </c>
      <c r="L2161">
        <v>168</v>
      </c>
      <c r="M2161" t="s">
        <v>6017</v>
      </c>
    </row>
    <row r="2162" spans="1:13" x14ac:dyDescent="0.35">
      <c r="A2162" t="s">
        <v>13</v>
      </c>
      <c r="B2162">
        <v>2309818</v>
      </c>
      <c r="C2162">
        <v>2312256</v>
      </c>
      <c r="E2162" t="s">
        <v>14</v>
      </c>
      <c r="F2162" t="s">
        <v>6018</v>
      </c>
      <c r="G2162" t="s">
        <v>6019</v>
      </c>
      <c r="H2162">
        <v>1020132</v>
      </c>
      <c r="I2162" t="s">
        <v>17</v>
      </c>
      <c r="K2162" t="s">
        <v>6020</v>
      </c>
      <c r="L2162">
        <v>812</v>
      </c>
      <c r="M2162" t="s">
        <v>6021</v>
      </c>
    </row>
    <row r="2163" spans="1:13" x14ac:dyDescent="0.35">
      <c r="A2163" t="s">
        <v>13</v>
      </c>
      <c r="B2163">
        <v>2312361</v>
      </c>
      <c r="C2163">
        <v>2313812</v>
      </c>
      <c r="E2163" t="s">
        <v>14</v>
      </c>
      <c r="F2163" t="s">
        <v>391</v>
      </c>
      <c r="H2163">
        <v>1020133</v>
      </c>
      <c r="I2163" t="s">
        <v>17</v>
      </c>
      <c r="K2163" t="s">
        <v>6022</v>
      </c>
      <c r="L2163">
        <v>483</v>
      </c>
      <c r="M2163" t="s">
        <v>6023</v>
      </c>
    </row>
    <row r="2164" spans="1:13" x14ac:dyDescent="0.35">
      <c r="A2164" t="s">
        <v>13</v>
      </c>
      <c r="B2164">
        <v>2313914</v>
      </c>
      <c r="C2164">
        <v>2314093</v>
      </c>
      <c r="E2164" t="s">
        <v>38</v>
      </c>
      <c r="F2164" t="s">
        <v>49</v>
      </c>
      <c r="H2164">
        <v>1020134</v>
      </c>
      <c r="I2164" t="s">
        <v>17</v>
      </c>
      <c r="K2164" t="s">
        <v>6024</v>
      </c>
      <c r="L2164">
        <v>59</v>
      </c>
      <c r="M2164" t="s">
        <v>6025</v>
      </c>
    </row>
    <row r="2165" spans="1:13" x14ac:dyDescent="0.35">
      <c r="A2165" t="s">
        <v>13</v>
      </c>
      <c r="B2165">
        <v>2314234</v>
      </c>
      <c r="C2165">
        <v>2315487</v>
      </c>
      <c r="E2165" t="s">
        <v>38</v>
      </c>
      <c r="F2165" t="s">
        <v>1071</v>
      </c>
      <c r="H2165">
        <v>1020135</v>
      </c>
      <c r="I2165" t="s">
        <v>17</v>
      </c>
      <c r="K2165" t="s">
        <v>6026</v>
      </c>
      <c r="L2165">
        <v>417</v>
      </c>
      <c r="M2165" t="s">
        <v>6027</v>
      </c>
    </row>
    <row r="2166" spans="1:13" x14ac:dyDescent="0.35">
      <c r="A2166" t="s">
        <v>13</v>
      </c>
      <c r="B2166">
        <v>2315676</v>
      </c>
      <c r="C2166">
        <v>2316413</v>
      </c>
      <c r="E2166" t="s">
        <v>38</v>
      </c>
      <c r="F2166" t="s">
        <v>6028</v>
      </c>
      <c r="H2166">
        <v>1020136</v>
      </c>
      <c r="I2166" t="s">
        <v>17</v>
      </c>
      <c r="K2166" t="s">
        <v>6029</v>
      </c>
      <c r="L2166">
        <v>245</v>
      </c>
      <c r="M2166" t="s">
        <v>6030</v>
      </c>
    </row>
    <row r="2167" spans="1:13" x14ac:dyDescent="0.35">
      <c r="A2167" t="s">
        <v>13</v>
      </c>
      <c r="B2167">
        <v>2316580</v>
      </c>
      <c r="C2167">
        <v>2317551</v>
      </c>
      <c r="E2167" t="s">
        <v>38</v>
      </c>
      <c r="F2167" t="s">
        <v>6031</v>
      </c>
      <c r="H2167">
        <v>1020137</v>
      </c>
      <c r="I2167" t="s">
        <v>17</v>
      </c>
      <c r="K2167" t="s">
        <v>6032</v>
      </c>
      <c r="L2167">
        <v>323</v>
      </c>
      <c r="M2167" t="s">
        <v>6033</v>
      </c>
    </row>
    <row r="2168" spans="1:13" x14ac:dyDescent="0.35">
      <c r="A2168" t="s">
        <v>13</v>
      </c>
      <c r="B2168">
        <v>2317631</v>
      </c>
      <c r="C2168">
        <v>2318776</v>
      </c>
      <c r="E2168" t="s">
        <v>38</v>
      </c>
      <c r="F2168" t="s">
        <v>6034</v>
      </c>
      <c r="G2168" t="s">
        <v>6035</v>
      </c>
      <c r="H2168">
        <v>1020138</v>
      </c>
      <c r="I2168" t="s">
        <v>17</v>
      </c>
      <c r="K2168" t="s">
        <v>6036</v>
      </c>
      <c r="L2168">
        <v>381</v>
      </c>
      <c r="M2168" t="s">
        <v>6037</v>
      </c>
    </row>
    <row r="2169" spans="1:13" x14ac:dyDescent="0.35">
      <c r="A2169" t="s">
        <v>13</v>
      </c>
      <c r="B2169">
        <v>2318802</v>
      </c>
      <c r="C2169">
        <v>2319821</v>
      </c>
      <c r="E2169" t="s">
        <v>38</v>
      </c>
      <c r="F2169" t="s">
        <v>6038</v>
      </c>
      <c r="H2169">
        <v>1020139</v>
      </c>
      <c r="I2169" t="s">
        <v>17</v>
      </c>
      <c r="K2169" t="s">
        <v>6039</v>
      </c>
      <c r="L2169">
        <v>339</v>
      </c>
      <c r="M2169" t="s">
        <v>6040</v>
      </c>
    </row>
    <row r="2170" spans="1:13" x14ac:dyDescent="0.35">
      <c r="A2170" t="s">
        <v>13</v>
      </c>
      <c r="B2170">
        <v>2319966</v>
      </c>
      <c r="C2170">
        <v>2320595</v>
      </c>
      <c r="E2170" t="s">
        <v>38</v>
      </c>
      <c r="F2170" t="s">
        <v>1978</v>
      </c>
      <c r="H2170">
        <v>1020140</v>
      </c>
      <c r="I2170" t="s">
        <v>17</v>
      </c>
      <c r="K2170" t="s">
        <v>6041</v>
      </c>
      <c r="L2170">
        <v>209</v>
      </c>
      <c r="M2170" t="s">
        <v>6042</v>
      </c>
    </row>
    <row r="2171" spans="1:13" x14ac:dyDescent="0.35">
      <c r="A2171" t="s">
        <v>13</v>
      </c>
      <c r="B2171">
        <v>2321470</v>
      </c>
      <c r="C2171">
        <v>2323089</v>
      </c>
      <c r="E2171" t="s">
        <v>38</v>
      </c>
      <c r="F2171" t="s">
        <v>6043</v>
      </c>
      <c r="G2171" t="s">
        <v>6044</v>
      </c>
      <c r="H2171">
        <v>1020141</v>
      </c>
      <c r="I2171" t="s">
        <v>17</v>
      </c>
      <c r="K2171" t="s">
        <v>6045</v>
      </c>
      <c r="L2171">
        <v>539</v>
      </c>
      <c r="M2171" t="s">
        <v>6046</v>
      </c>
    </row>
    <row r="2172" spans="1:13" x14ac:dyDescent="0.35">
      <c r="A2172" t="s">
        <v>13</v>
      </c>
      <c r="B2172">
        <v>2323086</v>
      </c>
      <c r="C2172">
        <v>2324312</v>
      </c>
      <c r="E2172" t="s">
        <v>38</v>
      </c>
      <c r="F2172" t="s">
        <v>6047</v>
      </c>
      <c r="H2172">
        <v>1020142</v>
      </c>
      <c r="I2172" t="s">
        <v>17</v>
      </c>
      <c r="K2172" t="s">
        <v>6048</v>
      </c>
      <c r="L2172">
        <v>408</v>
      </c>
      <c r="M2172" t="s">
        <v>6049</v>
      </c>
    </row>
    <row r="2173" spans="1:13" x14ac:dyDescent="0.35">
      <c r="A2173" t="s">
        <v>13</v>
      </c>
      <c r="B2173">
        <v>2324309</v>
      </c>
      <c r="C2173">
        <v>2325199</v>
      </c>
      <c r="E2173" t="s">
        <v>38</v>
      </c>
      <c r="F2173" t="s">
        <v>6050</v>
      </c>
      <c r="H2173">
        <v>1020143</v>
      </c>
      <c r="I2173" t="s">
        <v>17</v>
      </c>
      <c r="K2173" t="s">
        <v>6051</v>
      </c>
      <c r="L2173">
        <v>296</v>
      </c>
      <c r="M2173" t="s">
        <v>6052</v>
      </c>
    </row>
    <row r="2174" spans="1:13" x14ac:dyDescent="0.35">
      <c r="A2174" t="s">
        <v>13</v>
      </c>
      <c r="B2174">
        <v>2325271</v>
      </c>
      <c r="C2174">
        <v>2325888</v>
      </c>
      <c r="E2174" t="s">
        <v>38</v>
      </c>
      <c r="F2174" t="s">
        <v>6053</v>
      </c>
      <c r="H2174">
        <v>1020144</v>
      </c>
      <c r="I2174" t="s">
        <v>17</v>
      </c>
      <c r="K2174" t="s">
        <v>6054</v>
      </c>
      <c r="L2174">
        <v>205</v>
      </c>
      <c r="M2174" t="s">
        <v>6055</v>
      </c>
    </row>
    <row r="2175" spans="1:13" x14ac:dyDescent="0.35">
      <c r="A2175" t="s">
        <v>13</v>
      </c>
      <c r="B2175">
        <v>2326470</v>
      </c>
      <c r="C2175">
        <v>2326901</v>
      </c>
      <c r="E2175" t="s">
        <v>38</v>
      </c>
      <c r="F2175" t="s">
        <v>6056</v>
      </c>
      <c r="H2175">
        <v>1020146</v>
      </c>
      <c r="I2175" t="s">
        <v>17</v>
      </c>
      <c r="K2175" t="s">
        <v>6057</v>
      </c>
      <c r="L2175">
        <v>143</v>
      </c>
      <c r="M2175" t="s">
        <v>6058</v>
      </c>
    </row>
    <row r="2176" spans="1:13" x14ac:dyDescent="0.35">
      <c r="A2176" t="s">
        <v>13</v>
      </c>
      <c r="B2176">
        <v>2326919</v>
      </c>
      <c r="C2176">
        <v>2327998</v>
      </c>
      <c r="E2176" t="s">
        <v>38</v>
      </c>
      <c r="F2176" t="s">
        <v>6059</v>
      </c>
      <c r="H2176">
        <v>1020147</v>
      </c>
      <c r="I2176" t="s">
        <v>17</v>
      </c>
      <c r="K2176" t="s">
        <v>6060</v>
      </c>
      <c r="L2176">
        <v>359</v>
      </c>
      <c r="M2176" t="s">
        <v>6061</v>
      </c>
    </row>
    <row r="2177" spans="1:13" x14ac:dyDescent="0.35">
      <c r="A2177" t="s">
        <v>13</v>
      </c>
      <c r="B2177">
        <v>2328517</v>
      </c>
      <c r="C2177">
        <v>2330439</v>
      </c>
      <c r="E2177" t="s">
        <v>14</v>
      </c>
      <c r="F2177" t="s">
        <v>6062</v>
      </c>
      <c r="G2177" t="s">
        <v>6063</v>
      </c>
      <c r="H2177">
        <v>1020148</v>
      </c>
      <c r="I2177" t="s">
        <v>17</v>
      </c>
      <c r="K2177" t="s">
        <v>6064</v>
      </c>
      <c r="L2177">
        <v>640</v>
      </c>
      <c r="M2177" t="s">
        <v>6065</v>
      </c>
    </row>
    <row r="2178" spans="1:13" x14ac:dyDescent="0.35">
      <c r="A2178" t="s">
        <v>13</v>
      </c>
      <c r="B2178">
        <v>2330584</v>
      </c>
      <c r="C2178">
        <v>2330928</v>
      </c>
      <c r="E2178" t="s">
        <v>38</v>
      </c>
      <c r="F2178" t="s">
        <v>6066</v>
      </c>
      <c r="H2178">
        <v>1020149</v>
      </c>
      <c r="I2178" t="s">
        <v>17</v>
      </c>
      <c r="K2178" t="s">
        <v>6067</v>
      </c>
      <c r="L2178">
        <v>114</v>
      </c>
      <c r="M2178" t="s">
        <v>6068</v>
      </c>
    </row>
    <row r="2179" spans="1:13" x14ac:dyDescent="0.35">
      <c r="A2179" t="s">
        <v>13</v>
      </c>
      <c r="B2179">
        <v>2331252</v>
      </c>
      <c r="C2179">
        <v>2331971</v>
      </c>
      <c r="E2179" t="s">
        <v>14</v>
      </c>
      <c r="F2179" t="s">
        <v>6069</v>
      </c>
      <c r="H2179">
        <v>1020150</v>
      </c>
      <c r="I2179" t="s">
        <v>17</v>
      </c>
      <c r="K2179" t="s">
        <v>6070</v>
      </c>
      <c r="L2179">
        <v>239</v>
      </c>
      <c r="M2179" t="s">
        <v>6071</v>
      </c>
    </row>
    <row r="2180" spans="1:13" x14ac:dyDescent="0.35">
      <c r="A2180" t="s">
        <v>13</v>
      </c>
      <c r="B2180">
        <v>2331975</v>
      </c>
      <c r="C2180">
        <v>2332499</v>
      </c>
      <c r="E2180" t="s">
        <v>14</v>
      </c>
      <c r="F2180" t="s">
        <v>6072</v>
      </c>
      <c r="H2180">
        <v>1020151</v>
      </c>
      <c r="I2180" t="s">
        <v>17</v>
      </c>
      <c r="K2180" t="s">
        <v>6073</v>
      </c>
      <c r="L2180">
        <v>174</v>
      </c>
      <c r="M2180" t="s">
        <v>6074</v>
      </c>
    </row>
    <row r="2181" spans="1:13" x14ac:dyDescent="0.35">
      <c r="A2181" t="s">
        <v>13</v>
      </c>
      <c r="B2181">
        <v>2332528</v>
      </c>
      <c r="C2181">
        <v>2333604</v>
      </c>
      <c r="E2181" t="s">
        <v>14</v>
      </c>
      <c r="F2181" t="s">
        <v>6075</v>
      </c>
      <c r="G2181" t="s">
        <v>6076</v>
      </c>
      <c r="H2181">
        <v>1020152</v>
      </c>
      <c r="I2181" t="s">
        <v>17</v>
      </c>
      <c r="K2181" t="s">
        <v>6077</v>
      </c>
      <c r="L2181">
        <v>358</v>
      </c>
      <c r="M2181" t="s">
        <v>6078</v>
      </c>
    </row>
    <row r="2182" spans="1:13" x14ac:dyDescent="0.35">
      <c r="A2182" t="s">
        <v>13</v>
      </c>
      <c r="B2182">
        <v>2333616</v>
      </c>
      <c r="C2182">
        <v>2334539</v>
      </c>
      <c r="E2182" t="s">
        <v>14</v>
      </c>
      <c r="F2182" t="s">
        <v>6079</v>
      </c>
      <c r="H2182">
        <v>1020153</v>
      </c>
      <c r="I2182" t="s">
        <v>17</v>
      </c>
      <c r="K2182" t="s">
        <v>6080</v>
      </c>
      <c r="L2182">
        <v>307</v>
      </c>
      <c r="M2182" t="s">
        <v>6081</v>
      </c>
    </row>
    <row r="2183" spans="1:13" x14ac:dyDescent="0.35">
      <c r="A2183" t="s">
        <v>13</v>
      </c>
      <c r="B2183">
        <v>2335026</v>
      </c>
      <c r="C2183">
        <v>2335787</v>
      </c>
      <c r="E2183" t="s">
        <v>38</v>
      </c>
      <c r="F2183" t="s">
        <v>871</v>
      </c>
      <c r="H2183">
        <v>1020154</v>
      </c>
      <c r="I2183" t="s">
        <v>17</v>
      </c>
      <c r="K2183" t="s">
        <v>6082</v>
      </c>
      <c r="L2183">
        <v>253</v>
      </c>
      <c r="M2183" t="s">
        <v>6083</v>
      </c>
    </row>
    <row r="2184" spans="1:13" x14ac:dyDescent="0.35">
      <c r="A2184" t="s">
        <v>13</v>
      </c>
      <c r="B2184">
        <v>2335913</v>
      </c>
      <c r="C2184">
        <v>2337016</v>
      </c>
      <c r="E2184" t="s">
        <v>38</v>
      </c>
      <c r="F2184" t="s">
        <v>6084</v>
      </c>
      <c r="H2184">
        <v>1020155</v>
      </c>
      <c r="I2184" t="s">
        <v>17</v>
      </c>
      <c r="K2184" t="s">
        <v>6085</v>
      </c>
      <c r="L2184">
        <v>367</v>
      </c>
      <c r="M2184" t="s">
        <v>6086</v>
      </c>
    </row>
    <row r="2185" spans="1:13" x14ac:dyDescent="0.35">
      <c r="A2185" t="s">
        <v>13</v>
      </c>
      <c r="B2185">
        <v>2337236</v>
      </c>
      <c r="C2185">
        <v>2338738</v>
      </c>
      <c r="E2185" t="s">
        <v>14</v>
      </c>
      <c r="F2185" t="s">
        <v>6087</v>
      </c>
      <c r="H2185">
        <v>1020156</v>
      </c>
      <c r="I2185" t="s">
        <v>17</v>
      </c>
      <c r="K2185" t="s">
        <v>6088</v>
      </c>
      <c r="L2185">
        <v>500</v>
      </c>
      <c r="M2185" t="s">
        <v>6089</v>
      </c>
    </row>
    <row r="2186" spans="1:13" x14ac:dyDescent="0.35">
      <c r="A2186" t="s">
        <v>13</v>
      </c>
      <c r="B2186">
        <v>2338746</v>
      </c>
      <c r="C2186">
        <v>2339141</v>
      </c>
      <c r="E2186" t="s">
        <v>38</v>
      </c>
      <c r="F2186" t="s">
        <v>49</v>
      </c>
      <c r="H2186">
        <v>1020157</v>
      </c>
      <c r="I2186" t="s">
        <v>17</v>
      </c>
      <c r="K2186" t="s">
        <v>6090</v>
      </c>
      <c r="L2186">
        <v>131</v>
      </c>
      <c r="M2186" t="s">
        <v>6091</v>
      </c>
    </row>
    <row r="2187" spans="1:13" x14ac:dyDescent="0.35">
      <c r="A2187" t="s">
        <v>13</v>
      </c>
      <c r="B2187">
        <v>2339270</v>
      </c>
      <c r="C2187">
        <v>2341297</v>
      </c>
      <c r="E2187" t="s">
        <v>14</v>
      </c>
      <c r="F2187" t="s">
        <v>6092</v>
      </c>
      <c r="G2187" t="s">
        <v>6093</v>
      </c>
      <c r="H2187">
        <v>1020158</v>
      </c>
      <c r="I2187" t="s">
        <v>17</v>
      </c>
      <c r="K2187" t="s">
        <v>6094</v>
      </c>
      <c r="L2187">
        <v>675</v>
      </c>
      <c r="M2187" t="s">
        <v>6095</v>
      </c>
    </row>
    <row r="2188" spans="1:13" x14ac:dyDescent="0.35">
      <c r="A2188" t="s">
        <v>13</v>
      </c>
      <c r="B2188">
        <v>2341413</v>
      </c>
      <c r="C2188">
        <v>2342168</v>
      </c>
      <c r="E2188" t="s">
        <v>14</v>
      </c>
      <c r="F2188" t="s">
        <v>6096</v>
      </c>
      <c r="G2188" t="s">
        <v>6097</v>
      </c>
      <c r="H2188">
        <v>1020159</v>
      </c>
      <c r="I2188" t="s">
        <v>17</v>
      </c>
      <c r="K2188" t="s">
        <v>6098</v>
      </c>
      <c r="L2188">
        <v>251</v>
      </c>
      <c r="M2188" t="s">
        <v>6099</v>
      </c>
    </row>
    <row r="2189" spans="1:13" x14ac:dyDescent="0.35">
      <c r="A2189" t="s">
        <v>13</v>
      </c>
      <c r="B2189">
        <v>2342305</v>
      </c>
      <c r="C2189">
        <v>2343351</v>
      </c>
      <c r="E2189" t="s">
        <v>14</v>
      </c>
      <c r="F2189" t="s">
        <v>6100</v>
      </c>
      <c r="G2189" t="s">
        <v>6101</v>
      </c>
      <c r="H2189">
        <v>1020160</v>
      </c>
      <c r="I2189" t="s">
        <v>17</v>
      </c>
      <c r="K2189" t="s">
        <v>6102</v>
      </c>
      <c r="L2189">
        <v>348</v>
      </c>
      <c r="M2189" t="s">
        <v>6103</v>
      </c>
    </row>
    <row r="2190" spans="1:13" x14ac:dyDescent="0.35">
      <c r="A2190" t="s">
        <v>13</v>
      </c>
      <c r="B2190">
        <v>2343480</v>
      </c>
      <c r="C2190">
        <v>2344262</v>
      </c>
      <c r="E2190" t="s">
        <v>14</v>
      </c>
      <c r="F2190" t="s">
        <v>6104</v>
      </c>
      <c r="H2190">
        <v>1020161</v>
      </c>
      <c r="I2190" t="s">
        <v>17</v>
      </c>
      <c r="K2190" t="s">
        <v>6105</v>
      </c>
      <c r="L2190">
        <v>260</v>
      </c>
      <c r="M2190" t="s">
        <v>6106</v>
      </c>
    </row>
    <row r="2191" spans="1:13" x14ac:dyDescent="0.35">
      <c r="A2191" t="s">
        <v>13</v>
      </c>
      <c r="B2191">
        <v>2344432</v>
      </c>
      <c r="C2191">
        <v>2346051</v>
      </c>
      <c r="E2191" t="s">
        <v>14</v>
      </c>
      <c r="F2191" t="s">
        <v>1728</v>
      </c>
      <c r="H2191">
        <v>1020162</v>
      </c>
      <c r="I2191" t="s">
        <v>17</v>
      </c>
      <c r="K2191" t="s">
        <v>6107</v>
      </c>
      <c r="L2191">
        <v>539</v>
      </c>
      <c r="M2191" t="s">
        <v>6108</v>
      </c>
    </row>
    <row r="2192" spans="1:13" x14ac:dyDescent="0.35">
      <c r="A2192" t="s">
        <v>13</v>
      </c>
      <c r="B2192">
        <v>2346287</v>
      </c>
      <c r="C2192">
        <v>2347492</v>
      </c>
      <c r="E2192" t="s">
        <v>38</v>
      </c>
      <c r="F2192" t="s">
        <v>559</v>
      </c>
      <c r="H2192">
        <v>1020163</v>
      </c>
      <c r="I2192" t="s">
        <v>17</v>
      </c>
      <c r="K2192" t="s">
        <v>560</v>
      </c>
      <c r="L2192">
        <v>401</v>
      </c>
      <c r="M2192" t="s">
        <v>6109</v>
      </c>
    </row>
    <row r="2193" spans="1:13" x14ac:dyDescent="0.35">
      <c r="A2193" t="s">
        <v>13</v>
      </c>
      <c r="B2193">
        <v>2348076</v>
      </c>
      <c r="C2193">
        <v>2348549</v>
      </c>
      <c r="E2193" t="s">
        <v>38</v>
      </c>
      <c r="F2193" t="s">
        <v>1970</v>
      </c>
      <c r="H2193">
        <v>1020164</v>
      </c>
      <c r="I2193" t="s">
        <v>17</v>
      </c>
      <c r="K2193" t="s">
        <v>6110</v>
      </c>
      <c r="L2193">
        <v>157</v>
      </c>
      <c r="M2193" t="s">
        <v>6111</v>
      </c>
    </row>
    <row r="2194" spans="1:13" x14ac:dyDescent="0.35">
      <c r="A2194" t="s">
        <v>13</v>
      </c>
      <c r="B2194">
        <v>2348830</v>
      </c>
      <c r="C2194">
        <v>2350263</v>
      </c>
      <c r="E2194" t="s">
        <v>14</v>
      </c>
      <c r="F2194" t="s">
        <v>6112</v>
      </c>
      <c r="G2194" t="s">
        <v>6113</v>
      </c>
      <c r="H2194">
        <v>1020166</v>
      </c>
      <c r="I2194" t="s">
        <v>17</v>
      </c>
      <c r="K2194" t="s">
        <v>6114</v>
      </c>
      <c r="L2194">
        <v>477</v>
      </c>
      <c r="M2194" t="s">
        <v>6115</v>
      </c>
    </row>
    <row r="2195" spans="1:13" x14ac:dyDescent="0.35">
      <c r="A2195" t="s">
        <v>13</v>
      </c>
      <c r="B2195">
        <v>2350406</v>
      </c>
      <c r="C2195">
        <v>2350573</v>
      </c>
      <c r="E2195" t="s">
        <v>38</v>
      </c>
      <c r="F2195" t="s">
        <v>49</v>
      </c>
      <c r="H2195">
        <v>44156734</v>
      </c>
      <c r="I2195" t="s">
        <v>17</v>
      </c>
      <c r="K2195" t="s">
        <v>6116</v>
      </c>
      <c r="L2195">
        <v>55</v>
      </c>
      <c r="M2195" t="s">
        <v>6117</v>
      </c>
    </row>
    <row r="2196" spans="1:13" x14ac:dyDescent="0.35">
      <c r="A2196" t="s">
        <v>13</v>
      </c>
      <c r="B2196">
        <v>2350910</v>
      </c>
      <c r="C2196">
        <v>2351311</v>
      </c>
      <c r="E2196" t="s">
        <v>38</v>
      </c>
      <c r="F2196" t="s">
        <v>2600</v>
      </c>
      <c r="H2196">
        <v>1020168</v>
      </c>
      <c r="I2196" t="s">
        <v>17</v>
      </c>
      <c r="K2196" t="s">
        <v>6118</v>
      </c>
      <c r="L2196">
        <v>133</v>
      </c>
      <c r="M2196" t="s">
        <v>6119</v>
      </c>
    </row>
    <row r="2197" spans="1:13" x14ac:dyDescent="0.35">
      <c r="A2197" t="s">
        <v>13</v>
      </c>
      <c r="B2197">
        <v>2351308</v>
      </c>
      <c r="C2197">
        <v>2351844</v>
      </c>
      <c r="E2197" t="s">
        <v>38</v>
      </c>
      <c r="F2197" t="s">
        <v>898</v>
      </c>
      <c r="H2197">
        <v>1020169</v>
      </c>
      <c r="I2197" t="s">
        <v>17</v>
      </c>
      <c r="K2197" t="s">
        <v>6120</v>
      </c>
      <c r="L2197">
        <v>178</v>
      </c>
      <c r="M2197" t="s">
        <v>6121</v>
      </c>
    </row>
    <row r="2198" spans="1:13" x14ac:dyDescent="0.35">
      <c r="A2198" t="s">
        <v>13</v>
      </c>
      <c r="B2198">
        <v>2351924</v>
      </c>
      <c r="C2198">
        <v>2352832</v>
      </c>
      <c r="E2198" t="s">
        <v>14</v>
      </c>
      <c r="F2198" t="s">
        <v>6122</v>
      </c>
      <c r="H2198">
        <v>1020170</v>
      </c>
      <c r="I2198" t="s">
        <v>17</v>
      </c>
      <c r="K2198" t="s">
        <v>6123</v>
      </c>
      <c r="L2198">
        <v>302</v>
      </c>
      <c r="M2198" t="s">
        <v>6124</v>
      </c>
    </row>
    <row r="2199" spans="1:13" x14ac:dyDescent="0.35">
      <c r="A2199" t="s">
        <v>13</v>
      </c>
      <c r="B2199">
        <v>2352834</v>
      </c>
      <c r="C2199">
        <v>2353229</v>
      </c>
      <c r="E2199" t="s">
        <v>14</v>
      </c>
      <c r="F2199" t="s">
        <v>478</v>
      </c>
      <c r="H2199">
        <v>1020171</v>
      </c>
      <c r="I2199" t="s">
        <v>17</v>
      </c>
      <c r="K2199" t="s">
        <v>6125</v>
      </c>
      <c r="L2199">
        <v>131</v>
      </c>
      <c r="M2199" t="s">
        <v>6126</v>
      </c>
    </row>
    <row r="2200" spans="1:13" x14ac:dyDescent="0.35">
      <c r="A2200" t="s">
        <v>13</v>
      </c>
      <c r="B2200">
        <v>2353598</v>
      </c>
      <c r="C2200">
        <v>2355043</v>
      </c>
      <c r="E2200" t="s">
        <v>38</v>
      </c>
      <c r="F2200" t="s">
        <v>6127</v>
      </c>
      <c r="G2200" t="s">
        <v>6128</v>
      </c>
      <c r="H2200">
        <v>1020172</v>
      </c>
      <c r="I2200" t="s">
        <v>17</v>
      </c>
      <c r="K2200" t="s">
        <v>6129</v>
      </c>
      <c r="L2200">
        <v>481</v>
      </c>
      <c r="M2200" t="s">
        <v>6130</v>
      </c>
    </row>
    <row r="2201" spans="1:13" x14ac:dyDescent="0.35">
      <c r="A2201" t="s">
        <v>13</v>
      </c>
      <c r="B2201">
        <v>2355184</v>
      </c>
      <c r="C2201">
        <v>2355402</v>
      </c>
      <c r="E2201" t="s">
        <v>14</v>
      </c>
      <c r="F2201" t="s">
        <v>49</v>
      </c>
      <c r="H2201">
        <v>1020173</v>
      </c>
      <c r="I2201" t="s">
        <v>17</v>
      </c>
      <c r="K2201" t="s">
        <v>6131</v>
      </c>
      <c r="L2201">
        <v>72</v>
      </c>
      <c r="M2201" t="s">
        <v>6132</v>
      </c>
    </row>
    <row r="2202" spans="1:13" x14ac:dyDescent="0.35">
      <c r="A2202" t="s">
        <v>13</v>
      </c>
      <c r="B2202">
        <v>2355522</v>
      </c>
      <c r="C2202">
        <v>2356847</v>
      </c>
      <c r="E2202" t="s">
        <v>14</v>
      </c>
      <c r="F2202" t="s">
        <v>265</v>
      </c>
      <c r="H2202">
        <v>1020174</v>
      </c>
      <c r="I2202" t="s">
        <v>17</v>
      </c>
      <c r="K2202" t="s">
        <v>6133</v>
      </c>
      <c r="L2202">
        <v>441</v>
      </c>
      <c r="M2202" t="s">
        <v>6134</v>
      </c>
    </row>
    <row r="2203" spans="1:13" x14ac:dyDescent="0.35">
      <c r="A2203" t="s">
        <v>13</v>
      </c>
      <c r="B2203">
        <v>2356864</v>
      </c>
      <c r="C2203">
        <v>2357358</v>
      </c>
      <c r="E2203" t="s">
        <v>14</v>
      </c>
      <c r="F2203" t="s">
        <v>265</v>
      </c>
      <c r="H2203">
        <v>92792304</v>
      </c>
      <c r="I2203" t="s">
        <v>17</v>
      </c>
      <c r="K2203" t="s">
        <v>6135</v>
      </c>
      <c r="L2203">
        <v>164</v>
      </c>
      <c r="M2203" t="s">
        <v>6136</v>
      </c>
    </row>
    <row r="2204" spans="1:13" x14ac:dyDescent="0.35">
      <c r="A2204" t="s">
        <v>13</v>
      </c>
      <c r="B2204">
        <v>2357328</v>
      </c>
      <c r="C2204">
        <v>2357711</v>
      </c>
      <c r="E2204" t="s">
        <v>14</v>
      </c>
      <c r="F2204" t="s">
        <v>49</v>
      </c>
      <c r="H2204">
        <v>92792305</v>
      </c>
      <c r="I2204" t="s">
        <v>17</v>
      </c>
      <c r="K2204" t="s">
        <v>6137</v>
      </c>
      <c r="L2204">
        <v>127</v>
      </c>
      <c r="M2204" t="s">
        <v>6138</v>
      </c>
    </row>
    <row r="2205" spans="1:13" x14ac:dyDescent="0.35">
      <c r="A2205" t="s">
        <v>13</v>
      </c>
      <c r="B2205">
        <v>2357772</v>
      </c>
      <c r="C2205">
        <v>2358134</v>
      </c>
      <c r="E2205" t="s">
        <v>14</v>
      </c>
      <c r="F2205" t="s">
        <v>49</v>
      </c>
      <c r="H2205">
        <v>92792306</v>
      </c>
      <c r="I2205" t="s">
        <v>17</v>
      </c>
      <c r="K2205" t="s">
        <v>6139</v>
      </c>
      <c r="L2205">
        <v>120</v>
      </c>
      <c r="M2205" t="s">
        <v>6140</v>
      </c>
    </row>
    <row r="2206" spans="1:13" x14ac:dyDescent="0.35">
      <c r="A2206" t="s">
        <v>13</v>
      </c>
      <c r="B2206">
        <v>2358151</v>
      </c>
      <c r="C2206">
        <v>2358633</v>
      </c>
      <c r="E2206" t="s">
        <v>38</v>
      </c>
      <c r="F2206" t="s">
        <v>49</v>
      </c>
      <c r="H2206">
        <v>1020178</v>
      </c>
      <c r="I2206" t="s">
        <v>17</v>
      </c>
      <c r="K2206" t="s">
        <v>6141</v>
      </c>
      <c r="L2206">
        <v>160</v>
      </c>
      <c r="M2206" t="s">
        <v>6142</v>
      </c>
    </row>
    <row r="2207" spans="1:13" x14ac:dyDescent="0.35">
      <c r="A2207" t="s">
        <v>13</v>
      </c>
      <c r="B2207">
        <v>2358770</v>
      </c>
      <c r="C2207">
        <v>2359417</v>
      </c>
      <c r="E2207" t="s">
        <v>38</v>
      </c>
      <c r="F2207" t="s">
        <v>6143</v>
      </c>
      <c r="H2207">
        <v>1020179</v>
      </c>
      <c r="I2207" t="s">
        <v>17</v>
      </c>
      <c r="K2207" t="s">
        <v>6144</v>
      </c>
      <c r="L2207">
        <v>215</v>
      </c>
      <c r="M2207" t="s">
        <v>6145</v>
      </c>
    </row>
    <row r="2208" spans="1:13" x14ac:dyDescent="0.35">
      <c r="A2208" t="s">
        <v>13</v>
      </c>
      <c r="B2208">
        <v>2359612</v>
      </c>
      <c r="C2208">
        <v>2362749</v>
      </c>
      <c r="E2208" t="s">
        <v>38</v>
      </c>
      <c r="F2208" t="s">
        <v>6146</v>
      </c>
      <c r="H2208">
        <v>1020180</v>
      </c>
      <c r="I2208" t="s">
        <v>17</v>
      </c>
      <c r="K2208" t="s">
        <v>6147</v>
      </c>
      <c r="L2208">
        <v>1045</v>
      </c>
      <c r="M2208" t="s">
        <v>6148</v>
      </c>
    </row>
    <row r="2209" spans="1:13" x14ac:dyDescent="0.35">
      <c r="A2209" t="s">
        <v>13</v>
      </c>
      <c r="B2209">
        <v>2362816</v>
      </c>
      <c r="C2209">
        <v>2364156</v>
      </c>
      <c r="E2209" t="s">
        <v>38</v>
      </c>
      <c r="F2209" t="s">
        <v>6149</v>
      </c>
      <c r="H2209">
        <v>1020181</v>
      </c>
      <c r="I2209" t="s">
        <v>17</v>
      </c>
      <c r="K2209" t="s">
        <v>6150</v>
      </c>
      <c r="L2209">
        <v>446</v>
      </c>
      <c r="M2209" t="s">
        <v>6151</v>
      </c>
    </row>
    <row r="2210" spans="1:13" x14ac:dyDescent="0.35">
      <c r="A2210" t="s">
        <v>13</v>
      </c>
      <c r="B2210">
        <v>2364353</v>
      </c>
      <c r="C2210">
        <v>2365459</v>
      </c>
      <c r="E2210" t="s">
        <v>14</v>
      </c>
      <c r="F2210" t="s">
        <v>6152</v>
      </c>
      <c r="H2210">
        <v>1020182</v>
      </c>
      <c r="I2210" t="s">
        <v>17</v>
      </c>
      <c r="K2210" t="s">
        <v>6153</v>
      </c>
      <c r="L2210">
        <v>368</v>
      </c>
      <c r="M2210" t="s">
        <v>6154</v>
      </c>
    </row>
    <row r="2211" spans="1:13" x14ac:dyDescent="0.35">
      <c r="A2211" t="s">
        <v>13</v>
      </c>
      <c r="B2211">
        <v>2365600</v>
      </c>
      <c r="C2211">
        <v>2367417</v>
      </c>
      <c r="E2211" t="s">
        <v>14</v>
      </c>
      <c r="F2211" t="s">
        <v>6155</v>
      </c>
      <c r="H2211">
        <v>1020183</v>
      </c>
      <c r="I2211" t="s">
        <v>17</v>
      </c>
      <c r="K2211" t="s">
        <v>6156</v>
      </c>
      <c r="L2211">
        <v>605</v>
      </c>
      <c r="M2211" t="s">
        <v>6157</v>
      </c>
    </row>
    <row r="2212" spans="1:13" x14ac:dyDescent="0.35">
      <c r="A2212" t="s">
        <v>13</v>
      </c>
      <c r="B2212">
        <v>2367471</v>
      </c>
      <c r="C2212">
        <v>2367653</v>
      </c>
      <c r="E2212" t="s">
        <v>38</v>
      </c>
      <c r="F2212" t="s">
        <v>49</v>
      </c>
      <c r="H2212">
        <v>1020184</v>
      </c>
      <c r="I2212" t="s">
        <v>17</v>
      </c>
      <c r="K2212" t="s">
        <v>6158</v>
      </c>
      <c r="L2212">
        <v>60</v>
      </c>
      <c r="M2212" t="s">
        <v>6159</v>
      </c>
    </row>
    <row r="2213" spans="1:13" x14ac:dyDescent="0.35">
      <c r="A2213" t="s">
        <v>13</v>
      </c>
      <c r="B2213">
        <v>2367792</v>
      </c>
      <c r="C2213">
        <v>2369087</v>
      </c>
      <c r="E2213" t="s">
        <v>14</v>
      </c>
      <c r="F2213" t="s">
        <v>6160</v>
      </c>
      <c r="H2213">
        <v>1020185</v>
      </c>
      <c r="I2213" t="s">
        <v>17</v>
      </c>
      <c r="K2213" t="s">
        <v>6161</v>
      </c>
      <c r="L2213">
        <v>431</v>
      </c>
      <c r="M2213" t="s">
        <v>6162</v>
      </c>
    </row>
    <row r="2214" spans="1:13" x14ac:dyDescent="0.35">
      <c r="A2214" t="s">
        <v>13</v>
      </c>
      <c r="B2214">
        <v>2369114</v>
      </c>
      <c r="C2214">
        <v>2370523</v>
      </c>
      <c r="E2214" t="s">
        <v>38</v>
      </c>
      <c r="F2214" t="s">
        <v>6163</v>
      </c>
      <c r="H2214">
        <v>1020186</v>
      </c>
      <c r="I2214" t="s">
        <v>17</v>
      </c>
      <c r="K2214" t="s">
        <v>6164</v>
      </c>
      <c r="L2214">
        <v>469</v>
      </c>
      <c r="M2214" t="s">
        <v>6165</v>
      </c>
    </row>
    <row r="2215" spans="1:13" x14ac:dyDescent="0.35">
      <c r="A2215" t="s">
        <v>13</v>
      </c>
      <c r="B2215">
        <v>2370919</v>
      </c>
      <c r="C2215">
        <v>2371326</v>
      </c>
      <c r="E2215" t="s">
        <v>38</v>
      </c>
      <c r="F2215" t="s">
        <v>6166</v>
      </c>
      <c r="G2215" t="s">
        <v>6167</v>
      </c>
      <c r="H2215">
        <v>2745353</v>
      </c>
      <c r="I2215" t="s">
        <v>6168</v>
      </c>
      <c r="M2215" t="s">
        <v>6169</v>
      </c>
    </row>
    <row r="2216" spans="1:13" x14ac:dyDescent="0.35">
      <c r="A2216" t="s">
        <v>13</v>
      </c>
      <c r="B2216">
        <v>2371410</v>
      </c>
      <c r="C2216">
        <v>2372558</v>
      </c>
      <c r="E2216" t="s">
        <v>38</v>
      </c>
      <c r="F2216" t="s">
        <v>6170</v>
      </c>
      <c r="H2216">
        <v>1020188</v>
      </c>
      <c r="I2216" t="s">
        <v>17</v>
      </c>
      <c r="K2216" t="s">
        <v>6171</v>
      </c>
      <c r="L2216">
        <v>382</v>
      </c>
      <c r="M2216" t="s">
        <v>6172</v>
      </c>
    </row>
    <row r="2217" spans="1:13" x14ac:dyDescent="0.35">
      <c r="A2217" t="s">
        <v>13</v>
      </c>
      <c r="B2217">
        <v>2372571</v>
      </c>
      <c r="C2217">
        <v>2373290</v>
      </c>
      <c r="E2217" t="s">
        <v>38</v>
      </c>
      <c r="F2217" t="s">
        <v>6173</v>
      </c>
      <c r="H2217">
        <v>1020189</v>
      </c>
      <c r="I2217" t="s">
        <v>17</v>
      </c>
      <c r="K2217" t="s">
        <v>6174</v>
      </c>
      <c r="L2217">
        <v>239</v>
      </c>
      <c r="M2217" t="s">
        <v>6175</v>
      </c>
    </row>
    <row r="2218" spans="1:13" x14ac:dyDescent="0.35">
      <c r="A2218" t="s">
        <v>13</v>
      </c>
      <c r="B2218">
        <v>2373321</v>
      </c>
      <c r="C2218">
        <v>2374463</v>
      </c>
      <c r="E2218" t="s">
        <v>38</v>
      </c>
      <c r="F2218" t="s">
        <v>6176</v>
      </c>
      <c r="H2218">
        <v>1020190</v>
      </c>
      <c r="I2218" t="s">
        <v>17</v>
      </c>
      <c r="K2218" t="s">
        <v>6177</v>
      </c>
      <c r="L2218">
        <v>380</v>
      </c>
      <c r="M2218" t="s">
        <v>6178</v>
      </c>
    </row>
    <row r="2219" spans="1:13" x14ac:dyDescent="0.35">
      <c r="A2219" t="s">
        <v>13</v>
      </c>
      <c r="B2219">
        <v>2374545</v>
      </c>
      <c r="C2219">
        <v>2375201</v>
      </c>
      <c r="E2219" t="s">
        <v>14</v>
      </c>
      <c r="F2219" t="s">
        <v>394</v>
      </c>
      <c r="H2219">
        <v>1020191</v>
      </c>
      <c r="I2219" t="s">
        <v>17</v>
      </c>
      <c r="K2219" t="s">
        <v>6179</v>
      </c>
      <c r="L2219">
        <v>218</v>
      </c>
      <c r="M2219" t="s">
        <v>6180</v>
      </c>
    </row>
    <row r="2220" spans="1:13" x14ac:dyDescent="0.35">
      <c r="A2220" t="s">
        <v>13</v>
      </c>
      <c r="B2220">
        <v>2375188</v>
      </c>
      <c r="C2220">
        <v>2375688</v>
      </c>
      <c r="E2220" t="s">
        <v>14</v>
      </c>
      <c r="F2220" t="s">
        <v>6181</v>
      </c>
      <c r="H2220">
        <v>1020192</v>
      </c>
      <c r="I2220" t="s">
        <v>17</v>
      </c>
      <c r="K2220" t="s">
        <v>6182</v>
      </c>
      <c r="L2220">
        <v>166</v>
      </c>
      <c r="M2220" t="s">
        <v>6183</v>
      </c>
    </row>
    <row r="2221" spans="1:13" x14ac:dyDescent="0.35">
      <c r="A2221" t="s">
        <v>13</v>
      </c>
      <c r="B2221">
        <v>2375723</v>
      </c>
      <c r="C2221">
        <v>2376724</v>
      </c>
      <c r="E2221" t="s">
        <v>14</v>
      </c>
      <c r="F2221" t="s">
        <v>6184</v>
      </c>
      <c r="H2221">
        <v>1020193</v>
      </c>
      <c r="I2221" t="s">
        <v>17</v>
      </c>
      <c r="K2221" t="s">
        <v>6185</v>
      </c>
      <c r="L2221">
        <v>333</v>
      </c>
      <c r="M2221" t="s">
        <v>6186</v>
      </c>
    </row>
    <row r="2222" spans="1:13" x14ac:dyDescent="0.35">
      <c r="A2222" t="s">
        <v>13</v>
      </c>
      <c r="B2222">
        <v>2376996</v>
      </c>
      <c r="C2222">
        <v>2377727</v>
      </c>
      <c r="E2222" t="s">
        <v>38</v>
      </c>
      <c r="F2222" t="s">
        <v>141</v>
      </c>
      <c r="H2222">
        <v>44144986</v>
      </c>
      <c r="I2222" t="s">
        <v>142</v>
      </c>
      <c r="M2222" t="s">
        <v>6187</v>
      </c>
    </row>
    <row r="2223" spans="1:13" x14ac:dyDescent="0.35">
      <c r="A2223" t="s">
        <v>13</v>
      </c>
      <c r="B2223">
        <v>2377900</v>
      </c>
      <c r="C2223">
        <v>2378280</v>
      </c>
      <c r="E2223" t="s">
        <v>14</v>
      </c>
      <c r="F2223" t="s">
        <v>138</v>
      </c>
      <c r="H2223">
        <v>1020196</v>
      </c>
      <c r="I2223" t="s">
        <v>17</v>
      </c>
      <c r="K2223" t="s">
        <v>6188</v>
      </c>
      <c r="L2223">
        <v>126</v>
      </c>
      <c r="M2223" t="s">
        <v>6189</v>
      </c>
    </row>
    <row r="2224" spans="1:13" x14ac:dyDescent="0.35">
      <c r="A2224" t="s">
        <v>13</v>
      </c>
      <c r="B2224">
        <v>2378697</v>
      </c>
      <c r="C2224">
        <v>2378769</v>
      </c>
      <c r="E2224" t="s">
        <v>38</v>
      </c>
      <c r="F2224" t="s">
        <v>4745</v>
      </c>
      <c r="H2224">
        <v>2745351</v>
      </c>
      <c r="I2224" t="s">
        <v>62</v>
      </c>
      <c r="M2224" t="s">
        <v>6190</v>
      </c>
    </row>
    <row r="2225" spans="1:13" x14ac:dyDescent="0.35">
      <c r="A2225" t="s">
        <v>13</v>
      </c>
      <c r="B2225">
        <v>2378882</v>
      </c>
      <c r="C2225">
        <v>2379313</v>
      </c>
      <c r="E2225" t="s">
        <v>38</v>
      </c>
      <c r="F2225" t="s">
        <v>6191</v>
      </c>
      <c r="H2225">
        <v>1020198</v>
      </c>
      <c r="I2225" t="s">
        <v>17</v>
      </c>
      <c r="K2225" t="s">
        <v>6192</v>
      </c>
      <c r="L2225">
        <v>143</v>
      </c>
      <c r="M2225" t="s">
        <v>6193</v>
      </c>
    </row>
    <row r="2226" spans="1:13" x14ac:dyDescent="0.35">
      <c r="A2226" t="s">
        <v>13</v>
      </c>
      <c r="B2226">
        <v>2379980</v>
      </c>
      <c r="C2226">
        <v>2382748</v>
      </c>
      <c r="E2226" t="s">
        <v>14</v>
      </c>
      <c r="F2226" t="s">
        <v>6194</v>
      </c>
      <c r="G2226" t="s">
        <v>6195</v>
      </c>
      <c r="H2226">
        <v>1020200</v>
      </c>
      <c r="I2226" t="s">
        <v>17</v>
      </c>
      <c r="K2226" t="s">
        <v>6196</v>
      </c>
      <c r="L2226">
        <v>922</v>
      </c>
      <c r="M2226" t="s">
        <v>6197</v>
      </c>
    </row>
    <row r="2227" spans="1:13" x14ac:dyDescent="0.35">
      <c r="A2227" t="s">
        <v>13</v>
      </c>
      <c r="B2227">
        <v>2382825</v>
      </c>
      <c r="C2227">
        <v>2383616</v>
      </c>
      <c r="E2227" t="s">
        <v>38</v>
      </c>
      <c r="F2227" t="s">
        <v>147</v>
      </c>
      <c r="H2227">
        <v>1020201</v>
      </c>
      <c r="I2227" t="s">
        <v>17</v>
      </c>
      <c r="K2227" t="s">
        <v>6198</v>
      </c>
      <c r="L2227">
        <v>263</v>
      </c>
      <c r="M2227" t="s">
        <v>6199</v>
      </c>
    </row>
    <row r="2228" spans="1:13" x14ac:dyDescent="0.35">
      <c r="A2228" t="s">
        <v>13</v>
      </c>
      <c r="B2228">
        <v>2383620</v>
      </c>
      <c r="C2228">
        <v>2384510</v>
      </c>
      <c r="E2228" t="s">
        <v>38</v>
      </c>
      <c r="F2228" t="s">
        <v>124</v>
      </c>
      <c r="H2228">
        <v>1020202</v>
      </c>
      <c r="I2228" t="s">
        <v>17</v>
      </c>
      <c r="K2228" t="s">
        <v>6200</v>
      </c>
      <c r="L2228">
        <v>296</v>
      </c>
      <c r="M2228" t="s">
        <v>6201</v>
      </c>
    </row>
    <row r="2229" spans="1:13" x14ac:dyDescent="0.35">
      <c r="A2229" t="s">
        <v>13</v>
      </c>
      <c r="B2229">
        <v>2384507</v>
      </c>
      <c r="C2229">
        <v>2385499</v>
      </c>
      <c r="E2229" t="s">
        <v>38</v>
      </c>
      <c r="F2229" t="s">
        <v>1008</v>
      </c>
      <c r="H2229">
        <v>1020203</v>
      </c>
      <c r="I2229" t="s">
        <v>17</v>
      </c>
      <c r="K2229" t="s">
        <v>6202</v>
      </c>
      <c r="L2229">
        <v>330</v>
      </c>
      <c r="M2229" t="s">
        <v>6203</v>
      </c>
    </row>
    <row r="2230" spans="1:13" x14ac:dyDescent="0.35">
      <c r="A2230" t="s">
        <v>13</v>
      </c>
      <c r="B2230">
        <v>2385784</v>
      </c>
      <c r="C2230">
        <v>2385882</v>
      </c>
      <c r="E2230" t="s">
        <v>14</v>
      </c>
      <c r="F2230" t="s">
        <v>141</v>
      </c>
      <c r="H2230">
        <v>92792307</v>
      </c>
      <c r="I2230" t="s">
        <v>142</v>
      </c>
      <c r="M2230" t="s">
        <v>6204</v>
      </c>
    </row>
    <row r="2231" spans="1:13" x14ac:dyDescent="0.35">
      <c r="A2231" t="s">
        <v>13</v>
      </c>
      <c r="B2231">
        <v>2385911</v>
      </c>
      <c r="C2231">
        <v>2386192</v>
      </c>
      <c r="E2231" t="s">
        <v>38</v>
      </c>
      <c r="F2231" t="s">
        <v>49</v>
      </c>
      <c r="H2231">
        <v>92792308</v>
      </c>
      <c r="I2231" t="s">
        <v>17</v>
      </c>
      <c r="K2231" t="s">
        <v>6205</v>
      </c>
      <c r="L2231">
        <v>93</v>
      </c>
      <c r="M2231" t="s">
        <v>6206</v>
      </c>
    </row>
    <row r="2232" spans="1:13" x14ac:dyDescent="0.35">
      <c r="A2232" t="s">
        <v>13</v>
      </c>
      <c r="B2232">
        <v>2386210</v>
      </c>
      <c r="C2232">
        <v>2386584</v>
      </c>
      <c r="E2232" t="s">
        <v>14</v>
      </c>
      <c r="F2232" t="s">
        <v>49</v>
      </c>
      <c r="H2232">
        <v>92792309</v>
      </c>
      <c r="I2232" t="s">
        <v>17</v>
      </c>
      <c r="K2232" t="s">
        <v>6207</v>
      </c>
      <c r="L2232">
        <v>124</v>
      </c>
      <c r="M2232" t="s">
        <v>6208</v>
      </c>
    </row>
    <row r="2233" spans="1:13" x14ac:dyDescent="0.35">
      <c r="A2233" t="s">
        <v>13</v>
      </c>
      <c r="B2233">
        <v>2386612</v>
      </c>
      <c r="C2233">
        <v>2387574</v>
      </c>
      <c r="E2233" t="s">
        <v>38</v>
      </c>
      <c r="F2233" t="s">
        <v>35</v>
      </c>
      <c r="H2233">
        <v>1020206</v>
      </c>
      <c r="I2233" t="s">
        <v>17</v>
      </c>
      <c r="K2233" t="s">
        <v>6209</v>
      </c>
      <c r="L2233">
        <v>320</v>
      </c>
      <c r="M2233" t="s">
        <v>6210</v>
      </c>
    </row>
    <row r="2234" spans="1:13" x14ac:dyDescent="0.35">
      <c r="A2234" t="s">
        <v>13</v>
      </c>
      <c r="B2234">
        <v>2387668</v>
      </c>
      <c r="C2234">
        <v>2387961</v>
      </c>
      <c r="E2234" t="s">
        <v>14</v>
      </c>
      <c r="F2234" t="s">
        <v>6211</v>
      </c>
      <c r="H2234">
        <v>1020207</v>
      </c>
      <c r="I2234" t="s">
        <v>17</v>
      </c>
      <c r="K2234" t="s">
        <v>6212</v>
      </c>
      <c r="L2234">
        <v>97</v>
      </c>
      <c r="M2234" t="s">
        <v>6213</v>
      </c>
    </row>
    <row r="2235" spans="1:13" x14ac:dyDescent="0.35">
      <c r="A2235" t="s">
        <v>13</v>
      </c>
      <c r="B2235">
        <v>2387998</v>
      </c>
      <c r="C2235">
        <v>2388825</v>
      </c>
      <c r="E2235" t="s">
        <v>14</v>
      </c>
      <c r="F2235" t="s">
        <v>3978</v>
      </c>
      <c r="H2235">
        <v>1020208</v>
      </c>
      <c r="I2235" t="s">
        <v>17</v>
      </c>
      <c r="K2235" t="s">
        <v>6214</v>
      </c>
      <c r="L2235">
        <v>275</v>
      </c>
      <c r="M2235" t="s">
        <v>6215</v>
      </c>
    </row>
    <row r="2236" spans="1:13" x14ac:dyDescent="0.35">
      <c r="A2236" t="s">
        <v>13</v>
      </c>
      <c r="B2236">
        <v>2388839</v>
      </c>
      <c r="C2236">
        <v>2389873</v>
      </c>
      <c r="E2236" t="s">
        <v>14</v>
      </c>
      <c r="F2236" t="s">
        <v>6216</v>
      </c>
      <c r="H2236">
        <v>1020209</v>
      </c>
      <c r="I2236" t="s">
        <v>17</v>
      </c>
      <c r="K2236" t="s">
        <v>6217</v>
      </c>
      <c r="L2236">
        <v>344</v>
      </c>
      <c r="M2236" t="s">
        <v>6218</v>
      </c>
    </row>
    <row r="2237" spans="1:13" x14ac:dyDescent="0.35">
      <c r="A2237" t="s">
        <v>13</v>
      </c>
      <c r="B2237">
        <v>2390432</v>
      </c>
      <c r="C2237">
        <v>2390860</v>
      </c>
      <c r="E2237" t="s">
        <v>38</v>
      </c>
      <c r="F2237" t="s">
        <v>49</v>
      </c>
      <c r="H2237">
        <v>1020210</v>
      </c>
      <c r="I2237" t="s">
        <v>17</v>
      </c>
      <c r="K2237" t="s">
        <v>6219</v>
      </c>
      <c r="L2237">
        <v>142</v>
      </c>
      <c r="M2237" t="s">
        <v>6220</v>
      </c>
    </row>
    <row r="2238" spans="1:13" x14ac:dyDescent="0.35">
      <c r="A2238" t="s">
        <v>13</v>
      </c>
      <c r="B2238">
        <v>2391182</v>
      </c>
      <c r="C2238">
        <v>2391991</v>
      </c>
      <c r="E2238" t="s">
        <v>38</v>
      </c>
      <c r="F2238" t="s">
        <v>6221</v>
      </c>
      <c r="H2238">
        <v>1020211</v>
      </c>
      <c r="I2238" t="s">
        <v>17</v>
      </c>
      <c r="K2238" t="s">
        <v>6222</v>
      </c>
      <c r="L2238">
        <v>269</v>
      </c>
      <c r="M2238" t="s">
        <v>6223</v>
      </c>
    </row>
    <row r="2239" spans="1:13" x14ac:dyDescent="0.35">
      <c r="A2239" t="s">
        <v>13</v>
      </c>
      <c r="B2239">
        <v>2392073</v>
      </c>
      <c r="C2239">
        <v>2392531</v>
      </c>
      <c r="E2239" t="s">
        <v>38</v>
      </c>
      <c r="F2239" t="s">
        <v>6224</v>
      </c>
      <c r="H2239">
        <v>1020212</v>
      </c>
      <c r="I2239" t="s">
        <v>17</v>
      </c>
      <c r="K2239" t="s">
        <v>6225</v>
      </c>
      <c r="L2239">
        <v>152</v>
      </c>
      <c r="M2239" t="s">
        <v>6226</v>
      </c>
    </row>
    <row r="2240" spans="1:13" x14ac:dyDescent="0.35">
      <c r="A2240" t="s">
        <v>13</v>
      </c>
      <c r="B2240">
        <v>2392577</v>
      </c>
      <c r="C2240">
        <v>2393140</v>
      </c>
      <c r="E2240" t="s">
        <v>38</v>
      </c>
      <c r="F2240" t="s">
        <v>49</v>
      </c>
      <c r="H2240">
        <v>1020213</v>
      </c>
      <c r="I2240" t="s">
        <v>17</v>
      </c>
      <c r="K2240" t="s">
        <v>6227</v>
      </c>
      <c r="L2240">
        <v>187</v>
      </c>
      <c r="M2240" t="s">
        <v>6228</v>
      </c>
    </row>
    <row r="2241" spans="1:13" x14ac:dyDescent="0.35">
      <c r="A2241" t="s">
        <v>13</v>
      </c>
      <c r="B2241">
        <v>2393165</v>
      </c>
      <c r="C2241">
        <v>2393407</v>
      </c>
      <c r="E2241" t="s">
        <v>14</v>
      </c>
      <c r="F2241" t="s">
        <v>49</v>
      </c>
      <c r="H2241">
        <v>1020214</v>
      </c>
      <c r="I2241" t="s">
        <v>17</v>
      </c>
      <c r="K2241" t="s">
        <v>6229</v>
      </c>
      <c r="L2241">
        <v>80</v>
      </c>
      <c r="M2241" t="s">
        <v>6230</v>
      </c>
    </row>
    <row r="2242" spans="1:13" x14ac:dyDescent="0.35">
      <c r="A2242" t="s">
        <v>13</v>
      </c>
      <c r="B2242">
        <v>2393429</v>
      </c>
      <c r="C2242">
        <v>2393974</v>
      </c>
      <c r="E2242" t="s">
        <v>14</v>
      </c>
      <c r="F2242" t="s">
        <v>49</v>
      </c>
      <c r="H2242">
        <v>1020215</v>
      </c>
      <c r="I2242" t="s">
        <v>17</v>
      </c>
      <c r="K2242" t="s">
        <v>6231</v>
      </c>
      <c r="L2242">
        <v>181</v>
      </c>
      <c r="M2242" t="s">
        <v>6232</v>
      </c>
    </row>
    <row r="2243" spans="1:13" x14ac:dyDescent="0.35">
      <c r="A2243" t="s">
        <v>13</v>
      </c>
      <c r="B2243">
        <v>2393971</v>
      </c>
      <c r="C2243">
        <v>2394399</v>
      </c>
      <c r="E2243" t="s">
        <v>38</v>
      </c>
      <c r="F2243" t="s">
        <v>49</v>
      </c>
      <c r="H2243">
        <v>1020216</v>
      </c>
      <c r="I2243" t="s">
        <v>17</v>
      </c>
      <c r="K2243" t="s">
        <v>6233</v>
      </c>
      <c r="L2243">
        <v>142</v>
      </c>
      <c r="M2243" t="s">
        <v>6234</v>
      </c>
    </row>
    <row r="2244" spans="1:13" x14ac:dyDescent="0.35">
      <c r="A2244" t="s">
        <v>13</v>
      </c>
      <c r="B2244">
        <v>2394595</v>
      </c>
      <c r="C2244">
        <v>2394939</v>
      </c>
      <c r="E2244" t="s">
        <v>14</v>
      </c>
      <c r="F2244" t="s">
        <v>49</v>
      </c>
      <c r="H2244">
        <v>1020217</v>
      </c>
      <c r="I2244" t="s">
        <v>17</v>
      </c>
      <c r="K2244" t="s">
        <v>6235</v>
      </c>
      <c r="L2244">
        <v>114</v>
      </c>
      <c r="M2244" t="s">
        <v>6236</v>
      </c>
    </row>
    <row r="2245" spans="1:13" x14ac:dyDescent="0.35">
      <c r="A2245" t="s">
        <v>13</v>
      </c>
      <c r="B2245">
        <v>2394990</v>
      </c>
      <c r="C2245">
        <v>2395066</v>
      </c>
      <c r="E2245" t="s">
        <v>38</v>
      </c>
      <c r="F2245" t="s">
        <v>61</v>
      </c>
      <c r="H2245">
        <v>2745318</v>
      </c>
      <c r="I2245" t="s">
        <v>62</v>
      </c>
      <c r="M2245" t="s">
        <v>6237</v>
      </c>
    </row>
    <row r="2246" spans="1:13" x14ac:dyDescent="0.35">
      <c r="A2246" t="s">
        <v>13</v>
      </c>
      <c r="B2246">
        <v>2395217</v>
      </c>
      <c r="C2246">
        <v>2396767</v>
      </c>
      <c r="E2246" t="s">
        <v>14</v>
      </c>
      <c r="F2246" t="s">
        <v>6238</v>
      </c>
      <c r="H2246">
        <v>1020218</v>
      </c>
      <c r="I2246" t="s">
        <v>17</v>
      </c>
      <c r="K2246" t="s">
        <v>6239</v>
      </c>
      <c r="L2246">
        <v>516</v>
      </c>
      <c r="M2246" t="s">
        <v>6240</v>
      </c>
    </row>
    <row r="2247" spans="1:13" x14ac:dyDescent="0.35">
      <c r="A2247" t="s">
        <v>13</v>
      </c>
      <c r="B2247">
        <v>2396848</v>
      </c>
      <c r="C2247">
        <v>2396920</v>
      </c>
      <c r="E2247" t="s">
        <v>14</v>
      </c>
      <c r="F2247" t="s">
        <v>6241</v>
      </c>
      <c r="H2247">
        <v>2745323</v>
      </c>
      <c r="I2247" t="s">
        <v>62</v>
      </c>
      <c r="M2247" t="s">
        <v>6242</v>
      </c>
    </row>
    <row r="2248" spans="1:13" x14ac:dyDescent="0.35">
      <c r="A2248" t="s">
        <v>13</v>
      </c>
      <c r="B2248">
        <v>2397059</v>
      </c>
      <c r="C2248">
        <v>2397131</v>
      </c>
      <c r="E2248" t="s">
        <v>14</v>
      </c>
      <c r="F2248" t="s">
        <v>6241</v>
      </c>
      <c r="H2248">
        <v>2745342</v>
      </c>
      <c r="I2248" t="s">
        <v>62</v>
      </c>
      <c r="M2248" t="s">
        <v>6243</v>
      </c>
    </row>
    <row r="2249" spans="1:13" x14ac:dyDescent="0.35">
      <c r="A2249" t="s">
        <v>13</v>
      </c>
      <c r="B2249">
        <v>2397265</v>
      </c>
      <c r="C2249">
        <v>2399103</v>
      </c>
      <c r="E2249" t="s">
        <v>14</v>
      </c>
      <c r="F2249" t="s">
        <v>6244</v>
      </c>
      <c r="H2249">
        <v>1020219</v>
      </c>
      <c r="I2249" t="s">
        <v>17</v>
      </c>
      <c r="K2249" t="s">
        <v>6245</v>
      </c>
      <c r="L2249">
        <v>612</v>
      </c>
      <c r="M2249" t="s">
        <v>6246</v>
      </c>
    </row>
    <row r="2250" spans="1:13" x14ac:dyDescent="0.35">
      <c r="A2250" t="s">
        <v>13</v>
      </c>
      <c r="B2250">
        <v>2399159</v>
      </c>
      <c r="C2250">
        <v>2399401</v>
      </c>
      <c r="E2250" t="s">
        <v>14</v>
      </c>
      <c r="F2250" t="s">
        <v>49</v>
      </c>
      <c r="H2250">
        <v>1020220</v>
      </c>
      <c r="I2250" t="s">
        <v>17</v>
      </c>
      <c r="K2250" t="s">
        <v>6247</v>
      </c>
      <c r="L2250">
        <v>80</v>
      </c>
      <c r="M2250" t="s">
        <v>6248</v>
      </c>
    </row>
    <row r="2251" spans="1:13" x14ac:dyDescent="0.35">
      <c r="A2251" t="s">
        <v>13</v>
      </c>
      <c r="B2251">
        <v>2399403</v>
      </c>
      <c r="C2251">
        <v>2401304</v>
      </c>
      <c r="E2251" t="s">
        <v>38</v>
      </c>
      <c r="F2251" t="s">
        <v>6249</v>
      </c>
      <c r="G2251" t="s">
        <v>6250</v>
      </c>
      <c r="H2251">
        <v>1020221</v>
      </c>
      <c r="I2251" t="s">
        <v>17</v>
      </c>
      <c r="K2251" t="s">
        <v>6251</v>
      </c>
      <c r="L2251">
        <v>633</v>
      </c>
      <c r="M2251" t="s">
        <v>6252</v>
      </c>
    </row>
    <row r="2252" spans="1:13" x14ac:dyDescent="0.35">
      <c r="A2252" t="s">
        <v>13</v>
      </c>
      <c r="B2252">
        <v>2401344</v>
      </c>
      <c r="C2252">
        <v>2401838</v>
      </c>
      <c r="E2252" t="s">
        <v>14</v>
      </c>
      <c r="F2252" t="s">
        <v>6253</v>
      </c>
      <c r="H2252">
        <v>1020222</v>
      </c>
      <c r="I2252" t="s">
        <v>17</v>
      </c>
      <c r="K2252" t="s">
        <v>6254</v>
      </c>
      <c r="L2252">
        <v>164</v>
      </c>
      <c r="M2252" t="s">
        <v>6255</v>
      </c>
    </row>
    <row r="2253" spans="1:13" x14ac:dyDescent="0.35">
      <c r="A2253" t="s">
        <v>13</v>
      </c>
      <c r="B2253">
        <v>2401839</v>
      </c>
      <c r="C2253">
        <v>2402084</v>
      </c>
      <c r="E2253" t="s">
        <v>14</v>
      </c>
      <c r="F2253" t="s">
        <v>49</v>
      </c>
      <c r="H2253">
        <v>1020223</v>
      </c>
      <c r="I2253" t="s">
        <v>17</v>
      </c>
      <c r="K2253" t="s">
        <v>6256</v>
      </c>
      <c r="L2253">
        <v>81</v>
      </c>
      <c r="M2253" t="s">
        <v>6257</v>
      </c>
    </row>
    <row r="2254" spans="1:13" x14ac:dyDescent="0.35">
      <c r="A2254" t="s">
        <v>13</v>
      </c>
      <c r="B2254">
        <v>2402142</v>
      </c>
      <c r="C2254">
        <v>2404013</v>
      </c>
      <c r="E2254" t="s">
        <v>38</v>
      </c>
      <c r="F2254" t="s">
        <v>6258</v>
      </c>
      <c r="G2254" t="s">
        <v>6259</v>
      </c>
      <c r="H2254">
        <v>1020224</v>
      </c>
      <c r="I2254" t="s">
        <v>17</v>
      </c>
      <c r="K2254" t="s">
        <v>6260</v>
      </c>
      <c r="L2254">
        <v>623</v>
      </c>
      <c r="M2254" t="s">
        <v>6261</v>
      </c>
    </row>
    <row r="2255" spans="1:13" x14ac:dyDescent="0.35">
      <c r="A2255" t="s">
        <v>13</v>
      </c>
      <c r="B2255">
        <v>2404985</v>
      </c>
      <c r="C2255">
        <v>2406259</v>
      </c>
      <c r="E2255" t="s">
        <v>38</v>
      </c>
      <c r="F2255" t="s">
        <v>6262</v>
      </c>
      <c r="H2255">
        <v>1020226</v>
      </c>
      <c r="I2255" t="s">
        <v>17</v>
      </c>
      <c r="K2255" t="s">
        <v>6263</v>
      </c>
      <c r="L2255">
        <v>424</v>
      </c>
      <c r="M2255" t="s">
        <v>6264</v>
      </c>
    </row>
    <row r="2256" spans="1:13" x14ac:dyDescent="0.35">
      <c r="A2256" t="s">
        <v>13</v>
      </c>
      <c r="B2256">
        <v>2406260</v>
      </c>
      <c r="C2256">
        <v>2406862</v>
      </c>
      <c r="E2256" t="s">
        <v>38</v>
      </c>
      <c r="F2256" t="s">
        <v>2066</v>
      </c>
      <c r="H2256">
        <v>1020227</v>
      </c>
      <c r="I2256" t="s">
        <v>17</v>
      </c>
      <c r="K2256" t="s">
        <v>6265</v>
      </c>
      <c r="L2256">
        <v>200</v>
      </c>
      <c r="M2256" t="s">
        <v>6266</v>
      </c>
    </row>
    <row r="2257" spans="1:13" x14ac:dyDescent="0.35">
      <c r="A2257" t="s">
        <v>13</v>
      </c>
      <c r="B2257">
        <v>2406979</v>
      </c>
      <c r="C2257">
        <v>2409033</v>
      </c>
      <c r="E2257" t="s">
        <v>14</v>
      </c>
      <c r="F2257" t="s">
        <v>6267</v>
      </c>
      <c r="H2257">
        <v>1020228</v>
      </c>
      <c r="I2257" t="s">
        <v>17</v>
      </c>
      <c r="K2257" t="s">
        <v>6268</v>
      </c>
      <c r="L2257">
        <v>684</v>
      </c>
      <c r="M2257" t="s">
        <v>6269</v>
      </c>
    </row>
    <row r="2258" spans="1:13" x14ac:dyDescent="0.35">
      <c r="A2258" t="s">
        <v>13</v>
      </c>
      <c r="B2258">
        <v>2409777</v>
      </c>
      <c r="C2258">
        <v>2410265</v>
      </c>
      <c r="E2258" t="s">
        <v>38</v>
      </c>
      <c r="F2258" t="s">
        <v>49</v>
      </c>
      <c r="H2258">
        <v>1020229</v>
      </c>
      <c r="I2258" t="s">
        <v>17</v>
      </c>
      <c r="K2258" t="s">
        <v>6270</v>
      </c>
      <c r="L2258">
        <v>162</v>
      </c>
      <c r="M2258" t="s">
        <v>6271</v>
      </c>
    </row>
    <row r="2259" spans="1:13" x14ac:dyDescent="0.35">
      <c r="A2259" t="s">
        <v>13</v>
      </c>
      <c r="B2259">
        <v>2410278</v>
      </c>
      <c r="C2259">
        <v>2410862</v>
      </c>
      <c r="E2259" t="s">
        <v>38</v>
      </c>
      <c r="F2259" t="s">
        <v>49</v>
      </c>
      <c r="H2259">
        <v>1020230</v>
      </c>
      <c r="I2259" t="s">
        <v>17</v>
      </c>
      <c r="K2259" t="s">
        <v>6272</v>
      </c>
      <c r="L2259">
        <v>194</v>
      </c>
      <c r="M2259" t="s">
        <v>6273</v>
      </c>
    </row>
    <row r="2260" spans="1:13" x14ac:dyDescent="0.35">
      <c r="A2260" t="s">
        <v>13</v>
      </c>
      <c r="B2260">
        <v>2410954</v>
      </c>
      <c r="C2260">
        <v>2412339</v>
      </c>
      <c r="E2260" t="s">
        <v>38</v>
      </c>
      <c r="F2260" t="s">
        <v>6274</v>
      </c>
      <c r="H2260">
        <v>1020231</v>
      </c>
      <c r="I2260" t="s">
        <v>17</v>
      </c>
      <c r="K2260" t="s">
        <v>6275</v>
      </c>
      <c r="L2260">
        <v>461</v>
      </c>
      <c r="M2260" t="s">
        <v>6276</v>
      </c>
    </row>
    <row r="2261" spans="1:13" x14ac:dyDescent="0.35">
      <c r="A2261" t="s">
        <v>13</v>
      </c>
      <c r="B2261">
        <v>2412581</v>
      </c>
      <c r="C2261">
        <v>2412952</v>
      </c>
      <c r="E2261" t="s">
        <v>14</v>
      </c>
      <c r="F2261" t="s">
        <v>801</v>
      </c>
      <c r="H2261">
        <v>1020232</v>
      </c>
      <c r="I2261" t="s">
        <v>17</v>
      </c>
      <c r="K2261" t="s">
        <v>6277</v>
      </c>
      <c r="L2261">
        <v>123</v>
      </c>
      <c r="M2261" t="s">
        <v>6278</v>
      </c>
    </row>
    <row r="2262" spans="1:13" x14ac:dyDescent="0.35">
      <c r="A2262" t="s">
        <v>13</v>
      </c>
      <c r="B2262">
        <v>2412993</v>
      </c>
      <c r="C2262">
        <v>2413427</v>
      </c>
      <c r="E2262" t="s">
        <v>14</v>
      </c>
      <c r="F2262" t="s">
        <v>6279</v>
      </c>
      <c r="H2262">
        <v>1020233</v>
      </c>
      <c r="I2262" t="s">
        <v>17</v>
      </c>
      <c r="K2262" t="s">
        <v>6280</v>
      </c>
      <c r="L2262">
        <v>144</v>
      </c>
      <c r="M2262" t="s">
        <v>6281</v>
      </c>
    </row>
    <row r="2263" spans="1:13" x14ac:dyDescent="0.35">
      <c r="A2263" t="s">
        <v>13</v>
      </c>
      <c r="B2263">
        <v>2413569</v>
      </c>
      <c r="C2263">
        <v>2415122</v>
      </c>
      <c r="E2263" t="s">
        <v>14</v>
      </c>
      <c r="F2263" t="s">
        <v>2205</v>
      </c>
      <c r="H2263">
        <v>1020234</v>
      </c>
      <c r="I2263" t="s">
        <v>17</v>
      </c>
      <c r="K2263" t="s">
        <v>6282</v>
      </c>
      <c r="L2263">
        <v>517</v>
      </c>
      <c r="M2263" t="s">
        <v>6283</v>
      </c>
    </row>
    <row r="2264" spans="1:13" x14ac:dyDescent="0.35">
      <c r="A2264" t="s">
        <v>13</v>
      </c>
      <c r="B2264">
        <v>2415296</v>
      </c>
      <c r="C2264">
        <v>2416369</v>
      </c>
      <c r="E2264" t="s">
        <v>38</v>
      </c>
      <c r="F2264" t="s">
        <v>6284</v>
      </c>
      <c r="H2264">
        <v>1020235</v>
      </c>
      <c r="I2264" t="s">
        <v>17</v>
      </c>
      <c r="K2264" t="s">
        <v>6285</v>
      </c>
      <c r="L2264">
        <v>357</v>
      </c>
      <c r="M2264" t="s">
        <v>6286</v>
      </c>
    </row>
    <row r="2265" spans="1:13" x14ac:dyDescent="0.35">
      <c r="A2265" t="s">
        <v>13</v>
      </c>
      <c r="B2265">
        <v>2416369</v>
      </c>
      <c r="C2265">
        <v>2417100</v>
      </c>
      <c r="E2265" t="s">
        <v>38</v>
      </c>
      <c r="F2265" t="s">
        <v>2852</v>
      </c>
      <c r="H2265">
        <v>1020236</v>
      </c>
      <c r="I2265" t="s">
        <v>17</v>
      </c>
      <c r="K2265" t="s">
        <v>6287</v>
      </c>
      <c r="L2265">
        <v>243</v>
      </c>
      <c r="M2265" t="s">
        <v>6288</v>
      </c>
    </row>
    <row r="2266" spans="1:13" x14ac:dyDescent="0.35">
      <c r="A2266" t="s">
        <v>13</v>
      </c>
      <c r="B2266">
        <v>2417220</v>
      </c>
      <c r="C2266">
        <v>2417948</v>
      </c>
      <c r="E2266" t="s">
        <v>38</v>
      </c>
      <c r="F2266" t="s">
        <v>6289</v>
      </c>
      <c r="G2266" t="s">
        <v>6290</v>
      </c>
      <c r="H2266">
        <v>1020237</v>
      </c>
      <c r="I2266" t="s">
        <v>17</v>
      </c>
      <c r="K2266" t="s">
        <v>6291</v>
      </c>
      <c r="L2266">
        <v>242</v>
      </c>
      <c r="M2266" t="s">
        <v>6292</v>
      </c>
    </row>
    <row r="2267" spans="1:13" x14ac:dyDescent="0.35">
      <c r="A2267" t="s">
        <v>13</v>
      </c>
      <c r="B2267">
        <v>2417967</v>
      </c>
      <c r="C2267">
        <v>2418884</v>
      </c>
      <c r="E2267" t="s">
        <v>38</v>
      </c>
      <c r="F2267" t="s">
        <v>6293</v>
      </c>
      <c r="G2267" t="s">
        <v>6294</v>
      </c>
      <c r="H2267">
        <v>1020238</v>
      </c>
      <c r="I2267" t="s">
        <v>17</v>
      </c>
      <c r="K2267" t="s">
        <v>6295</v>
      </c>
      <c r="L2267">
        <v>305</v>
      </c>
      <c r="M2267" t="s">
        <v>6296</v>
      </c>
    </row>
    <row r="2268" spans="1:13" x14ac:dyDescent="0.35">
      <c r="A2268" t="s">
        <v>13</v>
      </c>
      <c r="B2268">
        <v>2418988</v>
      </c>
      <c r="C2268">
        <v>2420310</v>
      </c>
      <c r="E2268" t="s">
        <v>38</v>
      </c>
      <c r="F2268" t="s">
        <v>3397</v>
      </c>
      <c r="H2268">
        <v>1020239</v>
      </c>
      <c r="I2268" t="s">
        <v>17</v>
      </c>
      <c r="K2268" t="s">
        <v>6297</v>
      </c>
      <c r="L2268">
        <v>440</v>
      </c>
      <c r="M2268" t="s">
        <v>6298</v>
      </c>
    </row>
    <row r="2269" spans="1:13" x14ac:dyDescent="0.35">
      <c r="A2269" t="s">
        <v>13</v>
      </c>
      <c r="B2269">
        <v>2420311</v>
      </c>
      <c r="C2269">
        <v>2420901</v>
      </c>
      <c r="E2269" t="s">
        <v>38</v>
      </c>
      <c r="F2269" t="s">
        <v>6299</v>
      </c>
      <c r="G2269" t="s">
        <v>6300</v>
      </c>
      <c r="H2269">
        <v>1020240</v>
      </c>
      <c r="I2269" t="s">
        <v>17</v>
      </c>
      <c r="K2269" t="s">
        <v>6301</v>
      </c>
      <c r="L2269">
        <v>196</v>
      </c>
      <c r="M2269" t="s">
        <v>6302</v>
      </c>
    </row>
    <row r="2270" spans="1:13" x14ac:dyDescent="0.35">
      <c r="A2270" t="s">
        <v>13</v>
      </c>
      <c r="B2270">
        <v>2420898</v>
      </c>
      <c r="C2270">
        <v>2421884</v>
      </c>
      <c r="E2270" t="s">
        <v>38</v>
      </c>
      <c r="F2270" t="s">
        <v>229</v>
      </c>
      <c r="H2270">
        <v>1020241</v>
      </c>
      <c r="I2270" t="s">
        <v>17</v>
      </c>
      <c r="K2270" t="s">
        <v>6303</v>
      </c>
      <c r="L2270">
        <v>328</v>
      </c>
      <c r="M2270" t="s">
        <v>6304</v>
      </c>
    </row>
    <row r="2271" spans="1:13" x14ac:dyDescent="0.35">
      <c r="A2271" t="s">
        <v>13</v>
      </c>
      <c r="B2271">
        <v>2421973</v>
      </c>
      <c r="C2271">
        <v>2422698</v>
      </c>
      <c r="E2271" t="s">
        <v>38</v>
      </c>
      <c r="F2271" t="s">
        <v>6305</v>
      </c>
      <c r="H2271">
        <v>1020242</v>
      </c>
      <c r="I2271" t="s">
        <v>17</v>
      </c>
      <c r="K2271" t="s">
        <v>6306</v>
      </c>
      <c r="L2271">
        <v>241</v>
      </c>
      <c r="M2271" t="s">
        <v>6307</v>
      </c>
    </row>
    <row r="2272" spans="1:13" x14ac:dyDescent="0.35">
      <c r="A2272" t="s">
        <v>13</v>
      </c>
      <c r="B2272">
        <v>2422698</v>
      </c>
      <c r="C2272">
        <v>2423846</v>
      </c>
      <c r="E2272" t="s">
        <v>38</v>
      </c>
      <c r="F2272" t="s">
        <v>6308</v>
      </c>
      <c r="G2272" t="s">
        <v>6309</v>
      </c>
      <c r="H2272">
        <v>1020243</v>
      </c>
      <c r="I2272" t="s">
        <v>17</v>
      </c>
      <c r="K2272" t="s">
        <v>6310</v>
      </c>
      <c r="L2272">
        <v>382</v>
      </c>
      <c r="M2272" t="s">
        <v>6311</v>
      </c>
    </row>
    <row r="2273" spans="1:13" x14ac:dyDescent="0.35">
      <c r="A2273" t="s">
        <v>13</v>
      </c>
      <c r="B2273">
        <v>2423913</v>
      </c>
      <c r="C2273">
        <v>2424941</v>
      </c>
      <c r="E2273" t="s">
        <v>38</v>
      </c>
      <c r="F2273" t="s">
        <v>6312</v>
      </c>
      <c r="G2273" t="s">
        <v>6313</v>
      </c>
      <c r="H2273">
        <v>1020244</v>
      </c>
      <c r="I2273" t="s">
        <v>17</v>
      </c>
      <c r="K2273" t="s">
        <v>6314</v>
      </c>
      <c r="L2273">
        <v>342</v>
      </c>
      <c r="M2273" t="s">
        <v>6315</v>
      </c>
    </row>
    <row r="2274" spans="1:13" x14ac:dyDescent="0.35">
      <c r="A2274" t="s">
        <v>13</v>
      </c>
      <c r="B2274">
        <v>2424963</v>
      </c>
      <c r="C2274">
        <v>2426105</v>
      </c>
      <c r="E2274" t="s">
        <v>38</v>
      </c>
      <c r="F2274" t="s">
        <v>6316</v>
      </c>
      <c r="G2274" t="s">
        <v>6317</v>
      </c>
      <c r="H2274">
        <v>1020245</v>
      </c>
      <c r="I2274" t="s">
        <v>17</v>
      </c>
      <c r="K2274" t="s">
        <v>6318</v>
      </c>
      <c r="L2274">
        <v>380</v>
      </c>
      <c r="M2274" t="s">
        <v>6319</v>
      </c>
    </row>
    <row r="2275" spans="1:13" x14ac:dyDescent="0.35">
      <c r="A2275" t="s">
        <v>13</v>
      </c>
      <c r="B2275">
        <v>2426203</v>
      </c>
      <c r="C2275">
        <v>2426703</v>
      </c>
      <c r="E2275" t="s">
        <v>14</v>
      </c>
      <c r="F2275" t="s">
        <v>49</v>
      </c>
      <c r="H2275">
        <v>1020246</v>
      </c>
      <c r="I2275" t="s">
        <v>17</v>
      </c>
      <c r="K2275" t="s">
        <v>6320</v>
      </c>
      <c r="L2275">
        <v>166</v>
      </c>
      <c r="M2275" t="s">
        <v>6321</v>
      </c>
    </row>
    <row r="2276" spans="1:13" x14ac:dyDescent="0.35">
      <c r="A2276" t="s">
        <v>13</v>
      </c>
      <c r="B2276">
        <v>2426774</v>
      </c>
      <c r="C2276">
        <v>2427454</v>
      </c>
      <c r="E2276" t="s">
        <v>38</v>
      </c>
      <c r="F2276" t="s">
        <v>49</v>
      </c>
      <c r="H2276">
        <v>1020247</v>
      </c>
      <c r="I2276" t="s">
        <v>17</v>
      </c>
      <c r="K2276" t="s">
        <v>6322</v>
      </c>
      <c r="L2276">
        <v>226</v>
      </c>
      <c r="M2276" t="s">
        <v>6323</v>
      </c>
    </row>
    <row r="2277" spans="1:13" x14ac:dyDescent="0.35">
      <c r="A2277" t="s">
        <v>13</v>
      </c>
      <c r="B2277">
        <v>2427805</v>
      </c>
      <c r="C2277">
        <v>2428185</v>
      </c>
      <c r="E2277" t="s">
        <v>38</v>
      </c>
      <c r="F2277" t="s">
        <v>49</v>
      </c>
      <c r="H2277">
        <v>1020248</v>
      </c>
      <c r="I2277" t="s">
        <v>17</v>
      </c>
      <c r="K2277" t="s">
        <v>6324</v>
      </c>
      <c r="L2277">
        <v>126</v>
      </c>
      <c r="M2277" t="s">
        <v>6325</v>
      </c>
    </row>
    <row r="2278" spans="1:13" x14ac:dyDescent="0.35">
      <c r="A2278" t="s">
        <v>13</v>
      </c>
      <c r="B2278">
        <v>2428182</v>
      </c>
      <c r="C2278">
        <v>2430029</v>
      </c>
      <c r="E2278" t="s">
        <v>38</v>
      </c>
      <c r="F2278" t="s">
        <v>6326</v>
      </c>
      <c r="H2278">
        <v>1020249</v>
      </c>
      <c r="I2278" t="s">
        <v>17</v>
      </c>
      <c r="K2278" t="s">
        <v>6327</v>
      </c>
      <c r="L2278">
        <v>615</v>
      </c>
      <c r="M2278" t="s">
        <v>6328</v>
      </c>
    </row>
    <row r="2279" spans="1:13" x14ac:dyDescent="0.35">
      <c r="A2279" t="s">
        <v>13</v>
      </c>
      <c r="B2279">
        <v>2430297</v>
      </c>
      <c r="C2279">
        <v>2432417</v>
      </c>
      <c r="E2279" t="s">
        <v>14</v>
      </c>
      <c r="F2279" t="s">
        <v>6329</v>
      </c>
      <c r="G2279" t="s">
        <v>6330</v>
      </c>
      <c r="H2279">
        <v>1020250</v>
      </c>
      <c r="I2279" t="s">
        <v>17</v>
      </c>
      <c r="K2279" t="s">
        <v>6331</v>
      </c>
      <c r="L2279">
        <v>706</v>
      </c>
      <c r="M2279" t="s">
        <v>6332</v>
      </c>
    </row>
    <row r="2280" spans="1:13" x14ac:dyDescent="0.35">
      <c r="A2280" t="s">
        <v>13</v>
      </c>
      <c r="B2280">
        <v>2432509</v>
      </c>
      <c r="C2280">
        <v>2434374</v>
      </c>
      <c r="E2280" t="s">
        <v>14</v>
      </c>
      <c r="F2280" t="s">
        <v>147</v>
      </c>
      <c r="H2280">
        <v>1020251</v>
      </c>
      <c r="I2280" t="s">
        <v>17</v>
      </c>
      <c r="K2280" t="s">
        <v>6333</v>
      </c>
      <c r="L2280">
        <v>621</v>
      </c>
      <c r="M2280" t="s">
        <v>6334</v>
      </c>
    </row>
    <row r="2281" spans="1:13" x14ac:dyDescent="0.35">
      <c r="A2281" t="s">
        <v>13</v>
      </c>
      <c r="B2281">
        <v>2434438</v>
      </c>
      <c r="C2281">
        <v>2434578</v>
      </c>
      <c r="E2281" t="s">
        <v>38</v>
      </c>
      <c r="F2281" t="s">
        <v>49</v>
      </c>
      <c r="H2281">
        <v>44156736</v>
      </c>
      <c r="I2281" t="s">
        <v>17</v>
      </c>
      <c r="K2281" t="s">
        <v>6335</v>
      </c>
      <c r="L2281">
        <v>46</v>
      </c>
      <c r="M2281" t="s">
        <v>6336</v>
      </c>
    </row>
    <row r="2282" spans="1:13" x14ac:dyDescent="0.35">
      <c r="A2282" t="s">
        <v>13</v>
      </c>
      <c r="B2282">
        <v>2434571</v>
      </c>
      <c r="C2282">
        <v>2434777</v>
      </c>
      <c r="E2282" t="s">
        <v>38</v>
      </c>
      <c r="F2282" t="s">
        <v>49</v>
      </c>
      <c r="H2282">
        <v>44144988</v>
      </c>
      <c r="I2282" t="s">
        <v>17</v>
      </c>
      <c r="K2282" t="s">
        <v>6337</v>
      </c>
      <c r="L2282">
        <v>68</v>
      </c>
      <c r="M2282" t="s">
        <v>6338</v>
      </c>
    </row>
    <row r="2283" spans="1:13" x14ac:dyDescent="0.35">
      <c r="A2283" t="s">
        <v>13</v>
      </c>
      <c r="B2283">
        <v>2434803</v>
      </c>
      <c r="C2283">
        <v>2436839</v>
      </c>
      <c r="E2283" t="s">
        <v>38</v>
      </c>
      <c r="F2283" t="s">
        <v>6339</v>
      </c>
      <c r="H2283">
        <v>1020252</v>
      </c>
      <c r="I2283" t="s">
        <v>17</v>
      </c>
      <c r="K2283" t="s">
        <v>6340</v>
      </c>
      <c r="L2283">
        <v>678</v>
      </c>
      <c r="M2283" t="s">
        <v>6341</v>
      </c>
    </row>
    <row r="2284" spans="1:13" x14ac:dyDescent="0.35">
      <c r="A2284" t="s">
        <v>13</v>
      </c>
      <c r="B2284">
        <v>2436872</v>
      </c>
      <c r="C2284">
        <v>2438053</v>
      </c>
      <c r="E2284" t="s">
        <v>14</v>
      </c>
      <c r="F2284" t="s">
        <v>6342</v>
      </c>
      <c r="H2284">
        <v>1020253</v>
      </c>
      <c r="I2284" t="s">
        <v>17</v>
      </c>
      <c r="K2284" t="s">
        <v>6343</v>
      </c>
      <c r="L2284">
        <v>393</v>
      </c>
      <c r="M2284" t="s">
        <v>6344</v>
      </c>
    </row>
    <row r="2285" spans="1:13" x14ac:dyDescent="0.35">
      <c r="A2285" t="s">
        <v>13</v>
      </c>
      <c r="B2285">
        <v>2438096</v>
      </c>
      <c r="C2285">
        <v>2439910</v>
      </c>
      <c r="E2285" t="s">
        <v>14</v>
      </c>
      <c r="F2285" t="s">
        <v>6345</v>
      </c>
      <c r="G2285" t="s">
        <v>6346</v>
      </c>
      <c r="H2285">
        <v>1020254</v>
      </c>
      <c r="I2285" t="s">
        <v>17</v>
      </c>
      <c r="K2285" t="s">
        <v>6347</v>
      </c>
      <c r="L2285">
        <v>604</v>
      </c>
      <c r="M2285" t="s">
        <v>6348</v>
      </c>
    </row>
    <row r="2286" spans="1:13" x14ac:dyDescent="0.35">
      <c r="A2286" t="s">
        <v>13</v>
      </c>
      <c r="B2286">
        <v>2439907</v>
      </c>
      <c r="C2286">
        <v>2440998</v>
      </c>
      <c r="E2286" t="s">
        <v>14</v>
      </c>
      <c r="F2286" t="s">
        <v>6349</v>
      </c>
      <c r="H2286">
        <v>1020255</v>
      </c>
      <c r="I2286" t="s">
        <v>17</v>
      </c>
      <c r="K2286" t="s">
        <v>6350</v>
      </c>
      <c r="L2286">
        <v>363</v>
      </c>
      <c r="M2286" t="s">
        <v>6351</v>
      </c>
    </row>
    <row r="2287" spans="1:13" x14ac:dyDescent="0.35">
      <c r="A2287" t="s">
        <v>13</v>
      </c>
      <c r="B2287">
        <v>2441003</v>
      </c>
      <c r="C2287">
        <v>2441572</v>
      </c>
      <c r="E2287" t="s">
        <v>38</v>
      </c>
      <c r="F2287" t="s">
        <v>6352</v>
      </c>
      <c r="G2287" t="s">
        <v>6353</v>
      </c>
      <c r="H2287">
        <v>1020256</v>
      </c>
      <c r="I2287" t="s">
        <v>17</v>
      </c>
      <c r="K2287" t="s">
        <v>6354</v>
      </c>
      <c r="L2287">
        <v>189</v>
      </c>
      <c r="M2287" t="s">
        <v>6355</v>
      </c>
    </row>
    <row r="2288" spans="1:13" x14ac:dyDescent="0.35">
      <c r="A2288" t="s">
        <v>13</v>
      </c>
      <c r="B2288">
        <v>2441600</v>
      </c>
      <c r="C2288">
        <v>2443357</v>
      </c>
      <c r="E2288" t="s">
        <v>38</v>
      </c>
      <c r="F2288" t="s">
        <v>49</v>
      </c>
      <c r="H2288">
        <v>1020257</v>
      </c>
      <c r="I2288" t="s">
        <v>17</v>
      </c>
      <c r="K2288" t="s">
        <v>6356</v>
      </c>
      <c r="L2288">
        <v>585</v>
      </c>
      <c r="M2288" t="s">
        <v>6357</v>
      </c>
    </row>
    <row r="2289" spans="1:13" x14ac:dyDescent="0.35">
      <c r="A2289" t="s">
        <v>13</v>
      </c>
      <c r="B2289">
        <v>2443354</v>
      </c>
      <c r="C2289">
        <v>2443920</v>
      </c>
      <c r="E2289" t="s">
        <v>38</v>
      </c>
      <c r="F2289" t="s">
        <v>6358</v>
      </c>
      <c r="H2289">
        <v>1020258</v>
      </c>
      <c r="I2289" t="s">
        <v>17</v>
      </c>
      <c r="K2289" t="s">
        <v>6359</v>
      </c>
      <c r="L2289">
        <v>188</v>
      </c>
      <c r="M2289" t="s">
        <v>6360</v>
      </c>
    </row>
    <row r="2290" spans="1:13" x14ac:dyDescent="0.35">
      <c r="A2290" t="s">
        <v>13</v>
      </c>
      <c r="B2290">
        <v>2444031</v>
      </c>
      <c r="C2290">
        <v>2444552</v>
      </c>
      <c r="E2290" t="s">
        <v>38</v>
      </c>
      <c r="F2290" t="s">
        <v>49</v>
      </c>
      <c r="H2290">
        <v>1020259</v>
      </c>
      <c r="I2290" t="s">
        <v>17</v>
      </c>
      <c r="K2290" t="s">
        <v>6361</v>
      </c>
      <c r="L2290">
        <v>173</v>
      </c>
      <c r="M2290" t="s">
        <v>6362</v>
      </c>
    </row>
    <row r="2291" spans="1:13" x14ac:dyDescent="0.35">
      <c r="A2291" t="s">
        <v>13</v>
      </c>
      <c r="B2291">
        <v>2444607</v>
      </c>
      <c r="C2291">
        <v>2445713</v>
      </c>
      <c r="E2291" t="s">
        <v>14</v>
      </c>
      <c r="F2291" t="s">
        <v>6363</v>
      </c>
      <c r="H2291">
        <v>1020260</v>
      </c>
      <c r="I2291" t="s">
        <v>17</v>
      </c>
      <c r="K2291" t="s">
        <v>6364</v>
      </c>
      <c r="L2291">
        <v>368</v>
      </c>
      <c r="M2291" t="s">
        <v>6365</v>
      </c>
    </row>
    <row r="2292" spans="1:13" x14ac:dyDescent="0.35">
      <c r="A2292" t="s">
        <v>13</v>
      </c>
      <c r="B2292">
        <v>2445717</v>
      </c>
      <c r="C2292">
        <v>2446997</v>
      </c>
      <c r="E2292" t="s">
        <v>14</v>
      </c>
      <c r="F2292" t="s">
        <v>6366</v>
      </c>
      <c r="G2292" t="s">
        <v>6367</v>
      </c>
      <c r="H2292">
        <v>1020261</v>
      </c>
      <c r="I2292" t="s">
        <v>17</v>
      </c>
      <c r="K2292" t="s">
        <v>6368</v>
      </c>
      <c r="L2292">
        <v>426</v>
      </c>
      <c r="M2292" t="s">
        <v>6369</v>
      </c>
    </row>
    <row r="2293" spans="1:13" x14ac:dyDescent="0.35">
      <c r="A2293" t="s">
        <v>13</v>
      </c>
      <c r="B2293">
        <v>2447022</v>
      </c>
      <c r="C2293">
        <v>2448002</v>
      </c>
      <c r="E2293" t="s">
        <v>14</v>
      </c>
      <c r="F2293" t="s">
        <v>2071</v>
      </c>
      <c r="H2293">
        <v>1020262</v>
      </c>
      <c r="I2293" t="s">
        <v>17</v>
      </c>
      <c r="K2293" t="s">
        <v>6370</v>
      </c>
      <c r="L2293">
        <v>326</v>
      </c>
      <c r="M2293" t="s">
        <v>6371</v>
      </c>
    </row>
    <row r="2294" spans="1:13" x14ac:dyDescent="0.35">
      <c r="A2294" t="s">
        <v>13</v>
      </c>
      <c r="B2294">
        <v>2448326</v>
      </c>
      <c r="C2294">
        <v>2450173</v>
      </c>
      <c r="E2294" t="s">
        <v>38</v>
      </c>
      <c r="F2294" t="s">
        <v>6372</v>
      </c>
      <c r="H2294">
        <v>1020263</v>
      </c>
      <c r="I2294" t="s">
        <v>17</v>
      </c>
      <c r="K2294" t="s">
        <v>6373</v>
      </c>
      <c r="L2294">
        <v>615</v>
      </c>
      <c r="M2294" t="s">
        <v>6374</v>
      </c>
    </row>
    <row r="2295" spans="1:13" x14ac:dyDescent="0.35">
      <c r="A2295" t="s">
        <v>13</v>
      </c>
      <c r="B2295">
        <v>2450321</v>
      </c>
      <c r="C2295">
        <v>2450839</v>
      </c>
      <c r="E2295" t="s">
        <v>38</v>
      </c>
      <c r="F2295" t="s">
        <v>49</v>
      </c>
      <c r="H2295">
        <v>1020264</v>
      </c>
      <c r="I2295" t="s">
        <v>17</v>
      </c>
      <c r="K2295" t="s">
        <v>6375</v>
      </c>
      <c r="L2295">
        <v>172</v>
      </c>
      <c r="M2295" t="s">
        <v>6376</v>
      </c>
    </row>
    <row r="2296" spans="1:13" x14ac:dyDescent="0.35">
      <c r="A2296" t="s">
        <v>13</v>
      </c>
      <c r="B2296">
        <v>2450857</v>
      </c>
      <c r="C2296">
        <v>2451786</v>
      </c>
      <c r="E2296" t="s">
        <v>38</v>
      </c>
      <c r="F2296" t="s">
        <v>6377</v>
      </c>
      <c r="H2296">
        <v>1020265</v>
      </c>
      <c r="I2296" t="s">
        <v>17</v>
      </c>
      <c r="K2296" t="s">
        <v>6378</v>
      </c>
      <c r="L2296">
        <v>309</v>
      </c>
      <c r="M2296" t="s">
        <v>6379</v>
      </c>
    </row>
    <row r="2297" spans="1:13" x14ac:dyDescent="0.35">
      <c r="A2297" t="s">
        <v>13</v>
      </c>
      <c r="B2297">
        <v>2451792</v>
      </c>
      <c r="C2297">
        <v>2454638</v>
      </c>
      <c r="E2297" t="s">
        <v>38</v>
      </c>
      <c r="F2297" t="s">
        <v>6380</v>
      </c>
      <c r="H2297">
        <v>1020266</v>
      </c>
      <c r="I2297" t="s">
        <v>17</v>
      </c>
      <c r="K2297" t="s">
        <v>6381</v>
      </c>
      <c r="L2297">
        <v>948</v>
      </c>
      <c r="M2297" t="s">
        <v>6382</v>
      </c>
    </row>
    <row r="2298" spans="1:13" x14ac:dyDescent="0.35">
      <c r="A2298" t="s">
        <v>13</v>
      </c>
      <c r="B2298">
        <v>2454717</v>
      </c>
      <c r="C2298">
        <v>2455439</v>
      </c>
      <c r="E2298" t="s">
        <v>14</v>
      </c>
      <c r="F2298" t="s">
        <v>1930</v>
      </c>
      <c r="H2298">
        <v>1020267</v>
      </c>
      <c r="I2298" t="s">
        <v>17</v>
      </c>
      <c r="K2298" t="s">
        <v>6383</v>
      </c>
      <c r="L2298">
        <v>240</v>
      </c>
      <c r="M2298" t="s">
        <v>6384</v>
      </c>
    </row>
    <row r="2299" spans="1:13" x14ac:dyDescent="0.35">
      <c r="A2299" t="s">
        <v>13</v>
      </c>
      <c r="B2299">
        <v>2455450</v>
      </c>
      <c r="C2299">
        <v>2455707</v>
      </c>
      <c r="E2299" t="s">
        <v>38</v>
      </c>
      <c r="F2299" t="s">
        <v>49</v>
      </c>
      <c r="H2299">
        <v>1020268</v>
      </c>
      <c r="I2299" t="s">
        <v>17</v>
      </c>
      <c r="K2299" t="s">
        <v>6385</v>
      </c>
      <c r="L2299">
        <v>85</v>
      </c>
      <c r="M2299" t="s">
        <v>6386</v>
      </c>
    </row>
    <row r="2300" spans="1:13" x14ac:dyDescent="0.35">
      <c r="A2300" t="s">
        <v>13</v>
      </c>
      <c r="B2300">
        <v>2455718</v>
      </c>
      <c r="C2300">
        <v>2457067</v>
      </c>
      <c r="E2300" t="s">
        <v>38</v>
      </c>
      <c r="F2300" t="s">
        <v>6387</v>
      </c>
      <c r="H2300">
        <v>1020269</v>
      </c>
      <c r="I2300" t="s">
        <v>17</v>
      </c>
      <c r="K2300" t="s">
        <v>6388</v>
      </c>
      <c r="L2300">
        <v>449</v>
      </c>
      <c r="M2300" t="s">
        <v>6389</v>
      </c>
    </row>
    <row r="2301" spans="1:13" x14ac:dyDescent="0.35">
      <c r="A2301" t="s">
        <v>13</v>
      </c>
      <c r="B2301">
        <v>2457335</v>
      </c>
      <c r="C2301">
        <v>2457613</v>
      </c>
      <c r="E2301" t="s">
        <v>38</v>
      </c>
      <c r="F2301" t="s">
        <v>49</v>
      </c>
      <c r="H2301">
        <v>92792310</v>
      </c>
      <c r="I2301" t="s">
        <v>17</v>
      </c>
      <c r="K2301" t="s">
        <v>6390</v>
      </c>
      <c r="L2301">
        <v>92</v>
      </c>
      <c r="M2301" t="s">
        <v>6391</v>
      </c>
    </row>
    <row r="2302" spans="1:13" x14ac:dyDescent="0.35">
      <c r="A2302" t="s">
        <v>13</v>
      </c>
      <c r="B2302">
        <v>2457864</v>
      </c>
      <c r="C2302">
        <v>2459375</v>
      </c>
      <c r="E2302" t="s">
        <v>14</v>
      </c>
      <c r="F2302" t="s">
        <v>1008</v>
      </c>
      <c r="H2302">
        <v>1020271</v>
      </c>
      <c r="I2302" t="s">
        <v>17</v>
      </c>
      <c r="K2302" t="s">
        <v>6392</v>
      </c>
      <c r="L2302">
        <v>503</v>
      </c>
      <c r="M2302" t="s">
        <v>6393</v>
      </c>
    </row>
    <row r="2303" spans="1:13" x14ac:dyDescent="0.35">
      <c r="A2303" t="s">
        <v>13</v>
      </c>
      <c r="B2303">
        <v>2459372</v>
      </c>
      <c r="C2303">
        <v>2460340</v>
      </c>
      <c r="E2303" t="s">
        <v>14</v>
      </c>
      <c r="F2303" t="s">
        <v>124</v>
      </c>
      <c r="H2303">
        <v>1020272</v>
      </c>
      <c r="I2303" t="s">
        <v>17</v>
      </c>
      <c r="K2303" t="s">
        <v>6394</v>
      </c>
      <c r="L2303">
        <v>322</v>
      </c>
      <c r="M2303" t="s">
        <v>6395</v>
      </c>
    </row>
    <row r="2304" spans="1:13" x14ac:dyDescent="0.35">
      <c r="A2304" t="s">
        <v>13</v>
      </c>
      <c r="B2304">
        <v>2460341</v>
      </c>
      <c r="C2304">
        <v>2461171</v>
      </c>
      <c r="E2304" t="s">
        <v>14</v>
      </c>
      <c r="F2304" t="s">
        <v>124</v>
      </c>
      <c r="H2304">
        <v>1020273</v>
      </c>
      <c r="I2304" t="s">
        <v>17</v>
      </c>
      <c r="K2304" t="s">
        <v>6396</v>
      </c>
      <c r="L2304">
        <v>276</v>
      </c>
      <c r="M2304" t="s">
        <v>6397</v>
      </c>
    </row>
    <row r="2305" spans="1:13" x14ac:dyDescent="0.35">
      <c r="A2305" t="s">
        <v>13</v>
      </c>
      <c r="B2305">
        <v>2461164</v>
      </c>
      <c r="C2305">
        <v>2462603</v>
      </c>
      <c r="E2305" t="s">
        <v>14</v>
      </c>
      <c r="F2305" t="s">
        <v>6398</v>
      </c>
      <c r="H2305">
        <v>1020274</v>
      </c>
      <c r="I2305" t="s">
        <v>17</v>
      </c>
      <c r="K2305" t="s">
        <v>6399</v>
      </c>
      <c r="L2305">
        <v>479</v>
      </c>
      <c r="M2305" t="s">
        <v>6400</v>
      </c>
    </row>
    <row r="2306" spans="1:13" x14ac:dyDescent="0.35">
      <c r="A2306" t="s">
        <v>13</v>
      </c>
      <c r="B2306">
        <v>2462600</v>
      </c>
      <c r="C2306">
        <v>2463151</v>
      </c>
      <c r="E2306" t="s">
        <v>38</v>
      </c>
      <c r="F2306" t="s">
        <v>6401</v>
      </c>
      <c r="G2306" t="s">
        <v>6402</v>
      </c>
      <c r="H2306">
        <v>1020275</v>
      </c>
      <c r="I2306" t="s">
        <v>17</v>
      </c>
      <c r="K2306" t="s">
        <v>6403</v>
      </c>
      <c r="L2306">
        <v>183</v>
      </c>
      <c r="M2306" t="s">
        <v>6404</v>
      </c>
    </row>
    <row r="2307" spans="1:13" x14ac:dyDescent="0.35">
      <c r="A2307" t="s">
        <v>13</v>
      </c>
      <c r="B2307">
        <v>2463242</v>
      </c>
      <c r="C2307">
        <v>2464147</v>
      </c>
      <c r="E2307" t="s">
        <v>14</v>
      </c>
      <c r="F2307" t="s">
        <v>3850</v>
      </c>
      <c r="H2307">
        <v>1020276</v>
      </c>
      <c r="I2307" t="s">
        <v>17</v>
      </c>
      <c r="K2307" t="s">
        <v>6405</v>
      </c>
      <c r="L2307">
        <v>301</v>
      </c>
      <c r="M2307" t="s">
        <v>6406</v>
      </c>
    </row>
    <row r="2308" spans="1:13" x14ac:dyDescent="0.35">
      <c r="A2308" t="s">
        <v>13</v>
      </c>
      <c r="B2308">
        <v>2464372</v>
      </c>
      <c r="C2308">
        <v>2465772</v>
      </c>
      <c r="E2308" t="s">
        <v>14</v>
      </c>
      <c r="F2308" t="s">
        <v>6407</v>
      </c>
      <c r="H2308">
        <v>1020277</v>
      </c>
      <c r="I2308" t="s">
        <v>17</v>
      </c>
      <c r="K2308" t="s">
        <v>6408</v>
      </c>
      <c r="L2308">
        <v>466</v>
      </c>
      <c r="M2308" t="s">
        <v>6409</v>
      </c>
    </row>
    <row r="2309" spans="1:13" x14ac:dyDescent="0.35">
      <c r="A2309" t="s">
        <v>13</v>
      </c>
      <c r="B2309">
        <v>2466036</v>
      </c>
      <c r="C2309">
        <v>2467010</v>
      </c>
      <c r="E2309" t="s">
        <v>38</v>
      </c>
      <c r="F2309" t="s">
        <v>3573</v>
      </c>
      <c r="H2309">
        <v>1020278</v>
      </c>
      <c r="I2309" t="s">
        <v>17</v>
      </c>
      <c r="K2309" t="s">
        <v>6410</v>
      </c>
      <c r="L2309">
        <v>324</v>
      </c>
      <c r="M2309" t="s">
        <v>6411</v>
      </c>
    </row>
    <row r="2310" spans="1:13" x14ac:dyDescent="0.35">
      <c r="A2310" t="s">
        <v>13</v>
      </c>
      <c r="B2310">
        <v>2467159</v>
      </c>
      <c r="C2310">
        <v>2467926</v>
      </c>
      <c r="E2310" t="s">
        <v>14</v>
      </c>
      <c r="F2310" t="s">
        <v>6412</v>
      </c>
      <c r="H2310">
        <v>1020279</v>
      </c>
      <c r="I2310" t="s">
        <v>17</v>
      </c>
      <c r="K2310" t="s">
        <v>6413</v>
      </c>
      <c r="L2310">
        <v>255</v>
      </c>
      <c r="M2310" t="s">
        <v>6414</v>
      </c>
    </row>
    <row r="2311" spans="1:13" x14ac:dyDescent="0.35">
      <c r="A2311" t="s">
        <v>13</v>
      </c>
      <c r="B2311">
        <v>2467923</v>
      </c>
      <c r="C2311">
        <v>2470142</v>
      </c>
      <c r="E2311" t="s">
        <v>38</v>
      </c>
      <c r="F2311" t="s">
        <v>6415</v>
      </c>
      <c r="G2311" t="s">
        <v>6416</v>
      </c>
      <c r="H2311">
        <v>1020280</v>
      </c>
      <c r="I2311" t="s">
        <v>17</v>
      </c>
      <c r="K2311" t="s">
        <v>6417</v>
      </c>
      <c r="L2311">
        <v>739</v>
      </c>
      <c r="M2311" t="s">
        <v>6418</v>
      </c>
    </row>
    <row r="2312" spans="1:13" x14ac:dyDescent="0.35">
      <c r="A2312" t="s">
        <v>13</v>
      </c>
      <c r="B2312">
        <v>2470741</v>
      </c>
      <c r="C2312">
        <v>2472039</v>
      </c>
      <c r="E2312" t="s">
        <v>14</v>
      </c>
      <c r="F2312" t="s">
        <v>6419</v>
      </c>
      <c r="G2312" t="s">
        <v>6420</v>
      </c>
      <c r="H2312">
        <v>1020281</v>
      </c>
      <c r="I2312" t="s">
        <v>17</v>
      </c>
      <c r="K2312" t="s">
        <v>6421</v>
      </c>
      <c r="L2312">
        <v>432</v>
      </c>
      <c r="M2312" t="s">
        <v>6422</v>
      </c>
    </row>
    <row r="2313" spans="1:13" x14ac:dyDescent="0.35">
      <c r="A2313" t="s">
        <v>13</v>
      </c>
      <c r="B2313">
        <v>2472251</v>
      </c>
      <c r="C2313">
        <v>2472823</v>
      </c>
      <c r="E2313" t="s">
        <v>14</v>
      </c>
      <c r="F2313" t="s">
        <v>6423</v>
      </c>
      <c r="G2313" t="s">
        <v>6424</v>
      </c>
      <c r="H2313">
        <v>1020282</v>
      </c>
      <c r="I2313" t="s">
        <v>17</v>
      </c>
      <c r="K2313" t="s">
        <v>6425</v>
      </c>
      <c r="L2313">
        <v>190</v>
      </c>
      <c r="M2313" t="s">
        <v>6426</v>
      </c>
    </row>
    <row r="2314" spans="1:13" x14ac:dyDescent="0.35">
      <c r="A2314" t="s">
        <v>13</v>
      </c>
      <c r="B2314">
        <v>2472891</v>
      </c>
      <c r="C2314">
        <v>2473553</v>
      </c>
      <c r="E2314" t="s">
        <v>38</v>
      </c>
      <c r="F2314" t="s">
        <v>89</v>
      </c>
      <c r="H2314">
        <v>1020283</v>
      </c>
      <c r="I2314" t="s">
        <v>17</v>
      </c>
      <c r="K2314" t="s">
        <v>6427</v>
      </c>
      <c r="L2314">
        <v>220</v>
      </c>
      <c r="M2314" t="s">
        <v>6428</v>
      </c>
    </row>
    <row r="2315" spans="1:13" x14ac:dyDescent="0.35">
      <c r="A2315" t="s">
        <v>13</v>
      </c>
      <c r="B2315">
        <v>2473654</v>
      </c>
      <c r="C2315">
        <v>2475546</v>
      </c>
      <c r="E2315" t="s">
        <v>14</v>
      </c>
      <c r="F2315" t="s">
        <v>6372</v>
      </c>
      <c r="H2315">
        <v>1020284</v>
      </c>
      <c r="I2315" t="s">
        <v>17</v>
      </c>
      <c r="K2315" t="s">
        <v>6429</v>
      </c>
      <c r="L2315">
        <v>630</v>
      </c>
      <c r="M2315" t="s">
        <v>6430</v>
      </c>
    </row>
    <row r="2316" spans="1:13" x14ac:dyDescent="0.35">
      <c r="A2316" t="s">
        <v>13</v>
      </c>
      <c r="B2316">
        <v>2475838</v>
      </c>
      <c r="C2316">
        <v>2476119</v>
      </c>
      <c r="E2316" t="s">
        <v>38</v>
      </c>
      <c r="F2316" t="s">
        <v>6431</v>
      </c>
      <c r="H2316">
        <v>1020285</v>
      </c>
      <c r="I2316" t="s">
        <v>17</v>
      </c>
      <c r="K2316" t="s">
        <v>6432</v>
      </c>
      <c r="L2316">
        <v>93</v>
      </c>
      <c r="M2316" t="s">
        <v>6433</v>
      </c>
    </row>
    <row r="2317" spans="1:13" x14ac:dyDescent="0.35">
      <c r="A2317" t="s">
        <v>13</v>
      </c>
      <c r="B2317">
        <v>2476498</v>
      </c>
      <c r="C2317">
        <v>2477496</v>
      </c>
      <c r="E2317" t="s">
        <v>14</v>
      </c>
      <c r="F2317" t="s">
        <v>49</v>
      </c>
      <c r="H2317">
        <v>1020286</v>
      </c>
      <c r="I2317" t="s">
        <v>17</v>
      </c>
      <c r="K2317" t="s">
        <v>6434</v>
      </c>
      <c r="L2317">
        <v>332</v>
      </c>
      <c r="M2317" t="s">
        <v>6435</v>
      </c>
    </row>
    <row r="2318" spans="1:13" x14ac:dyDescent="0.35">
      <c r="A2318" t="s">
        <v>13</v>
      </c>
      <c r="B2318">
        <v>2477651</v>
      </c>
      <c r="C2318">
        <v>2479255</v>
      </c>
      <c r="E2318" t="s">
        <v>14</v>
      </c>
      <c r="F2318" t="s">
        <v>6436</v>
      </c>
      <c r="H2318">
        <v>1020287</v>
      </c>
      <c r="I2318" t="s">
        <v>17</v>
      </c>
      <c r="K2318" t="s">
        <v>6437</v>
      </c>
      <c r="L2318">
        <v>534</v>
      </c>
      <c r="M2318" t="s">
        <v>6438</v>
      </c>
    </row>
    <row r="2319" spans="1:13" x14ac:dyDescent="0.35">
      <c r="A2319" t="s">
        <v>13</v>
      </c>
      <c r="B2319">
        <v>2479380</v>
      </c>
      <c r="C2319">
        <v>2479766</v>
      </c>
      <c r="E2319" t="s">
        <v>14</v>
      </c>
      <c r="F2319" t="s">
        <v>49</v>
      </c>
      <c r="H2319">
        <v>1020288</v>
      </c>
      <c r="I2319" t="s">
        <v>17</v>
      </c>
      <c r="K2319" t="s">
        <v>6439</v>
      </c>
      <c r="L2319">
        <v>128</v>
      </c>
      <c r="M2319" t="s">
        <v>6440</v>
      </c>
    </row>
    <row r="2320" spans="1:13" x14ac:dyDescent="0.35">
      <c r="A2320" t="s">
        <v>13</v>
      </c>
      <c r="B2320">
        <v>2479896</v>
      </c>
      <c r="C2320">
        <v>2481209</v>
      </c>
      <c r="E2320" t="s">
        <v>38</v>
      </c>
      <c r="F2320" t="s">
        <v>6441</v>
      </c>
      <c r="H2320">
        <v>1020289</v>
      </c>
      <c r="I2320" t="s">
        <v>17</v>
      </c>
      <c r="K2320" t="s">
        <v>6442</v>
      </c>
      <c r="L2320">
        <v>437</v>
      </c>
      <c r="M2320" t="s">
        <v>6443</v>
      </c>
    </row>
    <row r="2321" spans="1:13" x14ac:dyDescent="0.35">
      <c r="A2321" t="s">
        <v>13</v>
      </c>
      <c r="B2321">
        <v>2481211</v>
      </c>
      <c r="C2321">
        <v>2481732</v>
      </c>
      <c r="E2321" t="s">
        <v>38</v>
      </c>
      <c r="F2321" t="s">
        <v>6444</v>
      </c>
      <c r="H2321">
        <v>1020290</v>
      </c>
      <c r="I2321" t="s">
        <v>17</v>
      </c>
      <c r="K2321" t="s">
        <v>6445</v>
      </c>
      <c r="L2321">
        <v>173</v>
      </c>
      <c r="M2321" t="s">
        <v>6446</v>
      </c>
    </row>
    <row r="2322" spans="1:13" x14ac:dyDescent="0.35">
      <c r="A2322" t="s">
        <v>13</v>
      </c>
      <c r="B2322">
        <v>2481732</v>
      </c>
      <c r="C2322">
        <v>2482388</v>
      </c>
      <c r="E2322" t="s">
        <v>38</v>
      </c>
      <c r="F2322" t="s">
        <v>6447</v>
      </c>
      <c r="G2322" t="s">
        <v>6448</v>
      </c>
      <c r="H2322">
        <v>1020291</v>
      </c>
      <c r="I2322" t="s">
        <v>17</v>
      </c>
      <c r="K2322" t="s">
        <v>6449</v>
      </c>
      <c r="L2322">
        <v>218</v>
      </c>
      <c r="M2322" t="s">
        <v>6450</v>
      </c>
    </row>
    <row r="2323" spans="1:13" x14ac:dyDescent="0.35">
      <c r="A2323" t="s">
        <v>13</v>
      </c>
      <c r="B2323">
        <v>2482546</v>
      </c>
      <c r="C2323">
        <v>2484393</v>
      </c>
      <c r="E2323" t="s">
        <v>38</v>
      </c>
      <c r="F2323" t="s">
        <v>6451</v>
      </c>
      <c r="G2323" t="s">
        <v>6452</v>
      </c>
      <c r="H2323">
        <v>1020292</v>
      </c>
      <c r="I2323" t="s">
        <v>17</v>
      </c>
      <c r="K2323" t="s">
        <v>6453</v>
      </c>
      <c r="L2323">
        <v>615</v>
      </c>
      <c r="M2323" t="s">
        <v>6454</v>
      </c>
    </row>
    <row r="2324" spans="1:13" x14ac:dyDescent="0.35">
      <c r="A2324" t="s">
        <v>13</v>
      </c>
      <c r="B2324">
        <v>2484662</v>
      </c>
      <c r="C2324">
        <v>2485273</v>
      </c>
      <c r="E2324" t="s">
        <v>14</v>
      </c>
      <c r="F2324" t="s">
        <v>6455</v>
      </c>
      <c r="H2324">
        <v>1020293</v>
      </c>
      <c r="I2324" t="s">
        <v>17</v>
      </c>
      <c r="K2324" t="s">
        <v>6456</v>
      </c>
      <c r="L2324">
        <v>203</v>
      </c>
      <c r="M2324" t="s">
        <v>6457</v>
      </c>
    </row>
    <row r="2325" spans="1:13" x14ac:dyDescent="0.35">
      <c r="A2325" t="s">
        <v>13</v>
      </c>
      <c r="B2325">
        <v>2485474</v>
      </c>
      <c r="C2325">
        <v>2485737</v>
      </c>
      <c r="E2325" t="s">
        <v>14</v>
      </c>
      <c r="F2325" t="s">
        <v>6458</v>
      </c>
      <c r="G2325" t="s">
        <v>6459</v>
      </c>
      <c r="H2325">
        <v>1020294</v>
      </c>
      <c r="I2325" t="s">
        <v>17</v>
      </c>
      <c r="K2325" t="s">
        <v>6460</v>
      </c>
      <c r="L2325">
        <v>87</v>
      </c>
      <c r="M2325" t="s">
        <v>6461</v>
      </c>
    </row>
    <row r="2326" spans="1:13" x14ac:dyDescent="0.35">
      <c r="A2326" t="s">
        <v>13</v>
      </c>
      <c r="B2326">
        <v>2485799</v>
      </c>
      <c r="C2326">
        <v>2486470</v>
      </c>
      <c r="E2326" t="s">
        <v>38</v>
      </c>
      <c r="F2326" t="s">
        <v>463</v>
      </c>
      <c r="H2326">
        <v>1020295</v>
      </c>
      <c r="I2326" t="s">
        <v>17</v>
      </c>
      <c r="K2326" t="s">
        <v>6462</v>
      </c>
      <c r="L2326">
        <v>223</v>
      </c>
      <c r="M2326" t="s">
        <v>6463</v>
      </c>
    </row>
    <row r="2327" spans="1:13" x14ac:dyDescent="0.35">
      <c r="A2327" t="s">
        <v>13</v>
      </c>
      <c r="B2327">
        <v>2486475</v>
      </c>
      <c r="C2327">
        <v>2486876</v>
      </c>
      <c r="E2327" t="s">
        <v>38</v>
      </c>
      <c r="F2327" t="s">
        <v>420</v>
      </c>
      <c r="H2327">
        <v>1020296</v>
      </c>
      <c r="I2327" t="s">
        <v>17</v>
      </c>
      <c r="K2327" t="s">
        <v>6464</v>
      </c>
      <c r="L2327">
        <v>133</v>
      </c>
      <c r="M2327" t="s">
        <v>6465</v>
      </c>
    </row>
    <row r="2328" spans="1:13" x14ac:dyDescent="0.35">
      <c r="A2328" t="s">
        <v>13</v>
      </c>
      <c r="B2328">
        <v>2486908</v>
      </c>
      <c r="C2328">
        <v>2487903</v>
      </c>
      <c r="E2328" t="s">
        <v>38</v>
      </c>
      <c r="F2328" t="s">
        <v>6466</v>
      </c>
      <c r="G2328" t="s">
        <v>6467</v>
      </c>
      <c r="H2328">
        <v>1020297</v>
      </c>
      <c r="I2328" t="s">
        <v>17</v>
      </c>
      <c r="K2328" t="s">
        <v>6468</v>
      </c>
      <c r="L2328">
        <v>331</v>
      </c>
      <c r="M2328" t="s">
        <v>6469</v>
      </c>
    </row>
    <row r="2329" spans="1:13" x14ac:dyDescent="0.35">
      <c r="A2329" t="s">
        <v>13</v>
      </c>
      <c r="B2329">
        <v>2487910</v>
      </c>
      <c r="C2329">
        <v>2489574</v>
      </c>
      <c r="E2329" t="s">
        <v>38</v>
      </c>
      <c r="F2329" t="s">
        <v>6470</v>
      </c>
      <c r="H2329">
        <v>1020298</v>
      </c>
      <c r="I2329" t="s">
        <v>17</v>
      </c>
      <c r="K2329" t="s">
        <v>6471</v>
      </c>
      <c r="L2329">
        <v>554</v>
      </c>
      <c r="M2329" t="s">
        <v>6472</v>
      </c>
    </row>
    <row r="2330" spans="1:13" x14ac:dyDescent="0.35">
      <c r="A2330" t="s">
        <v>13</v>
      </c>
      <c r="B2330">
        <v>2489571</v>
      </c>
      <c r="C2330">
        <v>2490224</v>
      </c>
      <c r="E2330" t="s">
        <v>38</v>
      </c>
      <c r="F2330" t="s">
        <v>6473</v>
      </c>
      <c r="H2330">
        <v>1020299</v>
      </c>
      <c r="I2330" t="s">
        <v>17</v>
      </c>
      <c r="K2330" t="s">
        <v>6474</v>
      </c>
      <c r="L2330">
        <v>217</v>
      </c>
      <c r="M2330" t="s">
        <v>6475</v>
      </c>
    </row>
    <row r="2331" spans="1:13" x14ac:dyDescent="0.35">
      <c r="A2331" t="s">
        <v>13</v>
      </c>
      <c r="B2331">
        <v>2490288</v>
      </c>
      <c r="C2331">
        <v>2491112</v>
      </c>
      <c r="E2331" t="s">
        <v>38</v>
      </c>
      <c r="F2331" t="s">
        <v>6476</v>
      </c>
      <c r="H2331">
        <v>1020300</v>
      </c>
      <c r="I2331" t="s">
        <v>17</v>
      </c>
      <c r="K2331" t="s">
        <v>6477</v>
      </c>
      <c r="L2331">
        <v>274</v>
      </c>
      <c r="M2331" t="s">
        <v>6478</v>
      </c>
    </row>
    <row r="2332" spans="1:13" x14ac:dyDescent="0.35">
      <c r="A2332" t="s">
        <v>13</v>
      </c>
      <c r="B2332">
        <v>2491149</v>
      </c>
      <c r="C2332">
        <v>2491859</v>
      </c>
      <c r="E2332" t="s">
        <v>38</v>
      </c>
      <c r="F2332" t="s">
        <v>1279</v>
      </c>
      <c r="H2332">
        <v>1020301</v>
      </c>
      <c r="I2332" t="s">
        <v>17</v>
      </c>
      <c r="K2332" t="s">
        <v>6479</v>
      </c>
      <c r="L2332">
        <v>236</v>
      </c>
      <c r="M2332" t="s">
        <v>6480</v>
      </c>
    </row>
    <row r="2333" spans="1:13" x14ac:dyDescent="0.35">
      <c r="A2333" t="s">
        <v>13</v>
      </c>
      <c r="B2333">
        <v>2491871</v>
      </c>
      <c r="C2333">
        <v>2492344</v>
      </c>
      <c r="E2333" t="s">
        <v>38</v>
      </c>
      <c r="F2333" t="s">
        <v>6481</v>
      </c>
      <c r="G2333" t="s">
        <v>6482</v>
      </c>
      <c r="H2333">
        <v>1020302</v>
      </c>
      <c r="I2333" t="s">
        <v>17</v>
      </c>
      <c r="K2333" t="s">
        <v>6483</v>
      </c>
      <c r="L2333">
        <v>157</v>
      </c>
      <c r="M2333" t="s">
        <v>6484</v>
      </c>
    </row>
    <row r="2334" spans="1:13" x14ac:dyDescent="0.35">
      <c r="A2334" t="s">
        <v>13</v>
      </c>
      <c r="B2334">
        <v>2492499</v>
      </c>
      <c r="C2334">
        <v>2493155</v>
      </c>
      <c r="E2334" t="s">
        <v>38</v>
      </c>
      <c r="F2334" t="s">
        <v>6485</v>
      </c>
      <c r="G2334" t="s">
        <v>6486</v>
      </c>
      <c r="H2334">
        <v>1020303</v>
      </c>
      <c r="I2334" t="s">
        <v>17</v>
      </c>
      <c r="K2334" t="s">
        <v>6487</v>
      </c>
      <c r="L2334">
        <v>218</v>
      </c>
      <c r="M2334" t="s">
        <v>6488</v>
      </c>
    </row>
    <row r="2335" spans="1:13" x14ac:dyDescent="0.35">
      <c r="A2335" t="s">
        <v>13</v>
      </c>
      <c r="B2335">
        <v>2493213</v>
      </c>
      <c r="C2335">
        <v>2494238</v>
      </c>
      <c r="E2335" t="s">
        <v>38</v>
      </c>
      <c r="F2335" t="s">
        <v>6489</v>
      </c>
      <c r="H2335">
        <v>1020304</v>
      </c>
      <c r="I2335" t="s">
        <v>17</v>
      </c>
      <c r="K2335" t="s">
        <v>6490</v>
      </c>
      <c r="L2335">
        <v>341</v>
      </c>
      <c r="M2335" t="s">
        <v>6491</v>
      </c>
    </row>
    <row r="2336" spans="1:13" x14ac:dyDescent="0.35">
      <c r="A2336" t="s">
        <v>13</v>
      </c>
      <c r="B2336">
        <v>2494337</v>
      </c>
      <c r="C2336">
        <v>2495635</v>
      </c>
      <c r="E2336" t="s">
        <v>38</v>
      </c>
      <c r="F2336" t="s">
        <v>6492</v>
      </c>
      <c r="H2336">
        <v>1020305</v>
      </c>
      <c r="I2336" t="s">
        <v>17</v>
      </c>
      <c r="K2336" t="s">
        <v>6493</v>
      </c>
      <c r="L2336">
        <v>432</v>
      </c>
      <c r="M2336" t="s">
        <v>6494</v>
      </c>
    </row>
    <row r="2337" spans="1:13" x14ac:dyDescent="0.35">
      <c r="A2337" t="s">
        <v>13</v>
      </c>
      <c r="B2337">
        <v>2495694</v>
      </c>
      <c r="C2337">
        <v>2496608</v>
      </c>
      <c r="E2337" t="s">
        <v>38</v>
      </c>
      <c r="F2337" t="s">
        <v>243</v>
      </c>
      <c r="H2337">
        <v>1020306</v>
      </c>
      <c r="I2337" t="s">
        <v>17</v>
      </c>
      <c r="K2337" t="s">
        <v>6495</v>
      </c>
      <c r="L2337">
        <v>304</v>
      </c>
      <c r="M2337" t="s">
        <v>6496</v>
      </c>
    </row>
    <row r="2338" spans="1:13" x14ac:dyDescent="0.35">
      <c r="A2338" t="s">
        <v>13</v>
      </c>
      <c r="B2338">
        <v>2496668</v>
      </c>
      <c r="C2338">
        <v>2497777</v>
      </c>
      <c r="E2338" t="s">
        <v>38</v>
      </c>
      <c r="F2338" t="s">
        <v>6497</v>
      </c>
      <c r="G2338" t="s">
        <v>6498</v>
      </c>
      <c r="H2338">
        <v>1020307</v>
      </c>
      <c r="I2338" t="s">
        <v>17</v>
      </c>
      <c r="K2338" t="s">
        <v>6499</v>
      </c>
      <c r="L2338">
        <v>369</v>
      </c>
      <c r="M2338" t="s">
        <v>6500</v>
      </c>
    </row>
    <row r="2339" spans="1:13" x14ac:dyDescent="0.35">
      <c r="A2339" t="s">
        <v>13</v>
      </c>
      <c r="B2339">
        <v>2498007</v>
      </c>
      <c r="C2339">
        <v>2499512</v>
      </c>
      <c r="E2339" t="s">
        <v>38</v>
      </c>
      <c r="F2339" t="s">
        <v>6501</v>
      </c>
      <c r="G2339" t="s">
        <v>6502</v>
      </c>
      <c r="H2339">
        <v>1020308</v>
      </c>
      <c r="I2339" t="s">
        <v>17</v>
      </c>
      <c r="K2339" t="s">
        <v>6503</v>
      </c>
      <c r="L2339">
        <v>501</v>
      </c>
      <c r="M2339" t="s">
        <v>6504</v>
      </c>
    </row>
    <row r="2340" spans="1:13" x14ac:dyDescent="0.35">
      <c r="A2340" t="s">
        <v>13</v>
      </c>
      <c r="B2340">
        <v>2499694</v>
      </c>
      <c r="C2340">
        <v>2501673</v>
      </c>
      <c r="E2340" t="s">
        <v>14</v>
      </c>
      <c r="F2340" t="s">
        <v>6505</v>
      </c>
      <c r="H2340">
        <v>1020309</v>
      </c>
      <c r="I2340" t="s">
        <v>17</v>
      </c>
      <c r="K2340" t="s">
        <v>6506</v>
      </c>
      <c r="L2340">
        <v>659</v>
      </c>
      <c r="M2340" t="s">
        <v>6507</v>
      </c>
    </row>
    <row r="2341" spans="1:13" x14ac:dyDescent="0.35">
      <c r="A2341" t="s">
        <v>13</v>
      </c>
      <c r="B2341">
        <v>2501733</v>
      </c>
      <c r="C2341">
        <v>2502650</v>
      </c>
      <c r="E2341" t="s">
        <v>38</v>
      </c>
      <c r="F2341" t="s">
        <v>336</v>
      </c>
      <c r="H2341">
        <v>1020310</v>
      </c>
      <c r="I2341" t="s">
        <v>17</v>
      </c>
      <c r="K2341" t="s">
        <v>6508</v>
      </c>
      <c r="L2341">
        <v>305</v>
      </c>
      <c r="M2341" t="s">
        <v>6509</v>
      </c>
    </row>
    <row r="2342" spans="1:13" x14ac:dyDescent="0.35">
      <c r="A2342" t="s">
        <v>13</v>
      </c>
      <c r="B2342">
        <v>2502736</v>
      </c>
      <c r="C2342">
        <v>2503359</v>
      </c>
      <c r="E2342" t="s">
        <v>14</v>
      </c>
      <c r="F2342" t="s">
        <v>49</v>
      </c>
      <c r="H2342">
        <v>1020311</v>
      </c>
      <c r="I2342" t="s">
        <v>17</v>
      </c>
      <c r="K2342" t="s">
        <v>6510</v>
      </c>
      <c r="L2342">
        <v>207</v>
      </c>
      <c r="M2342" t="s">
        <v>6511</v>
      </c>
    </row>
    <row r="2343" spans="1:13" x14ac:dyDescent="0.35">
      <c r="A2343" t="s">
        <v>13</v>
      </c>
      <c r="B2343">
        <v>2503537</v>
      </c>
      <c r="C2343">
        <v>2503809</v>
      </c>
      <c r="E2343" t="s">
        <v>14</v>
      </c>
      <c r="F2343" t="s">
        <v>49</v>
      </c>
      <c r="H2343">
        <v>44144989</v>
      </c>
      <c r="I2343" t="s">
        <v>17</v>
      </c>
      <c r="K2343" t="s">
        <v>6512</v>
      </c>
      <c r="L2343">
        <v>90</v>
      </c>
      <c r="M2343" t="s">
        <v>6513</v>
      </c>
    </row>
    <row r="2344" spans="1:13" x14ac:dyDescent="0.35">
      <c r="A2344" t="s">
        <v>13</v>
      </c>
      <c r="B2344">
        <v>2503982</v>
      </c>
      <c r="C2344">
        <v>2504248</v>
      </c>
      <c r="E2344" t="s">
        <v>38</v>
      </c>
      <c r="F2344" t="s">
        <v>6514</v>
      </c>
      <c r="G2344" t="s">
        <v>6515</v>
      </c>
      <c r="H2344">
        <v>1020312</v>
      </c>
      <c r="I2344" t="s">
        <v>17</v>
      </c>
      <c r="K2344" t="s">
        <v>6516</v>
      </c>
      <c r="L2344">
        <v>88</v>
      </c>
      <c r="M2344" t="s">
        <v>6517</v>
      </c>
    </row>
    <row r="2345" spans="1:13" x14ac:dyDescent="0.35">
      <c r="A2345" t="s">
        <v>13</v>
      </c>
      <c r="B2345">
        <v>2504298</v>
      </c>
      <c r="C2345">
        <v>2504603</v>
      </c>
      <c r="E2345" t="s">
        <v>38</v>
      </c>
      <c r="F2345" t="s">
        <v>6518</v>
      </c>
      <c r="G2345" t="s">
        <v>6519</v>
      </c>
      <c r="H2345">
        <v>1020313</v>
      </c>
      <c r="I2345" t="s">
        <v>17</v>
      </c>
      <c r="K2345" t="s">
        <v>6520</v>
      </c>
      <c r="L2345">
        <v>101</v>
      </c>
      <c r="M2345" t="s">
        <v>6521</v>
      </c>
    </row>
    <row r="2346" spans="1:13" x14ac:dyDescent="0.35">
      <c r="A2346" t="s">
        <v>13</v>
      </c>
      <c r="B2346">
        <v>2504829</v>
      </c>
      <c r="C2346">
        <v>2507894</v>
      </c>
      <c r="E2346" t="s">
        <v>38</v>
      </c>
      <c r="F2346" t="s">
        <v>6522</v>
      </c>
      <c r="H2346">
        <v>1020314</v>
      </c>
      <c r="I2346" t="s">
        <v>17</v>
      </c>
      <c r="K2346" t="s">
        <v>6523</v>
      </c>
      <c r="L2346">
        <v>1021</v>
      </c>
      <c r="M2346" t="s">
        <v>6524</v>
      </c>
    </row>
    <row r="2347" spans="1:13" x14ac:dyDescent="0.35">
      <c r="A2347" t="s">
        <v>13</v>
      </c>
      <c r="B2347">
        <v>2508107</v>
      </c>
      <c r="C2347">
        <v>2508844</v>
      </c>
      <c r="E2347" t="s">
        <v>14</v>
      </c>
      <c r="F2347" t="s">
        <v>49</v>
      </c>
      <c r="H2347">
        <v>1020315</v>
      </c>
      <c r="I2347" t="s">
        <v>17</v>
      </c>
      <c r="K2347" t="s">
        <v>6525</v>
      </c>
      <c r="L2347">
        <v>245</v>
      </c>
      <c r="M2347" t="s">
        <v>6526</v>
      </c>
    </row>
    <row r="2348" spans="1:13" x14ac:dyDescent="0.35">
      <c r="A2348" t="s">
        <v>13</v>
      </c>
      <c r="B2348">
        <v>2508923</v>
      </c>
      <c r="C2348">
        <v>2509507</v>
      </c>
      <c r="E2348" t="s">
        <v>14</v>
      </c>
      <c r="F2348" t="s">
        <v>141</v>
      </c>
      <c r="H2348">
        <v>1020316</v>
      </c>
      <c r="I2348" t="s">
        <v>142</v>
      </c>
      <c r="M2348" t="s">
        <v>6527</v>
      </c>
    </row>
    <row r="2349" spans="1:13" x14ac:dyDescent="0.35">
      <c r="A2349" t="s">
        <v>13</v>
      </c>
      <c r="B2349">
        <v>2509521</v>
      </c>
      <c r="C2349">
        <v>2510831</v>
      </c>
      <c r="E2349" t="s">
        <v>38</v>
      </c>
      <c r="F2349" t="s">
        <v>3038</v>
      </c>
      <c r="H2349">
        <v>1020317</v>
      </c>
      <c r="I2349" t="s">
        <v>17</v>
      </c>
      <c r="K2349" t="s">
        <v>6528</v>
      </c>
      <c r="L2349">
        <v>436</v>
      </c>
      <c r="M2349" t="s">
        <v>6529</v>
      </c>
    </row>
    <row r="2350" spans="1:13" x14ac:dyDescent="0.35">
      <c r="A2350" t="s">
        <v>13</v>
      </c>
      <c r="B2350">
        <v>2510963</v>
      </c>
      <c r="C2350">
        <v>2511427</v>
      </c>
      <c r="E2350" t="s">
        <v>14</v>
      </c>
      <c r="F2350" t="s">
        <v>141</v>
      </c>
      <c r="H2350">
        <v>1020318</v>
      </c>
      <c r="I2350" t="s">
        <v>142</v>
      </c>
      <c r="M2350" t="s">
        <v>6530</v>
      </c>
    </row>
    <row r="2351" spans="1:13" x14ac:dyDescent="0.35">
      <c r="A2351" t="s">
        <v>13</v>
      </c>
      <c r="B2351">
        <v>2511428</v>
      </c>
      <c r="C2351">
        <v>2511880</v>
      </c>
      <c r="E2351" t="s">
        <v>14</v>
      </c>
      <c r="F2351" t="s">
        <v>2993</v>
      </c>
      <c r="H2351">
        <v>1020319</v>
      </c>
      <c r="I2351" t="s">
        <v>17</v>
      </c>
      <c r="K2351" t="s">
        <v>6531</v>
      </c>
      <c r="L2351">
        <v>150</v>
      </c>
      <c r="M2351" t="s">
        <v>6532</v>
      </c>
    </row>
    <row r="2352" spans="1:13" x14ac:dyDescent="0.35">
      <c r="A2352" t="s">
        <v>13</v>
      </c>
      <c r="B2352">
        <v>2511947</v>
      </c>
      <c r="C2352">
        <v>2512357</v>
      </c>
      <c r="E2352" t="s">
        <v>38</v>
      </c>
      <c r="F2352" t="s">
        <v>6533</v>
      </c>
      <c r="G2352" t="s">
        <v>6534</v>
      </c>
      <c r="H2352">
        <v>1020320</v>
      </c>
      <c r="I2352" t="s">
        <v>17</v>
      </c>
      <c r="K2352" t="s">
        <v>6535</v>
      </c>
      <c r="L2352">
        <v>136</v>
      </c>
      <c r="M2352" t="s">
        <v>6536</v>
      </c>
    </row>
    <row r="2353" spans="1:13" x14ac:dyDescent="0.35">
      <c r="A2353" t="s">
        <v>13</v>
      </c>
      <c r="B2353">
        <v>2512407</v>
      </c>
      <c r="C2353">
        <v>2512727</v>
      </c>
      <c r="E2353" t="s">
        <v>38</v>
      </c>
      <c r="F2353" t="s">
        <v>49</v>
      </c>
      <c r="H2353">
        <v>1020321</v>
      </c>
      <c r="I2353" t="s">
        <v>17</v>
      </c>
      <c r="K2353" t="s">
        <v>6537</v>
      </c>
      <c r="L2353">
        <v>106</v>
      </c>
      <c r="M2353" t="s">
        <v>6538</v>
      </c>
    </row>
    <row r="2354" spans="1:13" x14ac:dyDescent="0.35">
      <c r="A2354" t="s">
        <v>13</v>
      </c>
      <c r="B2354">
        <v>2512804</v>
      </c>
      <c r="C2354">
        <v>2513148</v>
      </c>
      <c r="E2354" t="s">
        <v>14</v>
      </c>
      <c r="F2354" t="s">
        <v>549</v>
      </c>
      <c r="H2354">
        <v>1020322</v>
      </c>
      <c r="I2354" t="s">
        <v>17</v>
      </c>
      <c r="K2354" t="s">
        <v>6539</v>
      </c>
      <c r="L2354">
        <v>114</v>
      </c>
      <c r="M2354" t="s">
        <v>6540</v>
      </c>
    </row>
    <row r="2355" spans="1:13" x14ac:dyDescent="0.35">
      <c r="A2355" t="s">
        <v>13</v>
      </c>
      <c r="B2355">
        <v>2513152</v>
      </c>
      <c r="C2355">
        <v>2513619</v>
      </c>
      <c r="E2355" t="s">
        <v>38</v>
      </c>
      <c r="F2355" t="s">
        <v>2094</v>
      </c>
      <c r="H2355">
        <v>1020323</v>
      </c>
      <c r="I2355" t="s">
        <v>17</v>
      </c>
      <c r="K2355" t="s">
        <v>6541</v>
      </c>
      <c r="L2355">
        <v>155</v>
      </c>
      <c r="M2355" t="s">
        <v>6542</v>
      </c>
    </row>
    <row r="2356" spans="1:13" x14ac:dyDescent="0.35">
      <c r="A2356" t="s">
        <v>13</v>
      </c>
      <c r="B2356">
        <v>2513690</v>
      </c>
      <c r="C2356">
        <v>2514115</v>
      </c>
      <c r="E2356" t="s">
        <v>38</v>
      </c>
      <c r="F2356" t="s">
        <v>6543</v>
      </c>
      <c r="H2356">
        <v>1020324</v>
      </c>
      <c r="I2356" t="s">
        <v>17</v>
      </c>
      <c r="K2356" t="s">
        <v>6544</v>
      </c>
      <c r="L2356">
        <v>141</v>
      </c>
      <c r="M2356" t="s">
        <v>6545</v>
      </c>
    </row>
    <row r="2357" spans="1:13" x14ac:dyDescent="0.35">
      <c r="A2357" t="s">
        <v>13</v>
      </c>
      <c r="B2357">
        <v>2514112</v>
      </c>
      <c r="C2357">
        <v>2515635</v>
      </c>
      <c r="E2357" t="s">
        <v>38</v>
      </c>
      <c r="F2357" t="s">
        <v>6546</v>
      </c>
      <c r="G2357" t="s">
        <v>6547</v>
      </c>
      <c r="H2357">
        <v>1020325</v>
      </c>
      <c r="I2357" t="s">
        <v>17</v>
      </c>
      <c r="K2357" t="s">
        <v>6548</v>
      </c>
      <c r="L2357">
        <v>507</v>
      </c>
      <c r="M2357" t="s">
        <v>6549</v>
      </c>
    </row>
    <row r="2358" spans="1:13" x14ac:dyDescent="0.35">
      <c r="A2358" t="s">
        <v>13</v>
      </c>
      <c r="B2358">
        <v>2515635</v>
      </c>
      <c r="C2358">
        <v>2518346</v>
      </c>
      <c r="E2358" t="s">
        <v>38</v>
      </c>
      <c r="F2358" t="s">
        <v>6550</v>
      </c>
      <c r="H2358">
        <v>1020326</v>
      </c>
      <c r="I2358" t="s">
        <v>17</v>
      </c>
      <c r="K2358" t="s">
        <v>6551</v>
      </c>
      <c r="L2358">
        <v>903</v>
      </c>
      <c r="M2358" t="s">
        <v>6552</v>
      </c>
    </row>
    <row r="2359" spans="1:13" x14ac:dyDescent="0.35">
      <c r="A2359" t="s">
        <v>13</v>
      </c>
      <c r="B2359">
        <v>2518396</v>
      </c>
      <c r="C2359">
        <v>2519973</v>
      </c>
      <c r="E2359" t="s">
        <v>38</v>
      </c>
      <c r="F2359" t="s">
        <v>5488</v>
      </c>
      <c r="H2359">
        <v>1020327</v>
      </c>
      <c r="I2359" t="s">
        <v>17</v>
      </c>
      <c r="K2359" t="s">
        <v>6553</v>
      </c>
      <c r="L2359">
        <v>525</v>
      </c>
      <c r="M2359" t="s">
        <v>6554</v>
      </c>
    </row>
    <row r="2360" spans="1:13" x14ac:dyDescent="0.35">
      <c r="A2360" t="s">
        <v>13</v>
      </c>
      <c r="B2360">
        <v>2520210</v>
      </c>
      <c r="C2360">
        <v>2521664</v>
      </c>
      <c r="E2360" t="s">
        <v>14</v>
      </c>
      <c r="F2360" t="s">
        <v>6555</v>
      </c>
      <c r="H2360">
        <v>1020328</v>
      </c>
      <c r="I2360" t="s">
        <v>17</v>
      </c>
      <c r="K2360" t="s">
        <v>6556</v>
      </c>
      <c r="L2360">
        <v>484</v>
      </c>
      <c r="M2360" t="s">
        <v>6557</v>
      </c>
    </row>
    <row r="2361" spans="1:13" x14ac:dyDescent="0.35">
      <c r="A2361" t="s">
        <v>13</v>
      </c>
      <c r="B2361">
        <v>2521665</v>
      </c>
      <c r="C2361">
        <v>2522252</v>
      </c>
      <c r="E2361" t="s">
        <v>38</v>
      </c>
      <c r="F2361" t="s">
        <v>3167</v>
      </c>
      <c r="H2361">
        <v>1020329</v>
      </c>
      <c r="I2361" t="s">
        <v>17</v>
      </c>
      <c r="K2361" t="s">
        <v>6558</v>
      </c>
      <c r="L2361">
        <v>195</v>
      </c>
      <c r="M2361" t="s">
        <v>6559</v>
      </c>
    </row>
    <row r="2362" spans="1:13" x14ac:dyDescent="0.35">
      <c r="A2362" t="s">
        <v>13</v>
      </c>
      <c r="B2362">
        <v>2522263</v>
      </c>
      <c r="C2362">
        <v>2523249</v>
      </c>
      <c r="E2362" t="s">
        <v>38</v>
      </c>
      <c r="F2362" t="s">
        <v>6560</v>
      </c>
      <c r="H2362">
        <v>1020330</v>
      </c>
      <c r="I2362" t="s">
        <v>17</v>
      </c>
      <c r="K2362" t="s">
        <v>6561</v>
      </c>
      <c r="L2362">
        <v>328</v>
      </c>
      <c r="M2362" t="s">
        <v>6562</v>
      </c>
    </row>
    <row r="2363" spans="1:13" x14ac:dyDescent="0.35">
      <c r="A2363" t="s">
        <v>13</v>
      </c>
      <c r="B2363">
        <v>2523562</v>
      </c>
      <c r="C2363">
        <v>2524341</v>
      </c>
      <c r="E2363" t="s">
        <v>14</v>
      </c>
      <c r="F2363" t="s">
        <v>1126</v>
      </c>
      <c r="H2363">
        <v>1020331</v>
      </c>
      <c r="I2363" t="s">
        <v>17</v>
      </c>
      <c r="K2363" t="s">
        <v>6563</v>
      </c>
      <c r="L2363">
        <v>259</v>
      </c>
      <c r="M2363" t="s">
        <v>6564</v>
      </c>
    </row>
    <row r="2364" spans="1:13" x14ac:dyDescent="0.35">
      <c r="A2364" t="s">
        <v>13</v>
      </c>
      <c r="B2364">
        <v>2524338</v>
      </c>
      <c r="C2364">
        <v>2524871</v>
      </c>
      <c r="E2364" t="s">
        <v>38</v>
      </c>
      <c r="F2364" t="s">
        <v>2479</v>
      </c>
      <c r="H2364">
        <v>1020332</v>
      </c>
      <c r="I2364" t="s">
        <v>17</v>
      </c>
      <c r="K2364" t="s">
        <v>6565</v>
      </c>
      <c r="L2364">
        <v>177</v>
      </c>
      <c r="M2364" t="s">
        <v>6566</v>
      </c>
    </row>
    <row r="2365" spans="1:13" x14ac:dyDescent="0.35">
      <c r="A2365" t="s">
        <v>13</v>
      </c>
      <c r="B2365">
        <v>2525100</v>
      </c>
      <c r="C2365">
        <v>2526230</v>
      </c>
      <c r="E2365" t="s">
        <v>14</v>
      </c>
      <c r="F2365" t="s">
        <v>6567</v>
      </c>
      <c r="H2365">
        <v>1020333</v>
      </c>
      <c r="I2365" t="s">
        <v>17</v>
      </c>
      <c r="K2365" t="s">
        <v>6568</v>
      </c>
      <c r="L2365">
        <v>376</v>
      </c>
      <c r="M2365" t="s">
        <v>6569</v>
      </c>
    </row>
    <row r="2366" spans="1:13" x14ac:dyDescent="0.35">
      <c r="A2366" t="s">
        <v>13</v>
      </c>
      <c r="B2366">
        <v>2526234</v>
      </c>
      <c r="C2366">
        <v>2527211</v>
      </c>
      <c r="E2366" t="s">
        <v>14</v>
      </c>
      <c r="F2366" t="s">
        <v>6570</v>
      </c>
      <c r="H2366">
        <v>1020334</v>
      </c>
      <c r="I2366" t="s">
        <v>17</v>
      </c>
      <c r="K2366" t="s">
        <v>6571</v>
      </c>
      <c r="L2366">
        <v>325</v>
      </c>
      <c r="M2366" t="s">
        <v>6572</v>
      </c>
    </row>
    <row r="2367" spans="1:13" x14ac:dyDescent="0.35">
      <c r="A2367" t="s">
        <v>13</v>
      </c>
      <c r="B2367">
        <v>2527223</v>
      </c>
      <c r="C2367">
        <v>2528563</v>
      </c>
      <c r="E2367" t="s">
        <v>14</v>
      </c>
      <c r="F2367" t="s">
        <v>265</v>
      </c>
      <c r="H2367">
        <v>1020335</v>
      </c>
      <c r="I2367" t="s">
        <v>17</v>
      </c>
      <c r="K2367" t="s">
        <v>6573</v>
      </c>
      <c r="L2367">
        <v>446</v>
      </c>
      <c r="M2367" t="s">
        <v>6574</v>
      </c>
    </row>
    <row r="2368" spans="1:13" x14ac:dyDescent="0.35">
      <c r="A2368" t="s">
        <v>13</v>
      </c>
      <c r="B2368">
        <v>2528549</v>
      </c>
      <c r="C2368">
        <v>2529481</v>
      </c>
      <c r="E2368" t="s">
        <v>38</v>
      </c>
      <c r="F2368" t="s">
        <v>6377</v>
      </c>
      <c r="H2368">
        <v>1020336</v>
      </c>
      <c r="I2368" t="s">
        <v>17</v>
      </c>
      <c r="K2368" t="s">
        <v>6575</v>
      </c>
      <c r="L2368">
        <v>310</v>
      </c>
      <c r="M2368" t="s">
        <v>6576</v>
      </c>
    </row>
    <row r="2369" spans="1:13" x14ac:dyDescent="0.35">
      <c r="A2369" t="s">
        <v>13</v>
      </c>
      <c r="B2369">
        <v>2529482</v>
      </c>
      <c r="C2369">
        <v>2530762</v>
      </c>
      <c r="E2369" t="s">
        <v>38</v>
      </c>
      <c r="F2369" t="s">
        <v>6577</v>
      </c>
      <c r="G2369" t="s">
        <v>6578</v>
      </c>
      <c r="H2369">
        <v>1020337</v>
      </c>
      <c r="I2369" t="s">
        <v>17</v>
      </c>
      <c r="K2369" t="s">
        <v>6579</v>
      </c>
      <c r="L2369">
        <v>426</v>
      </c>
      <c r="M2369" t="s">
        <v>6580</v>
      </c>
    </row>
    <row r="2370" spans="1:13" x14ac:dyDescent="0.35">
      <c r="A2370" t="s">
        <v>13</v>
      </c>
      <c r="B2370">
        <v>2530892</v>
      </c>
      <c r="C2370">
        <v>2531980</v>
      </c>
      <c r="E2370" t="s">
        <v>14</v>
      </c>
      <c r="F2370" t="s">
        <v>1533</v>
      </c>
      <c r="H2370">
        <v>1020338</v>
      </c>
      <c r="I2370" t="s">
        <v>17</v>
      </c>
      <c r="K2370" t="s">
        <v>6581</v>
      </c>
      <c r="L2370">
        <v>362</v>
      </c>
      <c r="M2370" t="s">
        <v>6582</v>
      </c>
    </row>
    <row r="2371" spans="1:13" x14ac:dyDescent="0.35">
      <c r="A2371" t="s">
        <v>13</v>
      </c>
      <c r="B2371">
        <v>2531967</v>
      </c>
      <c r="C2371">
        <v>2532602</v>
      </c>
      <c r="E2371" t="s">
        <v>38</v>
      </c>
      <c r="F2371" t="s">
        <v>6583</v>
      </c>
      <c r="H2371">
        <v>1020339</v>
      </c>
      <c r="I2371" t="s">
        <v>17</v>
      </c>
      <c r="K2371" t="s">
        <v>6584</v>
      </c>
      <c r="L2371">
        <v>211</v>
      </c>
      <c r="M2371" t="s">
        <v>6585</v>
      </c>
    </row>
    <row r="2372" spans="1:13" x14ac:dyDescent="0.35">
      <c r="A2372" t="s">
        <v>13</v>
      </c>
      <c r="B2372">
        <v>2532602</v>
      </c>
      <c r="C2372">
        <v>2533345</v>
      </c>
      <c r="E2372" t="s">
        <v>38</v>
      </c>
      <c r="F2372" t="s">
        <v>6586</v>
      </c>
      <c r="H2372">
        <v>1020340</v>
      </c>
      <c r="I2372" t="s">
        <v>17</v>
      </c>
      <c r="K2372" t="s">
        <v>6587</v>
      </c>
      <c r="L2372">
        <v>247</v>
      </c>
      <c r="M2372" t="s">
        <v>6588</v>
      </c>
    </row>
    <row r="2373" spans="1:13" x14ac:dyDescent="0.35">
      <c r="A2373" t="s">
        <v>13</v>
      </c>
      <c r="B2373">
        <v>2533419</v>
      </c>
      <c r="C2373">
        <v>2534186</v>
      </c>
      <c r="E2373" t="s">
        <v>14</v>
      </c>
      <c r="F2373" t="s">
        <v>6589</v>
      </c>
      <c r="H2373">
        <v>1020341</v>
      </c>
      <c r="I2373" t="s">
        <v>17</v>
      </c>
      <c r="K2373" t="s">
        <v>6590</v>
      </c>
      <c r="L2373">
        <v>255</v>
      </c>
      <c r="M2373" t="s">
        <v>6591</v>
      </c>
    </row>
    <row r="2374" spans="1:13" x14ac:dyDescent="0.35">
      <c r="A2374" t="s">
        <v>13</v>
      </c>
      <c r="B2374">
        <v>2534202</v>
      </c>
      <c r="C2374">
        <v>2535428</v>
      </c>
      <c r="E2374" t="s">
        <v>14</v>
      </c>
      <c r="F2374" t="s">
        <v>6592</v>
      </c>
      <c r="H2374">
        <v>1020342</v>
      </c>
      <c r="I2374" t="s">
        <v>17</v>
      </c>
      <c r="K2374" t="s">
        <v>6593</v>
      </c>
      <c r="L2374">
        <v>408</v>
      </c>
      <c r="M2374" t="s">
        <v>6594</v>
      </c>
    </row>
    <row r="2375" spans="1:13" x14ac:dyDescent="0.35">
      <c r="A2375" t="s">
        <v>13</v>
      </c>
      <c r="B2375">
        <v>2535431</v>
      </c>
      <c r="C2375">
        <v>2536186</v>
      </c>
      <c r="E2375" t="s">
        <v>14</v>
      </c>
      <c r="F2375" t="s">
        <v>6595</v>
      </c>
      <c r="G2375" t="s">
        <v>6596</v>
      </c>
      <c r="H2375">
        <v>1020343</v>
      </c>
      <c r="I2375" t="s">
        <v>17</v>
      </c>
      <c r="K2375" t="s">
        <v>6597</v>
      </c>
      <c r="L2375">
        <v>251</v>
      </c>
      <c r="M2375" t="s">
        <v>6598</v>
      </c>
    </row>
    <row r="2376" spans="1:13" x14ac:dyDescent="0.35">
      <c r="A2376" t="s">
        <v>13</v>
      </c>
      <c r="B2376">
        <v>2536197</v>
      </c>
      <c r="C2376">
        <v>2538260</v>
      </c>
      <c r="E2376" t="s">
        <v>14</v>
      </c>
      <c r="F2376" t="s">
        <v>6599</v>
      </c>
      <c r="H2376">
        <v>1020344</v>
      </c>
      <c r="I2376" t="s">
        <v>17</v>
      </c>
      <c r="K2376" t="s">
        <v>6600</v>
      </c>
      <c r="L2376">
        <v>687</v>
      </c>
      <c r="M2376" t="s">
        <v>6601</v>
      </c>
    </row>
    <row r="2377" spans="1:13" x14ac:dyDescent="0.35">
      <c r="A2377" t="s">
        <v>13</v>
      </c>
      <c r="B2377">
        <v>2538246</v>
      </c>
      <c r="C2377">
        <v>2538614</v>
      </c>
      <c r="E2377" t="s">
        <v>38</v>
      </c>
      <c r="F2377" t="s">
        <v>6602</v>
      </c>
      <c r="G2377" t="s">
        <v>6603</v>
      </c>
      <c r="H2377">
        <v>1020345</v>
      </c>
      <c r="I2377" t="s">
        <v>17</v>
      </c>
      <c r="K2377" t="s">
        <v>6604</v>
      </c>
      <c r="L2377">
        <v>122</v>
      </c>
      <c r="M2377" t="s">
        <v>6605</v>
      </c>
    </row>
    <row r="2378" spans="1:13" x14ac:dyDescent="0.35">
      <c r="A2378" t="s">
        <v>13</v>
      </c>
      <c r="B2378">
        <v>2538614</v>
      </c>
      <c r="C2378">
        <v>2539732</v>
      </c>
      <c r="E2378" t="s">
        <v>38</v>
      </c>
      <c r="F2378" t="s">
        <v>6606</v>
      </c>
      <c r="G2378" t="s">
        <v>6607</v>
      </c>
      <c r="H2378">
        <v>1020346</v>
      </c>
      <c r="I2378" t="s">
        <v>17</v>
      </c>
      <c r="K2378" t="s">
        <v>6608</v>
      </c>
      <c r="L2378">
        <v>372</v>
      </c>
      <c r="M2378" t="s">
        <v>6609</v>
      </c>
    </row>
    <row r="2379" spans="1:13" x14ac:dyDescent="0.35">
      <c r="A2379" t="s">
        <v>13</v>
      </c>
      <c r="B2379">
        <v>2539707</v>
      </c>
      <c r="C2379">
        <v>2540321</v>
      </c>
      <c r="E2379" t="s">
        <v>38</v>
      </c>
      <c r="F2379" t="s">
        <v>6610</v>
      </c>
      <c r="G2379" t="s">
        <v>6611</v>
      </c>
      <c r="H2379">
        <v>1020347</v>
      </c>
      <c r="I2379" t="s">
        <v>17</v>
      </c>
      <c r="K2379" t="s">
        <v>6612</v>
      </c>
      <c r="L2379">
        <v>204</v>
      </c>
      <c r="M2379" t="s">
        <v>6613</v>
      </c>
    </row>
    <row r="2380" spans="1:13" x14ac:dyDescent="0.35">
      <c r="A2380" t="s">
        <v>13</v>
      </c>
      <c r="B2380">
        <v>2540333</v>
      </c>
      <c r="C2380">
        <v>2541025</v>
      </c>
      <c r="E2380" t="s">
        <v>38</v>
      </c>
      <c r="F2380" t="s">
        <v>3303</v>
      </c>
      <c r="G2380" t="s">
        <v>6614</v>
      </c>
      <c r="H2380">
        <v>1020348</v>
      </c>
      <c r="I2380" t="s">
        <v>17</v>
      </c>
      <c r="K2380" t="s">
        <v>6615</v>
      </c>
      <c r="L2380">
        <v>230</v>
      </c>
      <c r="M2380" t="s">
        <v>6616</v>
      </c>
    </row>
    <row r="2381" spans="1:13" x14ac:dyDescent="0.35">
      <c r="A2381" t="s">
        <v>13</v>
      </c>
      <c r="B2381">
        <v>2541185</v>
      </c>
      <c r="C2381">
        <v>2542351</v>
      </c>
      <c r="E2381" t="s">
        <v>38</v>
      </c>
      <c r="F2381" t="s">
        <v>2205</v>
      </c>
      <c r="H2381">
        <v>1020349</v>
      </c>
      <c r="I2381" t="s">
        <v>17</v>
      </c>
      <c r="K2381" t="s">
        <v>6617</v>
      </c>
      <c r="L2381">
        <v>388</v>
      </c>
      <c r="M2381" t="s">
        <v>6618</v>
      </c>
    </row>
    <row r="2382" spans="1:13" x14ac:dyDescent="0.35">
      <c r="A2382" t="s">
        <v>13</v>
      </c>
      <c r="B2382">
        <v>2542510</v>
      </c>
      <c r="C2382">
        <v>2542803</v>
      </c>
      <c r="E2382" t="s">
        <v>38</v>
      </c>
      <c r="F2382" t="s">
        <v>6619</v>
      </c>
      <c r="G2382" t="s">
        <v>6620</v>
      </c>
      <c r="H2382">
        <v>1020350</v>
      </c>
      <c r="I2382" t="s">
        <v>17</v>
      </c>
      <c r="K2382" t="s">
        <v>6621</v>
      </c>
      <c r="L2382">
        <v>97</v>
      </c>
      <c r="M2382" t="s">
        <v>6622</v>
      </c>
    </row>
    <row r="2383" spans="1:13" x14ac:dyDescent="0.35">
      <c r="A2383" t="s">
        <v>13</v>
      </c>
      <c r="B2383">
        <v>2542816</v>
      </c>
      <c r="C2383">
        <v>2543937</v>
      </c>
      <c r="E2383" t="s">
        <v>38</v>
      </c>
      <c r="F2383" t="s">
        <v>6623</v>
      </c>
      <c r="H2383">
        <v>1020351</v>
      </c>
      <c r="I2383" t="s">
        <v>17</v>
      </c>
      <c r="K2383" t="s">
        <v>6624</v>
      </c>
      <c r="L2383">
        <v>373</v>
      </c>
      <c r="M2383" t="s">
        <v>6625</v>
      </c>
    </row>
    <row r="2384" spans="1:13" x14ac:dyDescent="0.35">
      <c r="A2384" t="s">
        <v>13</v>
      </c>
      <c r="B2384">
        <v>2544020</v>
      </c>
      <c r="C2384">
        <v>2544877</v>
      </c>
      <c r="E2384" t="s">
        <v>38</v>
      </c>
      <c r="F2384" t="s">
        <v>6626</v>
      </c>
      <c r="G2384" t="s">
        <v>6627</v>
      </c>
      <c r="H2384">
        <v>1020352</v>
      </c>
      <c r="I2384" t="s">
        <v>17</v>
      </c>
      <c r="K2384" t="s">
        <v>6628</v>
      </c>
      <c r="L2384">
        <v>285</v>
      </c>
      <c r="M2384" t="s">
        <v>6629</v>
      </c>
    </row>
    <row r="2385" spans="1:13" x14ac:dyDescent="0.35">
      <c r="A2385" t="s">
        <v>13</v>
      </c>
      <c r="B2385">
        <v>2545295</v>
      </c>
      <c r="C2385">
        <v>2546788</v>
      </c>
      <c r="E2385" t="s">
        <v>14</v>
      </c>
      <c r="F2385" t="s">
        <v>6630</v>
      </c>
      <c r="G2385" t="s">
        <v>6631</v>
      </c>
      <c r="H2385">
        <v>1020353</v>
      </c>
      <c r="I2385" t="s">
        <v>17</v>
      </c>
      <c r="K2385" t="s">
        <v>6632</v>
      </c>
      <c r="L2385">
        <v>497</v>
      </c>
      <c r="M2385" t="s">
        <v>6633</v>
      </c>
    </row>
    <row r="2386" spans="1:13" x14ac:dyDescent="0.35">
      <c r="A2386" t="s">
        <v>13</v>
      </c>
      <c r="B2386">
        <v>2546828</v>
      </c>
      <c r="C2386">
        <v>2547322</v>
      </c>
      <c r="E2386" t="s">
        <v>14</v>
      </c>
      <c r="F2386" t="s">
        <v>6634</v>
      </c>
      <c r="G2386" t="s">
        <v>6635</v>
      </c>
      <c r="H2386">
        <v>1020354</v>
      </c>
      <c r="I2386" t="s">
        <v>17</v>
      </c>
      <c r="K2386" t="s">
        <v>6636</v>
      </c>
      <c r="L2386">
        <v>164</v>
      </c>
      <c r="M2386" t="s">
        <v>6637</v>
      </c>
    </row>
    <row r="2387" spans="1:13" x14ac:dyDescent="0.35">
      <c r="A2387" t="s">
        <v>13</v>
      </c>
      <c r="B2387">
        <v>2547334</v>
      </c>
      <c r="C2387">
        <v>2548872</v>
      </c>
      <c r="E2387" t="s">
        <v>14</v>
      </c>
      <c r="F2387" t="s">
        <v>6638</v>
      </c>
      <c r="G2387" t="s">
        <v>6639</v>
      </c>
      <c r="H2387">
        <v>1020355</v>
      </c>
      <c r="I2387" t="s">
        <v>17</v>
      </c>
      <c r="K2387" t="s">
        <v>6640</v>
      </c>
      <c r="L2387">
        <v>512</v>
      </c>
      <c r="M2387" t="s">
        <v>6641</v>
      </c>
    </row>
    <row r="2388" spans="1:13" x14ac:dyDescent="0.35">
      <c r="A2388" t="s">
        <v>13</v>
      </c>
      <c r="B2388">
        <v>2548869</v>
      </c>
      <c r="C2388">
        <v>2549699</v>
      </c>
      <c r="E2388" t="s">
        <v>14</v>
      </c>
      <c r="F2388" t="s">
        <v>6642</v>
      </c>
      <c r="H2388">
        <v>1020356</v>
      </c>
      <c r="I2388" t="s">
        <v>17</v>
      </c>
      <c r="K2388" t="s">
        <v>6643</v>
      </c>
      <c r="L2388">
        <v>276</v>
      </c>
      <c r="M2388" t="s">
        <v>6644</v>
      </c>
    </row>
    <row r="2389" spans="1:13" x14ac:dyDescent="0.35">
      <c r="A2389" t="s">
        <v>13</v>
      </c>
      <c r="B2389">
        <v>2549772</v>
      </c>
      <c r="C2389">
        <v>2552459</v>
      </c>
      <c r="E2389" t="s">
        <v>14</v>
      </c>
      <c r="F2389" t="s">
        <v>3368</v>
      </c>
      <c r="H2389">
        <v>1020357</v>
      </c>
      <c r="I2389" t="s">
        <v>17</v>
      </c>
      <c r="K2389" t="s">
        <v>6645</v>
      </c>
      <c r="L2389">
        <v>895</v>
      </c>
      <c r="M2389" t="s">
        <v>6646</v>
      </c>
    </row>
    <row r="2390" spans="1:13" x14ac:dyDescent="0.35">
      <c r="A2390" t="s">
        <v>13</v>
      </c>
      <c r="B2390">
        <v>2552606</v>
      </c>
      <c r="C2390">
        <v>2553946</v>
      </c>
      <c r="E2390" t="s">
        <v>14</v>
      </c>
      <c r="F2390" t="s">
        <v>265</v>
      </c>
      <c r="H2390">
        <v>1020358</v>
      </c>
      <c r="I2390" t="s">
        <v>17</v>
      </c>
      <c r="K2390" t="s">
        <v>6647</v>
      </c>
      <c r="L2390">
        <v>446</v>
      </c>
      <c r="M2390" t="s">
        <v>6648</v>
      </c>
    </row>
    <row r="2391" spans="1:13" x14ac:dyDescent="0.35">
      <c r="A2391" t="s">
        <v>13</v>
      </c>
      <c r="B2391">
        <v>2554027</v>
      </c>
      <c r="C2391">
        <v>2555271</v>
      </c>
      <c r="E2391" t="s">
        <v>14</v>
      </c>
      <c r="F2391" t="s">
        <v>6649</v>
      </c>
      <c r="H2391">
        <v>1020359</v>
      </c>
      <c r="I2391" t="s">
        <v>17</v>
      </c>
      <c r="K2391" t="s">
        <v>6650</v>
      </c>
      <c r="L2391">
        <v>414</v>
      </c>
      <c r="M2391" t="s">
        <v>6651</v>
      </c>
    </row>
    <row r="2392" spans="1:13" x14ac:dyDescent="0.35">
      <c r="A2392" t="s">
        <v>13</v>
      </c>
      <c r="B2392">
        <v>2555315</v>
      </c>
      <c r="C2392">
        <v>2555941</v>
      </c>
      <c r="E2392" t="s">
        <v>38</v>
      </c>
      <c r="F2392" t="s">
        <v>6652</v>
      </c>
      <c r="H2392">
        <v>1020360</v>
      </c>
      <c r="I2392" t="s">
        <v>17</v>
      </c>
      <c r="K2392" t="s">
        <v>6653</v>
      </c>
      <c r="L2392">
        <v>208</v>
      </c>
      <c r="M2392" t="s">
        <v>6654</v>
      </c>
    </row>
    <row r="2393" spans="1:13" x14ac:dyDescent="0.35">
      <c r="A2393" t="s">
        <v>13</v>
      </c>
      <c r="B2393">
        <v>2555976</v>
      </c>
      <c r="C2393">
        <v>2556569</v>
      </c>
      <c r="E2393" t="s">
        <v>38</v>
      </c>
      <c r="F2393" t="s">
        <v>6652</v>
      </c>
      <c r="H2393">
        <v>1020361</v>
      </c>
      <c r="I2393" t="s">
        <v>17</v>
      </c>
      <c r="K2393" t="s">
        <v>6655</v>
      </c>
      <c r="L2393">
        <v>197</v>
      </c>
      <c r="M2393" t="s">
        <v>6656</v>
      </c>
    </row>
    <row r="2394" spans="1:13" x14ac:dyDescent="0.35">
      <c r="A2394" t="s">
        <v>13</v>
      </c>
      <c r="B2394">
        <v>2556758</v>
      </c>
      <c r="C2394">
        <v>2558107</v>
      </c>
      <c r="E2394" t="s">
        <v>38</v>
      </c>
      <c r="F2394" t="s">
        <v>6657</v>
      </c>
      <c r="G2394" t="s">
        <v>6658</v>
      </c>
      <c r="H2394">
        <v>1020362</v>
      </c>
      <c r="I2394" t="s">
        <v>17</v>
      </c>
      <c r="K2394" t="s">
        <v>6659</v>
      </c>
      <c r="L2394">
        <v>449</v>
      </c>
      <c r="M2394" t="s">
        <v>6660</v>
      </c>
    </row>
    <row r="2395" spans="1:13" x14ac:dyDescent="0.35">
      <c r="A2395" t="s">
        <v>13</v>
      </c>
      <c r="B2395">
        <v>2558224</v>
      </c>
      <c r="C2395">
        <v>2558297</v>
      </c>
      <c r="E2395" t="s">
        <v>38</v>
      </c>
      <c r="F2395" t="s">
        <v>845</v>
      </c>
      <c r="H2395">
        <v>2745356</v>
      </c>
      <c r="I2395" t="s">
        <v>62</v>
      </c>
      <c r="M2395" t="s">
        <v>6661</v>
      </c>
    </row>
    <row r="2396" spans="1:13" x14ac:dyDescent="0.35">
      <c r="A2396" t="s">
        <v>13</v>
      </c>
      <c r="B2396">
        <v>2558610</v>
      </c>
      <c r="C2396">
        <v>2559107</v>
      </c>
      <c r="E2396" t="s">
        <v>14</v>
      </c>
      <c r="F2396" t="s">
        <v>801</v>
      </c>
      <c r="H2396">
        <v>1020363</v>
      </c>
      <c r="I2396" t="s">
        <v>17</v>
      </c>
      <c r="K2396" t="s">
        <v>6662</v>
      </c>
      <c r="L2396">
        <v>165</v>
      </c>
      <c r="M2396" t="s">
        <v>6663</v>
      </c>
    </row>
    <row r="2397" spans="1:13" x14ac:dyDescent="0.35">
      <c r="A2397" t="s">
        <v>13</v>
      </c>
      <c r="B2397">
        <v>2559107</v>
      </c>
      <c r="C2397">
        <v>2560135</v>
      </c>
      <c r="E2397" t="s">
        <v>14</v>
      </c>
      <c r="F2397" t="s">
        <v>6221</v>
      </c>
      <c r="H2397">
        <v>1020364</v>
      </c>
      <c r="I2397" t="s">
        <v>17</v>
      </c>
      <c r="K2397" t="s">
        <v>6664</v>
      </c>
      <c r="L2397">
        <v>342</v>
      </c>
      <c r="M2397" t="s">
        <v>6665</v>
      </c>
    </row>
    <row r="2398" spans="1:13" x14ac:dyDescent="0.35">
      <c r="A2398" t="s">
        <v>13</v>
      </c>
      <c r="B2398">
        <v>2560132</v>
      </c>
      <c r="C2398">
        <v>2560590</v>
      </c>
      <c r="E2398" t="s">
        <v>14</v>
      </c>
      <c r="F2398" t="s">
        <v>1970</v>
      </c>
      <c r="H2398">
        <v>1020365</v>
      </c>
      <c r="I2398" t="s">
        <v>17</v>
      </c>
      <c r="K2398" t="s">
        <v>6666</v>
      </c>
      <c r="L2398">
        <v>152</v>
      </c>
      <c r="M2398" t="s">
        <v>6667</v>
      </c>
    </row>
    <row r="2399" spans="1:13" x14ac:dyDescent="0.35">
      <c r="A2399" t="s">
        <v>13</v>
      </c>
      <c r="B2399">
        <v>2560609</v>
      </c>
      <c r="C2399">
        <v>2560680</v>
      </c>
      <c r="E2399" t="s">
        <v>38</v>
      </c>
      <c r="F2399" t="s">
        <v>4743</v>
      </c>
      <c r="H2399">
        <v>2745345</v>
      </c>
      <c r="I2399" t="s">
        <v>62</v>
      </c>
      <c r="M2399" t="s">
        <v>6668</v>
      </c>
    </row>
    <row r="2400" spans="1:13" x14ac:dyDescent="0.35">
      <c r="A2400" t="s">
        <v>13</v>
      </c>
      <c r="B2400">
        <v>2561116</v>
      </c>
      <c r="C2400">
        <v>2561367</v>
      </c>
      <c r="E2400" t="s">
        <v>14</v>
      </c>
      <c r="F2400" t="s">
        <v>3368</v>
      </c>
      <c r="H2400">
        <v>1020366</v>
      </c>
      <c r="I2400" t="s">
        <v>17</v>
      </c>
      <c r="K2400" t="s">
        <v>6669</v>
      </c>
      <c r="L2400">
        <v>83</v>
      </c>
      <c r="M2400" t="s">
        <v>6670</v>
      </c>
    </row>
    <row r="2401" spans="1:13" x14ac:dyDescent="0.35">
      <c r="A2401" t="s">
        <v>13</v>
      </c>
      <c r="B2401">
        <v>2561481</v>
      </c>
      <c r="C2401">
        <v>2562645</v>
      </c>
      <c r="E2401" t="s">
        <v>38</v>
      </c>
      <c r="F2401" t="s">
        <v>141</v>
      </c>
      <c r="H2401">
        <v>44144990</v>
      </c>
      <c r="I2401" t="s">
        <v>142</v>
      </c>
      <c r="M2401" t="s">
        <v>6671</v>
      </c>
    </row>
    <row r="2402" spans="1:13" x14ac:dyDescent="0.35">
      <c r="A2402" t="s">
        <v>13</v>
      </c>
      <c r="B2402">
        <v>2562964</v>
      </c>
      <c r="C2402">
        <v>2563851</v>
      </c>
      <c r="E2402" t="s">
        <v>14</v>
      </c>
      <c r="F2402" t="s">
        <v>49</v>
      </c>
      <c r="H2402">
        <v>1020369</v>
      </c>
      <c r="I2402" t="s">
        <v>17</v>
      </c>
      <c r="K2402" t="s">
        <v>6672</v>
      </c>
      <c r="L2402">
        <v>295</v>
      </c>
      <c r="M2402" t="s">
        <v>6673</v>
      </c>
    </row>
    <row r="2403" spans="1:13" x14ac:dyDescent="0.35">
      <c r="A2403" t="s">
        <v>13</v>
      </c>
      <c r="B2403">
        <v>2563930</v>
      </c>
      <c r="C2403">
        <v>2564403</v>
      </c>
      <c r="E2403" t="s">
        <v>38</v>
      </c>
      <c r="F2403" t="s">
        <v>6674</v>
      </c>
      <c r="H2403">
        <v>1020370</v>
      </c>
      <c r="I2403" t="s">
        <v>17</v>
      </c>
      <c r="K2403" t="s">
        <v>6675</v>
      </c>
      <c r="L2403">
        <v>157</v>
      </c>
      <c r="M2403" t="s">
        <v>6676</v>
      </c>
    </row>
    <row r="2404" spans="1:13" x14ac:dyDescent="0.35">
      <c r="A2404" t="s">
        <v>13</v>
      </c>
      <c r="B2404">
        <v>2564548</v>
      </c>
      <c r="C2404">
        <v>2565246</v>
      </c>
      <c r="E2404" t="s">
        <v>38</v>
      </c>
      <c r="F2404" t="s">
        <v>5252</v>
      </c>
      <c r="H2404">
        <v>1020371</v>
      </c>
      <c r="I2404" t="s">
        <v>17</v>
      </c>
      <c r="K2404" t="s">
        <v>6677</v>
      </c>
      <c r="L2404">
        <v>232</v>
      </c>
      <c r="M2404" t="s">
        <v>6678</v>
      </c>
    </row>
    <row r="2405" spans="1:13" x14ac:dyDescent="0.35">
      <c r="A2405" t="s">
        <v>13</v>
      </c>
      <c r="B2405">
        <v>2565621</v>
      </c>
      <c r="C2405">
        <v>2566232</v>
      </c>
      <c r="E2405" t="s">
        <v>38</v>
      </c>
      <c r="F2405" t="s">
        <v>78</v>
      </c>
      <c r="H2405">
        <v>1020372</v>
      </c>
      <c r="I2405" t="s">
        <v>17</v>
      </c>
      <c r="K2405" t="s">
        <v>6679</v>
      </c>
      <c r="L2405">
        <v>203</v>
      </c>
      <c r="M2405" t="s">
        <v>6680</v>
      </c>
    </row>
    <row r="2406" spans="1:13" x14ac:dyDescent="0.35">
      <c r="A2406" t="s">
        <v>13</v>
      </c>
      <c r="B2406">
        <v>2566346</v>
      </c>
      <c r="C2406">
        <v>2568949</v>
      </c>
      <c r="E2406" t="s">
        <v>14</v>
      </c>
      <c r="F2406" t="s">
        <v>6681</v>
      </c>
      <c r="G2406" t="s">
        <v>6682</v>
      </c>
      <c r="H2406">
        <v>1020373</v>
      </c>
      <c r="I2406" t="s">
        <v>17</v>
      </c>
      <c r="K2406" t="s">
        <v>6683</v>
      </c>
      <c r="L2406">
        <v>867</v>
      </c>
      <c r="M2406" t="s">
        <v>6684</v>
      </c>
    </row>
    <row r="2407" spans="1:13" x14ac:dyDescent="0.35">
      <c r="A2407" t="s">
        <v>13</v>
      </c>
      <c r="B2407">
        <v>2569212</v>
      </c>
      <c r="C2407">
        <v>2570297</v>
      </c>
      <c r="E2407" t="s">
        <v>14</v>
      </c>
      <c r="F2407" t="s">
        <v>6685</v>
      </c>
      <c r="H2407">
        <v>1020374</v>
      </c>
      <c r="I2407" t="s">
        <v>17</v>
      </c>
      <c r="K2407" t="s">
        <v>6686</v>
      </c>
      <c r="L2407">
        <v>361</v>
      </c>
      <c r="M2407" t="s">
        <v>6687</v>
      </c>
    </row>
    <row r="2408" spans="1:13" x14ac:dyDescent="0.35">
      <c r="A2408" t="s">
        <v>13</v>
      </c>
      <c r="B2408">
        <v>2570307</v>
      </c>
      <c r="C2408">
        <v>2571284</v>
      </c>
      <c r="E2408" t="s">
        <v>38</v>
      </c>
      <c r="F2408" t="s">
        <v>49</v>
      </c>
      <c r="H2408">
        <v>1020375</v>
      </c>
      <c r="I2408" t="s">
        <v>17</v>
      </c>
      <c r="K2408" t="s">
        <v>6688</v>
      </c>
      <c r="L2408">
        <v>325</v>
      </c>
      <c r="M2408" t="s">
        <v>6689</v>
      </c>
    </row>
    <row r="2409" spans="1:13" x14ac:dyDescent="0.35">
      <c r="A2409" t="s">
        <v>13</v>
      </c>
      <c r="B2409">
        <v>2571511</v>
      </c>
      <c r="C2409">
        <v>2572179</v>
      </c>
      <c r="E2409" t="s">
        <v>14</v>
      </c>
      <c r="F2409" t="s">
        <v>49</v>
      </c>
      <c r="H2409">
        <v>1020376</v>
      </c>
      <c r="I2409" t="s">
        <v>17</v>
      </c>
      <c r="K2409" t="s">
        <v>6690</v>
      </c>
      <c r="L2409">
        <v>222</v>
      </c>
      <c r="M2409" t="s">
        <v>6691</v>
      </c>
    </row>
    <row r="2410" spans="1:13" x14ac:dyDescent="0.35">
      <c r="A2410" t="s">
        <v>13</v>
      </c>
      <c r="B2410">
        <v>2572194</v>
      </c>
      <c r="C2410">
        <v>2572352</v>
      </c>
      <c r="E2410" t="s">
        <v>14</v>
      </c>
      <c r="F2410" t="s">
        <v>49</v>
      </c>
      <c r="H2410">
        <v>44156737</v>
      </c>
      <c r="I2410" t="s">
        <v>17</v>
      </c>
      <c r="K2410" t="s">
        <v>6692</v>
      </c>
      <c r="L2410">
        <v>52</v>
      </c>
      <c r="M2410" t="s">
        <v>6693</v>
      </c>
    </row>
    <row r="2411" spans="1:13" x14ac:dyDescent="0.35">
      <c r="A2411" t="s">
        <v>13</v>
      </c>
      <c r="B2411">
        <v>2572349</v>
      </c>
      <c r="C2411">
        <v>2573844</v>
      </c>
      <c r="E2411" t="s">
        <v>38</v>
      </c>
      <c r="F2411" t="s">
        <v>141</v>
      </c>
      <c r="G2411" t="s">
        <v>6694</v>
      </c>
      <c r="H2411">
        <v>18194967</v>
      </c>
      <c r="I2411" t="s">
        <v>142</v>
      </c>
      <c r="M2411" t="s">
        <v>6695</v>
      </c>
    </row>
    <row r="2412" spans="1:13" x14ac:dyDescent="0.35">
      <c r="A2412" t="s">
        <v>13</v>
      </c>
      <c r="B2412">
        <v>2573841</v>
      </c>
      <c r="C2412">
        <v>2574665</v>
      </c>
      <c r="E2412" t="s">
        <v>38</v>
      </c>
      <c r="F2412" t="s">
        <v>1829</v>
      </c>
      <c r="H2412">
        <v>1020380</v>
      </c>
      <c r="I2412" t="s">
        <v>17</v>
      </c>
      <c r="K2412" t="s">
        <v>6696</v>
      </c>
      <c r="L2412">
        <v>274</v>
      </c>
      <c r="M2412" t="s">
        <v>6697</v>
      </c>
    </row>
    <row r="2413" spans="1:13" x14ac:dyDescent="0.35">
      <c r="A2413" t="s">
        <v>13</v>
      </c>
      <c r="B2413">
        <v>2574778</v>
      </c>
      <c r="C2413">
        <v>2575899</v>
      </c>
      <c r="E2413" t="s">
        <v>38</v>
      </c>
      <c r="F2413" t="s">
        <v>265</v>
      </c>
      <c r="H2413">
        <v>1020381</v>
      </c>
      <c r="I2413" t="s">
        <v>17</v>
      </c>
      <c r="K2413" t="s">
        <v>6698</v>
      </c>
      <c r="L2413">
        <v>373</v>
      </c>
      <c r="M2413" t="s">
        <v>6699</v>
      </c>
    </row>
    <row r="2414" spans="1:13" x14ac:dyDescent="0.35">
      <c r="A2414" t="s">
        <v>13</v>
      </c>
      <c r="B2414">
        <v>2575979</v>
      </c>
      <c r="C2414">
        <v>2577214</v>
      </c>
      <c r="E2414" t="s">
        <v>38</v>
      </c>
      <c r="F2414" t="s">
        <v>6700</v>
      </c>
      <c r="H2414">
        <v>1020382</v>
      </c>
      <c r="I2414" t="s">
        <v>17</v>
      </c>
      <c r="K2414" t="s">
        <v>6701</v>
      </c>
      <c r="L2414">
        <v>411</v>
      </c>
      <c r="M2414" t="s">
        <v>6702</v>
      </c>
    </row>
    <row r="2415" spans="1:13" x14ac:dyDescent="0.35">
      <c r="A2415" t="s">
        <v>13</v>
      </c>
      <c r="B2415">
        <v>2577230</v>
      </c>
      <c r="C2415">
        <v>2578873</v>
      </c>
      <c r="E2415" t="s">
        <v>38</v>
      </c>
      <c r="F2415" t="s">
        <v>6398</v>
      </c>
      <c r="H2415">
        <v>1020383</v>
      </c>
      <c r="I2415" t="s">
        <v>17</v>
      </c>
      <c r="K2415" t="s">
        <v>6703</v>
      </c>
      <c r="L2415">
        <v>547</v>
      </c>
      <c r="M2415" t="s">
        <v>6704</v>
      </c>
    </row>
    <row r="2416" spans="1:13" x14ac:dyDescent="0.35">
      <c r="A2416" t="s">
        <v>13</v>
      </c>
      <c r="B2416">
        <v>2578877</v>
      </c>
      <c r="C2416">
        <v>2579761</v>
      </c>
      <c r="E2416" t="s">
        <v>38</v>
      </c>
      <c r="F2416" t="s">
        <v>124</v>
      </c>
      <c r="H2416">
        <v>1020384</v>
      </c>
      <c r="I2416" t="s">
        <v>17</v>
      </c>
      <c r="K2416" t="s">
        <v>6705</v>
      </c>
      <c r="L2416">
        <v>294</v>
      </c>
      <c r="M2416" t="s">
        <v>6706</v>
      </c>
    </row>
    <row r="2417" spans="1:13" x14ac:dyDescent="0.35">
      <c r="A2417" t="s">
        <v>13</v>
      </c>
      <c r="B2417">
        <v>2579767</v>
      </c>
      <c r="C2417">
        <v>2580708</v>
      </c>
      <c r="E2417" t="s">
        <v>38</v>
      </c>
      <c r="F2417" t="s">
        <v>124</v>
      </c>
      <c r="H2417">
        <v>1020385</v>
      </c>
      <c r="I2417" t="s">
        <v>17</v>
      </c>
      <c r="K2417" t="s">
        <v>6707</v>
      </c>
      <c r="L2417">
        <v>313</v>
      </c>
      <c r="M2417" t="s">
        <v>6708</v>
      </c>
    </row>
    <row r="2418" spans="1:13" x14ac:dyDescent="0.35">
      <c r="A2418" t="s">
        <v>13</v>
      </c>
      <c r="B2418">
        <v>2580709</v>
      </c>
      <c r="C2418">
        <v>2582418</v>
      </c>
      <c r="E2418" t="s">
        <v>38</v>
      </c>
      <c r="F2418" t="s">
        <v>6709</v>
      </c>
      <c r="H2418">
        <v>1020386</v>
      </c>
      <c r="I2418" t="s">
        <v>17</v>
      </c>
      <c r="K2418" t="s">
        <v>6710</v>
      </c>
      <c r="L2418">
        <v>569</v>
      </c>
      <c r="M2418" t="s">
        <v>6711</v>
      </c>
    </row>
    <row r="2419" spans="1:13" x14ac:dyDescent="0.35">
      <c r="A2419" t="s">
        <v>13</v>
      </c>
      <c r="B2419">
        <v>2582565</v>
      </c>
      <c r="C2419">
        <v>2584508</v>
      </c>
      <c r="E2419" t="s">
        <v>14</v>
      </c>
      <c r="F2419" t="s">
        <v>5883</v>
      </c>
      <c r="H2419">
        <v>1020387</v>
      </c>
      <c r="I2419" t="s">
        <v>17</v>
      </c>
      <c r="K2419" t="s">
        <v>6712</v>
      </c>
      <c r="L2419">
        <v>647</v>
      </c>
      <c r="M2419" t="s">
        <v>6713</v>
      </c>
    </row>
    <row r="2420" spans="1:13" x14ac:dyDescent="0.35">
      <c r="A2420" t="s">
        <v>13</v>
      </c>
      <c r="B2420">
        <v>2584560</v>
      </c>
      <c r="C2420">
        <v>2585930</v>
      </c>
      <c r="E2420" t="s">
        <v>14</v>
      </c>
      <c r="F2420" t="s">
        <v>6714</v>
      </c>
      <c r="H2420">
        <v>1020388</v>
      </c>
      <c r="I2420" t="s">
        <v>17</v>
      </c>
      <c r="K2420" t="s">
        <v>6715</v>
      </c>
      <c r="L2420">
        <v>456</v>
      </c>
      <c r="M2420" t="s">
        <v>6716</v>
      </c>
    </row>
    <row r="2421" spans="1:13" x14ac:dyDescent="0.35">
      <c r="A2421" t="s">
        <v>13</v>
      </c>
      <c r="B2421">
        <v>2586214</v>
      </c>
      <c r="C2421">
        <v>2587767</v>
      </c>
      <c r="E2421" t="s">
        <v>14</v>
      </c>
      <c r="F2421" t="s">
        <v>2205</v>
      </c>
      <c r="H2421">
        <v>1020389</v>
      </c>
      <c r="I2421" t="s">
        <v>17</v>
      </c>
      <c r="K2421" t="s">
        <v>6717</v>
      </c>
      <c r="L2421">
        <v>517</v>
      </c>
      <c r="M2421" t="s">
        <v>6718</v>
      </c>
    </row>
    <row r="2422" spans="1:13" x14ac:dyDescent="0.35">
      <c r="A2422" t="s">
        <v>13</v>
      </c>
      <c r="B2422">
        <v>2587977</v>
      </c>
      <c r="C2422">
        <v>2588726</v>
      </c>
      <c r="E2422" t="s">
        <v>14</v>
      </c>
      <c r="F2422" t="s">
        <v>842</v>
      </c>
      <c r="H2422">
        <v>1020390</v>
      </c>
      <c r="I2422" t="s">
        <v>17</v>
      </c>
      <c r="K2422" t="s">
        <v>6719</v>
      </c>
      <c r="L2422">
        <v>249</v>
      </c>
      <c r="M2422" t="s">
        <v>6720</v>
      </c>
    </row>
    <row r="2423" spans="1:13" x14ac:dyDescent="0.35">
      <c r="A2423" t="s">
        <v>13</v>
      </c>
      <c r="B2423">
        <v>2588723</v>
      </c>
      <c r="C2423">
        <v>2589433</v>
      </c>
      <c r="E2423" t="s">
        <v>38</v>
      </c>
      <c r="F2423" t="s">
        <v>1841</v>
      </c>
      <c r="H2423">
        <v>1020391</v>
      </c>
      <c r="I2423" t="s">
        <v>17</v>
      </c>
      <c r="K2423" t="s">
        <v>6721</v>
      </c>
      <c r="L2423">
        <v>236</v>
      </c>
      <c r="M2423" t="s">
        <v>6722</v>
      </c>
    </row>
    <row r="2424" spans="1:13" x14ac:dyDescent="0.35">
      <c r="A2424" t="s">
        <v>13</v>
      </c>
      <c r="B2424">
        <v>2589566</v>
      </c>
      <c r="C2424">
        <v>2590306</v>
      </c>
      <c r="E2424" t="s">
        <v>14</v>
      </c>
      <c r="F2424" t="s">
        <v>1126</v>
      </c>
      <c r="H2424">
        <v>1020392</v>
      </c>
      <c r="I2424" t="s">
        <v>17</v>
      </c>
      <c r="K2424" t="s">
        <v>6723</v>
      </c>
      <c r="L2424">
        <v>246</v>
      </c>
      <c r="M2424" t="s">
        <v>6724</v>
      </c>
    </row>
    <row r="2425" spans="1:13" x14ac:dyDescent="0.35">
      <c r="A2425" t="s">
        <v>13</v>
      </c>
      <c r="B2425">
        <v>2590310</v>
      </c>
      <c r="C2425">
        <v>2591470</v>
      </c>
      <c r="E2425" t="s">
        <v>38</v>
      </c>
      <c r="F2425" t="s">
        <v>6725</v>
      </c>
      <c r="H2425">
        <v>1020393</v>
      </c>
      <c r="I2425" t="s">
        <v>17</v>
      </c>
      <c r="K2425" t="s">
        <v>6726</v>
      </c>
      <c r="L2425">
        <v>386</v>
      </c>
      <c r="M2425" t="s">
        <v>6727</v>
      </c>
    </row>
    <row r="2426" spans="1:13" x14ac:dyDescent="0.35">
      <c r="A2426" t="s">
        <v>13</v>
      </c>
      <c r="B2426">
        <v>2591572</v>
      </c>
      <c r="C2426">
        <v>2592357</v>
      </c>
      <c r="E2426" t="s">
        <v>38</v>
      </c>
      <c r="F2426" t="s">
        <v>147</v>
      </c>
      <c r="H2426">
        <v>1020394</v>
      </c>
      <c r="I2426" t="s">
        <v>17</v>
      </c>
      <c r="K2426" t="s">
        <v>6728</v>
      </c>
      <c r="L2426">
        <v>261</v>
      </c>
      <c r="M2426" t="s">
        <v>6729</v>
      </c>
    </row>
    <row r="2427" spans="1:13" x14ac:dyDescent="0.35">
      <c r="A2427" t="s">
        <v>13</v>
      </c>
      <c r="B2427">
        <v>2592403</v>
      </c>
      <c r="C2427">
        <v>2592798</v>
      </c>
      <c r="E2427" t="s">
        <v>14</v>
      </c>
      <c r="F2427" t="s">
        <v>6730</v>
      </c>
      <c r="H2427">
        <v>1020395</v>
      </c>
      <c r="I2427" t="s">
        <v>17</v>
      </c>
      <c r="K2427" t="s">
        <v>6731</v>
      </c>
      <c r="L2427">
        <v>131</v>
      </c>
      <c r="M2427" t="s">
        <v>6732</v>
      </c>
    </row>
    <row r="2428" spans="1:13" x14ac:dyDescent="0.35">
      <c r="A2428" t="s">
        <v>13</v>
      </c>
      <c r="B2428">
        <v>2592839</v>
      </c>
      <c r="C2428">
        <v>2593969</v>
      </c>
      <c r="E2428" t="s">
        <v>14</v>
      </c>
      <c r="F2428" t="s">
        <v>6733</v>
      </c>
      <c r="G2428" t="s">
        <v>6734</v>
      </c>
      <c r="H2428">
        <v>1020396</v>
      </c>
      <c r="I2428" t="s">
        <v>17</v>
      </c>
      <c r="K2428" t="s">
        <v>6735</v>
      </c>
      <c r="L2428">
        <v>376</v>
      </c>
      <c r="M2428" t="s">
        <v>6736</v>
      </c>
    </row>
    <row r="2429" spans="1:13" x14ac:dyDescent="0.35">
      <c r="A2429" t="s">
        <v>13</v>
      </c>
      <c r="B2429">
        <v>2593966</v>
      </c>
      <c r="C2429">
        <v>2594595</v>
      </c>
      <c r="E2429" t="s">
        <v>38</v>
      </c>
      <c r="F2429" t="s">
        <v>49</v>
      </c>
      <c r="H2429">
        <v>1020397</v>
      </c>
      <c r="I2429" t="s">
        <v>17</v>
      </c>
      <c r="K2429" t="s">
        <v>6737</v>
      </c>
      <c r="L2429">
        <v>209</v>
      </c>
      <c r="M2429" t="s">
        <v>6738</v>
      </c>
    </row>
    <row r="2430" spans="1:13" x14ac:dyDescent="0.35">
      <c r="A2430" t="s">
        <v>13</v>
      </c>
      <c r="B2430">
        <v>2594595</v>
      </c>
      <c r="C2430">
        <v>2595062</v>
      </c>
      <c r="E2430" t="s">
        <v>38</v>
      </c>
      <c r="F2430" t="s">
        <v>4710</v>
      </c>
      <c r="H2430">
        <v>1020398</v>
      </c>
      <c r="I2430" t="s">
        <v>17</v>
      </c>
      <c r="K2430" t="s">
        <v>6739</v>
      </c>
      <c r="L2430">
        <v>155</v>
      </c>
      <c r="M2430" t="s">
        <v>6740</v>
      </c>
    </row>
    <row r="2431" spans="1:13" x14ac:dyDescent="0.35">
      <c r="A2431" t="s">
        <v>13</v>
      </c>
      <c r="B2431">
        <v>2595186</v>
      </c>
      <c r="C2431">
        <v>2595809</v>
      </c>
      <c r="E2431" t="s">
        <v>38</v>
      </c>
      <c r="F2431" t="s">
        <v>6741</v>
      </c>
      <c r="H2431">
        <v>1020399</v>
      </c>
      <c r="I2431" t="s">
        <v>17</v>
      </c>
      <c r="K2431" t="s">
        <v>6742</v>
      </c>
      <c r="L2431">
        <v>207</v>
      </c>
      <c r="M2431" t="s">
        <v>6743</v>
      </c>
    </row>
    <row r="2432" spans="1:13" x14ac:dyDescent="0.35">
      <c r="A2432" t="s">
        <v>13</v>
      </c>
      <c r="B2432">
        <v>2596046</v>
      </c>
      <c r="C2432">
        <v>2597716</v>
      </c>
      <c r="E2432" t="s">
        <v>38</v>
      </c>
      <c r="F2432" t="s">
        <v>6744</v>
      </c>
      <c r="G2432" t="s">
        <v>6745</v>
      </c>
      <c r="H2432">
        <v>1020401</v>
      </c>
      <c r="I2432" t="s">
        <v>17</v>
      </c>
      <c r="K2432" t="s">
        <v>6746</v>
      </c>
      <c r="L2432">
        <v>556</v>
      </c>
      <c r="M2432" t="s">
        <v>6747</v>
      </c>
    </row>
    <row r="2433" spans="1:13" x14ac:dyDescent="0.35">
      <c r="A2433" t="s">
        <v>13</v>
      </c>
      <c r="B2433">
        <v>2597867</v>
      </c>
      <c r="C2433">
        <v>2598484</v>
      </c>
      <c r="E2433" t="s">
        <v>38</v>
      </c>
      <c r="F2433" t="s">
        <v>5139</v>
      </c>
      <c r="H2433">
        <v>1020402</v>
      </c>
      <c r="I2433" t="s">
        <v>17</v>
      </c>
      <c r="K2433" t="s">
        <v>6748</v>
      </c>
      <c r="L2433">
        <v>205</v>
      </c>
      <c r="M2433" t="s">
        <v>6749</v>
      </c>
    </row>
    <row r="2434" spans="1:13" x14ac:dyDescent="0.35">
      <c r="A2434" t="s">
        <v>13</v>
      </c>
      <c r="B2434">
        <v>2598660</v>
      </c>
      <c r="C2434">
        <v>2600813</v>
      </c>
      <c r="E2434" t="s">
        <v>38</v>
      </c>
      <c r="F2434" t="s">
        <v>6750</v>
      </c>
      <c r="H2434">
        <v>1020403</v>
      </c>
      <c r="I2434" t="s">
        <v>17</v>
      </c>
      <c r="K2434" t="s">
        <v>6751</v>
      </c>
      <c r="L2434">
        <v>717</v>
      </c>
      <c r="M2434" t="s">
        <v>6752</v>
      </c>
    </row>
    <row r="2435" spans="1:13" x14ac:dyDescent="0.35">
      <c r="A2435" t="s">
        <v>13</v>
      </c>
      <c r="B2435">
        <v>2601022</v>
      </c>
      <c r="C2435">
        <v>2601095</v>
      </c>
      <c r="E2435" t="s">
        <v>14</v>
      </c>
      <c r="F2435" t="s">
        <v>669</v>
      </c>
      <c r="H2435">
        <v>2745303</v>
      </c>
      <c r="I2435" t="s">
        <v>62</v>
      </c>
      <c r="M2435" t="s">
        <v>6753</v>
      </c>
    </row>
    <row r="2436" spans="1:13" x14ac:dyDescent="0.35">
      <c r="A2436" t="s">
        <v>13</v>
      </c>
      <c r="B2436">
        <v>2601462</v>
      </c>
      <c r="C2436">
        <v>2602883</v>
      </c>
      <c r="E2436" t="s">
        <v>14</v>
      </c>
      <c r="F2436" t="s">
        <v>6754</v>
      </c>
      <c r="H2436">
        <v>1020404</v>
      </c>
      <c r="I2436" t="s">
        <v>17</v>
      </c>
      <c r="K2436" t="s">
        <v>6755</v>
      </c>
      <c r="L2436">
        <v>473</v>
      </c>
      <c r="M2436" t="s">
        <v>6756</v>
      </c>
    </row>
    <row r="2437" spans="1:13" x14ac:dyDescent="0.35">
      <c r="A2437" t="s">
        <v>13</v>
      </c>
      <c r="B2437">
        <v>2602959</v>
      </c>
      <c r="C2437">
        <v>2603031</v>
      </c>
      <c r="E2437" t="s">
        <v>14</v>
      </c>
      <c r="F2437" t="s">
        <v>6757</v>
      </c>
      <c r="H2437">
        <v>2745300</v>
      </c>
      <c r="I2437" t="s">
        <v>62</v>
      </c>
      <c r="M2437" t="s">
        <v>6758</v>
      </c>
    </row>
    <row r="2438" spans="1:13" x14ac:dyDescent="0.35">
      <c r="A2438" t="s">
        <v>13</v>
      </c>
      <c r="B2438">
        <v>2603943</v>
      </c>
      <c r="C2438">
        <v>2604584</v>
      </c>
      <c r="E2438" t="s">
        <v>38</v>
      </c>
      <c r="F2438" t="s">
        <v>6759</v>
      </c>
      <c r="G2438" t="s">
        <v>6760</v>
      </c>
      <c r="H2438">
        <v>1020405</v>
      </c>
      <c r="I2438" t="s">
        <v>17</v>
      </c>
      <c r="K2438" t="s">
        <v>6761</v>
      </c>
      <c r="L2438">
        <v>213</v>
      </c>
      <c r="M2438" t="s">
        <v>6762</v>
      </c>
    </row>
    <row r="2439" spans="1:13" x14ac:dyDescent="0.35">
      <c r="A2439" t="s">
        <v>13</v>
      </c>
      <c r="B2439">
        <v>2604607</v>
      </c>
      <c r="C2439">
        <v>2605521</v>
      </c>
      <c r="E2439" t="s">
        <v>38</v>
      </c>
      <c r="F2439" t="s">
        <v>2089</v>
      </c>
      <c r="H2439">
        <v>1020406</v>
      </c>
      <c r="I2439" t="s">
        <v>17</v>
      </c>
      <c r="K2439" t="s">
        <v>6763</v>
      </c>
      <c r="L2439">
        <v>304</v>
      </c>
      <c r="M2439" t="s">
        <v>6764</v>
      </c>
    </row>
    <row r="2440" spans="1:13" x14ac:dyDescent="0.35">
      <c r="A2440" t="s">
        <v>13</v>
      </c>
      <c r="B2440">
        <v>2605525</v>
      </c>
      <c r="C2440">
        <v>2606370</v>
      </c>
      <c r="E2440" t="s">
        <v>38</v>
      </c>
      <c r="F2440" t="s">
        <v>2089</v>
      </c>
      <c r="H2440">
        <v>1020407</v>
      </c>
      <c r="I2440" t="s">
        <v>17</v>
      </c>
      <c r="K2440" t="s">
        <v>6765</v>
      </c>
      <c r="L2440">
        <v>281</v>
      </c>
      <c r="M2440" t="s">
        <v>6766</v>
      </c>
    </row>
    <row r="2441" spans="1:13" x14ac:dyDescent="0.35">
      <c r="A2441" t="s">
        <v>13</v>
      </c>
      <c r="B2441">
        <v>2606559</v>
      </c>
      <c r="C2441">
        <v>2607890</v>
      </c>
      <c r="E2441" t="s">
        <v>38</v>
      </c>
      <c r="F2441" t="s">
        <v>1008</v>
      </c>
      <c r="H2441">
        <v>1020408</v>
      </c>
      <c r="I2441" t="s">
        <v>17</v>
      </c>
      <c r="K2441" t="s">
        <v>6767</v>
      </c>
      <c r="L2441">
        <v>443</v>
      </c>
      <c r="M2441" t="s">
        <v>6768</v>
      </c>
    </row>
    <row r="2442" spans="1:13" x14ac:dyDescent="0.35">
      <c r="A2442" t="s">
        <v>13</v>
      </c>
      <c r="B2442">
        <v>2608183</v>
      </c>
      <c r="C2442">
        <v>2609382</v>
      </c>
      <c r="E2442" t="s">
        <v>38</v>
      </c>
      <c r="F2442" t="s">
        <v>6769</v>
      </c>
      <c r="H2442">
        <v>1020409</v>
      </c>
      <c r="I2442" t="s">
        <v>17</v>
      </c>
      <c r="K2442" t="s">
        <v>6770</v>
      </c>
      <c r="L2442">
        <v>399</v>
      </c>
      <c r="M2442" t="s">
        <v>6771</v>
      </c>
    </row>
    <row r="2443" spans="1:13" x14ac:dyDescent="0.35">
      <c r="A2443" t="s">
        <v>13</v>
      </c>
      <c r="B2443">
        <v>2609336</v>
      </c>
      <c r="C2443">
        <v>2609479</v>
      </c>
      <c r="E2443" t="s">
        <v>38</v>
      </c>
      <c r="F2443" t="s">
        <v>49</v>
      </c>
      <c r="H2443">
        <v>92792311</v>
      </c>
      <c r="I2443" t="s">
        <v>17</v>
      </c>
      <c r="K2443" t="s">
        <v>6772</v>
      </c>
      <c r="L2443">
        <v>47</v>
      </c>
      <c r="M2443" t="s">
        <v>6773</v>
      </c>
    </row>
    <row r="2444" spans="1:13" x14ac:dyDescent="0.35">
      <c r="A2444" t="s">
        <v>13</v>
      </c>
      <c r="B2444">
        <v>2609510</v>
      </c>
      <c r="C2444">
        <v>2610640</v>
      </c>
      <c r="E2444" t="s">
        <v>38</v>
      </c>
      <c r="F2444" t="s">
        <v>147</v>
      </c>
      <c r="H2444">
        <v>1020410</v>
      </c>
      <c r="I2444" t="s">
        <v>17</v>
      </c>
      <c r="K2444" t="s">
        <v>6774</v>
      </c>
      <c r="L2444">
        <v>376</v>
      </c>
      <c r="M2444" t="s">
        <v>6775</v>
      </c>
    </row>
    <row r="2445" spans="1:13" x14ac:dyDescent="0.35">
      <c r="A2445" t="s">
        <v>13</v>
      </c>
      <c r="B2445">
        <v>2610846</v>
      </c>
      <c r="C2445">
        <v>2611595</v>
      </c>
      <c r="E2445" t="s">
        <v>38</v>
      </c>
      <c r="F2445" t="s">
        <v>141</v>
      </c>
      <c r="H2445">
        <v>1020411</v>
      </c>
      <c r="I2445" t="s">
        <v>142</v>
      </c>
      <c r="M2445" t="s">
        <v>6776</v>
      </c>
    </row>
    <row r="2446" spans="1:13" x14ac:dyDescent="0.35">
      <c r="A2446" t="s">
        <v>13</v>
      </c>
      <c r="B2446">
        <v>2611524</v>
      </c>
      <c r="C2446">
        <v>2612276</v>
      </c>
      <c r="E2446" t="s">
        <v>14</v>
      </c>
      <c r="F2446" t="s">
        <v>4373</v>
      </c>
      <c r="H2446">
        <v>1020412</v>
      </c>
      <c r="I2446" t="s">
        <v>17</v>
      </c>
      <c r="K2446" t="s">
        <v>6777</v>
      </c>
      <c r="L2446">
        <v>250</v>
      </c>
      <c r="M2446" t="s">
        <v>6778</v>
      </c>
    </row>
    <row r="2447" spans="1:13" x14ac:dyDescent="0.35">
      <c r="A2447" t="s">
        <v>13</v>
      </c>
      <c r="B2447">
        <v>2612456</v>
      </c>
      <c r="C2447">
        <v>2612593</v>
      </c>
      <c r="E2447" t="s">
        <v>38</v>
      </c>
      <c r="F2447" t="s">
        <v>49</v>
      </c>
      <c r="H2447">
        <v>44144991</v>
      </c>
      <c r="I2447" t="s">
        <v>17</v>
      </c>
      <c r="K2447" t="s">
        <v>6779</v>
      </c>
      <c r="L2447">
        <v>45</v>
      </c>
      <c r="M2447" t="s">
        <v>6780</v>
      </c>
    </row>
    <row r="2448" spans="1:13" x14ac:dyDescent="0.35">
      <c r="A2448" t="s">
        <v>13</v>
      </c>
      <c r="B2448">
        <v>2612628</v>
      </c>
      <c r="C2448">
        <v>2612897</v>
      </c>
      <c r="E2448" t="s">
        <v>38</v>
      </c>
      <c r="F2448" t="s">
        <v>49</v>
      </c>
      <c r="H2448">
        <v>18194968</v>
      </c>
      <c r="I2448" t="s">
        <v>17</v>
      </c>
      <c r="K2448" t="s">
        <v>6781</v>
      </c>
      <c r="L2448">
        <v>89</v>
      </c>
      <c r="M2448" t="s">
        <v>6782</v>
      </c>
    </row>
    <row r="2449" spans="1:13" x14ac:dyDescent="0.35">
      <c r="A2449" t="s">
        <v>13</v>
      </c>
      <c r="B2449">
        <v>2613074</v>
      </c>
      <c r="C2449">
        <v>2613637</v>
      </c>
      <c r="E2449" t="s">
        <v>38</v>
      </c>
      <c r="F2449" t="s">
        <v>3368</v>
      </c>
      <c r="H2449">
        <v>1020413</v>
      </c>
      <c r="I2449" t="s">
        <v>17</v>
      </c>
      <c r="K2449" t="s">
        <v>6783</v>
      </c>
      <c r="L2449">
        <v>187</v>
      </c>
      <c r="M2449" t="s">
        <v>6784</v>
      </c>
    </row>
    <row r="2450" spans="1:13" x14ac:dyDescent="0.35">
      <c r="A2450" t="s">
        <v>13</v>
      </c>
      <c r="B2450">
        <v>2613881</v>
      </c>
      <c r="C2450">
        <v>2614504</v>
      </c>
      <c r="E2450" t="s">
        <v>14</v>
      </c>
      <c r="F2450" t="s">
        <v>141</v>
      </c>
      <c r="H2450">
        <v>1020414</v>
      </c>
      <c r="I2450" t="s">
        <v>142</v>
      </c>
      <c r="M2450" t="s">
        <v>6785</v>
      </c>
    </row>
    <row r="2451" spans="1:13" x14ac:dyDescent="0.35">
      <c r="A2451" t="s">
        <v>13</v>
      </c>
      <c r="B2451">
        <v>2614536</v>
      </c>
      <c r="C2451">
        <v>2615414</v>
      </c>
      <c r="E2451" t="s">
        <v>14</v>
      </c>
      <c r="F2451" t="s">
        <v>6786</v>
      </c>
      <c r="G2451" t="s">
        <v>6787</v>
      </c>
      <c r="H2451">
        <v>1020415</v>
      </c>
      <c r="I2451" t="s">
        <v>17</v>
      </c>
      <c r="K2451" t="s">
        <v>6788</v>
      </c>
      <c r="L2451">
        <v>292</v>
      </c>
      <c r="M2451" t="s">
        <v>6789</v>
      </c>
    </row>
    <row r="2452" spans="1:13" x14ac:dyDescent="0.35">
      <c r="A2452" t="s">
        <v>13</v>
      </c>
      <c r="B2452">
        <v>2615937</v>
      </c>
      <c r="C2452">
        <v>2617121</v>
      </c>
      <c r="E2452" t="s">
        <v>38</v>
      </c>
      <c r="F2452" t="s">
        <v>6790</v>
      </c>
      <c r="G2452" t="s">
        <v>6791</v>
      </c>
      <c r="H2452">
        <v>1020416</v>
      </c>
      <c r="I2452" t="s">
        <v>17</v>
      </c>
      <c r="K2452" t="s">
        <v>6792</v>
      </c>
      <c r="L2452">
        <v>394</v>
      </c>
      <c r="M2452" t="s">
        <v>6793</v>
      </c>
    </row>
    <row r="2453" spans="1:13" x14ac:dyDescent="0.35">
      <c r="A2453" t="s">
        <v>13</v>
      </c>
      <c r="B2453">
        <v>2617247</v>
      </c>
      <c r="C2453">
        <v>2617999</v>
      </c>
      <c r="E2453" t="s">
        <v>14</v>
      </c>
      <c r="F2453" t="s">
        <v>5815</v>
      </c>
      <c r="H2453">
        <v>1020417</v>
      </c>
      <c r="I2453" t="s">
        <v>17</v>
      </c>
      <c r="K2453" t="s">
        <v>6794</v>
      </c>
      <c r="L2453">
        <v>250</v>
      </c>
      <c r="M2453" t="s">
        <v>6795</v>
      </c>
    </row>
    <row r="2454" spans="1:13" x14ac:dyDescent="0.35">
      <c r="A2454" t="s">
        <v>13</v>
      </c>
      <c r="B2454">
        <v>2618073</v>
      </c>
      <c r="C2454">
        <v>2618873</v>
      </c>
      <c r="E2454" t="s">
        <v>14</v>
      </c>
      <c r="F2454" t="s">
        <v>6796</v>
      </c>
      <c r="G2454" t="s">
        <v>6797</v>
      </c>
      <c r="H2454">
        <v>1020418</v>
      </c>
      <c r="I2454" t="s">
        <v>17</v>
      </c>
      <c r="K2454" t="s">
        <v>6798</v>
      </c>
      <c r="L2454">
        <v>266</v>
      </c>
      <c r="M2454" t="s">
        <v>6799</v>
      </c>
    </row>
    <row r="2455" spans="1:13" x14ac:dyDescent="0.35">
      <c r="A2455" t="s">
        <v>13</v>
      </c>
      <c r="B2455">
        <v>2618883</v>
      </c>
      <c r="C2455">
        <v>2619542</v>
      </c>
      <c r="E2455" t="s">
        <v>14</v>
      </c>
      <c r="F2455" t="s">
        <v>6800</v>
      </c>
      <c r="G2455" t="s">
        <v>6801</v>
      </c>
      <c r="H2455">
        <v>1020419</v>
      </c>
      <c r="I2455" t="s">
        <v>17</v>
      </c>
      <c r="K2455" t="s">
        <v>6802</v>
      </c>
      <c r="L2455">
        <v>219</v>
      </c>
      <c r="M2455" t="s">
        <v>6803</v>
      </c>
    </row>
    <row r="2456" spans="1:13" x14ac:dyDescent="0.35">
      <c r="A2456" t="s">
        <v>13</v>
      </c>
      <c r="B2456">
        <v>2619539</v>
      </c>
      <c r="C2456">
        <v>2620783</v>
      </c>
      <c r="E2456" t="s">
        <v>38</v>
      </c>
      <c r="F2456" t="s">
        <v>391</v>
      </c>
      <c r="H2456">
        <v>1020420</v>
      </c>
      <c r="I2456" t="s">
        <v>17</v>
      </c>
      <c r="K2456" t="s">
        <v>6804</v>
      </c>
      <c r="L2456">
        <v>414</v>
      </c>
      <c r="M2456" t="s">
        <v>6805</v>
      </c>
    </row>
    <row r="2457" spans="1:13" x14ac:dyDescent="0.35">
      <c r="A2457" t="s">
        <v>13</v>
      </c>
      <c r="B2457">
        <v>2620971</v>
      </c>
      <c r="C2457">
        <v>2622182</v>
      </c>
      <c r="E2457" t="s">
        <v>38</v>
      </c>
      <c r="F2457" t="s">
        <v>1631</v>
      </c>
      <c r="H2457">
        <v>1020421</v>
      </c>
      <c r="I2457" t="s">
        <v>17</v>
      </c>
      <c r="K2457" t="s">
        <v>6806</v>
      </c>
      <c r="L2457">
        <v>403</v>
      </c>
      <c r="M2457" t="s">
        <v>6807</v>
      </c>
    </row>
    <row r="2458" spans="1:13" x14ac:dyDescent="0.35">
      <c r="A2458" t="s">
        <v>13</v>
      </c>
      <c r="B2458">
        <v>2622649</v>
      </c>
      <c r="C2458">
        <v>2622724</v>
      </c>
      <c r="E2458" t="s">
        <v>14</v>
      </c>
      <c r="F2458" t="s">
        <v>6808</v>
      </c>
      <c r="H2458">
        <v>2745314</v>
      </c>
      <c r="I2458" t="s">
        <v>62</v>
      </c>
      <c r="M2458" t="s">
        <v>6809</v>
      </c>
    </row>
    <row r="2459" spans="1:13" x14ac:dyDescent="0.35">
      <c r="A2459" t="s">
        <v>13</v>
      </c>
      <c r="B2459">
        <v>2622812</v>
      </c>
      <c r="C2459">
        <v>2622884</v>
      </c>
      <c r="E2459" t="s">
        <v>14</v>
      </c>
      <c r="F2459" t="s">
        <v>6808</v>
      </c>
      <c r="H2459">
        <v>2745316</v>
      </c>
      <c r="I2459" t="s">
        <v>62</v>
      </c>
      <c r="M2459" t="s">
        <v>6810</v>
      </c>
    </row>
    <row r="2460" spans="1:13" x14ac:dyDescent="0.35">
      <c r="A2460" t="s">
        <v>13</v>
      </c>
      <c r="B2460">
        <v>2622962</v>
      </c>
      <c r="C2460">
        <v>2623609</v>
      </c>
      <c r="E2460" t="s">
        <v>14</v>
      </c>
      <c r="F2460" t="s">
        <v>420</v>
      </c>
      <c r="H2460">
        <v>1020422</v>
      </c>
      <c r="I2460" t="s">
        <v>17</v>
      </c>
      <c r="K2460" t="s">
        <v>6811</v>
      </c>
      <c r="L2460">
        <v>215</v>
      </c>
      <c r="M2460" t="s">
        <v>6812</v>
      </c>
    </row>
    <row r="2461" spans="1:13" x14ac:dyDescent="0.35">
      <c r="A2461" t="s">
        <v>13</v>
      </c>
      <c r="B2461">
        <v>2623619</v>
      </c>
      <c r="C2461">
        <v>2623771</v>
      </c>
      <c r="E2461" t="s">
        <v>38</v>
      </c>
      <c r="F2461" t="s">
        <v>49</v>
      </c>
      <c r="H2461">
        <v>1020423</v>
      </c>
      <c r="I2461" t="s">
        <v>17</v>
      </c>
      <c r="K2461" t="s">
        <v>6813</v>
      </c>
      <c r="L2461">
        <v>50</v>
      </c>
      <c r="M2461" t="s">
        <v>6814</v>
      </c>
    </row>
    <row r="2462" spans="1:13" x14ac:dyDescent="0.35">
      <c r="A2462" t="s">
        <v>13</v>
      </c>
      <c r="B2462">
        <v>2624049</v>
      </c>
      <c r="C2462">
        <v>2625359</v>
      </c>
      <c r="E2462" t="s">
        <v>38</v>
      </c>
      <c r="F2462" t="s">
        <v>3038</v>
      </c>
      <c r="H2462">
        <v>1020425</v>
      </c>
      <c r="I2462" t="s">
        <v>17</v>
      </c>
      <c r="K2462" t="s">
        <v>3039</v>
      </c>
      <c r="L2462">
        <v>436</v>
      </c>
      <c r="M2462" t="s">
        <v>6815</v>
      </c>
    </row>
    <row r="2463" spans="1:13" x14ac:dyDescent="0.35">
      <c r="A2463" t="s">
        <v>13</v>
      </c>
      <c r="B2463">
        <v>2625601</v>
      </c>
      <c r="C2463">
        <v>2625810</v>
      </c>
      <c r="E2463" t="s">
        <v>14</v>
      </c>
      <c r="F2463" t="s">
        <v>49</v>
      </c>
      <c r="H2463">
        <v>1020426</v>
      </c>
      <c r="I2463" t="s">
        <v>17</v>
      </c>
      <c r="K2463" t="s">
        <v>6816</v>
      </c>
      <c r="L2463">
        <v>69</v>
      </c>
      <c r="M2463" t="s">
        <v>6817</v>
      </c>
    </row>
    <row r="2464" spans="1:13" x14ac:dyDescent="0.35">
      <c r="A2464" t="s">
        <v>13</v>
      </c>
      <c r="B2464">
        <v>2625807</v>
      </c>
      <c r="C2464">
        <v>2626448</v>
      </c>
      <c r="E2464" t="s">
        <v>38</v>
      </c>
      <c r="F2464" t="s">
        <v>49</v>
      </c>
      <c r="H2464">
        <v>1020427</v>
      </c>
      <c r="I2464" t="s">
        <v>17</v>
      </c>
      <c r="K2464" t="s">
        <v>6818</v>
      </c>
      <c r="L2464">
        <v>213</v>
      </c>
      <c r="M2464" t="s">
        <v>6819</v>
      </c>
    </row>
    <row r="2465" spans="1:13" x14ac:dyDescent="0.35">
      <c r="A2465" t="s">
        <v>13</v>
      </c>
      <c r="B2465">
        <v>2626491</v>
      </c>
      <c r="C2465">
        <v>2627732</v>
      </c>
      <c r="E2465" t="s">
        <v>38</v>
      </c>
      <c r="F2465" t="s">
        <v>6820</v>
      </c>
      <c r="H2465">
        <v>1020428</v>
      </c>
      <c r="I2465" t="s">
        <v>17</v>
      </c>
      <c r="K2465" t="s">
        <v>6821</v>
      </c>
      <c r="L2465">
        <v>413</v>
      </c>
      <c r="M2465" t="s">
        <v>6822</v>
      </c>
    </row>
    <row r="2466" spans="1:13" x14ac:dyDescent="0.35">
      <c r="A2466" t="s">
        <v>13</v>
      </c>
      <c r="B2466">
        <v>2627777</v>
      </c>
      <c r="C2466">
        <v>2628088</v>
      </c>
      <c r="E2466" t="s">
        <v>14</v>
      </c>
      <c r="F2466" t="s">
        <v>532</v>
      </c>
      <c r="H2466">
        <v>44144993</v>
      </c>
      <c r="I2466" t="s">
        <v>17</v>
      </c>
      <c r="K2466" t="s">
        <v>6823</v>
      </c>
      <c r="L2466">
        <v>103</v>
      </c>
      <c r="M2466" t="s">
        <v>6824</v>
      </c>
    </row>
    <row r="2467" spans="1:13" x14ac:dyDescent="0.35">
      <c r="A2467" t="s">
        <v>13</v>
      </c>
      <c r="B2467">
        <v>2627970</v>
      </c>
      <c r="C2467">
        <v>2628380</v>
      </c>
      <c r="E2467" t="s">
        <v>14</v>
      </c>
      <c r="F2467" t="s">
        <v>121</v>
      </c>
      <c r="H2467">
        <v>44144994</v>
      </c>
      <c r="I2467" t="s">
        <v>17</v>
      </c>
      <c r="K2467" t="s">
        <v>6825</v>
      </c>
      <c r="L2467">
        <v>136</v>
      </c>
      <c r="M2467" t="s">
        <v>6826</v>
      </c>
    </row>
    <row r="2468" spans="1:13" x14ac:dyDescent="0.35">
      <c r="A2468" t="s">
        <v>13</v>
      </c>
      <c r="B2468">
        <v>2628440</v>
      </c>
      <c r="C2468">
        <v>2628856</v>
      </c>
      <c r="E2468" t="s">
        <v>14</v>
      </c>
      <c r="F2468" t="s">
        <v>121</v>
      </c>
      <c r="H2468">
        <v>44144995</v>
      </c>
      <c r="I2468" t="s">
        <v>17</v>
      </c>
      <c r="K2468" t="s">
        <v>6827</v>
      </c>
      <c r="L2468">
        <v>138</v>
      </c>
      <c r="M2468" t="s">
        <v>6828</v>
      </c>
    </row>
    <row r="2469" spans="1:13" x14ac:dyDescent="0.35">
      <c r="A2469" t="s">
        <v>13</v>
      </c>
      <c r="B2469">
        <v>2628927</v>
      </c>
      <c r="C2469">
        <v>2630483</v>
      </c>
      <c r="E2469" t="s">
        <v>14</v>
      </c>
      <c r="F2469" t="s">
        <v>6829</v>
      </c>
      <c r="G2469" t="s">
        <v>6830</v>
      </c>
      <c r="H2469">
        <v>1020431</v>
      </c>
      <c r="I2469" t="s">
        <v>17</v>
      </c>
      <c r="K2469" t="s">
        <v>6831</v>
      </c>
      <c r="L2469">
        <v>518</v>
      </c>
      <c r="M2469" t="s">
        <v>6832</v>
      </c>
    </row>
    <row r="2470" spans="1:13" x14ac:dyDescent="0.35">
      <c r="A2470" t="s">
        <v>13</v>
      </c>
      <c r="B2470">
        <v>2630637</v>
      </c>
      <c r="C2470">
        <v>2631140</v>
      </c>
      <c r="E2470" t="s">
        <v>14</v>
      </c>
      <c r="F2470" t="s">
        <v>6833</v>
      </c>
      <c r="H2470">
        <v>1020432</v>
      </c>
      <c r="I2470" t="s">
        <v>17</v>
      </c>
      <c r="K2470" t="s">
        <v>6834</v>
      </c>
      <c r="L2470">
        <v>167</v>
      </c>
      <c r="M2470" t="s">
        <v>6835</v>
      </c>
    </row>
    <row r="2471" spans="1:13" x14ac:dyDescent="0.35">
      <c r="A2471" t="s">
        <v>13</v>
      </c>
      <c r="B2471">
        <v>2631304</v>
      </c>
      <c r="C2471">
        <v>2632470</v>
      </c>
      <c r="E2471" t="s">
        <v>14</v>
      </c>
      <c r="F2471" t="s">
        <v>2205</v>
      </c>
      <c r="H2471">
        <v>1020433</v>
      </c>
      <c r="I2471" t="s">
        <v>17</v>
      </c>
      <c r="K2471" t="s">
        <v>6836</v>
      </c>
      <c r="L2471">
        <v>388</v>
      </c>
      <c r="M2471" t="s">
        <v>6837</v>
      </c>
    </row>
    <row r="2472" spans="1:13" x14ac:dyDescent="0.35">
      <c r="A2472" t="s">
        <v>13</v>
      </c>
      <c r="B2472">
        <v>2632544</v>
      </c>
      <c r="C2472">
        <v>2633104</v>
      </c>
      <c r="E2472" t="s">
        <v>14</v>
      </c>
      <c r="F2472" t="s">
        <v>6838</v>
      </c>
      <c r="H2472">
        <v>1020434</v>
      </c>
      <c r="I2472" t="s">
        <v>17</v>
      </c>
      <c r="K2472" t="s">
        <v>6839</v>
      </c>
      <c r="L2472">
        <v>186</v>
      </c>
      <c r="M2472" t="s">
        <v>6840</v>
      </c>
    </row>
    <row r="2473" spans="1:13" x14ac:dyDescent="0.35">
      <c r="A2473" t="s">
        <v>13</v>
      </c>
      <c r="B2473">
        <v>2633144</v>
      </c>
      <c r="C2473">
        <v>2633419</v>
      </c>
      <c r="E2473" t="s">
        <v>38</v>
      </c>
      <c r="F2473" t="s">
        <v>6841</v>
      </c>
      <c r="H2473">
        <v>1020435</v>
      </c>
      <c r="I2473" t="s">
        <v>17</v>
      </c>
      <c r="K2473" t="s">
        <v>6842</v>
      </c>
      <c r="L2473">
        <v>91</v>
      </c>
      <c r="M2473" t="s">
        <v>6843</v>
      </c>
    </row>
    <row r="2474" spans="1:13" x14ac:dyDescent="0.35">
      <c r="A2474" t="s">
        <v>13</v>
      </c>
      <c r="B2474">
        <v>2633592</v>
      </c>
      <c r="C2474">
        <v>2634068</v>
      </c>
      <c r="E2474" t="s">
        <v>14</v>
      </c>
      <c r="F2474" t="s">
        <v>6844</v>
      </c>
      <c r="G2474" t="s">
        <v>6845</v>
      </c>
      <c r="H2474">
        <v>1020436</v>
      </c>
      <c r="I2474" t="s">
        <v>17</v>
      </c>
      <c r="K2474" t="s">
        <v>6846</v>
      </c>
      <c r="L2474">
        <v>158</v>
      </c>
      <c r="M2474" t="s">
        <v>6847</v>
      </c>
    </row>
    <row r="2475" spans="1:13" x14ac:dyDescent="0.35">
      <c r="A2475" t="s">
        <v>13</v>
      </c>
      <c r="B2475">
        <v>2634090</v>
      </c>
      <c r="C2475">
        <v>2634755</v>
      </c>
      <c r="E2475" t="s">
        <v>14</v>
      </c>
      <c r="F2475" t="s">
        <v>1126</v>
      </c>
      <c r="H2475">
        <v>1020437</v>
      </c>
      <c r="I2475" t="s">
        <v>17</v>
      </c>
      <c r="K2475" t="s">
        <v>6848</v>
      </c>
      <c r="L2475">
        <v>221</v>
      </c>
      <c r="M2475" t="s">
        <v>6849</v>
      </c>
    </row>
    <row r="2476" spans="1:13" x14ac:dyDescent="0.35">
      <c r="A2476" t="s">
        <v>13</v>
      </c>
      <c r="B2476">
        <v>2634745</v>
      </c>
      <c r="C2476">
        <v>2635152</v>
      </c>
      <c r="E2476" t="s">
        <v>38</v>
      </c>
      <c r="F2476" t="s">
        <v>6850</v>
      </c>
      <c r="H2476">
        <v>1020438</v>
      </c>
      <c r="I2476" t="s">
        <v>17</v>
      </c>
      <c r="K2476" t="s">
        <v>6851</v>
      </c>
      <c r="L2476">
        <v>135</v>
      </c>
      <c r="M2476" t="s">
        <v>6852</v>
      </c>
    </row>
    <row r="2477" spans="1:13" x14ac:dyDescent="0.35">
      <c r="A2477" t="s">
        <v>13</v>
      </c>
      <c r="B2477">
        <v>2635163</v>
      </c>
      <c r="C2477">
        <v>2636497</v>
      </c>
      <c r="E2477" t="s">
        <v>38</v>
      </c>
      <c r="F2477" t="s">
        <v>3247</v>
      </c>
      <c r="H2477">
        <v>1020439</v>
      </c>
      <c r="I2477" t="s">
        <v>17</v>
      </c>
      <c r="K2477" t="s">
        <v>6853</v>
      </c>
      <c r="L2477">
        <v>444</v>
      </c>
      <c r="M2477" t="s">
        <v>6854</v>
      </c>
    </row>
    <row r="2478" spans="1:13" x14ac:dyDescent="0.35">
      <c r="A2478" t="s">
        <v>13</v>
      </c>
      <c r="B2478">
        <v>2637238</v>
      </c>
      <c r="C2478">
        <v>2637645</v>
      </c>
      <c r="E2478" t="s">
        <v>38</v>
      </c>
      <c r="F2478" t="s">
        <v>49</v>
      </c>
      <c r="H2478">
        <v>1020441</v>
      </c>
      <c r="I2478" t="s">
        <v>17</v>
      </c>
      <c r="K2478" t="s">
        <v>6855</v>
      </c>
      <c r="L2478">
        <v>135</v>
      </c>
      <c r="M2478" t="s">
        <v>6856</v>
      </c>
    </row>
    <row r="2479" spans="1:13" x14ac:dyDescent="0.35">
      <c r="A2479" t="s">
        <v>13</v>
      </c>
      <c r="B2479">
        <v>2638647</v>
      </c>
      <c r="C2479">
        <v>2647637</v>
      </c>
      <c r="E2479" t="s">
        <v>38</v>
      </c>
      <c r="F2479" t="s">
        <v>2422</v>
      </c>
      <c r="H2479">
        <v>1020442</v>
      </c>
      <c r="I2479" t="s">
        <v>17</v>
      </c>
      <c r="K2479" t="s">
        <v>6857</v>
      </c>
      <c r="L2479">
        <v>2996</v>
      </c>
      <c r="M2479" t="s">
        <v>6858</v>
      </c>
    </row>
    <row r="2480" spans="1:13" x14ac:dyDescent="0.35">
      <c r="A2480" t="s">
        <v>13</v>
      </c>
      <c r="B2480">
        <v>2647920</v>
      </c>
      <c r="C2480">
        <v>2648126</v>
      </c>
      <c r="E2480" t="s">
        <v>38</v>
      </c>
      <c r="F2480" t="s">
        <v>49</v>
      </c>
      <c r="H2480">
        <v>44144996</v>
      </c>
      <c r="I2480" t="s">
        <v>17</v>
      </c>
      <c r="K2480" t="s">
        <v>6859</v>
      </c>
      <c r="L2480">
        <v>68</v>
      </c>
      <c r="M2480" t="s">
        <v>6860</v>
      </c>
    </row>
    <row r="2481" spans="1:13" x14ac:dyDescent="0.35">
      <c r="A2481" t="s">
        <v>13</v>
      </c>
      <c r="B2481">
        <v>2648233</v>
      </c>
      <c r="C2481">
        <v>2649417</v>
      </c>
      <c r="E2481" t="s">
        <v>38</v>
      </c>
      <c r="F2481" t="s">
        <v>1402</v>
      </c>
      <c r="H2481">
        <v>1020443</v>
      </c>
      <c r="I2481" t="s">
        <v>17</v>
      </c>
      <c r="K2481" t="s">
        <v>6861</v>
      </c>
      <c r="L2481">
        <v>394</v>
      </c>
      <c r="M2481" t="s">
        <v>6862</v>
      </c>
    </row>
    <row r="2482" spans="1:13" x14ac:dyDescent="0.35">
      <c r="A2482" t="s">
        <v>13</v>
      </c>
      <c r="B2482">
        <v>2649593</v>
      </c>
      <c r="C2482">
        <v>2650168</v>
      </c>
      <c r="E2482" t="s">
        <v>14</v>
      </c>
      <c r="F2482" t="s">
        <v>2482</v>
      </c>
      <c r="H2482">
        <v>1020444</v>
      </c>
      <c r="I2482" t="s">
        <v>17</v>
      </c>
      <c r="K2482" t="s">
        <v>6863</v>
      </c>
      <c r="L2482">
        <v>191</v>
      </c>
      <c r="M2482" t="s">
        <v>6864</v>
      </c>
    </row>
    <row r="2483" spans="1:13" x14ac:dyDescent="0.35">
      <c r="A2483" t="s">
        <v>13</v>
      </c>
      <c r="B2483">
        <v>2650248</v>
      </c>
      <c r="C2483">
        <v>2650329</v>
      </c>
      <c r="E2483" t="s">
        <v>38</v>
      </c>
      <c r="F2483" t="s">
        <v>179</v>
      </c>
      <c r="H2483">
        <v>2745330</v>
      </c>
      <c r="I2483" t="s">
        <v>62</v>
      </c>
      <c r="M2483" t="s">
        <v>6865</v>
      </c>
    </row>
    <row r="2484" spans="1:13" x14ac:dyDescent="0.35">
      <c r="A2484" t="s">
        <v>13</v>
      </c>
      <c r="B2484">
        <v>2650442</v>
      </c>
      <c r="C2484">
        <v>2650906</v>
      </c>
      <c r="E2484" t="s">
        <v>14</v>
      </c>
      <c r="F2484" t="s">
        <v>49</v>
      </c>
      <c r="H2484">
        <v>1020445</v>
      </c>
      <c r="I2484" t="s">
        <v>17</v>
      </c>
      <c r="K2484" t="s">
        <v>6866</v>
      </c>
      <c r="L2484">
        <v>154</v>
      </c>
      <c r="M2484" t="s">
        <v>6867</v>
      </c>
    </row>
    <row r="2485" spans="1:13" x14ac:dyDescent="0.35">
      <c r="A2485" t="s">
        <v>13</v>
      </c>
      <c r="B2485">
        <v>2650987</v>
      </c>
      <c r="C2485">
        <v>2651343</v>
      </c>
      <c r="E2485" t="s">
        <v>14</v>
      </c>
      <c r="F2485" t="s">
        <v>4713</v>
      </c>
      <c r="H2485">
        <v>1020446</v>
      </c>
      <c r="I2485" t="s">
        <v>17</v>
      </c>
      <c r="K2485" t="s">
        <v>6868</v>
      </c>
      <c r="L2485">
        <v>118</v>
      </c>
      <c r="M2485" t="s">
        <v>6869</v>
      </c>
    </row>
    <row r="2486" spans="1:13" x14ac:dyDescent="0.35">
      <c r="A2486" t="s">
        <v>13</v>
      </c>
      <c r="B2486">
        <v>2651418</v>
      </c>
      <c r="C2486">
        <v>2652038</v>
      </c>
      <c r="E2486" t="s">
        <v>38</v>
      </c>
      <c r="F2486" t="s">
        <v>6870</v>
      </c>
      <c r="G2486" t="s">
        <v>6871</v>
      </c>
      <c r="H2486">
        <v>1020447</v>
      </c>
      <c r="I2486" t="s">
        <v>17</v>
      </c>
      <c r="K2486" t="s">
        <v>6872</v>
      </c>
      <c r="L2486">
        <v>206</v>
      </c>
      <c r="M2486" t="s">
        <v>6873</v>
      </c>
    </row>
    <row r="2487" spans="1:13" x14ac:dyDescent="0.35">
      <c r="A2487" t="s">
        <v>13</v>
      </c>
      <c r="B2487">
        <v>2652065</v>
      </c>
      <c r="C2487">
        <v>2652802</v>
      </c>
      <c r="E2487" t="s">
        <v>38</v>
      </c>
      <c r="F2487" t="s">
        <v>6874</v>
      </c>
      <c r="G2487" t="s">
        <v>6875</v>
      </c>
      <c r="H2487">
        <v>1020448</v>
      </c>
      <c r="I2487" t="s">
        <v>17</v>
      </c>
      <c r="K2487" t="s">
        <v>6876</v>
      </c>
      <c r="L2487">
        <v>245</v>
      </c>
      <c r="M2487" t="s">
        <v>6877</v>
      </c>
    </row>
    <row r="2488" spans="1:13" x14ac:dyDescent="0.35">
      <c r="A2488" t="s">
        <v>13</v>
      </c>
      <c r="B2488">
        <v>2653007</v>
      </c>
      <c r="C2488">
        <v>2653219</v>
      </c>
      <c r="E2488" t="s">
        <v>38</v>
      </c>
      <c r="F2488" t="s">
        <v>49</v>
      </c>
      <c r="H2488">
        <v>1020449</v>
      </c>
      <c r="I2488" t="s">
        <v>17</v>
      </c>
      <c r="K2488" t="s">
        <v>6878</v>
      </c>
      <c r="L2488">
        <v>70</v>
      </c>
      <c r="M2488" t="s">
        <v>6879</v>
      </c>
    </row>
    <row r="2489" spans="1:13" x14ac:dyDescent="0.35">
      <c r="A2489" t="s">
        <v>13</v>
      </c>
      <c r="B2489">
        <v>2653324</v>
      </c>
      <c r="C2489">
        <v>2654013</v>
      </c>
      <c r="E2489" t="s">
        <v>38</v>
      </c>
      <c r="F2489" t="s">
        <v>49</v>
      </c>
      <c r="H2489">
        <v>1020450</v>
      </c>
      <c r="I2489" t="s">
        <v>17</v>
      </c>
      <c r="K2489" t="s">
        <v>6880</v>
      </c>
      <c r="L2489">
        <v>229</v>
      </c>
      <c r="M2489" t="s">
        <v>6881</v>
      </c>
    </row>
    <row r="2490" spans="1:13" x14ac:dyDescent="0.35">
      <c r="A2490" t="s">
        <v>13</v>
      </c>
      <c r="B2490">
        <v>2654048</v>
      </c>
      <c r="C2490">
        <v>2654763</v>
      </c>
      <c r="E2490" t="s">
        <v>38</v>
      </c>
      <c r="F2490" t="s">
        <v>141</v>
      </c>
      <c r="H2490">
        <v>1020451</v>
      </c>
      <c r="I2490" t="s">
        <v>142</v>
      </c>
      <c r="M2490" t="s">
        <v>6882</v>
      </c>
    </row>
    <row r="2491" spans="1:13" x14ac:dyDescent="0.35">
      <c r="A2491" t="s">
        <v>13</v>
      </c>
      <c r="B2491">
        <v>2654873</v>
      </c>
      <c r="C2491">
        <v>2656198</v>
      </c>
      <c r="E2491" t="s">
        <v>38</v>
      </c>
      <c r="F2491" t="s">
        <v>6883</v>
      </c>
      <c r="H2491">
        <v>1020452</v>
      </c>
      <c r="I2491" t="s">
        <v>17</v>
      </c>
      <c r="K2491" t="s">
        <v>6884</v>
      </c>
      <c r="L2491">
        <v>441</v>
      </c>
      <c r="M2491" t="s">
        <v>6885</v>
      </c>
    </row>
    <row r="2492" spans="1:13" x14ac:dyDescent="0.35">
      <c r="A2492" t="s">
        <v>13</v>
      </c>
      <c r="B2492">
        <v>2656331</v>
      </c>
      <c r="C2492">
        <v>2657049</v>
      </c>
      <c r="E2492" t="s">
        <v>14</v>
      </c>
      <c r="F2492" t="s">
        <v>141</v>
      </c>
      <c r="H2492">
        <v>1020453</v>
      </c>
      <c r="I2492" t="s">
        <v>142</v>
      </c>
      <c r="M2492" t="s">
        <v>6886</v>
      </c>
    </row>
    <row r="2493" spans="1:13" x14ac:dyDescent="0.35">
      <c r="A2493" t="s">
        <v>13</v>
      </c>
      <c r="B2493">
        <v>2657734</v>
      </c>
      <c r="C2493">
        <v>2658501</v>
      </c>
      <c r="E2493" t="s">
        <v>38</v>
      </c>
      <c r="F2493" t="s">
        <v>6887</v>
      </c>
      <c r="G2493" t="s">
        <v>6888</v>
      </c>
      <c r="H2493">
        <v>1020456</v>
      </c>
      <c r="I2493" t="s">
        <v>17</v>
      </c>
      <c r="K2493" t="s">
        <v>6889</v>
      </c>
      <c r="L2493">
        <v>255</v>
      </c>
      <c r="M2493" t="s">
        <v>6890</v>
      </c>
    </row>
    <row r="2494" spans="1:13" x14ac:dyDescent="0.35">
      <c r="A2494" t="s">
        <v>13</v>
      </c>
      <c r="B2494">
        <v>2658604</v>
      </c>
      <c r="C2494">
        <v>2659458</v>
      </c>
      <c r="E2494" t="s">
        <v>38</v>
      </c>
      <c r="F2494" t="s">
        <v>6891</v>
      </c>
      <c r="G2494" t="s">
        <v>6892</v>
      </c>
      <c r="H2494">
        <v>1020457</v>
      </c>
      <c r="I2494" t="s">
        <v>17</v>
      </c>
      <c r="K2494" t="s">
        <v>6893</v>
      </c>
      <c r="L2494">
        <v>284</v>
      </c>
      <c r="M2494" t="s">
        <v>6894</v>
      </c>
    </row>
    <row r="2495" spans="1:13" x14ac:dyDescent="0.35">
      <c r="A2495" t="s">
        <v>13</v>
      </c>
      <c r="B2495">
        <v>2659515</v>
      </c>
      <c r="C2495">
        <v>2660135</v>
      </c>
      <c r="E2495" t="s">
        <v>14</v>
      </c>
      <c r="F2495" t="s">
        <v>6895</v>
      </c>
      <c r="H2495">
        <v>1020458</v>
      </c>
      <c r="I2495" t="s">
        <v>17</v>
      </c>
      <c r="K2495" t="s">
        <v>6896</v>
      </c>
      <c r="L2495">
        <v>206</v>
      </c>
      <c r="M2495" t="s">
        <v>6897</v>
      </c>
    </row>
    <row r="2496" spans="1:13" x14ac:dyDescent="0.35">
      <c r="A2496" t="s">
        <v>13</v>
      </c>
      <c r="B2496">
        <v>2660145</v>
      </c>
      <c r="C2496">
        <v>2660639</v>
      </c>
      <c r="E2496" t="s">
        <v>38</v>
      </c>
      <c r="F2496" t="s">
        <v>285</v>
      </c>
      <c r="H2496">
        <v>1020459</v>
      </c>
      <c r="I2496" t="s">
        <v>17</v>
      </c>
      <c r="K2496" t="s">
        <v>6898</v>
      </c>
      <c r="L2496">
        <v>164</v>
      </c>
      <c r="M2496" t="s">
        <v>6899</v>
      </c>
    </row>
    <row r="2497" spans="1:13" x14ac:dyDescent="0.35">
      <c r="A2497" t="s">
        <v>13</v>
      </c>
      <c r="B2497">
        <v>2660669</v>
      </c>
      <c r="C2497">
        <v>2661418</v>
      </c>
      <c r="E2497" t="s">
        <v>38</v>
      </c>
      <c r="F2497" t="s">
        <v>135</v>
      </c>
      <c r="H2497">
        <v>1020461</v>
      </c>
      <c r="I2497" t="s">
        <v>17</v>
      </c>
      <c r="K2497" t="s">
        <v>6900</v>
      </c>
      <c r="L2497">
        <v>249</v>
      </c>
      <c r="M2497" t="s">
        <v>6901</v>
      </c>
    </row>
    <row r="2498" spans="1:13" x14ac:dyDescent="0.35">
      <c r="A2498" t="s">
        <v>13</v>
      </c>
      <c r="B2498">
        <v>2661415</v>
      </c>
      <c r="C2498">
        <v>2662329</v>
      </c>
      <c r="E2498" t="s">
        <v>38</v>
      </c>
      <c r="F2498" t="s">
        <v>6902</v>
      </c>
      <c r="H2498">
        <v>1020462</v>
      </c>
      <c r="I2498" t="s">
        <v>17</v>
      </c>
      <c r="K2498" t="s">
        <v>6903</v>
      </c>
      <c r="L2498">
        <v>304</v>
      </c>
      <c r="M2498" t="s">
        <v>6904</v>
      </c>
    </row>
    <row r="2499" spans="1:13" x14ac:dyDescent="0.35">
      <c r="A2499" t="s">
        <v>13</v>
      </c>
      <c r="B2499">
        <v>2662329</v>
      </c>
      <c r="C2499">
        <v>2662868</v>
      </c>
      <c r="E2499" t="s">
        <v>38</v>
      </c>
      <c r="F2499" t="s">
        <v>6905</v>
      </c>
      <c r="H2499">
        <v>1020463</v>
      </c>
      <c r="I2499" t="s">
        <v>17</v>
      </c>
      <c r="K2499" t="s">
        <v>6906</v>
      </c>
      <c r="L2499">
        <v>179</v>
      </c>
      <c r="M2499" t="s">
        <v>6907</v>
      </c>
    </row>
    <row r="2500" spans="1:13" x14ac:dyDescent="0.35">
      <c r="A2500" t="s">
        <v>13</v>
      </c>
      <c r="B2500">
        <v>2662881</v>
      </c>
      <c r="C2500">
        <v>2663183</v>
      </c>
      <c r="E2500" t="s">
        <v>38</v>
      </c>
      <c r="F2500" t="s">
        <v>6908</v>
      </c>
      <c r="G2500" t="s">
        <v>6909</v>
      </c>
      <c r="H2500">
        <v>1020464</v>
      </c>
      <c r="I2500" t="s">
        <v>17</v>
      </c>
      <c r="K2500" t="s">
        <v>6910</v>
      </c>
      <c r="L2500">
        <v>100</v>
      </c>
      <c r="M2500" t="s">
        <v>6911</v>
      </c>
    </row>
    <row r="2501" spans="1:13" x14ac:dyDescent="0.35">
      <c r="A2501" t="s">
        <v>13</v>
      </c>
      <c r="B2501">
        <v>2663513</v>
      </c>
      <c r="C2501">
        <v>2664064</v>
      </c>
      <c r="E2501" t="s">
        <v>14</v>
      </c>
      <c r="F2501" t="s">
        <v>2003</v>
      </c>
      <c r="H2501">
        <v>1020465</v>
      </c>
      <c r="I2501" t="s">
        <v>17</v>
      </c>
      <c r="K2501" t="s">
        <v>6912</v>
      </c>
      <c r="L2501">
        <v>183</v>
      </c>
      <c r="M2501" t="s">
        <v>6913</v>
      </c>
    </row>
    <row r="2502" spans="1:13" x14ac:dyDescent="0.35">
      <c r="A2502" t="s">
        <v>13</v>
      </c>
      <c r="B2502">
        <v>2664061</v>
      </c>
      <c r="C2502">
        <v>2665401</v>
      </c>
      <c r="E2502" t="s">
        <v>14</v>
      </c>
      <c r="F2502" t="s">
        <v>6914</v>
      </c>
      <c r="H2502">
        <v>1020466</v>
      </c>
      <c r="I2502" t="s">
        <v>17</v>
      </c>
      <c r="K2502" t="s">
        <v>6915</v>
      </c>
      <c r="L2502">
        <v>446</v>
      </c>
      <c r="M2502" t="s">
        <v>6916</v>
      </c>
    </row>
    <row r="2503" spans="1:13" x14ac:dyDescent="0.35">
      <c r="A2503" t="s">
        <v>13</v>
      </c>
      <c r="B2503">
        <v>2665861</v>
      </c>
      <c r="C2503">
        <v>2667858</v>
      </c>
      <c r="E2503" t="s">
        <v>14</v>
      </c>
      <c r="F2503" t="s">
        <v>6917</v>
      </c>
      <c r="H2503">
        <v>1020468</v>
      </c>
      <c r="I2503" t="s">
        <v>17</v>
      </c>
      <c r="K2503" t="s">
        <v>6918</v>
      </c>
      <c r="L2503">
        <v>665</v>
      </c>
      <c r="M2503" t="s">
        <v>6919</v>
      </c>
    </row>
    <row r="2504" spans="1:13" x14ac:dyDescent="0.35">
      <c r="A2504" t="s">
        <v>13</v>
      </c>
      <c r="B2504">
        <v>2667868</v>
      </c>
      <c r="C2504">
        <v>2668761</v>
      </c>
      <c r="E2504" t="s">
        <v>38</v>
      </c>
      <c r="F2504" t="s">
        <v>49</v>
      </c>
      <c r="H2504">
        <v>1020469</v>
      </c>
      <c r="I2504" t="s">
        <v>17</v>
      </c>
      <c r="K2504" t="s">
        <v>6920</v>
      </c>
      <c r="L2504">
        <v>297</v>
      </c>
      <c r="M2504" t="s">
        <v>6921</v>
      </c>
    </row>
    <row r="2505" spans="1:13" x14ac:dyDescent="0.35">
      <c r="A2505" t="s">
        <v>13</v>
      </c>
      <c r="B2505">
        <v>2668837</v>
      </c>
      <c r="C2505">
        <v>2669562</v>
      </c>
      <c r="E2505" t="s">
        <v>38</v>
      </c>
      <c r="F2505" t="s">
        <v>2702</v>
      </c>
      <c r="H2505">
        <v>1020470</v>
      </c>
      <c r="I2505" t="s">
        <v>17</v>
      </c>
      <c r="K2505" t="s">
        <v>6922</v>
      </c>
      <c r="L2505">
        <v>241</v>
      </c>
      <c r="M2505" t="s">
        <v>6923</v>
      </c>
    </row>
    <row r="2506" spans="1:13" x14ac:dyDescent="0.35">
      <c r="A2506" t="s">
        <v>13</v>
      </c>
      <c r="B2506">
        <v>2669555</v>
      </c>
      <c r="C2506">
        <v>2670856</v>
      </c>
      <c r="E2506" t="s">
        <v>38</v>
      </c>
      <c r="F2506" t="s">
        <v>6924</v>
      </c>
      <c r="G2506" t="s">
        <v>6925</v>
      </c>
      <c r="H2506">
        <v>1020471</v>
      </c>
      <c r="I2506" t="s">
        <v>17</v>
      </c>
      <c r="K2506" t="s">
        <v>6926</v>
      </c>
      <c r="L2506">
        <v>433</v>
      </c>
      <c r="M2506" t="s">
        <v>6927</v>
      </c>
    </row>
    <row r="2507" spans="1:13" x14ac:dyDescent="0.35">
      <c r="A2507" t="s">
        <v>13</v>
      </c>
      <c r="B2507">
        <v>2671061</v>
      </c>
      <c r="C2507">
        <v>2672815</v>
      </c>
      <c r="E2507" t="s">
        <v>38</v>
      </c>
      <c r="F2507" t="s">
        <v>6928</v>
      </c>
      <c r="G2507" t="s">
        <v>6929</v>
      </c>
      <c r="H2507">
        <v>1020472</v>
      </c>
      <c r="I2507" t="s">
        <v>17</v>
      </c>
      <c r="K2507" t="s">
        <v>6930</v>
      </c>
      <c r="L2507">
        <v>584</v>
      </c>
      <c r="M2507" t="s">
        <v>6931</v>
      </c>
    </row>
    <row r="2508" spans="1:13" x14ac:dyDescent="0.35">
      <c r="A2508" t="s">
        <v>13</v>
      </c>
      <c r="B2508">
        <v>2673336</v>
      </c>
      <c r="C2508">
        <v>2674340</v>
      </c>
      <c r="E2508" t="s">
        <v>38</v>
      </c>
      <c r="F2508" t="s">
        <v>6932</v>
      </c>
      <c r="G2508" t="s">
        <v>6933</v>
      </c>
      <c r="H2508">
        <v>1020473</v>
      </c>
      <c r="I2508" t="s">
        <v>17</v>
      </c>
      <c r="K2508" t="s">
        <v>6934</v>
      </c>
      <c r="L2508">
        <v>334</v>
      </c>
      <c r="M2508" t="s">
        <v>6935</v>
      </c>
    </row>
    <row r="2509" spans="1:13" x14ac:dyDescent="0.35">
      <c r="A2509" t="s">
        <v>13</v>
      </c>
      <c r="B2509">
        <v>2674805</v>
      </c>
      <c r="C2509">
        <v>2675293</v>
      </c>
      <c r="E2509" t="s">
        <v>14</v>
      </c>
      <c r="F2509" t="s">
        <v>6936</v>
      </c>
      <c r="H2509">
        <v>1020474</v>
      </c>
      <c r="I2509" t="s">
        <v>17</v>
      </c>
      <c r="K2509" t="s">
        <v>6937</v>
      </c>
      <c r="L2509">
        <v>162</v>
      </c>
      <c r="M2509" t="s">
        <v>6938</v>
      </c>
    </row>
    <row r="2510" spans="1:13" x14ac:dyDescent="0.35">
      <c r="A2510" t="s">
        <v>13</v>
      </c>
      <c r="B2510">
        <v>2675516</v>
      </c>
      <c r="C2510">
        <v>2676244</v>
      </c>
      <c r="E2510" t="s">
        <v>14</v>
      </c>
      <c r="F2510" t="s">
        <v>4846</v>
      </c>
      <c r="H2510">
        <v>1020475</v>
      </c>
      <c r="I2510" t="s">
        <v>17</v>
      </c>
      <c r="K2510" t="s">
        <v>6939</v>
      </c>
      <c r="L2510">
        <v>242</v>
      </c>
      <c r="M2510" t="s">
        <v>6940</v>
      </c>
    </row>
    <row r="2511" spans="1:13" x14ac:dyDescent="0.35">
      <c r="A2511" t="s">
        <v>13</v>
      </c>
      <c r="B2511">
        <v>2676241</v>
      </c>
      <c r="C2511">
        <v>2676903</v>
      </c>
      <c r="E2511" t="s">
        <v>38</v>
      </c>
      <c r="F2511" t="s">
        <v>1873</v>
      </c>
      <c r="H2511">
        <v>1020476</v>
      </c>
      <c r="I2511" t="s">
        <v>17</v>
      </c>
      <c r="K2511" t="s">
        <v>6941</v>
      </c>
      <c r="L2511">
        <v>220</v>
      </c>
      <c r="M2511" t="s">
        <v>6942</v>
      </c>
    </row>
    <row r="2512" spans="1:13" x14ac:dyDescent="0.35">
      <c r="A2512" t="s">
        <v>13</v>
      </c>
      <c r="B2512">
        <v>2676964</v>
      </c>
      <c r="C2512">
        <v>2677194</v>
      </c>
      <c r="E2512" t="s">
        <v>38</v>
      </c>
      <c r="F2512" t="s">
        <v>141</v>
      </c>
      <c r="H2512">
        <v>1020477</v>
      </c>
      <c r="I2512" t="s">
        <v>142</v>
      </c>
      <c r="M2512" t="s">
        <v>6943</v>
      </c>
    </row>
    <row r="2513" spans="1:13" x14ac:dyDescent="0.35">
      <c r="A2513" t="s">
        <v>13</v>
      </c>
      <c r="B2513">
        <v>2677476</v>
      </c>
      <c r="C2513">
        <v>2679581</v>
      </c>
      <c r="E2513" t="s">
        <v>38</v>
      </c>
      <c r="F2513" t="s">
        <v>6944</v>
      </c>
      <c r="G2513" t="s">
        <v>6945</v>
      </c>
      <c r="H2513">
        <v>1020478</v>
      </c>
      <c r="I2513" t="s">
        <v>17</v>
      </c>
      <c r="K2513" t="s">
        <v>6946</v>
      </c>
      <c r="L2513">
        <v>701</v>
      </c>
      <c r="M2513" t="s">
        <v>6947</v>
      </c>
    </row>
    <row r="2514" spans="1:13" x14ac:dyDescent="0.35">
      <c r="A2514" t="s">
        <v>13</v>
      </c>
      <c r="B2514">
        <v>2679682</v>
      </c>
      <c r="C2514">
        <v>2680128</v>
      </c>
      <c r="E2514" t="s">
        <v>38</v>
      </c>
      <c r="F2514" t="s">
        <v>6948</v>
      </c>
      <c r="G2514" t="s">
        <v>6949</v>
      </c>
      <c r="H2514">
        <v>1020479</v>
      </c>
      <c r="I2514" t="s">
        <v>17</v>
      </c>
      <c r="K2514" t="s">
        <v>6950</v>
      </c>
      <c r="L2514">
        <v>148</v>
      </c>
      <c r="M2514" t="s">
        <v>6951</v>
      </c>
    </row>
    <row r="2515" spans="1:13" x14ac:dyDescent="0.35">
      <c r="A2515" t="s">
        <v>13</v>
      </c>
      <c r="B2515">
        <v>2680417</v>
      </c>
      <c r="C2515">
        <v>2680650</v>
      </c>
      <c r="E2515" t="s">
        <v>38</v>
      </c>
      <c r="F2515" t="s">
        <v>6952</v>
      </c>
      <c r="G2515" t="s">
        <v>6953</v>
      </c>
      <c r="H2515">
        <v>1020480</v>
      </c>
      <c r="I2515" t="s">
        <v>17</v>
      </c>
      <c r="K2515" t="s">
        <v>6954</v>
      </c>
      <c r="L2515">
        <v>77</v>
      </c>
      <c r="M2515" t="s">
        <v>6955</v>
      </c>
    </row>
    <row r="2516" spans="1:13" x14ac:dyDescent="0.35">
      <c r="A2516" t="s">
        <v>13</v>
      </c>
      <c r="B2516">
        <v>2681221</v>
      </c>
      <c r="C2516">
        <v>2681343</v>
      </c>
      <c r="E2516" t="s">
        <v>38</v>
      </c>
      <c r="F2516" t="s">
        <v>6956</v>
      </c>
      <c r="G2516" t="s">
        <v>6957</v>
      </c>
      <c r="H2516">
        <v>18194970</v>
      </c>
      <c r="I2516" t="s">
        <v>17</v>
      </c>
      <c r="K2516" t="s">
        <v>6958</v>
      </c>
      <c r="L2516">
        <v>40</v>
      </c>
      <c r="M2516" t="s">
        <v>6959</v>
      </c>
    </row>
    <row r="2517" spans="1:13" x14ac:dyDescent="0.35">
      <c r="A2517" t="s">
        <v>13</v>
      </c>
      <c r="B2517">
        <v>2681547</v>
      </c>
      <c r="C2517">
        <v>2682380</v>
      </c>
      <c r="E2517" t="s">
        <v>14</v>
      </c>
      <c r="F2517" t="s">
        <v>6960</v>
      </c>
      <c r="G2517" t="s">
        <v>6961</v>
      </c>
      <c r="H2517">
        <v>1020481</v>
      </c>
      <c r="I2517" t="s">
        <v>17</v>
      </c>
      <c r="K2517" t="s">
        <v>6962</v>
      </c>
      <c r="L2517">
        <v>277</v>
      </c>
      <c r="M2517" t="s">
        <v>6963</v>
      </c>
    </row>
    <row r="2518" spans="1:13" x14ac:dyDescent="0.35">
      <c r="A2518" t="s">
        <v>13</v>
      </c>
      <c r="B2518">
        <v>2682377</v>
      </c>
      <c r="C2518">
        <v>2683126</v>
      </c>
      <c r="E2518" t="s">
        <v>38</v>
      </c>
      <c r="F2518" t="s">
        <v>6964</v>
      </c>
      <c r="H2518">
        <v>1020482</v>
      </c>
      <c r="I2518" t="s">
        <v>17</v>
      </c>
      <c r="K2518" t="s">
        <v>6965</v>
      </c>
      <c r="L2518">
        <v>249</v>
      </c>
      <c r="M2518" t="s">
        <v>6966</v>
      </c>
    </row>
    <row r="2519" spans="1:13" x14ac:dyDescent="0.35">
      <c r="A2519" t="s">
        <v>13</v>
      </c>
      <c r="B2519">
        <v>2683129</v>
      </c>
      <c r="C2519">
        <v>2683542</v>
      </c>
      <c r="E2519" t="s">
        <v>38</v>
      </c>
      <c r="F2519" t="s">
        <v>6967</v>
      </c>
      <c r="H2519">
        <v>1020483</v>
      </c>
      <c r="I2519" t="s">
        <v>17</v>
      </c>
      <c r="K2519" t="s">
        <v>6968</v>
      </c>
      <c r="L2519">
        <v>137</v>
      </c>
      <c r="M2519" t="s">
        <v>6969</v>
      </c>
    </row>
    <row r="2520" spans="1:13" x14ac:dyDescent="0.35">
      <c r="A2520" t="s">
        <v>13</v>
      </c>
      <c r="B2520">
        <v>2683625</v>
      </c>
      <c r="C2520">
        <v>2684647</v>
      </c>
      <c r="E2520" t="s">
        <v>38</v>
      </c>
      <c r="F2520" t="s">
        <v>6970</v>
      </c>
      <c r="H2520">
        <v>1020484</v>
      </c>
      <c r="I2520" t="s">
        <v>17</v>
      </c>
      <c r="K2520" t="s">
        <v>6971</v>
      </c>
      <c r="L2520">
        <v>340</v>
      </c>
      <c r="M2520" t="s">
        <v>6972</v>
      </c>
    </row>
    <row r="2521" spans="1:13" x14ac:dyDescent="0.35">
      <c r="A2521" t="s">
        <v>13</v>
      </c>
      <c r="B2521">
        <v>2684920</v>
      </c>
      <c r="C2521">
        <v>2686293</v>
      </c>
      <c r="E2521" t="s">
        <v>14</v>
      </c>
      <c r="F2521" t="s">
        <v>6973</v>
      </c>
      <c r="H2521">
        <v>1020485</v>
      </c>
      <c r="I2521" t="s">
        <v>17</v>
      </c>
      <c r="K2521" t="s">
        <v>6974</v>
      </c>
      <c r="L2521">
        <v>457</v>
      </c>
      <c r="M2521" t="s">
        <v>6975</v>
      </c>
    </row>
    <row r="2522" spans="1:13" x14ac:dyDescent="0.35">
      <c r="A2522" t="s">
        <v>13</v>
      </c>
      <c r="B2522">
        <v>2686316</v>
      </c>
      <c r="C2522">
        <v>2687152</v>
      </c>
      <c r="E2522" t="s">
        <v>14</v>
      </c>
      <c r="F2522" t="s">
        <v>6976</v>
      </c>
      <c r="H2522">
        <v>1020486</v>
      </c>
      <c r="I2522" t="s">
        <v>17</v>
      </c>
      <c r="K2522" t="s">
        <v>6977</v>
      </c>
      <c r="L2522">
        <v>278</v>
      </c>
      <c r="M2522" t="s">
        <v>6978</v>
      </c>
    </row>
    <row r="2523" spans="1:13" x14ac:dyDescent="0.35">
      <c r="A2523" t="s">
        <v>13</v>
      </c>
      <c r="B2523">
        <v>2687229</v>
      </c>
      <c r="C2523">
        <v>2687301</v>
      </c>
      <c r="E2523" t="s">
        <v>38</v>
      </c>
      <c r="F2523" t="s">
        <v>64</v>
      </c>
      <c r="H2523">
        <v>2745309</v>
      </c>
      <c r="I2523" t="s">
        <v>62</v>
      </c>
      <c r="M2523" t="s">
        <v>6979</v>
      </c>
    </row>
    <row r="2524" spans="1:13" x14ac:dyDescent="0.35">
      <c r="A2524" t="s">
        <v>13</v>
      </c>
      <c r="B2524">
        <v>2687447</v>
      </c>
      <c r="C2524">
        <v>2688172</v>
      </c>
      <c r="E2524" t="s">
        <v>38</v>
      </c>
      <c r="F2524" t="s">
        <v>78</v>
      </c>
      <c r="H2524">
        <v>1020487</v>
      </c>
      <c r="I2524" t="s">
        <v>17</v>
      </c>
      <c r="K2524" t="s">
        <v>6980</v>
      </c>
      <c r="L2524">
        <v>241</v>
      </c>
      <c r="M2524" t="s">
        <v>6981</v>
      </c>
    </row>
    <row r="2525" spans="1:13" x14ac:dyDescent="0.35">
      <c r="A2525" t="s">
        <v>13</v>
      </c>
      <c r="B2525">
        <v>2688387</v>
      </c>
      <c r="C2525">
        <v>2690051</v>
      </c>
      <c r="E2525" t="s">
        <v>38</v>
      </c>
      <c r="F2525" t="s">
        <v>6982</v>
      </c>
      <c r="G2525" t="s">
        <v>6983</v>
      </c>
      <c r="H2525">
        <v>1020488</v>
      </c>
      <c r="I2525" t="s">
        <v>17</v>
      </c>
      <c r="K2525" t="s">
        <v>6984</v>
      </c>
      <c r="L2525">
        <v>554</v>
      </c>
      <c r="M2525" t="s">
        <v>6985</v>
      </c>
    </row>
    <row r="2526" spans="1:13" x14ac:dyDescent="0.35">
      <c r="A2526" t="s">
        <v>13</v>
      </c>
      <c r="B2526">
        <v>2690151</v>
      </c>
      <c r="C2526">
        <v>2690441</v>
      </c>
      <c r="E2526" t="s">
        <v>14</v>
      </c>
      <c r="F2526" t="s">
        <v>6986</v>
      </c>
      <c r="H2526">
        <v>1020489</v>
      </c>
      <c r="I2526" t="s">
        <v>17</v>
      </c>
      <c r="K2526" t="s">
        <v>6987</v>
      </c>
      <c r="L2526">
        <v>96</v>
      </c>
      <c r="M2526" t="s">
        <v>6988</v>
      </c>
    </row>
    <row r="2527" spans="1:13" x14ac:dyDescent="0.35">
      <c r="A2527" t="s">
        <v>13</v>
      </c>
      <c r="B2527">
        <v>2690438</v>
      </c>
      <c r="C2527">
        <v>2690764</v>
      </c>
      <c r="E2527" t="s">
        <v>14</v>
      </c>
      <c r="F2527" t="s">
        <v>6989</v>
      </c>
      <c r="H2527">
        <v>1020490</v>
      </c>
      <c r="I2527" t="s">
        <v>17</v>
      </c>
      <c r="K2527" t="s">
        <v>6990</v>
      </c>
      <c r="L2527">
        <v>108</v>
      </c>
      <c r="M2527" t="s">
        <v>6991</v>
      </c>
    </row>
    <row r="2528" spans="1:13" x14ac:dyDescent="0.35">
      <c r="A2528" t="s">
        <v>13</v>
      </c>
      <c r="B2528">
        <v>2690774</v>
      </c>
      <c r="C2528">
        <v>2691568</v>
      </c>
      <c r="E2528" t="s">
        <v>14</v>
      </c>
      <c r="F2528" t="s">
        <v>6992</v>
      </c>
      <c r="H2528">
        <v>1020491</v>
      </c>
      <c r="I2528" t="s">
        <v>17</v>
      </c>
      <c r="K2528" t="s">
        <v>6993</v>
      </c>
      <c r="L2528">
        <v>264</v>
      </c>
      <c r="M2528" t="s">
        <v>6994</v>
      </c>
    </row>
    <row r="2529" spans="1:13" x14ac:dyDescent="0.35">
      <c r="A2529" t="s">
        <v>13</v>
      </c>
      <c r="B2529">
        <v>2691690</v>
      </c>
      <c r="C2529">
        <v>2693057</v>
      </c>
      <c r="E2529" t="s">
        <v>14</v>
      </c>
      <c r="F2529" t="s">
        <v>6995</v>
      </c>
      <c r="H2529">
        <v>1020492</v>
      </c>
      <c r="I2529" t="s">
        <v>17</v>
      </c>
      <c r="K2529" t="s">
        <v>6996</v>
      </c>
      <c r="L2529">
        <v>455</v>
      </c>
      <c r="M2529" t="s">
        <v>6997</v>
      </c>
    </row>
    <row r="2530" spans="1:13" x14ac:dyDescent="0.35">
      <c r="A2530" t="s">
        <v>13</v>
      </c>
      <c r="B2530">
        <v>2693300</v>
      </c>
      <c r="C2530">
        <v>2694922</v>
      </c>
      <c r="E2530" t="s">
        <v>14</v>
      </c>
      <c r="F2530" t="s">
        <v>2295</v>
      </c>
      <c r="H2530">
        <v>1020493</v>
      </c>
      <c r="I2530" t="s">
        <v>17</v>
      </c>
      <c r="K2530" t="s">
        <v>6998</v>
      </c>
      <c r="L2530">
        <v>540</v>
      </c>
      <c r="M2530" t="s">
        <v>6999</v>
      </c>
    </row>
    <row r="2531" spans="1:13" x14ac:dyDescent="0.35">
      <c r="A2531" t="s">
        <v>13</v>
      </c>
      <c r="B2531">
        <v>2695318</v>
      </c>
      <c r="C2531">
        <v>2695692</v>
      </c>
      <c r="E2531" t="s">
        <v>38</v>
      </c>
      <c r="F2531" t="s">
        <v>141</v>
      </c>
      <c r="H2531">
        <v>1020495</v>
      </c>
      <c r="I2531" t="s">
        <v>142</v>
      </c>
      <c r="M2531" t="s">
        <v>7000</v>
      </c>
    </row>
    <row r="2532" spans="1:13" x14ac:dyDescent="0.35">
      <c r="A2532" t="s">
        <v>13</v>
      </c>
      <c r="B2532">
        <v>2695813</v>
      </c>
      <c r="C2532">
        <v>2697216</v>
      </c>
      <c r="E2532" t="s">
        <v>14</v>
      </c>
      <c r="F2532" t="s">
        <v>4450</v>
      </c>
      <c r="H2532">
        <v>1020496</v>
      </c>
      <c r="I2532" t="s">
        <v>17</v>
      </c>
      <c r="K2532" t="s">
        <v>4451</v>
      </c>
      <c r="L2532">
        <v>467</v>
      </c>
      <c r="M2532" t="s">
        <v>7001</v>
      </c>
    </row>
    <row r="2533" spans="1:13" x14ac:dyDescent="0.35">
      <c r="A2533" t="s">
        <v>13</v>
      </c>
      <c r="B2533">
        <v>2697381</v>
      </c>
      <c r="C2533">
        <v>2698097</v>
      </c>
      <c r="E2533" t="s">
        <v>38</v>
      </c>
      <c r="F2533" t="s">
        <v>7002</v>
      </c>
      <c r="H2533">
        <v>1020497</v>
      </c>
      <c r="I2533" t="s">
        <v>17</v>
      </c>
      <c r="K2533" t="s">
        <v>7003</v>
      </c>
      <c r="L2533">
        <v>238</v>
      </c>
      <c r="M2533" t="s">
        <v>7004</v>
      </c>
    </row>
    <row r="2534" spans="1:13" x14ac:dyDescent="0.35">
      <c r="A2534" t="s">
        <v>13</v>
      </c>
      <c r="B2534">
        <v>2698192</v>
      </c>
      <c r="C2534">
        <v>2699580</v>
      </c>
      <c r="E2534" t="s">
        <v>38</v>
      </c>
      <c r="F2534" t="s">
        <v>7005</v>
      </c>
      <c r="H2534">
        <v>1020498</v>
      </c>
      <c r="I2534" t="s">
        <v>17</v>
      </c>
      <c r="K2534" t="s">
        <v>7006</v>
      </c>
      <c r="L2534">
        <v>462</v>
      </c>
      <c r="M2534" t="s">
        <v>7007</v>
      </c>
    </row>
    <row r="2535" spans="1:13" x14ac:dyDescent="0.35">
      <c r="A2535" t="s">
        <v>13</v>
      </c>
      <c r="B2535">
        <v>2699924</v>
      </c>
      <c r="C2535">
        <v>2702485</v>
      </c>
      <c r="E2535" t="s">
        <v>38</v>
      </c>
      <c r="F2535" t="s">
        <v>124</v>
      </c>
      <c r="H2535">
        <v>1020499</v>
      </c>
      <c r="I2535" t="s">
        <v>17</v>
      </c>
      <c r="K2535" t="s">
        <v>7008</v>
      </c>
      <c r="L2535">
        <v>853</v>
      </c>
      <c r="M2535" t="s">
        <v>7009</v>
      </c>
    </row>
    <row r="2536" spans="1:13" x14ac:dyDescent="0.35">
      <c r="A2536" t="s">
        <v>13</v>
      </c>
      <c r="B2536">
        <v>2702485</v>
      </c>
      <c r="C2536">
        <v>2703339</v>
      </c>
      <c r="E2536" t="s">
        <v>38</v>
      </c>
      <c r="F2536" t="s">
        <v>147</v>
      </c>
      <c r="H2536">
        <v>1020500</v>
      </c>
      <c r="I2536" t="s">
        <v>17</v>
      </c>
      <c r="K2536" t="s">
        <v>7010</v>
      </c>
      <c r="L2536">
        <v>284</v>
      </c>
      <c r="M2536" t="s">
        <v>7011</v>
      </c>
    </row>
    <row r="2537" spans="1:13" x14ac:dyDescent="0.35">
      <c r="A2537" t="s">
        <v>13</v>
      </c>
      <c r="B2537">
        <v>2703712</v>
      </c>
      <c r="C2537">
        <v>2703828</v>
      </c>
      <c r="E2537" t="s">
        <v>38</v>
      </c>
      <c r="F2537" t="s">
        <v>262</v>
      </c>
      <c r="G2537" t="s">
        <v>263</v>
      </c>
      <c r="H2537">
        <v>2745311</v>
      </c>
      <c r="I2537" t="s">
        <v>258</v>
      </c>
      <c r="M2537" t="s">
        <v>7012</v>
      </c>
    </row>
    <row r="2538" spans="1:13" x14ac:dyDescent="0.35">
      <c r="A2538" t="s">
        <v>13</v>
      </c>
      <c r="B2538">
        <v>2703948</v>
      </c>
      <c r="C2538">
        <v>2707035</v>
      </c>
      <c r="E2538" t="s">
        <v>38</v>
      </c>
      <c r="F2538" t="s">
        <v>260</v>
      </c>
      <c r="H2538">
        <v>2745339</v>
      </c>
      <c r="I2538" t="s">
        <v>258</v>
      </c>
      <c r="M2538" t="s">
        <v>7013</v>
      </c>
    </row>
    <row r="2539" spans="1:13" x14ac:dyDescent="0.35">
      <c r="A2539" t="s">
        <v>13</v>
      </c>
      <c r="B2539">
        <v>2707427</v>
      </c>
      <c r="C2539">
        <v>2708950</v>
      </c>
      <c r="E2539" t="s">
        <v>38</v>
      </c>
      <c r="F2539" t="s">
        <v>257</v>
      </c>
      <c r="H2539">
        <v>2745317</v>
      </c>
      <c r="I2539" t="s">
        <v>258</v>
      </c>
      <c r="M2539" t="s">
        <v>7014</v>
      </c>
    </row>
    <row r="2540" spans="1:13" x14ac:dyDescent="0.35">
      <c r="A2540" t="s">
        <v>13</v>
      </c>
      <c r="B2540">
        <v>2709879</v>
      </c>
      <c r="C2540">
        <v>2710559</v>
      </c>
      <c r="E2540" t="s">
        <v>14</v>
      </c>
      <c r="F2540" t="s">
        <v>514</v>
      </c>
      <c r="H2540">
        <v>1020501</v>
      </c>
      <c r="I2540" t="s">
        <v>17</v>
      </c>
      <c r="K2540" t="s">
        <v>7015</v>
      </c>
      <c r="L2540">
        <v>226</v>
      </c>
      <c r="M2540" t="s">
        <v>7016</v>
      </c>
    </row>
    <row r="2541" spans="1:13" x14ac:dyDescent="0.35">
      <c r="A2541" t="s">
        <v>13</v>
      </c>
      <c r="B2541">
        <v>2710629</v>
      </c>
      <c r="C2541">
        <v>2711300</v>
      </c>
      <c r="E2541" t="s">
        <v>14</v>
      </c>
      <c r="F2541" t="s">
        <v>141</v>
      </c>
      <c r="H2541">
        <v>1020502</v>
      </c>
      <c r="I2541" t="s">
        <v>142</v>
      </c>
      <c r="M2541" t="s">
        <v>7017</v>
      </c>
    </row>
    <row r="2542" spans="1:13" x14ac:dyDescent="0.35">
      <c r="A2542" t="s">
        <v>13</v>
      </c>
      <c r="B2542">
        <v>2711851</v>
      </c>
      <c r="C2542">
        <v>2712378</v>
      </c>
      <c r="E2542" t="s">
        <v>14</v>
      </c>
      <c r="F2542" t="s">
        <v>1169</v>
      </c>
      <c r="H2542">
        <v>1020503</v>
      </c>
      <c r="I2542" t="s">
        <v>17</v>
      </c>
      <c r="K2542" t="s">
        <v>7018</v>
      </c>
      <c r="L2542">
        <v>175</v>
      </c>
      <c r="M2542" t="s">
        <v>7019</v>
      </c>
    </row>
    <row r="2543" spans="1:13" x14ac:dyDescent="0.35">
      <c r="A2543" t="s">
        <v>13</v>
      </c>
      <c r="B2543">
        <v>2712579</v>
      </c>
      <c r="C2543">
        <v>2712695</v>
      </c>
      <c r="E2543" t="s">
        <v>38</v>
      </c>
      <c r="F2543" t="s">
        <v>262</v>
      </c>
      <c r="G2543" t="s">
        <v>263</v>
      </c>
      <c r="H2543">
        <v>2745313</v>
      </c>
      <c r="I2543" t="s">
        <v>258</v>
      </c>
      <c r="M2543" t="s">
        <v>7020</v>
      </c>
    </row>
    <row r="2544" spans="1:13" x14ac:dyDescent="0.35">
      <c r="A2544" t="s">
        <v>13</v>
      </c>
      <c r="B2544">
        <v>2712815</v>
      </c>
      <c r="C2544">
        <v>2715902</v>
      </c>
      <c r="E2544" t="s">
        <v>38</v>
      </c>
      <c r="F2544" t="s">
        <v>260</v>
      </c>
      <c r="H2544">
        <v>2745335</v>
      </c>
      <c r="I2544" t="s">
        <v>258</v>
      </c>
      <c r="M2544" t="s">
        <v>7021</v>
      </c>
    </row>
    <row r="2545" spans="1:13" x14ac:dyDescent="0.35">
      <c r="A2545" t="s">
        <v>13</v>
      </c>
      <c r="B2545">
        <v>2716294</v>
      </c>
      <c r="C2545">
        <v>2717817</v>
      </c>
      <c r="E2545" t="s">
        <v>38</v>
      </c>
      <c r="F2545" t="s">
        <v>257</v>
      </c>
      <c r="H2545">
        <v>2745340</v>
      </c>
      <c r="I2545" t="s">
        <v>258</v>
      </c>
      <c r="M2545" t="s">
        <v>7022</v>
      </c>
    </row>
    <row r="2546" spans="1:13" x14ac:dyDescent="0.35">
      <c r="A2546" t="s">
        <v>13</v>
      </c>
      <c r="B2546">
        <v>2718434</v>
      </c>
      <c r="C2546">
        <v>2719690</v>
      </c>
      <c r="E2546" t="s">
        <v>38</v>
      </c>
      <c r="F2546" t="s">
        <v>1052</v>
      </c>
      <c r="G2546" t="s">
        <v>7023</v>
      </c>
      <c r="H2546">
        <v>1020505</v>
      </c>
      <c r="I2546" t="s">
        <v>17</v>
      </c>
      <c r="K2546" t="s">
        <v>7024</v>
      </c>
      <c r="L2546">
        <v>418</v>
      </c>
      <c r="M2546" t="s">
        <v>7025</v>
      </c>
    </row>
    <row r="2547" spans="1:13" x14ac:dyDescent="0.35">
      <c r="A2547" t="s">
        <v>13</v>
      </c>
      <c r="B2547">
        <v>2719751</v>
      </c>
      <c r="C2547">
        <v>2720323</v>
      </c>
      <c r="E2547" t="s">
        <v>14</v>
      </c>
      <c r="F2547" t="s">
        <v>7026</v>
      </c>
      <c r="H2547">
        <v>1020506</v>
      </c>
      <c r="I2547" t="s">
        <v>17</v>
      </c>
      <c r="K2547" t="s">
        <v>7027</v>
      </c>
      <c r="L2547">
        <v>190</v>
      </c>
      <c r="M2547" t="s">
        <v>7028</v>
      </c>
    </row>
    <row r="2548" spans="1:13" x14ac:dyDescent="0.35">
      <c r="A2548" t="s">
        <v>13</v>
      </c>
      <c r="B2548">
        <v>2720383</v>
      </c>
      <c r="C2548">
        <v>2721228</v>
      </c>
      <c r="E2548" t="s">
        <v>38</v>
      </c>
      <c r="F2548" t="s">
        <v>7029</v>
      </c>
      <c r="G2548" t="s">
        <v>7030</v>
      </c>
      <c r="H2548">
        <v>1020507</v>
      </c>
      <c r="I2548" t="s">
        <v>17</v>
      </c>
      <c r="K2548" t="s">
        <v>7031</v>
      </c>
      <c r="L2548">
        <v>281</v>
      </c>
      <c r="M2548" t="s">
        <v>7032</v>
      </c>
    </row>
    <row r="2549" spans="1:13" x14ac:dyDescent="0.35">
      <c r="A2549" t="s">
        <v>13</v>
      </c>
      <c r="B2549">
        <v>2721926</v>
      </c>
      <c r="C2549">
        <v>2722861</v>
      </c>
      <c r="E2549" t="s">
        <v>14</v>
      </c>
      <c r="F2549" t="s">
        <v>7033</v>
      </c>
      <c r="G2549" t="s">
        <v>7034</v>
      </c>
      <c r="H2549">
        <v>1020508</v>
      </c>
      <c r="I2549" t="s">
        <v>17</v>
      </c>
      <c r="K2549" t="s">
        <v>7035</v>
      </c>
      <c r="L2549">
        <v>311</v>
      </c>
      <c r="M2549" t="s">
        <v>7036</v>
      </c>
    </row>
    <row r="2550" spans="1:13" x14ac:dyDescent="0.35">
      <c r="A2550" t="s">
        <v>13</v>
      </c>
      <c r="B2550">
        <v>2723047</v>
      </c>
      <c r="C2550">
        <v>2723613</v>
      </c>
      <c r="E2550" t="s">
        <v>14</v>
      </c>
      <c r="F2550" t="s">
        <v>7037</v>
      </c>
      <c r="G2550" t="s">
        <v>7038</v>
      </c>
      <c r="H2550">
        <v>1020509</v>
      </c>
      <c r="I2550" t="s">
        <v>17</v>
      </c>
      <c r="K2550" t="s">
        <v>7039</v>
      </c>
      <c r="L2550">
        <v>188</v>
      </c>
      <c r="M2550" t="s">
        <v>7040</v>
      </c>
    </row>
    <row r="2551" spans="1:13" x14ac:dyDescent="0.35">
      <c r="A2551" t="s">
        <v>13</v>
      </c>
      <c r="B2551">
        <v>2723768</v>
      </c>
      <c r="C2551">
        <v>2724058</v>
      </c>
      <c r="E2551" t="s">
        <v>38</v>
      </c>
      <c r="F2551" t="s">
        <v>549</v>
      </c>
      <c r="H2551">
        <v>1020510</v>
      </c>
      <c r="I2551" t="s">
        <v>17</v>
      </c>
      <c r="K2551" t="s">
        <v>7041</v>
      </c>
      <c r="L2551">
        <v>96</v>
      </c>
      <c r="M2551" t="s">
        <v>7042</v>
      </c>
    </row>
    <row r="2552" spans="1:13" x14ac:dyDescent="0.35">
      <c r="A2552" t="s">
        <v>13</v>
      </c>
      <c r="B2552">
        <v>2724175</v>
      </c>
      <c r="C2552">
        <v>2724250</v>
      </c>
      <c r="E2552" t="s">
        <v>38</v>
      </c>
      <c r="F2552" t="s">
        <v>7043</v>
      </c>
      <c r="H2552">
        <v>2745320</v>
      </c>
      <c r="I2552" t="s">
        <v>62</v>
      </c>
      <c r="M2552" t="s">
        <v>7044</v>
      </c>
    </row>
    <row r="2553" spans="1:13" x14ac:dyDescent="0.35">
      <c r="A2553" t="s">
        <v>13</v>
      </c>
      <c r="B2553">
        <v>2724283</v>
      </c>
      <c r="C2553">
        <v>2724356</v>
      </c>
      <c r="E2553" t="s">
        <v>38</v>
      </c>
      <c r="F2553" t="s">
        <v>7045</v>
      </c>
      <c r="H2553">
        <v>2745321</v>
      </c>
      <c r="I2553" t="s">
        <v>62</v>
      </c>
      <c r="M2553" t="s">
        <v>7046</v>
      </c>
    </row>
    <row r="2554" spans="1:13" x14ac:dyDescent="0.35">
      <c r="A2554" t="s">
        <v>13</v>
      </c>
      <c r="B2554">
        <v>2724476</v>
      </c>
      <c r="C2554">
        <v>2725360</v>
      </c>
      <c r="E2554" t="s">
        <v>38</v>
      </c>
      <c r="F2554" t="s">
        <v>7047</v>
      </c>
      <c r="G2554" t="s">
        <v>7048</v>
      </c>
      <c r="H2554">
        <v>1020511</v>
      </c>
      <c r="I2554" t="s">
        <v>17</v>
      </c>
      <c r="K2554" t="s">
        <v>7049</v>
      </c>
      <c r="L2554">
        <v>294</v>
      </c>
      <c r="M2554" t="s">
        <v>7050</v>
      </c>
    </row>
    <row r="2555" spans="1:13" x14ac:dyDescent="0.35">
      <c r="A2555" t="s">
        <v>13</v>
      </c>
      <c r="B2555">
        <v>2725382</v>
      </c>
      <c r="C2555">
        <v>2726578</v>
      </c>
      <c r="E2555" t="s">
        <v>38</v>
      </c>
      <c r="F2555" t="s">
        <v>7051</v>
      </c>
      <c r="G2555" t="s">
        <v>7052</v>
      </c>
      <c r="H2555">
        <v>1020512</v>
      </c>
      <c r="I2555" t="s">
        <v>17</v>
      </c>
      <c r="K2555" t="s">
        <v>7053</v>
      </c>
      <c r="L2555">
        <v>398</v>
      </c>
      <c r="M2555" t="s">
        <v>7054</v>
      </c>
    </row>
    <row r="2556" spans="1:13" x14ac:dyDescent="0.35">
      <c r="A2556" t="s">
        <v>13</v>
      </c>
      <c r="B2556">
        <v>2727079</v>
      </c>
      <c r="C2556">
        <v>2727152</v>
      </c>
      <c r="E2556" t="s">
        <v>38</v>
      </c>
      <c r="F2556" t="s">
        <v>7045</v>
      </c>
      <c r="H2556">
        <v>2745326</v>
      </c>
      <c r="I2556" t="s">
        <v>62</v>
      </c>
      <c r="M2556" t="s">
        <v>7055</v>
      </c>
    </row>
    <row r="2557" spans="1:13" x14ac:dyDescent="0.35">
      <c r="A2557" t="s">
        <v>13</v>
      </c>
      <c r="B2557">
        <v>2727194</v>
      </c>
      <c r="C2557">
        <v>2727266</v>
      </c>
      <c r="E2557" t="s">
        <v>38</v>
      </c>
      <c r="F2557" t="s">
        <v>3685</v>
      </c>
      <c r="H2557">
        <v>2745328</v>
      </c>
      <c r="I2557" t="s">
        <v>62</v>
      </c>
      <c r="M2557" t="s">
        <v>7056</v>
      </c>
    </row>
    <row r="2558" spans="1:13" x14ac:dyDescent="0.35">
      <c r="A2558" t="s">
        <v>13</v>
      </c>
      <c r="B2558">
        <v>2727397</v>
      </c>
      <c r="C2558">
        <v>2728134</v>
      </c>
      <c r="E2558" t="s">
        <v>38</v>
      </c>
      <c r="F2558" t="s">
        <v>7057</v>
      </c>
      <c r="H2558">
        <v>1020513</v>
      </c>
      <c r="I2558" t="s">
        <v>17</v>
      </c>
      <c r="K2558" t="s">
        <v>7058</v>
      </c>
      <c r="L2558">
        <v>245</v>
      </c>
      <c r="M2558" t="s">
        <v>7059</v>
      </c>
    </row>
    <row r="2559" spans="1:13" x14ac:dyDescent="0.35">
      <c r="A2559" t="s">
        <v>13</v>
      </c>
      <c r="B2559">
        <v>2728205</v>
      </c>
      <c r="C2559">
        <v>2729026</v>
      </c>
      <c r="E2559" t="s">
        <v>38</v>
      </c>
      <c r="F2559" t="s">
        <v>391</v>
      </c>
      <c r="H2559">
        <v>1020514</v>
      </c>
      <c r="I2559" t="s">
        <v>17</v>
      </c>
      <c r="K2559" t="s">
        <v>7060</v>
      </c>
      <c r="L2559">
        <v>273</v>
      </c>
      <c r="M2559" t="s">
        <v>7061</v>
      </c>
    </row>
    <row r="2560" spans="1:13" x14ac:dyDescent="0.35">
      <c r="A2560" t="s">
        <v>13</v>
      </c>
      <c r="B2560">
        <v>2729136</v>
      </c>
      <c r="C2560">
        <v>2729208</v>
      </c>
      <c r="E2560" t="s">
        <v>38</v>
      </c>
      <c r="F2560" t="s">
        <v>6808</v>
      </c>
      <c r="H2560">
        <v>2745372</v>
      </c>
      <c r="I2560" t="s">
        <v>62</v>
      </c>
      <c r="M2560" t="s">
        <v>7062</v>
      </c>
    </row>
    <row r="2561" spans="1:13" x14ac:dyDescent="0.35">
      <c r="A2561" t="s">
        <v>13</v>
      </c>
      <c r="B2561">
        <v>2729376</v>
      </c>
      <c r="C2561">
        <v>2730884</v>
      </c>
      <c r="E2561" t="s">
        <v>38</v>
      </c>
      <c r="F2561" t="s">
        <v>7063</v>
      </c>
      <c r="H2561">
        <v>1020515</v>
      </c>
      <c r="I2561" t="s">
        <v>17</v>
      </c>
      <c r="K2561" t="s">
        <v>7064</v>
      </c>
      <c r="L2561">
        <v>502</v>
      </c>
      <c r="M2561" t="s">
        <v>7065</v>
      </c>
    </row>
    <row r="2562" spans="1:13" x14ac:dyDescent="0.35">
      <c r="A2562" t="s">
        <v>13</v>
      </c>
      <c r="B2562">
        <v>2731377</v>
      </c>
      <c r="C2562">
        <v>2732522</v>
      </c>
      <c r="E2562" t="s">
        <v>14</v>
      </c>
      <c r="F2562" t="s">
        <v>7066</v>
      </c>
      <c r="G2562" t="s">
        <v>7067</v>
      </c>
      <c r="H2562">
        <v>1020516</v>
      </c>
      <c r="I2562" t="s">
        <v>17</v>
      </c>
      <c r="K2562" t="s">
        <v>7068</v>
      </c>
      <c r="L2562">
        <v>381</v>
      </c>
      <c r="M2562" t="s">
        <v>7069</v>
      </c>
    </row>
    <row r="2563" spans="1:13" x14ac:dyDescent="0.35">
      <c r="A2563" t="s">
        <v>13</v>
      </c>
      <c r="B2563">
        <v>2732637</v>
      </c>
      <c r="C2563">
        <v>2733371</v>
      </c>
      <c r="E2563" t="s">
        <v>14</v>
      </c>
      <c r="F2563" t="s">
        <v>7070</v>
      </c>
      <c r="G2563" t="s">
        <v>7071</v>
      </c>
      <c r="H2563">
        <v>1020517</v>
      </c>
      <c r="I2563" t="s">
        <v>17</v>
      </c>
      <c r="K2563" t="s">
        <v>7072</v>
      </c>
      <c r="L2563">
        <v>244</v>
      </c>
      <c r="M2563" t="s">
        <v>7073</v>
      </c>
    </row>
    <row r="2564" spans="1:13" x14ac:dyDescent="0.35">
      <c r="A2564" t="s">
        <v>13</v>
      </c>
      <c r="B2564">
        <v>2733453</v>
      </c>
      <c r="C2564">
        <v>2734226</v>
      </c>
      <c r="E2564" t="s">
        <v>38</v>
      </c>
      <c r="F2564" t="s">
        <v>7074</v>
      </c>
      <c r="G2564" t="s">
        <v>7075</v>
      </c>
      <c r="H2564">
        <v>1020518</v>
      </c>
      <c r="I2564" t="s">
        <v>17</v>
      </c>
      <c r="K2564" t="s">
        <v>7076</v>
      </c>
      <c r="L2564">
        <v>257</v>
      </c>
      <c r="M2564" t="s">
        <v>7077</v>
      </c>
    </row>
    <row r="2565" spans="1:13" x14ac:dyDescent="0.35">
      <c r="A2565" t="s">
        <v>13</v>
      </c>
      <c r="B2565">
        <v>2734262</v>
      </c>
      <c r="C2565">
        <v>2735185</v>
      </c>
      <c r="E2565" t="s">
        <v>38</v>
      </c>
      <c r="F2565" t="s">
        <v>7078</v>
      </c>
      <c r="G2565" t="s">
        <v>7079</v>
      </c>
      <c r="H2565">
        <v>1020519</v>
      </c>
      <c r="I2565" t="s">
        <v>17</v>
      </c>
      <c r="K2565" t="s">
        <v>7080</v>
      </c>
      <c r="L2565">
        <v>307</v>
      </c>
      <c r="M2565" t="s">
        <v>7081</v>
      </c>
    </row>
    <row r="2566" spans="1:13" x14ac:dyDescent="0.35">
      <c r="A2566" t="s">
        <v>13</v>
      </c>
      <c r="B2566">
        <v>2735200</v>
      </c>
      <c r="C2566">
        <v>2736267</v>
      </c>
      <c r="E2566" t="s">
        <v>38</v>
      </c>
      <c r="F2566" t="s">
        <v>7082</v>
      </c>
      <c r="G2566" t="s">
        <v>7083</v>
      </c>
      <c r="H2566">
        <v>1020520</v>
      </c>
      <c r="I2566" t="s">
        <v>17</v>
      </c>
      <c r="K2566" t="s">
        <v>7084</v>
      </c>
      <c r="L2566">
        <v>355</v>
      </c>
      <c r="M2566" t="s">
        <v>7085</v>
      </c>
    </row>
    <row r="2567" spans="1:13" x14ac:dyDescent="0.35">
      <c r="A2567" t="s">
        <v>13</v>
      </c>
      <c r="B2567">
        <v>2736412</v>
      </c>
      <c r="C2567">
        <v>2737539</v>
      </c>
      <c r="E2567" t="s">
        <v>38</v>
      </c>
      <c r="F2567" t="s">
        <v>7086</v>
      </c>
      <c r="G2567" t="s">
        <v>7087</v>
      </c>
      <c r="H2567">
        <v>1020521</v>
      </c>
      <c r="I2567" t="s">
        <v>17</v>
      </c>
      <c r="K2567" t="s">
        <v>7088</v>
      </c>
      <c r="L2567">
        <v>375</v>
      </c>
      <c r="M2567" t="s">
        <v>7089</v>
      </c>
    </row>
    <row r="2568" spans="1:13" x14ac:dyDescent="0.35">
      <c r="A2568" t="s">
        <v>13</v>
      </c>
      <c r="B2568">
        <v>2737834</v>
      </c>
      <c r="C2568">
        <v>2738712</v>
      </c>
      <c r="E2568" t="s">
        <v>38</v>
      </c>
      <c r="F2568" t="s">
        <v>7090</v>
      </c>
      <c r="G2568" t="s">
        <v>7091</v>
      </c>
      <c r="H2568">
        <v>1020522</v>
      </c>
      <c r="I2568" t="s">
        <v>17</v>
      </c>
      <c r="K2568" t="s">
        <v>7092</v>
      </c>
      <c r="L2568">
        <v>292</v>
      </c>
      <c r="M2568" t="s">
        <v>7093</v>
      </c>
    </row>
    <row r="2569" spans="1:13" x14ac:dyDescent="0.35">
      <c r="A2569" t="s">
        <v>13</v>
      </c>
      <c r="B2569">
        <v>2738772</v>
      </c>
      <c r="C2569">
        <v>2739557</v>
      </c>
      <c r="E2569" t="s">
        <v>14</v>
      </c>
      <c r="F2569" t="s">
        <v>1166</v>
      </c>
      <c r="H2569">
        <v>1020523</v>
      </c>
      <c r="I2569" t="s">
        <v>17</v>
      </c>
      <c r="K2569" t="s">
        <v>7094</v>
      </c>
      <c r="L2569">
        <v>261</v>
      </c>
      <c r="M2569" t="s">
        <v>7095</v>
      </c>
    </row>
    <row r="2570" spans="1:13" x14ac:dyDescent="0.35">
      <c r="A2570" t="s">
        <v>13</v>
      </c>
      <c r="B2570">
        <v>2739554</v>
      </c>
      <c r="C2570">
        <v>2740672</v>
      </c>
      <c r="E2570" t="s">
        <v>38</v>
      </c>
      <c r="F2570" t="s">
        <v>7096</v>
      </c>
      <c r="H2570">
        <v>1020524</v>
      </c>
      <c r="I2570" t="s">
        <v>17</v>
      </c>
      <c r="K2570" t="s">
        <v>7097</v>
      </c>
      <c r="L2570">
        <v>372</v>
      </c>
      <c r="M2570" t="s">
        <v>7098</v>
      </c>
    </row>
    <row r="2571" spans="1:13" x14ac:dyDescent="0.35">
      <c r="A2571" t="s">
        <v>13</v>
      </c>
      <c r="B2571">
        <v>2740671</v>
      </c>
      <c r="C2571">
        <v>2741360</v>
      </c>
      <c r="E2571" t="s">
        <v>14</v>
      </c>
      <c r="F2571" t="s">
        <v>7099</v>
      </c>
      <c r="H2571">
        <v>1020525</v>
      </c>
      <c r="I2571" t="s">
        <v>17</v>
      </c>
      <c r="K2571" t="s">
        <v>7100</v>
      </c>
      <c r="L2571">
        <v>229</v>
      </c>
      <c r="M2571" t="s">
        <v>7101</v>
      </c>
    </row>
    <row r="2572" spans="1:13" x14ac:dyDescent="0.35">
      <c r="A2572" t="s">
        <v>13</v>
      </c>
      <c r="B2572">
        <v>2741634</v>
      </c>
      <c r="C2572">
        <v>2742578</v>
      </c>
      <c r="E2572" t="s">
        <v>38</v>
      </c>
      <c r="F2572" t="s">
        <v>7102</v>
      </c>
      <c r="H2572">
        <v>1020526</v>
      </c>
      <c r="I2572" t="s">
        <v>17</v>
      </c>
      <c r="K2572" t="s">
        <v>7103</v>
      </c>
      <c r="L2572">
        <v>314</v>
      </c>
      <c r="M2572" t="s">
        <v>7104</v>
      </c>
    </row>
    <row r="2573" spans="1:13" x14ac:dyDescent="0.35">
      <c r="A2573" t="s">
        <v>13</v>
      </c>
      <c r="B2573">
        <v>2742668</v>
      </c>
      <c r="C2573">
        <v>2743789</v>
      </c>
      <c r="E2573" t="s">
        <v>14</v>
      </c>
      <c r="F2573" t="s">
        <v>7105</v>
      </c>
      <c r="H2573">
        <v>1020527</v>
      </c>
      <c r="I2573" t="s">
        <v>17</v>
      </c>
      <c r="K2573" t="s">
        <v>7106</v>
      </c>
      <c r="L2573">
        <v>373</v>
      </c>
      <c r="M2573" t="s">
        <v>7107</v>
      </c>
    </row>
    <row r="2574" spans="1:13" x14ac:dyDescent="0.35">
      <c r="A2574" t="s">
        <v>13</v>
      </c>
      <c r="B2574">
        <v>2744011</v>
      </c>
      <c r="C2574">
        <v>2744226</v>
      </c>
      <c r="E2574" t="s">
        <v>14</v>
      </c>
      <c r="F2574" t="s">
        <v>7108</v>
      </c>
      <c r="H2574">
        <v>1020528</v>
      </c>
      <c r="I2574" t="s">
        <v>17</v>
      </c>
      <c r="K2574" t="s">
        <v>7109</v>
      </c>
      <c r="L2574">
        <v>71</v>
      </c>
      <c r="M2574" t="s">
        <v>7110</v>
      </c>
    </row>
    <row r="2575" spans="1:13" x14ac:dyDescent="0.35">
      <c r="A2575" t="s">
        <v>13</v>
      </c>
      <c r="B2575">
        <v>2744879</v>
      </c>
      <c r="C2575">
        <v>2745955</v>
      </c>
      <c r="E2575" t="s">
        <v>38</v>
      </c>
      <c r="F2575" t="s">
        <v>7111</v>
      </c>
      <c r="G2575" t="s">
        <v>7112</v>
      </c>
      <c r="H2575">
        <v>1020529</v>
      </c>
      <c r="I2575" t="s">
        <v>17</v>
      </c>
      <c r="K2575" t="s">
        <v>7113</v>
      </c>
      <c r="L2575">
        <v>358</v>
      </c>
      <c r="M2575" t="s">
        <v>7114</v>
      </c>
    </row>
    <row r="2576" spans="1:13" x14ac:dyDescent="0.35">
      <c r="A2576" t="s">
        <v>13</v>
      </c>
      <c r="B2576">
        <v>2746081</v>
      </c>
      <c r="C2576">
        <v>2747565</v>
      </c>
      <c r="E2576" t="s">
        <v>38</v>
      </c>
      <c r="F2576" t="s">
        <v>7115</v>
      </c>
      <c r="G2576" t="s">
        <v>7116</v>
      </c>
      <c r="H2576">
        <v>1020530</v>
      </c>
      <c r="I2576" t="s">
        <v>17</v>
      </c>
      <c r="K2576" t="s">
        <v>7117</v>
      </c>
      <c r="L2576">
        <v>494</v>
      </c>
      <c r="M2576" t="s">
        <v>7118</v>
      </c>
    </row>
    <row r="2577" spans="1:13" x14ac:dyDescent="0.35">
      <c r="A2577" t="s">
        <v>13</v>
      </c>
      <c r="B2577">
        <v>2747681</v>
      </c>
      <c r="C2577">
        <v>2748058</v>
      </c>
      <c r="E2577" t="s">
        <v>38</v>
      </c>
      <c r="F2577" t="s">
        <v>7119</v>
      </c>
      <c r="H2577">
        <v>1020531</v>
      </c>
      <c r="I2577" t="s">
        <v>17</v>
      </c>
      <c r="K2577" t="s">
        <v>7120</v>
      </c>
      <c r="L2577">
        <v>125</v>
      </c>
      <c r="M2577" t="s">
        <v>7121</v>
      </c>
    </row>
    <row r="2578" spans="1:13" x14ac:dyDescent="0.35">
      <c r="A2578" t="s">
        <v>13</v>
      </c>
      <c r="B2578">
        <v>2748096</v>
      </c>
      <c r="C2578">
        <v>2749115</v>
      </c>
      <c r="E2578" t="s">
        <v>14</v>
      </c>
      <c r="F2578" t="s">
        <v>4710</v>
      </c>
      <c r="H2578">
        <v>1020532</v>
      </c>
      <c r="I2578" t="s">
        <v>17</v>
      </c>
      <c r="K2578" t="s">
        <v>7122</v>
      </c>
      <c r="L2578">
        <v>339</v>
      </c>
      <c r="M2578" t="s">
        <v>7123</v>
      </c>
    </row>
    <row r="2579" spans="1:13" x14ac:dyDescent="0.35">
      <c r="A2579" t="s">
        <v>13</v>
      </c>
      <c r="B2579">
        <v>2749160</v>
      </c>
      <c r="C2579">
        <v>2749924</v>
      </c>
      <c r="E2579" t="s">
        <v>38</v>
      </c>
      <c r="F2579" t="s">
        <v>7124</v>
      </c>
      <c r="H2579">
        <v>1020533</v>
      </c>
      <c r="I2579" t="s">
        <v>17</v>
      </c>
      <c r="K2579" t="s">
        <v>7125</v>
      </c>
      <c r="L2579">
        <v>254</v>
      </c>
      <c r="M2579" t="s">
        <v>7126</v>
      </c>
    </row>
    <row r="2580" spans="1:13" x14ac:dyDescent="0.35">
      <c r="A2580" t="s">
        <v>13</v>
      </c>
      <c r="B2580">
        <v>2750025</v>
      </c>
      <c r="C2580">
        <v>2752313</v>
      </c>
      <c r="E2580" t="s">
        <v>38</v>
      </c>
      <c r="F2580" t="s">
        <v>7127</v>
      </c>
      <c r="G2580" t="s">
        <v>7128</v>
      </c>
      <c r="H2580">
        <v>1020534</v>
      </c>
      <c r="I2580" t="s">
        <v>17</v>
      </c>
      <c r="K2580" t="s">
        <v>7129</v>
      </c>
      <c r="L2580">
        <v>762</v>
      </c>
      <c r="M2580" t="s">
        <v>7130</v>
      </c>
    </row>
    <row r="2581" spans="1:13" x14ac:dyDescent="0.35">
      <c r="A2581" t="s">
        <v>13</v>
      </c>
      <c r="B2581">
        <v>2752325</v>
      </c>
      <c r="C2581">
        <v>2752996</v>
      </c>
      <c r="E2581" t="s">
        <v>38</v>
      </c>
      <c r="F2581" t="s">
        <v>7131</v>
      </c>
      <c r="G2581" t="s">
        <v>7132</v>
      </c>
      <c r="H2581">
        <v>1020535</v>
      </c>
      <c r="I2581" t="s">
        <v>17</v>
      </c>
      <c r="K2581" t="s">
        <v>7133</v>
      </c>
      <c r="L2581">
        <v>223</v>
      </c>
      <c r="M2581" t="s">
        <v>7134</v>
      </c>
    </row>
    <row r="2582" spans="1:13" x14ac:dyDescent="0.35">
      <c r="A2582" t="s">
        <v>13</v>
      </c>
      <c r="B2582">
        <v>2752993</v>
      </c>
      <c r="C2582">
        <v>2753238</v>
      </c>
      <c r="E2582" t="s">
        <v>38</v>
      </c>
      <c r="F2582" t="s">
        <v>7135</v>
      </c>
      <c r="G2582" t="s">
        <v>7136</v>
      </c>
      <c r="H2582">
        <v>1020536</v>
      </c>
      <c r="I2582" t="s">
        <v>17</v>
      </c>
      <c r="K2582" t="s">
        <v>7137</v>
      </c>
      <c r="L2582">
        <v>81</v>
      </c>
      <c r="M2582" t="s">
        <v>7138</v>
      </c>
    </row>
    <row r="2583" spans="1:13" x14ac:dyDescent="0.35">
      <c r="A2583" t="s">
        <v>13</v>
      </c>
      <c r="B2583">
        <v>2753326</v>
      </c>
      <c r="C2583">
        <v>2753805</v>
      </c>
      <c r="E2583" t="s">
        <v>38</v>
      </c>
      <c r="F2583" t="s">
        <v>7139</v>
      </c>
      <c r="H2583">
        <v>1020537</v>
      </c>
      <c r="I2583" t="s">
        <v>17</v>
      </c>
      <c r="K2583" t="s">
        <v>7140</v>
      </c>
      <c r="L2583">
        <v>159</v>
      </c>
      <c r="M2583" t="s">
        <v>7141</v>
      </c>
    </row>
    <row r="2584" spans="1:13" x14ac:dyDescent="0.35">
      <c r="A2584" t="s">
        <v>13</v>
      </c>
      <c r="B2584">
        <v>2753993</v>
      </c>
      <c r="C2584">
        <v>2756743</v>
      </c>
      <c r="E2584" t="s">
        <v>14</v>
      </c>
      <c r="F2584" t="s">
        <v>7142</v>
      </c>
      <c r="H2584">
        <v>1020538</v>
      </c>
      <c r="I2584" t="s">
        <v>17</v>
      </c>
      <c r="K2584" t="s">
        <v>7143</v>
      </c>
      <c r="L2584">
        <v>916</v>
      </c>
      <c r="M2584" t="s">
        <v>7144</v>
      </c>
    </row>
    <row r="2585" spans="1:13" x14ac:dyDescent="0.35">
      <c r="A2585" t="s">
        <v>13</v>
      </c>
      <c r="B2585">
        <v>2757127</v>
      </c>
      <c r="C2585">
        <v>2757816</v>
      </c>
      <c r="E2585" t="s">
        <v>38</v>
      </c>
      <c r="F2585" t="s">
        <v>7145</v>
      </c>
      <c r="H2585">
        <v>1020540</v>
      </c>
      <c r="I2585" t="s">
        <v>17</v>
      </c>
      <c r="K2585" t="s">
        <v>7146</v>
      </c>
      <c r="L2585">
        <v>229</v>
      </c>
      <c r="M2585" t="s">
        <v>7147</v>
      </c>
    </row>
    <row r="2586" spans="1:13" x14ac:dyDescent="0.35">
      <c r="A2586" t="s">
        <v>13</v>
      </c>
      <c r="B2586">
        <v>2757861</v>
      </c>
      <c r="C2586">
        <v>2759201</v>
      </c>
      <c r="E2586" t="s">
        <v>38</v>
      </c>
      <c r="F2586" t="s">
        <v>7148</v>
      </c>
      <c r="H2586">
        <v>1020541</v>
      </c>
      <c r="I2586" t="s">
        <v>17</v>
      </c>
      <c r="K2586" t="s">
        <v>7149</v>
      </c>
      <c r="L2586">
        <v>446</v>
      </c>
      <c r="M2586" t="s">
        <v>7150</v>
      </c>
    </row>
    <row r="2587" spans="1:13" x14ac:dyDescent="0.35">
      <c r="A2587" t="s">
        <v>13</v>
      </c>
      <c r="B2587">
        <v>2759530</v>
      </c>
      <c r="C2587">
        <v>2761650</v>
      </c>
      <c r="E2587" t="s">
        <v>38</v>
      </c>
      <c r="F2587" t="s">
        <v>7151</v>
      </c>
      <c r="H2587">
        <v>1020542</v>
      </c>
      <c r="I2587" t="s">
        <v>17</v>
      </c>
      <c r="K2587" t="s">
        <v>7152</v>
      </c>
      <c r="L2587">
        <v>706</v>
      </c>
      <c r="M2587" t="s">
        <v>7153</v>
      </c>
    </row>
    <row r="2588" spans="1:13" x14ac:dyDescent="0.35">
      <c r="A2588" t="s">
        <v>13</v>
      </c>
      <c r="B2588">
        <v>2761783</v>
      </c>
      <c r="C2588">
        <v>2762676</v>
      </c>
      <c r="E2588" t="s">
        <v>38</v>
      </c>
      <c r="F2588" t="s">
        <v>7154</v>
      </c>
      <c r="H2588">
        <v>1020543</v>
      </c>
      <c r="I2588" t="s">
        <v>17</v>
      </c>
      <c r="K2588" t="s">
        <v>7155</v>
      </c>
      <c r="L2588">
        <v>297</v>
      </c>
      <c r="M2588" t="s">
        <v>7156</v>
      </c>
    </row>
    <row r="2589" spans="1:13" x14ac:dyDescent="0.35">
      <c r="A2589" t="s">
        <v>13</v>
      </c>
      <c r="B2589">
        <v>2763502</v>
      </c>
      <c r="C2589">
        <v>2764941</v>
      </c>
      <c r="E2589" t="s">
        <v>38</v>
      </c>
      <c r="F2589" t="s">
        <v>5644</v>
      </c>
      <c r="G2589" t="s">
        <v>7157</v>
      </c>
      <c r="H2589">
        <v>1020544</v>
      </c>
      <c r="I2589" t="s">
        <v>17</v>
      </c>
      <c r="K2589" t="s">
        <v>7158</v>
      </c>
      <c r="L2589">
        <v>479</v>
      </c>
      <c r="M2589" t="s">
        <v>7159</v>
      </c>
    </row>
    <row r="2590" spans="1:13" x14ac:dyDescent="0.35">
      <c r="A2590" t="s">
        <v>13</v>
      </c>
      <c r="B2590">
        <v>2764976</v>
      </c>
      <c r="C2590">
        <v>2766085</v>
      </c>
      <c r="E2590" t="s">
        <v>38</v>
      </c>
      <c r="F2590" t="s">
        <v>2355</v>
      </c>
      <c r="H2590">
        <v>1020545</v>
      </c>
      <c r="I2590" t="s">
        <v>17</v>
      </c>
      <c r="K2590" t="s">
        <v>7160</v>
      </c>
      <c r="L2590">
        <v>369</v>
      </c>
      <c r="M2590" t="s">
        <v>7161</v>
      </c>
    </row>
    <row r="2591" spans="1:13" x14ac:dyDescent="0.35">
      <c r="A2591" t="s">
        <v>13</v>
      </c>
      <c r="B2591">
        <v>2766156</v>
      </c>
      <c r="C2591">
        <v>2767421</v>
      </c>
      <c r="E2591" t="s">
        <v>38</v>
      </c>
      <c r="F2591" t="s">
        <v>7162</v>
      </c>
      <c r="G2591" t="s">
        <v>7163</v>
      </c>
      <c r="H2591">
        <v>1020546</v>
      </c>
      <c r="I2591" t="s">
        <v>17</v>
      </c>
      <c r="K2591" t="s">
        <v>7164</v>
      </c>
      <c r="L2591">
        <v>421</v>
      </c>
      <c r="M2591" t="s">
        <v>7165</v>
      </c>
    </row>
    <row r="2592" spans="1:13" x14ac:dyDescent="0.35">
      <c r="A2592" t="s">
        <v>13</v>
      </c>
      <c r="B2592">
        <v>2767587</v>
      </c>
      <c r="C2592">
        <v>2767997</v>
      </c>
      <c r="E2592" t="s">
        <v>14</v>
      </c>
      <c r="F2592" t="s">
        <v>4727</v>
      </c>
      <c r="H2592">
        <v>1020547</v>
      </c>
      <c r="I2592" t="s">
        <v>17</v>
      </c>
      <c r="K2592" t="s">
        <v>7166</v>
      </c>
      <c r="L2592">
        <v>136</v>
      </c>
      <c r="M2592" t="s">
        <v>7167</v>
      </c>
    </row>
    <row r="2593" spans="1:13" x14ac:dyDescent="0.35">
      <c r="A2593" t="s">
        <v>13</v>
      </c>
      <c r="B2593">
        <v>2768341</v>
      </c>
      <c r="C2593">
        <v>2769096</v>
      </c>
      <c r="E2593" t="s">
        <v>38</v>
      </c>
      <c r="F2593" t="s">
        <v>1169</v>
      </c>
      <c r="H2593">
        <v>1020549</v>
      </c>
      <c r="I2593" t="s">
        <v>17</v>
      </c>
      <c r="K2593" t="s">
        <v>7168</v>
      </c>
      <c r="L2593">
        <v>251</v>
      </c>
      <c r="M2593" t="s">
        <v>7169</v>
      </c>
    </row>
    <row r="2594" spans="1:13" x14ac:dyDescent="0.35">
      <c r="A2594" t="s">
        <v>13</v>
      </c>
      <c r="B2594">
        <v>2769154</v>
      </c>
      <c r="C2594">
        <v>2770599</v>
      </c>
      <c r="E2594" t="s">
        <v>38</v>
      </c>
      <c r="F2594" t="s">
        <v>7170</v>
      </c>
      <c r="H2594">
        <v>1020550</v>
      </c>
      <c r="I2594" t="s">
        <v>17</v>
      </c>
      <c r="K2594" t="s">
        <v>7171</v>
      </c>
      <c r="L2594">
        <v>481</v>
      </c>
      <c r="M2594" t="s">
        <v>7172</v>
      </c>
    </row>
    <row r="2595" spans="1:13" x14ac:dyDescent="0.35">
      <c r="A2595" t="s">
        <v>13</v>
      </c>
      <c r="B2595">
        <v>2770715</v>
      </c>
      <c r="C2595">
        <v>2771986</v>
      </c>
      <c r="E2595" t="s">
        <v>14</v>
      </c>
      <c r="F2595" t="s">
        <v>7173</v>
      </c>
      <c r="H2595">
        <v>1020551</v>
      </c>
      <c r="I2595" t="s">
        <v>17</v>
      </c>
      <c r="K2595" t="s">
        <v>7174</v>
      </c>
      <c r="L2595">
        <v>423</v>
      </c>
      <c r="M2595" t="s">
        <v>7175</v>
      </c>
    </row>
    <row r="2596" spans="1:13" x14ac:dyDescent="0.35">
      <c r="A2596" t="s">
        <v>13</v>
      </c>
      <c r="B2596">
        <v>2771990</v>
      </c>
      <c r="C2596">
        <v>2772664</v>
      </c>
      <c r="E2596" t="s">
        <v>14</v>
      </c>
      <c r="F2596" t="s">
        <v>7176</v>
      </c>
      <c r="G2596" t="s">
        <v>7177</v>
      </c>
      <c r="H2596">
        <v>1020552</v>
      </c>
      <c r="I2596" t="s">
        <v>17</v>
      </c>
      <c r="K2596" t="s">
        <v>7178</v>
      </c>
      <c r="L2596">
        <v>224</v>
      </c>
      <c r="M2596" t="s">
        <v>7179</v>
      </c>
    </row>
    <row r="2597" spans="1:13" x14ac:dyDescent="0.35">
      <c r="A2597" t="s">
        <v>13</v>
      </c>
      <c r="B2597">
        <v>2772642</v>
      </c>
      <c r="C2597">
        <v>2774099</v>
      </c>
      <c r="E2597" t="s">
        <v>38</v>
      </c>
      <c r="F2597" t="s">
        <v>237</v>
      </c>
      <c r="H2597">
        <v>1020553</v>
      </c>
      <c r="I2597" t="s">
        <v>17</v>
      </c>
      <c r="K2597" t="s">
        <v>7180</v>
      </c>
      <c r="L2597">
        <v>485</v>
      </c>
      <c r="M2597" t="s">
        <v>7181</v>
      </c>
    </row>
    <row r="2598" spans="1:13" x14ac:dyDescent="0.35">
      <c r="A2598" t="s">
        <v>13</v>
      </c>
      <c r="B2598">
        <v>2774108</v>
      </c>
      <c r="C2598">
        <v>2774815</v>
      </c>
      <c r="E2598" t="s">
        <v>38</v>
      </c>
      <c r="F2598" t="s">
        <v>835</v>
      </c>
      <c r="H2598">
        <v>1020554</v>
      </c>
      <c r="I2598" t="s">
        <v>17</v>
      </c>
      <c r="K2598" t="s">
        <v>7182</v>
      </c>
      <c r="L2598">
        <v>235</v>
      </c>
      <c r="M2598" t="s">
        <v>7183</v>
      </c>
    </row>
    <row r="2599" spans="1:13" x14ac:dyDescent="0.35">
      <c r="A2599" t="s">
        <v>13</v>
      </c>
      <c r="B2599">
        <v>2774935</v>
      </c>
      <c r="C2599">
        <v>2775690</v>
      </c>
      <c r="E2599" t="s">
        <v>38</v>
      </c>
      <c r="F2599" t="s">
        <v>4077</v>
      </c>
      <c r="H2599">
        <v>1020555</v>
      </c>
      <c r="I2599" t="s">
        <v>17</v>
      </c>
      <c r="K2599" t="s">
        <v>7184</v>
      </c>
      <c r="L2599">
        <v>251</v>
      </c>
      <c r="M2599" t="s">
        <v>7185</v>
      </c>
    </row>
    <row r="2600" spans="1:13" x14ac:dyDescent="0.35">
      <c r="A2600" t="s">
        <v>13</v>
      </c>
      <c r="B2600">
        <v>2775738</v>
      </c>
      <c r="C2600">
        <v>2776769</v>
      </c>
      <c r="E2600" t="s">
        <v>38</v>
      </c>
      <c r="F2600" t="s">
        <v>7186</v>
      </c>
      <c r="H2600">
        <v>1020556</v>
      </c>
      <c r="I2600" t="s">
        <v>17</v>
      </c>
      <c r="K2600" t="s">
        <v>7187</v>
      </c>
      <c r="L2600">
        <v>343</v>
      </c>
      <c r="M2600" t="s">
        <v>7188</v>
      </c>
    </row>
    <row r="2601" spans="1:13" x14ac:dyDescent="0.35">
      <c r="A2601" t="s">
        <v>13</v>
      </c>
      <c r="B2601">
        <v>2776766</v>
      </c>
      <c r="C2601">
        <v>2778505</v>
      </c>
      <c r="E2601" t="s">
        <v>38</v>
      </c>
      <c r="F2601" t="s">
        <v>7189</v>
      </c>
      <c r="H2601">
        <v>1020557</v>
      </c>
      <c r="I2601" t="s">
        <v>17</v>
      </c>
      <c r="K2601" t="s">
        <v>7190</v>
      </c>
      <c r="L2601">
        <v>579</v>
      </c>
      <c r="M2601" t="s">
        <v>7191</v>
      </c>
    </row>
    <row r="2602" spans="1:13" x14ac:dyDescent="0.35">
      <c r="A2602" t="s">
        <v>13</v>
      </c>
      <c r="B2602">
        <v>2778966</v>
      </c>
      <c r="C2602">
        <v>2780450</v>
      </c>
      <c r="E2602" t="s">
        <v>14</v>
      </c>
      <c r="F2602" t="s">
        <v>265</v>
      </c>
      <c r="H2602">
        <v>1020558</v>
      </c>
      <c r="I2602" t="s">
        <v>17</v>
      </c>
      <c r="K2602" t="s">
        <v>7192</v>
      </c>
      <c r="L2602">
        <v>494</v>
      </c>
      <c r="M2602" t="s">
        <v>7193</v>
      </c>
    </row>
    <row r="2603" spans="1:13" x14ac:dyDescent="0.35">
      <c r="A2603" t="s">
        <v>13</v>
      </c>
      <c r="B2603">
        <v>2780440</v>
      </c>
      <c r="C2603">
        <v>2780973</v>
      </c>
      <c r="E2603" t="s">
        <v>14</v>
      </c>
      <c r="F2603" t="s">
        <v>1126</v>
      </c>
      <c r="H2603">
        <v>1020559</v>
      </c>
      <c r="I2603" t="s">
        <v>17</v>
      </c>
      <c r="K2603" t="s">
        <v>7194</v>
      </c>
      <c r="L2603">
        <v>177</v>
      </c>
      <c r="M2603" t="s">
        <v>7195</v>
      </c>
    </row>
    <row r="2604" spans="1:13" x14ac:dyDescent="0.35">
      <c r="A2604" t="s">
        <v>13</v>
      </c>
      <c r="B2604">
        <v>2780997</v>
      </c>
      <c r="C2604">
        <v>2782319</v>
      </c>
      <c r="E2604" t="s">
        <v>14</v>
      </c>
      <c r="F2604" t="s">
        <v>265</v>
      </c>
      <c r="H2604">
        <v>1020560</v>
      </c>
      <c r="I2604" t="s">
        <v>17</v>
      </c>
      <c r="K2604" t="s">
        <v>7196</v>
      </c>
      <c r="L2604">
        <v>440</v>
      </c>
      <c r="M2604" t="s">
        <v>7197</v>
      </c>
    </row>
    <row r="2605" spans="1:13" x14ac:dyDescent="0.35">
      <c r="A2605" t="s">
        <v>13</v>
      </c>
      <c r="B2605">
        <v>2782338</v>
      </c>
      <c r="C2605">
        <v>2784482</v>
      </c>
      <c r="E2605" t="s">
        <v>38</v>
      </c>
      <c r="F2605" t="s">
        <v>7198</v>
      </c>
      <c r="H2605">
        <v>1020561</v>
      </c>
      <c r="I2605" t="s">
        <v>17</v>
      </c>
      <c r="K2605" t="s">
        <v>7199</v>
      </c>
      <c r="L2605">
        <v>714</v>
      </c>
      <c r="M2605" t="s">
        <v>7200</v>
      </c>
    </row>
    <row r="2606" spans="1:13" x14ac:dyDescent="0.35">
      <c r="A2606" t="s">
        <v>13</v>
      </c>
      <c r="B2606">
        <v>2784654</v>
      </c>
      <c r="C2606">
        <v>2785616</v>
      </c>
      <c r="E2606" t="s">
        <v>38</v>
      </c>
      <c r="F2606" t="s">
        <v>7201</v>
      </c>
      <c r="H2606">
        <v>1020562</v>
      </c>
      <c r="I2606" t="s">
        <v>17</v>
      </c>
      <c r="K2606" t="s">
        <v>7202</v>
      </c>
      <c r="L2606">
        <v>320</v>
      </c>
      <c r="M2606" t="s">
        <v>7203</v>
      </c>
    </row>
    <row r="2607" spans="1:13" x14ac:dyDescent="0.35">
      <c r="A2607" t="s">
        <v>13</v>
      </c>
      <c r="B2607">
        <v>2785649</v>
      </c>
      <c r="C2607">
        <v>2786356</v>
      </c>
      <c r="E2607" t="s">
        <v>38</v>
      </c>
      <c r="F2607" t="s">
        <v>69</v>
      </c>
      <c r="H2607">
        <v>1020563</v>
      </c>
      <c r="I2607" t="s">
        <v>17</v>
      </c>
      <c r="K2607" t="s">
        <v>7204</v>
      </c>
      <c r="L2607">
        <v>235</v>
      </c>
      <c r="M2607" t="s">
        <v>7205</v>
      </c>
    </row>
    <row r="2608" spans="1:13" x14ac:dyDescent="0.35">
      <c r="A2608" t="s">
        <v>13</v>
      </c>
      <c r="B2608">
        <v>2786754</v>
      </c>
      <c r="C2608">
        <v>2787716</v>
      </c>
      <c r="E2608" t="s">
        <v>38</v>
      </c>
      <c r="F2608" t="s">
        <v>7206</v>
      </c>
      <c r="H2608">
        <v>1020564</v>
      </c>
      <c r="I2608" t="s">
        <v>17</v>
      </c>
      <c r="K2608" t="s">
        <v>7207</v>
      </c>
      <c r="L2608">
        <v>320</v>
      </c>
      <c r="M2608" t="s">
        <v>7208</v>
      </c>
    </row>
    <row r="2609" spans="1:13" x14ac:dyDescent="0.35">
      <c r="A2609" t="s">
        <v>13</v>
      </c>
      <c r="B2609">
        <v>2787783</v>
      </c>
      <c r="C2609">
        <v>2788598</v>
      </c>
      <c r="E2609" t="s">
        <v>14</v>
      </c>
      <c r="F2609" t="s">
        <v>7209</v>
      </c>
      <c r="H2609">
        <v>1020565</v>
      </c>
      <c r="I2609" t="s">
        <v>17</v>
      </c>
      <c r="K2609" t="s">
        <v>7210</v>
      </c>
      <c r="L2609">
        <v>271</v>
      </c>
      <c r="M2609" t="s">
        <v>7211</v>
      </c>
    </row>
    <row r="2610" spans="1:13" x14ac:dyDescent="0.35">
      <c r="A2610" t="s">
        <v>13</v>
      </c>
      <c r="B2610">
        <v>2788585</v>
      </c>
      <c r="C2610">
        <v>2789400</v>
      </c>
      <c r="E2610" t="s">
        <v>38</v>
      </c>
      <c r="F2610" t="s">
        <v>2653</v>
      </c>
      <c r="H2610">
        <v>1020566</v>
      </c>
      <c r="I2610" t="s">
        <v>17</v>
      </c>
      <c r="K2610" t="s">
        <v>7212</v>
      </c>
      <c r="L2610">
        <v>271</v>
      </c>
      <c r="M2610" t="s">
        <v>7213</v>
      </c>
    </row>
    <row r="2611" spans="1:13" x14ac:dyDescent="0.35">
      <c r="A2611" t="s">
        <v>13</v>
      </c>
      <c r="B2611">
        <v>2789475</v>
      </c>
      <c r="C2611">
        <v>2789906</v>
      </c>
      <c r="E2611" t="s">
        <v>38</v>
      </c>
      <c r="F2611" t="s">
        <v>49</v>
      </c>
      <c r="H2611">
        <v>1020567</v>
      </c>
      <c r="I2611" t="s">
        <v>17</v>
      </c>
      <c r="K2611" t="s">
        <v>7214</v>
      </c>
      <c r="L2611">
        <v>143</v>
      </c>
      <c r="M2611" t="s">
        <v>7215</v>
      </c>
    </row>
    <row r="2612" spans="1:13" x14ac:dyDescent="0.35">
      <c r="A2612" t="s">
        <v>13</v>
      </c>
      <c r="B2612">
        <v>2790153</v>
      </c>
      <c r="C2612">
        <v>2790554</v>
      </c>
      <c r="E2612" t="s">
        <v>14</v>
      </c>
      <c r="F2612" t="s">
        <v>138</v>
      </c>
      <c r="H2612">
        <v>1020568</v>
      </c>
      <c r="I2612" t="s">
        <v>17</v>
      </c>
      <c r="K2612" t="s">
        <v>7216</v>
      </c>
      <c r="L2612">
        <v>133</v>
      </c>
      <c r="M2612" t="s">
        <v>7217</v>
      </c>
    </row>
    <row r="2613" spans="1:13" x14ac:dyDescent="0.35">
      <c r="A2613" t="s">
        <v>13</v>
      </c>
      <c r="B2613">
        <v>2790763</v>
      </c>
      <c r="C2613">
        <v>2790835</v>
      </c>
      <c r="E2613" t="s">
        <v>38</v>
      </c>
      <c r="F2613" t="s">
        <v>948</v>
      </c>
      <c r="H2613">
        <v>2745299</v>
      </c>
      <c r="I2613" t="s">
        <v>62</v>
      </c>
      <c r="M2613" t="s">
        <v>7218</v>
      </c>
    </row>
    <row r="2614" spans="1:13" x14ac:dyDescent="0.35">
      <c r="A2614" t="s">
        <v>13</v>
      </c>
      <c r="B2614">
        <v>2790983</v>
      </c>
      <c r="C2614">
        <v>2792452</v>
      </c>
      <c r="E2614" t="s">
        <v>14</v>
      </c>
      <c r="F2614" t="s">
        <v>7219</v>
      </c>
      <c r="G2614" t="s">
        <v>7220</v>
      </c>
      <c r="H2614">
        <v>1020569</v>
      </c>
      <c r="I2614" t="s">
        <v>17</v>
      </c>
      <c r="K2614" t="s">
        <v>7221</v>
      </c>
      <c r="L2614">
        <v>489</v>
      </c>
      <c r="M2614" t="s">
        <v>7222</v>
      </c>
    </row>
    <row r="2615" spans="1:13" x14ac:dyDescent="0.35">
      <c r="A2615" t="s">
        <v>13</v>
      </c>
      <c r="B2615">
        <v>2792532</v>
      </c>
      <c r="C2615">
        <v>2792861</v>
      </c>
      <c r="E2615" t="s">
        <v>14</v>
      </c>
      <c r="F2615" t="s">
        <v>49</v>
      </c>
      <c r="H2615">
        <v>1020570</v>
      </c>
      <c r="I2615" t="s">
        <v>17</v>
      </c>
      <c r="K2615" t="s">
        <v>7223</v>
      </c>
      <c r="L2615">
        <v>109</v>
      </c>
      <c r="M2615" t="s">
        <v>7224</v>
      </c>
    </row>
    <row r="2616" spans="1:13" x14ac:dyDescent="0.35">
      <c r="A2616" t="s">
        <v>13</v>
      </c>
      <c r="B2616">
        <v>2792874</v>
      </c>
      <c r="C2616">
        <v>2794331</v>
      </c>
      <c r="E2616" t="s">
        <v>14</v>
      </c>
      <c r="F2616" t="s">
        <v>7225</v>
      </c>
      <c r="H2616">
        <v>1020571</v>
      </c>
      <c r="I2616" t="s">
        <v>17</v>
      </c>
      <c r="K2616" t="s">
        <v>7226</v>
      </c>
      <c r="L2616">
        <v>485</v>
      </c>
      <c r="M2616" t="s">
        <v>7227</v>
      </c>
    </row>
    <row r="2617" spans="1:13" x14ac:dyDescent="0.35">
      <c r="A2617" t="s">
        <v>13</v>
      </c>
      <c r="B2617">
        <v>2794328</v>
      </c>
      <c r="C2617">
        <v>2794816</v>
      </c>
      <c r="E2617" t="s">
        <v>14</v>
      </c>
      <c r="F2617" t="s">
        <v>409</v>
      </c>
      <c r="H2617">
        <v>1020572</v>
      </c>
      <c r="I2617" t="s">
        <v>17</v>
      </c>
      <c r="K2617" t="s">
        <v>7228</v>
      </c>
      <c r="L2617">
        <v>162</v>
      </c>
      <c r="M2617" t="s">
        <v>7229</v>
      </c>
    </row>
    <row r="2618" spans="1:13" x14ac:dyDescent="0.35">
      <c r="A2618" t="s">
        <v>13</v>
      </c>
      <c r="B2618">
        <v>2794871</v>
      </c>
      <c r="C2618">
        <v>2795641</v>
      </c>
      <c r="E2618" t="s">
        <v>14</v>
      </c>
      <c r="F2618" t="s">
        <v>7230</v>
      </c>
      <c r="G2618" t="s">
        <v>7231</v>
      </c>
      <c r="H2618">
        <v>1020573</v>
      </c>
      <c r="I2618" t="s">
        <v>17</v>
      </c>
      <c r="K2618" t="s">
        <v>7232</v>
      </c>
      <c r="L2618">
        <v>256</v>
      </c>
      <c r="M2618" t="s">
        <v>7233</v>
      </c>
    </row>
    <row r="2619" spans="1:13" x14ac:dyDescent="0.35">
      <c r="A2619" t="s">
        <v>13</v>
      </c>
      <c r="B2619">
        <v>2795674</v>
      </c>
      <c r="C2619">
        <v>2796756</v>
      </c>
      <c r="E2619" t="s">
        <v>38</v>
      </c>
      <c r="F2619" t="s">
        <v>532</v>
      </c>
      <c r="H2619">
        <v>1020574</v>
      </c>
      <c r="I2619" t="s">
        <v>17</v>
      </c>
      <c r="K2619" t="s">
        <v>7234</v>
      </c>
      <c r="L2619">
        <v>360</v>
      </c>
      <c r="M2619" t="s">
        <v>7235</v>
      </c>
    </row>
    <row r="2620" spans="1:13" x14ac:dyDescent="0.35">
      <c r="A2620" t="s">
        <v>13</v>
      </c>
      <c r="B2620">
        <v>2796857</v>
      </c>
      <c r="C2620">
        <v>2797810</v>
      </c>
      <c r="E2620" t="s">
        <v>14</v>
      </c>
      <c r="F2620" t="s">
        <v>7236</v>
      </c>
      <c r="H2620">
        <v>1020575</v>
      </c>
      <c r="I2620" t="s">
        <v>17</v>
      </c>
      <c r="K2620" t="s">
        <v>7237</v>
      </c>
      <c r="L2620">
        <v>317</v>
      </c>
      <c r="M2620" t="s">
        <v>7238</v>
      </c>
    </row>
    <row r="2621" spans="1:13" x14ac:dyDescent="0.35">
      <c r="A2621" t="s">
        <v>13</v>
      </c>
      <c r="B2621">
        <v>2797821</v>
      </c>
      <c r="C2621">
        <v>2798513</v>
      </c>
      <c r="E2621" t="s">
        <v>14</v>
      </c>
      <c r="F2621" t="s">
        <v>7239</v>
      </c>
      <c r="H2621">
        <v>1020576</v>
      </c>
      <c r="I2621" t="s">
        <v>17</v>
      </c>
      <c r="K2621" t="s">
        <v>7240</v>
      </c>
      <c r="L2621">
        <v>230</v>
      </c>
      <c r="M2621" t="s">
        <v>7241</v>
      </c>
    </row>
    <row r="2622" spans="1:13" x14ac:dyDescent="0.35">
      <c r="A2622" t="s">
        <v>13</v>
      </c>
      <c r="B2622">
        <v>2798514</v>
      </c>
      <c r="C2622">
        <v>2799395</v>
      </c>
      <c r="E2622" t="s">
        <v>14</v>
      </c>
      <c r="F2622" t="s">
        <v>7242</v>
      </c>
      <c r="H2622">
        <v>1020577</v>
      </c>
      <c r="I2622" t="s">
        <v>17</v>
      </c>
      <c r="K2622" t="s">
        <v>7243</v>
      </c>
      <c r="L2622">
        <v>293</v>
      </c>
      <c r="M2622" t="s">
        <v>7244</v>
      </c>
    </row>
    <row r="2623" spans="1:13" x14ac:dyDescent="0.35">
      <c r="A2623" t="s">
        <v>13</v>
      </c>
      <c r="B2623">
        <v>2799593</v>
      </c>
      <c r="C2623">
        <v>2801038</v>
      </c>
      <c r="E2623" t="s">
        <v>14</v>
      </c>
      <c r="F2623" t="s">
        <v>2074</v>
      </c>
      <c r="H2623">
        <v>1020578</v>
      </c>
      <c r="I2623" t="s">
        <v>17</v>
      </c>
      <c r="K2623" t="s">
        <v>2075</v>
      </c>
      <c r="L2623">
        <v>481</v>
      </c>
      <c r="M2623" t="s">
        <v>7245</v>
      </c>
    </row>
    <row r="2624" spans="1:13" x14ac:dyDescent="0.35">
      <c r="A2624" t="s">
        <v>13</v>
      </c>
      <c r="B2624">
        <v>2801556</v>
      </c>
      <c r="C2624">
        <v>2803247</v>
      </c>
      <c r="E2624" t="s">
        <v>38</v>
      </c>
      <c r="F2624" t="s">
        <v>7246</v>
      </c>
      <c r="H2624">
        <v>1020580</v>
      </c>
      <c r="I2624" t="s">
        <v>17</v>
      </c>
      <c r="K2624" t="s">
        <v>7247</v>
      </c>
      <c r="L2624">
        <v>563</v>
      </c>
      <c r="M2624" t="s">
        <v>7248</v>
      </c>
    </row>
    <row r="2625" spans="1:13" x14ac:dyDescent="0.35">
      <c r="A2625" t="s">
        <v>13</v>
      </c>
      <c r="B2625">
        <v>2803248</v>
      </c>
      <c r="C2625">
        <v>2803997</v>
      </c>
      <c r="E2625" t="s">
        <v>38</v>
      </c>
      <c r="F2625" t="s">
        <v>7249</v>
      </c>
      <c r="H2625">
        <v>1020581</v>
      </c>
      <c r="I2625" t="s">
        <v>17</v>
      </c>
      <c r="K2625" t="s">
        <v>7250</v>
      </c>
      <c r="L2625">
        <v>249</v>
      </c>
      <c r="M2625" t="s">
        <v>7251</v>
      </c>
    </row>
    <row r="2626" spans="1:13" x14ac:dyDescent="0.35">
      <c r="A2626" t="s">
        <v>13</v>
      </c>
      <c r="B2626">
        <v>2804072</v>
      </c>
      <c r="C2626">
        <v>2805111</v>
      </c>
      <c r="E2626" t="s">
        <v>38</v>
      </c>
      <c r="F2626" t="s">
        <v>141</v>
      </c>
      <c r="H2626">
        <v>97006780</v>
      </c>
      <c r="I2626" t="s">
        <v>142</v>
      </c>
      <c r="M2626" t="s">
        <v>7252</v>
      </c>
    </row>
    <row r="2627" spans="1:13" x14ac:dyDescent="0.35">
      <c r="A2627" t="s">
        <v>13</v>
      </c>
      <c r="B2627">
        <v>2805111</v>
      </c>
      <c r="C2627">
        <v>2806442</v>
      </c>
      <c r="E2627" t="s">
        <v>38</v>
      </c>
      <c r="F2627" t="s">
        <v>141</v>
      </c>
      <c r="H2627">
        <v>97006781</v>
      </c>
      <c r="I2627" t="s">
        <v>142</v>
      </c>
      <c r="M2627" t="s">
        <v>7253</v>
      </c>
    </row>
    <row r="2628" spans="1:13" x14ac:dyDescent="0.35">
      <c r="A2628" t="s">
        <v>13</v>
      </c>
      <c r="B2628">
        <v>2806597</v>
      </c>
      <c r="C2628">
        <v>2807253</v>
      </c>
      <c r="E2628" t="s">
        <v>38</v>
      </c>
      <c r="F2628" t="s">
        <v>1618</v>
      </c>
      <c r="H2628">
        <v>1020587</v>
      </c>
      <c r="I2628" t="s">
        <v>17</v>
      </c>
      <c r="K2628" t="s">
        <v>7254</v>
      </c>
      <c r="L2628">
        <v>218</v>
      </c>
      <c r="M2628" t="s">
        <v>7255</v>
      </c>
    </row>
    <row r="2629" spans="1:13" x14ac:dyDescent="0.35">
      <c r="A2629" t="s">
        <v>13</v>
      </c>
      <c r="B2629">
        <v>2807424</v>
      </c>
      <c r="C2629">
        <v>2808365</v>
      </c>
      <c r="E2629" t="s">
        <v>38</v>
      </c>
      <c r="F2629" t="s">
        <v>7256</v>
      </c>
      <c r="G2629" t="s">
        <v>7257</v>
      </c>
      <c r="H2629">
        <v>1020588</v>
      </c>
      <c r="I2629" t="s">
        <v>17</v>
      </c>
      <c r="K2629" t="s">
        <v>7258</v>
      </c>
      <c r="L2629">
        <v>313</v>
      </c>
      <c r="M2629" t="s">
        <v>7259</v>
      </c>
    </row>
    <row r="2630" spans="1:13" x14ac:dyDescent="0.35">
      <c r="A2630" t="s">
        <v>13</v>
      </c>
      <c r="B2630">
        <v>2808397</v>
      </c>
      <c r="C2630">
        <v>2809779</v>
      </c>
      <c r="E2630" t="s">
        <v>38</v>
      </c>
      <c r="F2630" t="s">
        <v>7260</v>
      </c>
      <c r="G2630" t="s">
        <v>7261</v>
      </c>
      <c r="H2630">
        <v>1020589</v>
      </c>
      <c r="I2630" t="s">
        <v>17</v>
      </c>
      <c r="K2630" t="s">
        <v>7262</v>
      </c>
      <c r="L2630">
        <v>460</v>
      </c>
      <c r="M2630" t="s">
        <v>7263</v>
      </c>
    </row>
    <row r="2631" spans="1:13" x14ac:dyDescent="0.35">
      <c r="A2631" t="s">
        <v>13</v>
      </c>
      <c r="B2631">
        <v>2809822</v>
      </c>
      <c r="C2631">
        <v>2811807</v>
      </c>
      <c r="E2631" t="s">
        <v>38</v>
      </c>
      <c r="F2631" t="s">
        <v>7264</v>
      </c>
      <c r="H2631">
        <v>1020590</v>
      </c>
      <c r="I2631" t="s">
        <v>17</v>
      </c>
      <c r="K2631" t="s">
        <v>7265</v>
      </c>
      <c r="L2631">
        <v>661</v>
      </c>
      <c r="M2631" t="s">
        <v>7266</v>
      </c>
    </row>
    <row r="2632" spans="1:13" x14ac:dyDescent="0.35">
      <c r="A2632" t="s">
        <v>13</v>
      </c>
      <c r="B2632">
        <v>2811958</v>
      </c>
      <c r="C2632">
        <v>2813259</v>
      </c>
      <c r="E2632" t="s">
        <v>38</v>
      </c>
      <c r="F2632" t="s">
        <v>7267</v>
      </c>
      <c r="G2632" t="s">
        <v>7268</v>
      </c>
      <c r="H2632">
        <v>1020591</v>
      </c>
      <c r="I2632" t="s">
        <v>17</v>
      </c>
      <c r="K2632" t="s">
        <v>7269</v>
      </c>
      <c r="L2632">
        <v>433</v>
      </c>
      <c r="M2632" t="s">
        <v>7270</v>
      </c>
    </row>
    <row r="2633" spans="1:13" x14ac:dyDescent="0.35">
      <c r="A2633" t="s">
        <v>13</v>
      </c>
      <c r="B2633">
        <v>2813277</v>
      </c>
      <c r="C2633">
        <v>2814038</v>
      </c>
      <c r="E2633" t="s">
        <v>38</v>
      </c>
      <c r="F2633" t="s">
        <v>7271</v>
      </c>
      <c r="G2633" t="s">
        <v>7272</v>
      </c>
      <c r="H2633">
        <v>1020592</v>
      </c>
      <c r="I2633" t="s">
        <v>17</v>
      </c>
      <c r="K2633" t="s">
        <v>7273</v>
      </c>
      <c r="L2633">
        <v>253</v>
      </c>
      <c r="M2633" t="s">
        <v>7274</v>
      </c>
    </row>
    <row r="2634" spans="1:13" x14ac:dyDescent="0.35">
      <c r="A2634" t="s">
        <v>13</v>
      </c>
      <c r="B2634">
        <v>2814079</v>
      </c>
      <c r="C2634">
        <v>2815245</v>
      </c>
      <c r="E2634" t="s">
        <v>38</v>
      </c>
      <c r="F2634" t="s">
        <v>7275</v>
      </c>
      <c r="H2634">
        <v>1020593</v>
      </c>
      <c r="I2634" t="s">
        <v>17</v>
      </c>
      <c r="K2634" t="s">
        <v>7276</v>
      </c>
      <c r="L2634">
        <v>388</v>
      </c>
      <c r="M2634" t="s">
        <v>7277</v>
      </c>
    </row>
    <row r="2635" spans="1:13" x14ac:dyDescent="0.35">
      <c r="A2635" t="s">
        <v>13</v>
      </c>
      <c r="B2635">
        <v>2815459</v>
      </c>
      <c r="C2635">
        <v>2816397</v>
      </c>
      <c r="E2635" t="s">
        <v>14</v>
      </c>
      <c r="F2635" t="s">
        <v>7278</v>
      </c>
      <c r="H2635">
        <v>1020594</v>
      </c>
      <c r="I2635" t="s">
        <v>17</v>
      </c>
      <c r="K2635" t="s">
        <v>7279</v>
      </c>
      <c r="L2635">
        <v>312</v>
      </c>
      <c r="M2635" t="s">
        <v>7280</v>
      </c>
    </row>
    <row r="2636" spans="1:13" x14ac:dyDescent="0.35">
      <c r="A2636" t="s">
        <v>13</v>
      </c>
      <c r="B2636">
        <v>2816410</v>
      </c>
      <c r="C2636">
        <v>2817321</v>
      </c>
      <c r="E2636" t="s">
        <v>14</v>
      </c>
      <c r="F2636" t="s">
        <v>7281</v>
      </c>
      <c r="H2636">
        <v>1020595</v>
      </c>
      <c r="I2636" t="s">
        <v>17</v>
      </c>
      <c r="K2636" t="s">
        <v>7282</v>
      </c>
      <c r="L2636">
        <v>303</v>
      </c>
      <c r="M2636" t="s">
        <v>7283</v>
      </c>
    </row>
    <row r="2637" spans="1:13" x14ac:dyDescent="0.35">
      <c r="A2637" t="s">
        <v>13</v>
      </c>
      <c r="B2637">
        <v>2817364</v>
      </c>
      <c r="C2637">
        <v>2818062</v>
      </c>
      <c r="E2637" t="s">
        <v>14</v>
      </c>
      <c r="F2637" t="s">
        <v>7284</v>
      </c>
      <c r="H2637">
        <v>1020597</v>
      </c>
      <c r="I2637" t="s">
        <v>17</v>
      </c>
      <c r="K2637" t="s">
        <v>7285</v>
      </c>
      <c r="L2637">
        <v>232</v>
      </c>
      <c r="M2637" t="s">
        <v>7286</v>
      </c>
    </row>
    <row r="2638" spans="1:13" x14ac:dyDescent="0.35">
      <c r="A2638" t="s">
        <v>13</v>
      </c>
      <c r="B2638">
        <v>2818348</v>
      </c>
      <c r="C2638">
        <v>2819565</v>
      </c>
      <c r="E2638" t="s">
        <v>38</v>
      </c>
      <c r="F2638" t="s">
        <v>4381</v>
      </c>
      <c r="H2638">
        <v>1020598</v>
      </c>
      <c r="I2638" t="s">
        <v>17</v>
      </c>
      <c r="K2638" t="s">
        <v>7287</v>
      </c>
      <c r="L2638">
        <v>405</v>
      </c>
      <c r="M2638" t="s">
        <v>7288</v>
      </c>
    </row>
    <row r="2639" spans="1:13" x14ac:dyDescent="0.35">
      <c r="A2639" t="s">
        <v>13</v>
      </c>
      <c r="B2639">
        <v>2819555</v>
      </c>
      <c r="C2639">
        <v>2820277</v>
      </c>
      <c r="E2639" t="s">
        <v>38</v>
      </c>
      <c r="F2639" t="s">
        <v>4846</v>
      </c>
      <c r="H2639">
        <v>1020599</v>
      </c>
      <c r="I2639" t="s">
        <v>17</v>
      </c>
      <c r="K2639" t="s">
        <v>7289</v>
      </c>
      <c r="L2639">
        <v>240</v>
      </c>
      <c r="M2639" t="s">
        <v>7290</v>
      </c>
    </row>
    <row r="2640" spans="1:13" x14ac:dyDescent="0.35">
      <c r="A2640" t="s">
        <v>13</v>
      </c>
      <c r="B2640">
        <v>2820585</v>
      </c>
      <c r="C2640">
        <v>2822195</v>
      </c>
      <c r="E2640" t="s">
        <v>14</v>
      </c>
      <c r="F2640" t="s">
        <v>1008</v>
      </c>
      <c r="H2640">
        <v>1020600</v>
      </c>
      <c r="I2640" t="s">
        <v>17</v>
      </c>
      <c r="K2640" t="s">
        <v>7291</v>
      </c>
      <c r="L2640">
        <v>536</v>
      </c>
      <c r="M2640" t="s">
        <v>7292</v>
      </c>
    </row>
    <row r="2641" spans="1:13" x14ac:dyDescent="0.35">
      <c r="A2641" t="s">
        <v>13</v>
      </c>
      <c r="B2641">
        <v>2822376</v>
      </c>
      <c r="C2641">
        <v>2823341</v>
      </c>
      <c r="E2641" t="s">
        <v>14</v>
      </c>
      <c r="F2641" t="s">
        <v>124</v>
      </c>
      <c r="H2641">
        <v>1020601</v>
      </c>
      <c r="I2641" t="s">
        <v>17</v>
      </c>
      <c r="K2641" t="s">
        <v>7293</v>
      </c>
      <c r="L2641">
        <v>321</v>
      </c>
      <c r="M2641" t="s">
        <v>7294</v>
      </c>
    </row>
    <row r="2642" spans="1:13" x14ac:dyDescent="0.35">
      <c r="A2642" t="s">
        <v>13</v>
      </c>
      <c r="B2642">
        <v>2823342</v>
      </c>
      <c r="C2642">
        <v>2825345</v>
      </c>
      <c r="E2642" t="s">
        <v>14</v>
      </c>
      <c r="F2642" t="s">
        <v>7295</v>
      </c>
      <c r="H2642">
        <v>44145002</v>
      </c>
      <c r="I2642" t="s">
        <v>17</v>
      </c>
      <c r="K2642" t="s">
        <v>7296</v>
      </c>
      <c r="L2642">
        <v>667</v>
      </c>
      <c r="M2642" t="s">
        <v>7297</v>
      </c>
    </row>
    <row r="2643" spans="1:13" x14ac:dyDescent="0.35">
      <c r="A2643" t="s">
        <v>13</v>
      </c>
      <c r="B2643">
        <v>2825342</v>
      </c>
      <c r="C2643">
        <v>2826160</v>
      </c>
      <c r="E2643" t="s">
        <v>14</v>
      </c>
      <c r="F2643" t="s">
        <v>147</v>
      </c>
      <c r="H2643">
        <v>1020603</v>
      </c>
      <c r="I2643" t="s">
        <v>17</v>
      </c>
      <c r="K2643" t="s">
        <v>7298</v>
      </c>
      <c r="L2643">
        <v>272</v>
      </c>
      <c r="M2643" t="s">
        <v>7299</v>
      </c>
    </row>
    <row r="2644" spans="1:13" x14ac:dyDescent="0.35">
      <c r="A2644" t="s">
        <v>13</v>
      </c>
      <c r="B2644">
        <v>2826213</v>
      </c>
      <c r="C2644">
        <v>2826836</v>
      </c>
      <c r="E2644" t="s">
        <v>38</v>
      </c>
      <c r="F2644" t="s">
        <v>463</v>
      </c>
      <c r="H2644">
        <v>1020604</v>
      </c>
      <c r="I2644" t="s">
        <v>17</v>
      </c>
      <c r="K2644" t="s">
        <v>7300</v>
      </c>
      <c r="L2644">
        <v>207</v>
      </c>
      <c r="M2644" t="s">
        <v>7301</v>
      </c>
    </row>
    <row r="2645" spans="1:13" x14ac:dyDescent="0.35">
      <c r="A2645" t="s">
        <v>13</v>
      </c>
      <c r="B2645">
        <v>2826908</v>
      </c>
      <c r="C2645">
        <v>2827408</v>
      </c>
      <c r="E2645" t="s">
        <v>14</v>
      </c>
      <c r="F2645" t="s">
        <v>788</v>
      </c>
      <c r="H2645">
        <v>1020605</v>
      </c>
      <c r="I2645" t="s">
        <v>17</v>
      </c>
      <c r="K2645" t="s">
        <v>7302</v>
      </c>
      <c r="L2645">
        <v>166</v>
      </c>
      <c r="M2645" t="s">
        <v>7303</v>
      </c>
    </row>
    <row r="2646" spans="1:13" x14ac:dyDescent="0.35">
      <c r="A2646" t="s">
        <v>13</v>
      </c>
      <c r="B2646">
        <v>2827456</v>
      </c>
      <c r="C2646">
        <v>2827818</v>
      </c>
      <c r="E2646" t="s">
        <v>38</v>
      </c>
      <c r="F2646" t="s">
        <v>49</v>
      </c>
      <c r="H2646">
        <v>1020606</v>
      </c>
      <c r="I2646" t="s">
        <v>17</v>
      </c>
      <c r="K2646" t="s">
        <v>7304</v>
      </c>
      <c r="L2646">
        <v>120</v>
      </c>
      <c r="M2646" t="s">
        <v>7305</v>
      </c>
    </row>
    <row r="2647" spans="1:13" x14ac:dyDescent="0.35">
      <c r="A2647" t="s">
        <v>13</v>
      </c>
      <c r="B2647">
        <v>2827902</v>
      </c>
      <c r="C2647">
        <v>2828384</v>
      </c>
      <c r="E2647" t="s">
        <v>38</v>
      </c>
      <c r="F2647" t="s">
        <v>7306</v>
      </c>
      <c r="G2647" t="s">
        <v>7307</v>
      </c>
      <c r="H2647">
        <v>1020607</v>
      </c>
      <c r="I2647" t="s">
        <v>17</v>
      </c>
      <c r="K2647" t="s">
        <v>7308</v>
      </c>
      <c r="L2647">
        <v>160</v>
      </c>
      <c r="M2647" t="s">
        <v>7309</v>
      </c>
    </row>
    <row r="2648" spans="1:13" x14ac:dyDescent="0.35">
      <c r="A2648" t="s">
        <v>13</v>
      </c>
      <c r="B2648">
        <v>2828377</v>
      </c>
      <c r="C2648">
        <v>2829147</v>
      </c>
      <c r="E2648" t="s">
        <v>38</v>
      </c>
      <c r="F2648" t="s">
        <v>7310</v>
      </c>
      <c r="G2648" t="s">
        <v>7311</v>
      </c>
      <c r="H2648">
        <v>1020608</v>
      </c>
      <c r="I2648" t="s">
        <v>17</v>
      </c>
      <c r="K2648" t="s">
        <v>7312</v>
      </c>
      <c r="L2648">
        <v>256</v>
      </c>
      <c r="M2648" t="s">
        <v>7313</v>
      </c>
    </row>
    <row r="2649" spans="1:13" x14ac:dyDescent="0.35">
      <c r="A2649" t="s">
        <v>13</v>
      </c>
      <c r="B2649">
        <v>2829154</v>
      </c>
      <c r="C2649">
        <v>2829750</v>
      </c>
      <c r="E2649" t="s">
        <v>38</v>
      </c>
      <c r="F2649" t="s">
        <v>7314</v>
      </c>
      <c r="H2649">
        <v>1020609</v>
      </c>
      <c r="I2649" t="s">
        <v>17</v>
      </c>
      <c r="K2649" t="s">
        <v>7315</v>
      </c>
      <c r="L2649">
        <v>198</v>
      </c>
      <c r="M2649" t="s">
        <v>7316</v>
      </c>
    </row>
    <row r="2650" spans="1:13" x14ac:dyDescent="0.35">
      <c r="A2650" t="s">
        <v>13</v>
      </c>
      <c r="B2650">
        <v>2830058</v>
      </c>
      <c r="C2650">
        <v>2830783</v>
      </c>
      <c r="E2650" t="s">
        <v>14</v>
      </c>
      <c r="F2650" t="s">
        <v>835</v>
      </c>
      <c r="H2650">
        <v>1020611</v>
      </c>
      <c r="I2650" t="s">
        <v>17</v>
      </c>
      <c r="K2650" t="s">
        <v>7317</v>
      </c>
      <c r="L2650">
        <v>241</v>
      </c>
      <c r="M2650" t="s">
        <v>7318</v>
      </c>
    </row>
    <row r="2651" spans="1:13" x14ac:dyDescent="0.35">
      <c r="A2651" t="s">
        <v>13</v>
      </c>
      <c r="B2651">
        <v>2830780</v>
      </c>
      <c r="C2651">
        <v>2831898</v>
      </c>
      <c r="E2651" t="s">
        <v>14</v>
      </c>
      <c r="F2651" t="s">
        <v>237</v>
      </c>
      <c r="H2651">
        <v>1020612</v>
      </c>
      <c r="I2651" t="s">
        <v>17</v>
      </c>
      <c r="K2651" t="s">
        <v>7319</v>
      </c>
      <c r="L2651">
        <v>372</v>
      </c>
      <c r="M2651" t="s">
        <v>7320</v>
      </c>
    </row>
    <row r="2652" spans="1:13" x14ac:dyDescent="0.35">
      <c r="A2652" t="s">
        <v>13</v>
      </c>
      <c r="B2652">
        <v>2832086</v>
      </c>
      <c r="C2652">
        <v>2832670</v>
      </c>
      <c r="E2652" t="s">
        <v>14</v>
      </c>
      <c r="F2652" t="s">
        <v>49</v>
      </c>
      <c r="H2652">
        <v>1020613</v>
      </c>
      <c r="I2652" t="s">
        <v>17</v>
      </c>
      <c r="K2652" t="s">
        <v>7321</v>
      </c>
      <c r="L2652">
        <v>194</v>
      </c>
      <c r="M2652" t="s">
        <v>7322</v>
      </c>
    </row>
    <row r="2653" spans="1:13" x14ac:dyDescent="0.35">
      <c r="A2653" t="s">
        <v>13</v>
      </c>
      <c r="B2653">
        <v>2832791</v>
      </c>
      <c r="C2653">
        <v>2834185</v>
      </c>
      <c r="E2653" t="s">
        <v>14</v>
      </c>
      <c r="F2653" t="s">
        <v>7323</v>
      </c>
      <c r="G2653" t="s">
        <v>7324</v>
      </c>
      <c r="H2653">
        <v>1020614</v>
      </c>
      <c r="I2653" t="s">
        <v>17</v>
      </c>
      <c r="K2653" t="s">
        <v>7325</v>
      </c>
      <c r="L2653">
        <v>464</v>
      </c>
      <c r="M2653" t="s">
        <v>7326</v>
      </c>
    </row>
    <row r="2654" spans="1:13" x14ac:dyDescent="0.35">
      <c r="A2654" t="s">
        <v>13</v>
      </c>
      <c r="B2654">
        <v>2834189</v>
      </c>
      <c r="C2654">
        <v>2835289</v>
      </c>
      <c r="E2654" t="s">
        <v>14</v>
      </c>
      <c r="F2654" t="s">
        <v>7327</v>
      </c>
      <c r="G2654" t="s">
        <v>7328</v>
      </c>
      <c r="H2654">
        <v>1020615</v>
      </c>
      <c r="I2654" t="s">
        <v>17</v>
      </c>
      <c r="K2654" t="s">
        <v>7329</v>
      </c>
      <c r="L2654">
        <v>366</v>
      </c>
      <c r="M2654" t="s">
        <v>7330</v>
      </c>
    </row>
    <row r="2655" spans="1:13" x14ac:dyDescent="0.35">
      <c r="A2655" t="s">
        <v>13</v>
      </c>
      <c r="B2655">
        <v>2835281</v>
      </c>
      <c r="C2655">
        <v>2835970</v>
      </c>
      <c r="E2655" t="s">
        <v>38</v>
      </c>
      <c r="F2655" t="s">
        <v>49</v>
      </c>
      <c r="H2655">
        <v>1020616</v>
      </c>
      <c r="I2655" t="s">
        <v>17</v>
      </c>
      <c r="K2655" t="s">
        <v>7331</v>
      </c>
      <c r="L2655">
        <v>229</v>
      </c>
      <c r="M2655" t="s">
        <v>7332</v>
      </c>
    </row>
    <row r="2656" spans="1:13" x14ac:dyDescent="0.35">
      <c r="A2656" t="s">
        <v>13</v>
      </c>
      <c r="B2656">
        <v>2836046</v>
      </c>
      <c r="C2656">
        <v>2837500</v>
      </c>
      <c r="E2656" t="s">
        <v>38</v>
      </c>
      <c r="F2656" t="s">
        <v>1592</v>
      </c>
      <c r="H2656">
        <v>1020617</v>
      </c>
      <c r="I2656" t="s">
        <v>17</v>
      </c>
      <c r="K2656" t="s">
        <v>7333</v>
      </c>
      <c r="L2656">
        <v>484</v>
      </c>
      <c r="M2656" t="s">
        <v>7334</v>
      </c>
    </row>
    <row r="2657" spans="1:13" x14ac:dyDescent="0.35">
      <c r="A2657" t="s">
        <v>13</v>
      </c>
      <c r="B2657">
        <v>2837954</v>
      </c>
      <c r="C2657">
        <v>2838577</v>
      </c>
      <c r="E2657" t="s">
        <v>38</v>
      </c>
      <c r="F2657" t="s">
        <v>7335</v>
      </c>
      <c r="H2657">
        <v>1020618</v>
      </c>
      <c r="I2657" t="s">
        <v>17</v>
      </c>
      <c r="K2657" t="s">
        <v>7336</v>
      </c>
      <c r="L2657">
        <v>207</v>
      </c>
      <c r="M2657" t="s">
        <v>7337</v>
      </c>
    </row>
    <row r="2658" spans="1:13" x14ac:dyDescent="0.35">
      <c r="A2658" t="s">
        <v>13</v>
      </c>
      <c r="B2658">
        <v>2838644</v>
      </c>
      <c r="C2658">
        <v>2839525</v>
      </c>
      <c r="E2658" t="s">
        <v>14</v>
      </c>
      <c r="F2658" t="s">
        <v>7338</v>
      </c>
      <c r="H2658">
        <v>1020619</v>
      </c>
      <c r="I2658" t="s">
        <v>17</v>
      </c>
      <c r="K2658" t="s">
        <v>7339</v>
      </c>
      <c r="L2658">
        <v>293</v>
      </c>
      <c r="M2658" t="s">
        <v>7340</v>
      </c>
    </row>
    <row r="2659" spans="1:13" x14ac:dyDescent="0.35">
      <c r="A2659" t="s">
        <v>13</v>
      </c>
      <c r="B2659">
        <v>2839563</v>
      </c>
      <c r="C2659">
        <v>2840720</v>
      </c>
      <c r="E2659" t="s">
        <v>14</v>
      </c>
      <c r="F2659" t="s">
        <v>49</v>
      </c>
      <c r="H2659">
        <v>1020620</v>
      </c>
      <c r="I2659" t="s">
        <v>17</v>
      </c>
      <c r="K2659" t="s">
        <v>7341</v>
      </c>
      <c r="L2659">
        <v>385</v>
      </c>
      <c r="M2659" t="s">
        <v>7342</v>
      </c>
    </row>
    <row r="2660" spans="1:13" x14ac:dyDescent="0.35">
      <c r="A2660" t="s">
        <v>13</v>
      </c>
      <c r="B2660">
        <v>2840756</v>
      </c>
      <c r="C2660">
        <v>2840929</v>
      </c>
      <c r="E2660" t="s">
        <v>38</v>
      </c>
      <c r="F2660" t="s">
        <v>7343</v>
      </c>
      <c r="H2660">
        <v>44145003</v>
      </c>
      <c r="I2660" t="s">
        <v>17</v>
      </c>
      <c r="K2660" t="s">
        <v>7344</v>
      </c>
      <c r="L2660">
        <v>57</v>
      </c>
      <c r="M2660" t="s">
        <v>7345</v>
      </c>
    </row>
    <row r="2661" spans="1:13" x14ac:dyDescent="0.35">
      <c r="A2661" t="s">
        <v>13</v>
      </c>
      <c r="B2661">
        <v>2841076</v>
      </c>
      <c r="C2661">
        <v>2841852</v>
      </c>
      <c r="E2661" t="s">
        <v>14</v>
      </c>
      <c r="F2661" t="s">
        <v>7346</v>
      </c>
      <c r="H2661">
        <v>1020621</v>
      </c>
      <c r="I2661" t="s">
        <v>17</v>
      </c>
      <c r="K2661" t="s">
        <v>7347</v>
      </c>
      <c r="L2661">
        <v>258</v>
      </c>
      <c r="M2661" t="s">
        <v>7348</v>
      </c>
    </row>
    <row r="2662" spans="1:13" x14ac:dyDescent="0.35">
      <c r="A2662" t="s">
        <v>13</v>
      </c>
      <c r="B2662">
        <v>2842494</v>
      </c>
      <c r="C2662">
        <v>2843237</v>
      </c>
      <c r="E2662" t="s">
        <v>14</v>
      </c>
      <c r="F2662" t="s">
        <v>7349</v>
      </c>
      <c r="H2662">
        <v>1020622</v>
      </c>
      <c r="I2662" t="s">
        <v>17</v>
      </c>
      <c r="K2662" t="s">
        <v>7350</v>
      </c>
      <c r="L2662">
        <v>247</v>
      </c>
      <c r="M2662" t="s">
        <v>7351</v>
      </c>
    </row>
    <row r="2663" spans="1:13" x14ac:dyDescent="0.35">
      <c r="A2663" t="s">
        <v>13</v>
      </c>
      <c r="B2663">
        <v>2843430</v>
      </c>
      <c r="C2663">
        <v>2843723</v>
      </c>
      <c r="E2663" t="s">
        <v>38</v>
      </c>
      <c r="F2663" t="s">
        <v>2646</v>
      </c>
      <c r="H2663">
        <v>1020623</v>
      </c>
      <c r="I2663" t="s">
        <v>17</v>
      </c>
      <c r="K2663" t="s">
        <v>7352</v>
      </c>
      <c r="L2663">
        <v>97</v>
      </c>
      <c r="M2663" t="s">
        <v>7353</v>
      </c>
    </row>
    <row r="2664" spans="1:13" x14ac:dyDescent="0.35">
      <c r="A2664" t="s">
        <v>13</v>
      </c>
      <c r="B2664">
        <v>2844164</v>
      </c>
      <c r="C2664">
        <v>2846941</v>
      </c>
      <c r="E2664" t="s">
        <v>38</v>
      </c>
      <c r="F2664" t="s">
        <v>4932</v>
      </c>
      <c r="H2664">
        <v>1020624</v>
      </c>
      <c r="I2664" t="s">
        <v>17</v>
      </c>
      <c r="K2664" t="s">
        <v>7354</v>
      </c>
      <c r="L2664">
        <v>925</v>
      </c>
      <c r="M2664" t="s">
        <v>7355</v>
      </c>
    </row>
    <row r="2665" spans="1:13" x14ac:dyDescent="0.35">
      <c r="A2665" t="s">
        <v>13</v>
      </c>
      <c r="B2665">
        <v>2847230</v>
      </c>
      <c r="C2665">
        <v>2848663</v>
      </c>
      <c r="E2665" t="s">
        <v>14</v>
      </c>
      <c r="F2665" t="s">
        <v>7356</v>
      </c>
      <c r="H2665">
        <v>1020625</v>
      </c>
      <c r="I2665" t="s">
        <v>17</v>
      </c>
      <c r="K2665" t="s">
        <v>7357</v>
      </c>
      <c r="L2665">
        <v>477</v>
      </c>
      <c r="M2665" t="s">
        <v>7358</v>
      </c>
    </row>
    <row r="2666" spans="1:13" x14ac:dyDescent="0.35">
      <c r="A2666" t="s">
        <v>13</v>
      </c>
      <c r="B2666">
        <v>2848851</v>
      </c>
      <c r="C2666">
        <v>2849783</v>
      </c>
      <c r="E2666" t="s">
        <v>14</v>
      </c>
      <c r="F2666" t="s">
        <v>138</v>
      </c>
      <c r="H2666">
        <v>1020626</v>
      </c>
      <c r="I2666" t="s">
        <v>17</v>
      </c>
      <c r="K2666" t="s">
        <v>7359</v>
      </c>
      <c r="L2666">
        <v>310</v>
      </c>
      <c r="M2666" t="s">
        <v>7360</v>
      </c>
    </row>
    <row r="2667" spans="1:13" x14ac:dyDescent="0.35">
      <c r="A2667" t="s">
        <v>13</v>
      </c>
      <c r="B2667">
        <v>2849936</v>
      </c>
      <c r="C2667">
        <v>2851819</v>
      </c>
      <c r="E2667" t="s">
        <v>14</v>
      </c>
      <c r="F2667" t="s">
        <v>7361</v>
      </c>
      <c r="H2667">
        <v>1020627</v>
      </c>
      <c r="I2667" t="s">
        <v>17</v>
      </c>
      <c r="K2667" t="s">
        <v>7362</v>
      </c>
      <c r="L2667">
        <v>627</v>
      </c>
      <c r="M2667" t="s">
        <v>7363</v>
      </c>
    </row>
    <row r="2668" spans="1:13" x14ac:dyDescent="0.35">
      <c r="A2668" t="s">
        <v>13</v>
      </c>
      <c r="B2668">
        <v>2852018</v>
      </c>
      <c r="C2668">
        <v>2853736</v>
      </c>
      <c r="E2668" t="s">
        <v>14</v>
      </c>
      <c r="F2668" t="s">
        <v>49</v>
      </c>
      <c r="H2668">
        <v>1020628</v>
      </c>
      <c r="I2668" t="s">
        <v>17</v>
      </c>
      <c r="K2668" t="s">
        <v>7364</v>
      </c>
      <c r="L2668">
        <v>572</v>
      </c>
      <c r="M2668" t="s">
        <v>7365</v>
      </c>
    </row>
    <row r="2669" spans="1:13" x14ac:dyDescent="0.35">
      <c r="A2669" t="s">
        <v>13</v>
      </c>
      <c r="B2669">
        <v>2853770</v>
      </c>
      <c r="C2669">
        <v>2855713</v>
      </c>
      <c r="E2669" t="s">
        <v>14</v>
      </c>
      <c r="F2669" t="s">
        <v>49</v>
      </c>
      <c r="H2669">
        <v>1020629</v>
      </c>
      <c r="I2669" t="s">
        <v>17</v>
      </c>
      <c r="K2669" t="s">
        <v>7366</v>
      </c>
      <c r="L2669">
        <v>647</v>
      </c>
      <c r="M2669" t="s">
        <v>7367</v>
      </c>
    </row>
    <row r="2670" spans="1:13" x14ac:dyDescent="0.35">
      <c r="A2670" t="s">
        <v>13</v>
      </c>
      <c r="B2670">
        <v>2855796</v>
      </c>
      <c r="C2670">
        <v>2857520</v>
      </c>
      <c r="E2670" t="s">
        <v>14</v>
      </c>
      <c r="F2670" t="s">
        <v>49</v>
      </c>
      <c r="H2670">
        <v>1020630</v>
      </c>
      <c r="I2670" t="s">
        <v>17</v>
      </c>
      <c r="K2670" t="s">
        <v>7368</v>
      </c>
      <c r="L2670">
        <v>574</v>
      </c>
      <c r="M2670" t="s">
        <v>7369</v>
      </c>
    </row>
    <row r="2671" spans="1:13" x14ac:dyDescent="0.35">
      <c r="A2671" t="s">
        <v>13</v>
      </c>
      <c r="B2671">
        <v>2857611</v>
      </c>
      <c r="C2671">
        <v>2859056</v>
      </c>
      <c r="E2671" t="s">
        <v>38</v>
      </c>
      <c r="F2671" t="s">
        <v>1129</v>
      </c>
      <c r="H2671">
        <v>1020631</v>
      </c>
      <c r="I2671" t="s">
        <v>17</v>
      </c>
      <c r="K2671" t="s">
        <v>7370</v>
      </c>
      <c r="L2671">
        <v>481</v>
      </c>
      <c r="M2671" t="s">
        <v>7371</v>
      </c>
    </row>
    <row r="2672" spans="1:13" x14ac:dyDescent="0.35">
      <c r="A2672" t="s">
        <v>13</v>
      </c>
      <c r="B2672">
        <v>2859193</v>
      </c>
      <c r="C2672">
        <v>2860146</v>
      </c>
      <c r="E2672" t="s">
        <v>38</v>
      </c>
      <c r="F2672" t="s">
        <v>7372</v>
      </c>
      <c r="H2672">
        <v>1020632</v>
      </c>
      <c r="I2672" t="s">
        <v>17</v>
      </c>
      <c r="K2672" t="s">
        <v>7373</v>
      </c>
      <c r="L2672">
        <v>317</v>
      </c>
      <c r="M2672" t="s">
        <v>7374</v>
      </c>
    </row>
    <row r="2673" spans="1:13" x14ac:dyDescent="0.35">
      <c r="A2673" t="s">
        <v>13</v>
      </c>
      <c r="B2673">
        <v>2860503</v>
      </c>
      <c r="C2673">
        <v>2862083</v>
      </c>
      <c r="E2673" t="s">
        <v>38</v>
      </c>
      <c r="F2673" t="s">
        <v>7375</v>
      </c>
      <c r="G2673" t="s">
        <v>7376</v>
      </c>
      <c r="H2673">
        <v>1020633</v>
      </c>
      <c r="I2673" t="s">
        <v>17</v>
      </c>
      <c r="K2673" t="s">
        <v>7377</v>
      </c>
      <c r="L2673">
        <v>526</v>
      </c>
      <c r="M2673" t="s">
        <v>7378</v>
      </c>
    </row>
    <row r="2674" spans="1:13" x14ac:dyDescent="0.35">
      <c r="A2674" t="s">
        <v>13</v>
      </c>
      <c r="B2674">
        <v>2862130</v>
      </c>
      <c r="C2674">
        <v>2862930</v>
      </c>
      <c r="E2674" t="s">
        <v>38</v>
      </c>
      <c r="F2674" t="s">
        <v>7379</v>
      </c>
      <c r="H2674">
        <v>1020634</v>
      </c>
      <c r="I2674" t="s">
        <v>17</v>
      </c>
      <c r="K2674" t="s">
        <v>7380</v>
      </c>
      <c r="L2674">
        <v>266</v>
      </c>
      <c r="M2674" t="s">
        <v>7381</v>
      </c>
    </row>
    <row r="2675" spans="1:13" x14ac:dyDescent="0.35">
      <c r="A2675" t="s">
        <v>13</v>
      </c>
      <c r="B2675">
        <v>2862927</v>
      </c>
      <c r="C2675">
        <v>2863622</v>
      </c>
      <c r="E2675" t="s">
        <v>38</v>
      </c>
      <c r="F2675" t="s">
        <v>49</v>
      </c>
      <c r="H2675">
        <v>1020635</v>
      </c>
      <c r="I2675" t="s">
        <v>17</v>
      </c>
      <c r="K2675" t="s">
        <v>7382</v>
      </c>
      <c r="L2675">
        <v>231</v>
      </c>
      <c r="M2675" t="s">
        <v>7383</v>
      </c>
    </row>
    <row r="2676" spans="1:13" x14ac:dyDescent="0.35">
      <c r="A2676" t="s">
        <v>13</v>
      </c>
      <c r="B2676">
        <v>2863622</v>
      </c>
      <c r="C2676">
        <v>2864371</v>
      </c>
      <c r="E2676" t="s">
        <v>38</v>
      </c>
      <c r="F2676" t="s">
        <v>7384</v>
      </c>
      <c r="H2676">
        <v>1020636</v>
      </c>
      <c r="I2676" t="s">
        <v>17</v>
      </c>
      <c r="K2676" t="s">
        <v>7385</v>
      </c>
      <c r="L2676">
        <v>249</v>
      </c>
      <c r="M2676" t="s">
        <v>7386</v>
      </c>
    </row>
    <row r="2677" spans="1:13" x14ac:dyDescent="0.35">
      <c r="A2677" t="s">
        <v>13</v>
      </c>
      <c r="B2677">
        <v>2864382</v>
      </c>
      <c r="C2677">
        <v>2864849</v>
      </c>
      <c r="E2677" t="s">
        <v>38</v>
      </c>
      <c r="F2677" t="s">
        <v>7387</v>
      </c>
      <c r="H2677">
        <v>1020637</v>
      </c>
      <c r="I2677" t="s">
        <v>17</v>
      </c>
      <c r="K2677" t="s">
        <v>7388</v>
      </c>
      <c r="L2677">
        <v>155</v>
      </c>
      <c r="M2677" t="s">
        <v>7389</v>
      </c>
    </row>
    <row r="2678" spans="1:13" x14ac:dyDescent="0.35">
      <c r="A2678" t="s">
        <v>13</v>
      </c>
      <c r="B2678">
        <v>2864865</v>
      </c>
      <c r="C2678">
        <v>2865344</v>
      </c>
      <c r="E2678" t="s">
        <v>38</v>
      </c>
      <c r="F2678" t="s">
        <v>7390</v>
      </c>
      <c r="G2678" t="s">
        <v>7391</v>
      </c>
      <c r="H2678">
        <v>1020638</v>
      </c>
      <c r="I2678" t="s">
        <v>17</v>
      </c>
      <c r="K2678" t="s">
        <v>7392</v>
      </c>
      <c r="L2678">
        <v>159</v>
      </c>
      <c r="M2678" t="s">
        <v>7393</v>
      </c>
    </row>
    <row r="2679" spans="1:13" x14ac:dyDescent="0.35">
      <c r="A2679" t="s">
        <v>13</v>
      </c>
      <c r="B2679">
        <v>2865344</v>
      </c>
      <c r="C2679">
        <v>2865736</v>
      </c>
      <c r="E2679" t="s">
        <v>38</v>
      </c>
      <c r="F2679" t="s">
        <v>7394</v>
      </c>
      <c r="G2679" t="s">
        <v>7395</v>
      </c>
      <c r="H2679">
        <v>1020639</v>
      </c>
      <c r="I2679" t="s">
        <v>17</v>
      </c>
      <c r="K2679" t="s">
        <v>7396</v>
      </c>
      <c r="L2679">
        <v>130</v>
      </c>
      <c r="M2679" t="s">
        <v>7397</v>
      </c>
    </row>
    <row r="2680" spans="1:13" x14ac:dyDescent="0.35">
      <c r="A2680" t="s">
        <v>13</v>
      </c>
      <c r="B2680">
        <v>2865729</v>
      </c>
      <c r="C2680">
        <v>2866583</v>
      </c>
      <c r="E2680" t="s">
        <v>38</v>
      </c>
      <c r="F2680" t="s">
        <v>3170</v>
      </c>
      <c r="G2680" t="s">
        <v>3171</v>
      </c>
      <c r="H2680">
        <v>1020641</v>
      </c>
      <c r="I2680" t="s">
        <v>17</v>
      </c>
      <c r="K2680" t="s">
        <v>7398</v>
      </c>
      <c r="L2680">
        <v>284</v>
      </c>
      <c r="M2680" t="s">
        <v>7399</v>
      </c>
    </row>
    <row r="2681" spans="1:13" x14ac:dyDescent="0.35">
      <c r="A2681" t="s">
        <v>13</v>
      </c>
      <c r="B2681">
        <v>2866584</v>
      </c>
      <c r="C2681">
        <v>2867189</v>
      </c>
      <c r="E2681" t="s">
        <v>38</v>
      </c>
      <c r="F2681" t="s">
        <v>7400</v>
      </c>
      <c r="G2681" t="s">
        <v>7401</v>
      </c>
      <c r="H2681">
        <v>1020642</v>
      </c>
      <c r="I2681" t="s">
        <v>17</v>
      </c>
      <c r="K2681" t="s">
        <v>7402</v>
      </c>
      <c r="L2681">
        <v>201</v>
      </c>
      <c r="M2681" t="s">
        <v>7403</v>
      </c>
    </row>
    <row r="2682" spans="1:13" x14ac:dyDescent="0.35">
      <c r="A2682" t="s">
        <v>13</v>
      </c>
      <c r="B2682">
        <v>2867167</v>
      </c>
      <c r="C2682">
        <v>2869728</v>
      </c>
      <c r="E2682" t="s">
        <v>38</v>
      </c>
      <c r="F2682" t="s">
        <v>7404</v>
      </c>
      <c r="G2682" t="s">
        <v>7405</v>
      </c>
      <c r="H2682">
        <v>1020643</v>
      </c>
      <c r="I2682" t="s">
        <v>17</v>
      </c>
      <c r="K2682" t="s">
        <v>7406</v>
      </c>
      <c r="L2682">
        <v>853</v>
      </c>
      <c r="M2682" t="s">
        <v>7407</v>
      </c>
    </row>
    <row r="2683" spans="1:13" x14ac:dyDescent="0.35">
      <c r="A2683" t="s">
        <v>13</v>
      </c>
      <c r="B2683">
        <v>2869861</v>
      </c>
      <c r="C2683">
        <v>2870445</v>
      </c>
      <c r="E2683" t="s">
        <v>38</v>
      </c>
      <c r="F2683" t="s">
        <v>7408</v>
      </c>
      <c r="G2683" t="s">
        <v>7409</v>
      </c>
      <c r="H2683">
        <v>1020644</v>
      </c>
      <c r="I2683" t="s">
        <v>17</v>
      </c>
      <c r="K2683" t="s">
        <v>7410</v>
      </c>
      <c r="L2683">
        <v>194</v>
      </c>
      <c r="M2683" t="s">
        <v>7411</v>
      </c>
    </row>
    <row r="2684" spans="1:13" x14ac:dyDescent="0.35">
      <c r="A2684" t="s">
        <v>13</v>
      </c>
      <c r="B2684">
        <v>2870497</v>
      </c>
      <c r="C2684">
        <v>2871441</v>
      </c>
      <c r="E2684" t="s">
        <v>38</v>
      </c>
      <c r="F2684" t="s">
        <v>7412</v>
      </c>
      <c r="G2684" t="s">
        <v>7413</v>
      </c>
      <c r="H2684">
        <v>1020645</v>
      </c>
      <c r="I2684" t="s">
        <v>17</v>
      </c>
      <c r="K2684" t="s">
        <v>7414</v>
      </c>
      <c r="L2684">
        <v>314</v>
      </c>
      <c r="M2684" t="s">
        <v>7415</v>
      </c>
    </row>
    <row r="2685" spans="1:13" x14ac:dyDescent="0.35">
      <c r="A2685" t="s">
        <v>13</v>
      </c>
      <c r="B2685">
        <v>2871443</v>
      </c>
      <c r="C2685">
        <v>2872726</v>
      </c>
      <c r="E2685" t="s">
        <v>38</v>
      </c>
      <c r="F2685" t="s">
        <v>7416</v>
      </c>
      <c r="G2685" t="s">
        <v>7417</v>
      </c>
      <c r="H2685">
        <v>1020647</v>
      </c>
      <c r="I2685" t="s">
        <v>17</v>
      </c>
      <c r="K2685" t="s">
        <v>7418</v>
      </c>
      <c r="L2685">
        <v>427</v>
      </c>
      <c r="M2685" t="s">
        <v>7419</v>
      </c>
    </row>
    <row r="2686" spans="1:13" x14ac:dyDescent="0.35">
      <c r="A2686" t="s">
        <v>13</v>
      </c>
      <c r="B2686">
        <v>2872927</v>
      </c>
      <c r="C2686">
        <v>2873403</v>
      </c>
      <c r="E2686" t="s">
        <v>14</v>
      </c>
      <c r="F2686" t="s">
        <v>7420</v>
      </c>
      <c r="H2686">
        <v>1020648</v>
      </c>
      <c r="I2686" t="s">
        <v>17</v>
      </c>
      <c r="K2686" t="s">
        <v>7421</v>
      </c>
      <c r="L2686">
        <v>158</v>
      </c>
      <c r="M2686" t="s">
        <v>7422</v>
      </c>
    </row>
    <row r="2687" spans="1:13" x14ac:dyDescent="0.35">
      <c r="A2687" t="s">
        <v>13</v>
      </c>
      <c r="B2687">
        <v>2873903</v>
      </c>
      <c r="C2687">
        <v>2875444</v>
      </c>
      <c r="E2687" t="s">
        <v>38</v>
      </c>
      <c r="F2687" t="s">
        <v>7423</v>
      </c>
      <c r="H2687">
        <v>1020649</v>
      </c>
      <c r="I2687" t="s">
        <v>17</v>
      </c>
      <c r="K2687" t="s">
        <v>7424</v>
      </c>
      <c r="L2687">
        <v>513</v>
      </c>
      <c r="M2687" t="s">
        <v>7425</v>
      </c>
    </row>
    <row r="2688" spans="1:13" x14ac:dyDescent="0.35">
      <c r="A2688" t="s">
        <v>13</v>
      </c>
      <c r="B2688">
        <v>2875432</v>
      </c>
      <c r="C2688">
        <v>2875857</v>
      </c>
      <c r="E2688" t="s">
        <v>38</v>
      </c>
      <c r="F2688" t="s">
        <v>7426</v>
      </c>
      <c r="H2688">
        <v>1020650</v>
      </c>
      <c r="I2688" t="s">
        <v>17</v>
      </c>
      <c r="K2688" t="s">
        <v>7427</v>
      </c>
      <c r="L2688">
        <v>141</v>
      </c>
      <c r="M2688" t="s">
        <v>7428</v>
      </c>
    </row>
    <row r="2689" spans="1:13" x14ac:dyDescent="0.35">
      <c r="A2689" t="s">
        <v>13</v>
      </c>
      <c r="B2689">
        <v>2875868</v>
      </c>
      <c r="C2689">
        <v>2876281</v>
      </c>
      <c r="E2689" t="s">
        <v>38</v>
      </c>
      <c r="F2689" t="s">
        <v>7429</v>
      </c>
      <c r="H2689">
        <v>1020651</v>
      </c>
      <c r="I2689" t="s">
        <v>17</v>
      </c>
      <c r="K2689" t="s">
        <v>7430</v>
      </c>
      <c r="L2689">
        <v>137</v>
      </c>
      <c r="M2689" t="s">
        <v>7431</v>
      </c>
    </row>
    <row r="2690" spans="1:13" x14ac:dyDescent="0.35">
      <c r="A2690" t="s">
        <v>13</v>
      </c>
      <c r="B2690">
        <v>2876278</v>
      </c>
      <c r="C2690">
        <v>2876778</v>
      </c>
      <c r="E2690" t="s">
        <v>38</v>
      </c>
      <c r="F2690" t="s">
        <v>7432</v>
      </c>
      <c r="H2690">
        <v>1020652</v>
      </c>
      <c r="I2690" t="s">
        <v>17</v>
      </c>
      <c r="K2690" t="s">
        <v>7433</v>
      </c>
      <c r="L2690">
        <v>166</v>
      </c>
      <c r="M2690" t="s">
        <v>7434</v>
      </c>
    </row>
    <row r="2691" spans="1:13" x14ac:dyDescent="0.35">
      <c r="A2691" t="s">
        <v>13</v>
      </c>
      <c r="B2691">
        <v>2876775</v>
      </c>
      <c r="C2691">
        <v>2877386</v>
      </c>
      <c r="E2691" t="s">
        <v>38</v>
      </c>
      <c r="F2691" t="s">
        <v>7435</v>
      </c>
      <c r="H2691">
        <v>1020653</v>
      </c>
      <c r="I2691" t="s">
        <v>17</v>
      </c>
      <c r="K2691" t="s">
        <v>7436</v>
      </c>
      <c r="L2691">
        <v>203</v>
      </c>
      <c r="M2691" t="s">
        <v>7437</v>
      </c>
    </row>
    <row r="2692" spans="1:13" x14ac:dyDescent="0.35">
      <c r="A2692" t="s">
        <v>13</v>
      </c>
      <c r="B2692">
        <v>2877453</v>
      </c>
      <c r="C2692">
        <v>2877704</v>
      </c>
      <c r="E2692" t="s">
        <v>38</v>
      </c>
      <c r="F2692" t="s">
        <v>49</v>
      </c>
      <c r="H2692">
        <v>92792314</v>
      </c>
      <c r="I2692" t="s">
        <v>17</v>
      </c>
      <c r="K2692" t="s">
        <v>7438</v>
      </c>
      <c r="L2692">
        <v>83</v>
      </c>
      <c r="M2692" t="s">
        <v>7439</v>
      </c>
    </row>
    <row r="2693" spans="1:13" x14ac:dyDescent="0.35">
      <c r="A2693" t="s">
        <v>13</v>
      </c>
      <c r="B2693">
        <v>2878476</v>
      </c>
      <c r="C2693">
        <v>2879711</v>
      </c>
      <c r="E2693" t="s">
        <v>38</v>
      </c>
      <c r="F2693" t="s">
        <v>1602</v>
      </c>
      <c r="H2693">
        <v>1020656</v>
      </c>
      <c r="I2693" t="s">
        <v>17</v>
      </c>
      <c r="K2693" t="s">
        <v>7440</v>
      </c>
      <c r="L2693">
        <v>411</v>
      </c>
      <c r="M2693" t="s">
        <v>7441</v>
      </c>
    </row>
    <row r="2694" spans="1:13" x14ac:dyDescent="0.35">
      <c r="A2694" t="s">
        <v>13</v>
      </c>
      <c r="B2694">
        <v>2879966</v>
      </c>
      <c r="C2694">
        <v>2880256</v>
      </c>
      <c r="E2694" t="s">
        <v>14</v>
      </c>
      <c r="F2694" t="s">
        <v>197</v>
      </c>
      <c r="H2694">
        <v>1020657</v>
      </c>
      <c r="I2694" t="s">
        <v>17</v>
      </c>
      <c r="K2694" t="s">
        <v>7442</v>
      </c>
      <c r="L2694">
        <v>96</v>
      </c>
      <c r="M2694" t="s">
        <v>7443</v>
      </c>
    </row>
    <row r="2695" spans="1:13" x14ac:dyDescent="0.35">
      <c r="A2695" t="s">
        <v>13</v>
      </c>
      <c r="B2695">
        <v>2880545</v>
      </c>
      <c r="C2695">
        <v>2880991</v>
      </c>
      <c r="E2695" t="s">
        <v>14</v>
      </c>
      <c r="F2695" t="s">
        <v>285</v>
      </c>
      <c r="H2695">
        <v>1020658</v>
      </c>
      <c r="I2695" t="s">
        <v>17</v>
      </c>
      <c r="K2695" t="s">
        <v>7444</v>
      </c>
      <c r="L2695">
        <v>148</v>
      </c>
      <c r="M2695" t="s">
        <v>7445</v>
      </c>
    </row>
    <row r="2696" spans="1:13" x14ac:dyDescent="0.35">
      <c r="A2696" t="s">
        <v>13</v>
      </c>
      <c r="B2696">
        <v>2880999</v>
      </c>
      <c r="C2696">
        <v>2884886</v>
      </c>
      <c r="E2696" t="s">
        <v>14</v>
      </c>
      <c r="F2696" t="s">
        <v>7446</v>
      </c>
      <c r="H2696">
        <v>1020659</v>
      </c>
      <c r="I2696" t="s">
        <v>17</v>
      </c>
      <c r="K2696" t="s">
        <v>7447</v>
      </c>
      <c r="L2696">
        <v>1295</v>
      </c>
      <c r="M2696" t="s">
        <v>7448</v>
      </c>
    </row>
    <row r="2697" spans="1:13" x14ac:dyDescent="0.35">
      <c r="A2697" t="s">
        <v>13</v>
      </c>
      <c r="B2697">
        <v>2884933</v>
      </c>
      <c r="C2697">
        <v>2886498</v>
      </c>
      <c r="E2697" t="s">
        <v>38</v>
      </c>
      <c r="F2697" t="s">
        <v>7449</v>
      </c>
      <c r="H2697">
        <v>1020660</v>
      </c>
      <c r="I2697" t="s">
        <v>17</v>
      </c>
      <c r="K2697" t="s">
        <v>7450</v>
      </c>
      <c r="L2697">
        <v>521</v>
      </c>
      <c r="M2697" t="s">
        <v>7451</v>
      </c>
    </row>
    <row r="2698" spans="1:13" x14ac:dyDescent="0.35">
      <c r="A2698" t="s">
        <v>13</v>
      </c>
      <c r="B2698">
        <v>2886914</v>
      </c>
      <c r="C2698">
        <v>2887813</v>
      </c>
      <c r="E2698" t="s">
        <v>38</v>
      </c>
      <c r="F2698" t="s">
        <v>2649</v>
      </c>
      <c r="G2698" t="s">
        <v>2650</v>
      </c>
      <c r="H2698">
        <v>1020661</v>
      </c>
      <c r="I2698" t="s">
        <v>17</v>
      </c>
      <c r="K2698" t="s">
        <v>7452</v>
      </c>
      <c r="L2698">
        <v>299</v>
      </c>
      <c r="M2698" t="s">
        <v>7453</v>
      </c>
    </row>
    <row r="2699" spans="1:13" x14ac:dyDescent="0.35">
      <c r="A2699" t="s">
        <v>13</v>
      </c>
      <c r="B2699">
        <v>2887942</v>
      </c>
      <c r="C2699">
        <v>2888079</v>
      </c>
      <c r="E2699" t="s">
        <v>38</v>
      </c>
      <c r="F2699" t="s">
        <v>7454</v>
      </c>
      <c r="H2699">
        <v>44145005</v>
      </c>
      <c r="I2699" t="s">
        <v>17</v>
      </c>
      <c r="K2699" t="s">
        <v>7455</v>
      </c>
      <c r="L2699">
        <v>45</v>
      </c>
      <c r="M2699" t="s">
        <v>7456</v>
      </c>
    </row>
    <row r="2700" spans="1:13" x14ac:dyDescent="0.35">
      <c r="A2700" t="s">
        <v>13</v>
      </c>
      <c r="B2700">
        <v>2888163</v>
      </c>
      <c r="C2700">
        <v>2888336</v>
      </c>
      <c r="E2700" t="s">
        <v>38</v>
      </c>
      <c r="F2700" t="s">
        <v>7457</v>
      </c>
      <c r="H2700">
        <v>44145006</v>
      </c>
      <c r="I2700" t="s">
        <v>17</v>
      </c>
      <c r="K2700" t="s">
        <v>7458</v>
      </c>
      <c r="L2700">
        <v>57</v>
      </c>
      <c r="M2700" t="s">
        <v>7459</v>
      </c>
    </row>
    <row r="2701" spans="1:13" x14ac:dyDescent="0.35">
      <c r="A2701" t="s">
        <v>13</v>
      </c>
      <c r="B2701">
        <v>2888895</v>
      </c>
      <c r="C2701">
        <v>2890541</v>
      </c>
      <c r="E2701" t="s">
        <v>38</v>
      </c>
      <c r="F2701" t="s">
        <v>1754</v>
      </c>
      <c r="G2701" t="s">
        <v>1755</v>
      </c>
      <c r="H2701">
        <v>1020662</v>
      </c>
      <c r="I2701" t="s">
        <v>17</v>
      </c>
      <c r="K2701" t="s">
        <v>7460</v>
      </c>
      <c r="L2701">
        <v>548</v>
      </c>
      <c r="M2701" t="s">
        <v>7461</v>
      </c>
    </row>
    <row r="2702" spans="1:13" x14ac:dyDescent="0.35">
      <c r="A2702" t="s">
        <v>13</v>
      </c>
      <c r="B2702">
        <v>2890749</v>
      </c>
      <c r="C2702">
        <v>2890931</v>
      </c>
      <c r="E2702" t="s">
        <v>38</v>
      </c>
      <c r="F2702" t="s">
        <v>49</v>
      </c>
      <c r="H2702">
        <v>1020663</v>
      </c>
      <c r="I2702" t="s">
        <v>17</v>
      </c>
      <c r="K2702" t="s">
        <v>7462</v>
      </c>
      <c r="L2702">
        <v>60</v>
      </c>
      <c r="M2702" t="s">
        <v>7463</v>
      </c>
    </row>
    <row r="2703" spans="1:13" x14ac:dyDescent="0.35">
      <c r="A2703" t="s">
        <v>13</v>
      </c>
      <c r="B2703">
        <v>2890928</v>
      </c>
      <c r="C2703">
        <v>2892139</v>
      </c>
      <c r="E2703" t="s">
        <v>38</v>
      </c>
      <c r="F2703" t="s">
        <v>3694</v>
      </c>
      <c r="H2703">
        <v>1020664</v>
      </c>
      <c r="I2703" t="s">
        <v>17</v>
      </c>
      <c r="K2703" t="s">
        <v>7464</v>
      </c>
      <c r="L2703">
        <v>403</v>
      </c>
      <c r="M2703" t="s">
        <v>7465</v>
      </c>
    </row>
    <row r="2704" spans="1:13" x14ac:dyDescent="0.35">
      <c r="A2704" t="s">
        <v>13</v>
      </c>
      <c r="B2704">
        <v>2892136</v>
      </c>
      <c r="C2704">
        <v>2893101</v>
      </c>
      <c r="E2704" t="s">
        <v>38</v>
      </c>
      <c r="F2704" t="s">
        <v>49</v>
      </c>
      <c r="H2704">
        <v>1020665</v>
      </c>
      <c r="I2704" t="s">
        <v>17</v>
      </c>
      <c r="K2704" t="s">
        <v>7466</v>
      </c>
      <c r="L2704">
        <v>321</v>
      </c>
      <c r="M2704" t="s">
        <v>7467</v>
      </c>
    </row>
    <row r="2705" spans="1:13" x14ac:dyDescent="0.35">
      <c r="A2705" t="s">
        <v>13</v>
      </c>
      <c r="B2705">
        <v>2893098</v>
      </c>
      <c r="C2705">
        <v>2895083</v>
      </c>
      <c r="E2705" t="s">
        <v>38</v>
      </c>
      <c r="F2705" t="s">
        <v>49</v>
      </c>
      <c r="H2705">
        <v>1020666</v>
      </c>
      <c r="I2705" t="s">
        <v>17</v>
      </c>
      <c r="K2705" t="s">
        <v>7468</v>
      </c>
      <c r="L2705">
        <v>661</v>
      </c>
      <c r="M2705" t="s">
        <v>7469</v>
      </c>
    </row>
    <row r="2706" spans="1:13" x14ac:dyDescent="0.35">
      <c r="A2706" t="s">
        <v>13</v>
      </c>
      <c r="B2706">
        <v>2895070</v>
      </c>
      <c r="C2706">
        <v>2897526</v>
      </c>
      <c r="E2706" t="s">
        <v>38</v>
      </c>
      <c r="F2706" t="s">
        <v>49</v>
      </c>
      <c r="H2706">
        <v>1020667</v>
      </c>
      <c r="I2706" t="s">
        <v>17</v>
      </c>
      <c r="K2706" t="s">
        <v>7470</v>
      </c>
      <c r="L2706">
        <v>818</v>
      </c>
      <c r="M2706" t="s">
        <v>7471</v>
      </c>
    </row>
    <row r="2707" spans="1:13" x14ac:dyDescent="0.35">
      <c r="A2707" t="s">
        <v>13</v>
      </c>
      <c r="B2707">
        <v>2897526</v>
      </c>
      <c r="C2707">
        <v>2900327</v>
      </c>
      <c r="E2707" t="s">
        <v>38</v>
      </c>
      <c r="F2707" t="s">
        <v>49</v>
      </c>
      <c r="H2707">
        <v>1020668</v>
      </c>
      <c r="I2707" t="s">
        <v>17</v>
      </c>
      <c r="K2707" t="s">
        <v>7472</v>
      </c>
      <c r="L2707">
        <v>933</v>
      </c>
      <c r="M2707" t="s">
        <v>7473</v>
      </c>
    </row>
    <row r="2708" spans="1:13" x14ac:dyDescent="0.35">
      <c r="A2708" t="s">
        <v>13</v>
      </c>
      <c r="B2708">
        <v>2900328</v>
      </c>
      <c r="C2708">
        <v>2903921</v>
      </c>
      <c r="E2708" t="s">
        <v>38</v>
      </c>
      <c r="F2708" t="s">
        <v>7474</v>
      </c>
      <c r="H2708">
        <v>1020669</v>
      </c>
      <c r="I2708" t="s">
        <v>17</v>
      </c>
      <c r="K2708" t="s">
        <v>7475</v>
      </c>
      <c r="L2708">
        <v>1197</v>
      </c>
      <c r="M2708" t="s">
        <v>7476</v>
      </c>
    </row>
    <row r="2709" spans="1:13" x14ac:dyDescent="0.35">
      <c r="A2709" t="s">
        <v>13</v>
      </c>
      <c r="B2709">
        <v>2903962</v>
      </c>
      <c r="C2709">
        <v>2906643</v>
      </c>
      <c r="E2709" t="s">
        <v>38</v>
      </c>
      <c r="F2709" t="s">
        <v>2924</v>
      </c>
      <c r="H2709">
        <v>1020670</v>
      </c>
      <c r="I2709" t="s">
        <v>17</v>
      </c>
      <c r="K2709" t="s">
        <v>7477</v>
      </c>
      <c r="L2709">
        <v>893</v>
      </c>
      <c r="M2709" t="s">
        <v>7478</v>
      </c>
    </row>
    <row r="2710" spans="1:13" x14ac:dyDescent="0.35">
      <c r="A2710" t="s">
        <v>13</v>
      </c>
      <c r="B2710">
        <v>2906637</v>
      </c>
      <c r="C2710">
        <v>2907251</v>
      </c>
      <c r="E2710" t="s">
        <v>38</v>
      </c>
      <c r="F2710" t="s">
        <v>49</v>
      </c>
      <c r="H2710">
        <v>1020671</v>
      </c>
      <c r="I2710" t="s">
        <v>17</v>
      </c>
      <c r="K2710" t="s">
        <v>7479</v>
      </c>
      <c r="L2710">
        <v>204</v>
      </c>
      <c r="M2710" t="s">
        <v>7480</v>
      </c>
    </row>
    <row r="2711" spans="1:13" x14ac:dyDescent="0.35">
      <c r="A2711" t="s">
        <v>13</v>
      </c>
      <c r="B2711">
        <v>2907516</v>
      </c>
      <c r="C2711">
        <v>2908889</v>
      </c>
      <c r="E2711" t="s">
        <v>14</v>
      </c>
      <c r="F2711" t="s">
        <v>7481</v>
      </c>
      <c r="H2711">
        <v>1020672</v>
      </c>
      <c r="I2711" t="s">
        <v>17</v>
      </c>
      <c r="K2711" t="s">
        <v>7482</v>
      </c>
      <c r="L2711">
        <v>457</v>
      </c>
      <c r="M2711" t="s">
        <v>7483</v>
      </c>
    </row>
    <row r="2712" spans="1:13" x14ac:dyDescent="0.35">
      <c r="A2712" t="s">
        <v>13</v>
      </c>
      <c r="B2712">
        <v>2909232</v>
      </c>
      <c r="C2712">
        <v>2909792</v>
      </c>
      <c r="E2712" t="s">
        <v>14</v>
      </c>
      <c r="F2712" t="s">
        <v>49</v>
      </c>
      <c r="H2712">
        <v>1020673</v>
      </c>
      <c r="I2712" t="s">
        <v>17</v>
      </c>
      <c r="K2712" t="s">
        <v>7484</v>
      </c>
      <c r="L2712">
        <v>186</v>
      </c>
      <c r="M2712" t="s">
        <v>7485</v>
      </c>
    </row>
    <row r="2713" spans="1:13" x14ac:dyDescent="0.35">
      <c r="A2713" t="s">
        <v>13</v>
      </c>
      <c r="B2713">
        <v>2910173</v>
      </c>
      <c r="C2713">
        <v>2913232</v>
      </c>
      <c r="E2713" t="s">
        <v>14</v>
      </c>
      <c r="F2713" t="s">
        <v>7486</v>
      </c>
      <c r="H2713">
        <v>1020674</v>
      </c>
      <c r="I2713" t="s">
        <v>17</v>
      </c>
      <c r="K2713" t="s">
        <v>7487</v>
      </c>
      <c r="L2713">
        <v>1019</v>
      </c>
      <c r="M2713" t="s">
        <v>7488</v>
      </c>
    </row>
    <row r="2714" spans="1:13" x14ac:dyDescent="0.35">
      <c r="A2714" t="s">
        <v>13</v>
      </c>
      <c r="B2714">
        <v>2913236</v>
      </c>
      <c r="C2714">
        <v>2913727</v>
      </c>
      <c r="E2714" t="s">
        <v>14</v>
      </c>
      <c r="F2714" t="s">
        <v>7489</v>
      </c>
      <c r="H2714">
        <v>1020675</v>
      </c>
      <c r="I2714" t="s">
        <v>17</v>
      </c>
      <c r="K2714" t="s">
        <v>7490</v>
      </c>
      <c r="L2714">
        <v>163</v>
      </c>
      <c r="M2714" t="s">
        <v>7491</v>
      </c>
    </row>
    <row r="2715" spans="1:13" x14ac:dyDescent="0.35">
      <c r="A2715" t="s">
        <v>13</v>
      </c>
      <c r="B2715">
        <v>2913720</v>
      </c>
      <c r="C2715">
        <v>2915420</v>
      </c>
      <c r="E2715" t="s">
        <v>14</v>
      </c>
      <c r="F2715" t="s">
        <v>7492</v>
      </c>
      <c r="H2715">
        <v>1020676</v>
      </c>
      <c r="I2715" t="s">
        <v>17</v>
      </c>
      <c r="K2715" t="s">
        <v>7493</v>
      </c>
      <c r="L2715">
        <v>566</v>
      </c>
      <c r="M2715" t="s">
        <v>7494</v>
      </c>
    </row>
    <row r="2716" spans="1:13" x14ac:dyDescent="0.35">
      <c r="A2716" t="s">
        <v>13</v>
      </c>
      <c r="B2716">
        <v>2915417</v>
      </c>
      <c r="C2716">
        <v>2915926</v>
      </c>
      <c r="E2716" t="s">
        <v>14</v>
      </c>
      <c r="F2716" t="s">
        <v>7495</v>
      </c>
      <c r="H2716">
        <v>1020677</v>
      </c>
      <c r="I2716" t="s">
        <v>17</v>
      </c>
      <c r="K2716" t="s">
        <v>7496</v>
      </c>
      <c r="L2716">
        <v>169</v>
      </c>
      <c r="M2716" t="s">
        <v>7497</v>
      </c>
    </row>
    <row r="2717" spans="1:13" x14ac:dyDescent="0.35">
      <c r="A2717" t="s">
        <v>13</v>
      </c>
      <c r="B2717">
        <v>2915930</v>
      </c>
      <c r="C2717">
        <v>2916205</v>
      </c>
      <c r="E2717" t="s">
        <v>14</v>
      </c>
      <c r="F2717" t="s">
        <v>7498</v>
      </c>
      <c r="H2717">
        <v>1020678</v>
      </c>
      <c r="I2717" t="s">
        <v>17</v>
      </c>
      <c r="K2717" t="s">
        <v>7499</v>
      </c>
      <c r="L2717">
        <v>91</v>
      </c>
      <c r="M2717" t="s">
        <v>7500</v>
      </c>
    </row>
    <row r="2718" spans="1:13" x14ac:dyDescent="0.35">
      <c r="A2718" t="s">
        <v>13</v>
      </c>
      <c r="B2718">
        <v>2916206</v>
      </c>
      <c r="C2718">
        <v>2916586</v>
      </c>
      <c r="E2718" t="s">
        <v>14</v>
      </c>
      <c r="F2718" t="s">
        <v>7501</v>
      </c>
      <c r="G2718" t="s">
        <v>7502</v>
      </c>
      <c r="H2718">
        <v>1020679</v>
      </c>
      <c r="I2718" t="s">
        <v>17</v>
      </c>
      <c r="K2718" t="s">
        <v>7503</v>
      </c>
      <c r="L2718">
        <v>126</v>
      </c>
      <c r="M2718" t="s">
        <v>7504</v>
      </c>
    </row>
    <row r="2719" spans="1:13" x14ac:dyDescent="0.35">
      <c r="A2719" t="s">
        <v>13</v>
      </c>
      <c r="B2719">
        <v>2917022</v>
      </c>
      <c r="C2719">
        <v>2917621</v>
      </c>
      <c r="E2719" t="s">
        <v>38</v>
      </c>
      <c r="F2719" t="s">
        <v>35</v>
      </c>
      <c r="H2719">
        <v>1020680</v>
      </c>
      <c r="I2719" t="s">
        <v>17</v>
      </c>
      <c r="K2719" t="s">
        <v>7505</v>
      </c>
      <c r="L2719">
        <v>199</v>
      </c>
      <c r="M2719" t="s">
        <v>7506</v>
      </c>
    </row>
    <row r="2720" spans="1:13" x14ac:dyDescent="0.35">
      <c r="A2720" t="s">
        <v>13</v>
      </c>
      <c r="B2720">
        <v>2917628</v>
      </c>
      <c r="C2720">
        <v>2918758</v>
      </c>
      <c r="E2720" t="s">
        <v>38</v>
      </c>
      <c r="F2720" t="s">
        <v>7507</v>
      </c>
      <c r="H2720">
        <v>1020681</v>
      </c>
      <c r="I2720" t="s">
        <v>17</v>
      </c>
      <c r="K2720" t="s">
        <v>7508</v>
      </c>
      <c r="L2720">
        <v>376</v>
      </c>
      <c r="M2720" t="s">
        <v>7509</v>
      </c>
    </row>
    <row r="2721" spans="1:13" x14ac:dyDescent="0.35">
      <c r="A2721" t="s">
        <v>13</v>
      </c>
      <c r="B2721">
        <v>2918817</v>
      </c>
      <c r="C2721">
        <v>2919482</v>
      </c>
      <c r="E2721" t="s">
        <v>38</v>
      </c>
      <c r="F2721" t="s">
        <v>7510</v>
      </c>
      <c r="H2721">
        <v>1020682</v>
      </c>
      <c r="I2721" t="s">
        <v>17</v>
      </c>
      <c r="K2721" t="s">
        <v>7511</v>
      </c>
      <c r="L2721">
        <v>221</v>
      </c>
      <c r="M2721" t="s">
        <v>7512</v>
      </c>
    </row>
    <row r="2722" spans="1:13" x14ac:dyDescent="0.35">
      <c r="A2722" t="s">
        <v>13</v>
      </c>
      <c r="B2722">
        <v>2919488</v>
      </c>
      <c r="C2722">
        <v>2919700</v>
      </c>
      <c r="E2722" t="s">
        <v>38</v>
      </c>
      <c r="F2722" t="s">
        <v>7513</v>
      </c>
      <c r="H2722">
        <v>1020683</v>
      </c>
      <c r="I2722" t="s">
        <v>17</v>
      </c>
      <c r="K2722" t="s">
        <v>7514</v>
      </c>
      <c r="L2722">
        <v>70</v>
      </c>
      <c r="M2722" t="s">
        <v>7515</v>
      </c>
    </row>
    <row r="2723" spans="1:13" x14ac:dyDescent="0.35">
      <c r="A2723" t="s">
        <v>13</v>
      </c>
      <c r="B2723">
        <v>2919716</v>
      </c>
      <c r="C2723">
        <v>2920297</v>
      </c>
      <c r="E2723" t="s">
        <v>14</v>
      </c>
      <c r="F2723" t="s">
        <v>4523</v>
      </c>
      <c r="H2723">
        <v>1020684</v>
      </c>
      <c r="I2723" t="s">
        <v>17</v>
      </c>
      <c r="K2723" t="s">
        <v>7516</v>
      </c>
      <c r="L2723">
        <v>193</v>
      </c>
      <c r="M2723" t="s">
        <v>7517</v>
      </c>
    </row>
    <row r="2724" spans="1:13" x14ac:dyDescent="0.35">
      <c r="A2724" t="s">
        <v>13</v>
      </c>
      <c r="B2724">
        <v>2920287</v>
      </c>
      <c r="C2724">
        <v>2921294</v>
      </c>
      <c r="E2724" t="s">
        <v>14</v>
      </c>
      <c r="F2724" t="s">
        <v>7518</v>
      </c>
      <c r="H2724">
        <v>1020685</v>
      </c>
      <c r="I2724" t="s">
        <v>17</v>
      </c>
      <c r="K2724" t="s">
        <v>7519</v>
      </c>
      <c r="L2724">
        <v>335</v>
      </c>
      <c r="M2724" t="s">
        <v>7520</v>
      </c>
    </row>
    <row r="2725" spans="1:13" x14ac:dyDescent="0.35">
      <c r="A2725" t="s">
        <v>13</v>
      </c>
      <c r="B2725">
        <v>2921321</v>
      </c>
      <c r="C2725">
        <v>2922112</v>
      </c>
      <c r="E2725" t="s">
        <v>14</v>
      </c>
      <c r="F2725" t="s">
        <v>1950</v>
      </c>
      <c r="H2725">
        <v>1020686</v>
      </c>
      <c r="I2725" t="s">
        <v>17</v>
      </c>
      <c r="K2725" t="s">
        <v>7521</v>
      </c>
      <c r="L2725">
        <v>263</v>
      </c>
      <c r="M2725" t="s">
        <v>7522</v>
      </c>
    </row>
    <row r="2726" spans="1:13" x14ac:dyDescent="0.35">
      <c r="A2726" t="s">
        <v>13</v>
      </c>
      <c r="B2726">
        <v>2922119</v>
      </c>
      <c r="C2726">
        <v>2923621</v>
      </c>
      <c r="E2726" t="s">
        <v>14</v>
      </c>
      <c r="F2726" t="s">
        <v>7523</v>
      </c>
      <c r="H2726">
        <v>1020687</v>
      </c>
      <c r="I2726" t="s">
        <v>17</v>
      </c>
      <c r="K2726" t="s">
        <v>7524</v>
      </c>
      <c r="L2726">
        <v>500</v>
      </c>
      <c r="M2726" t="s">
        <v>7525</v>
      </c>
    </row>
    <row r="2727" spans="1:13" x14ac:dyDescent="0.35">
      <c r="A2727" t="s">
        <v>13</v>
      </c>
      <c r="B2727">
        <v>2923952</v>
      </c>
      <c r="C2727">
        <v>2925148</v>
      </c>
      <c r="E2727" t="s">
        <v>38</v>
      </c>
      <c r="F2727" t="s">
        <v>7526</v>
      </c>
      <c r="H2727">
        <v>1020688</v>
      </c>
      <c r="I2727" t="s">
        <v>17</v>
      </c>
      <c r="K2727" t="s">
        <v>7527</v>
      </c>
      <c r="L2727">
        <v>398</v>
      </c>
      <c r="M2727" t="s">
        <v>7528</v>
      </c>
    </row>
    <row r="2728" spans="1:13" x14ac:dyDescent="0.35">
      <c r="A2728" t="s">
        <v>13</v>
      </c>
      <c r="B2728">
        <v>2925569</v>
      </c>
      <c r="C2728">
        <v>2926708</v>
      </c>
      <c r="E2728" t="s">
        <v>14</v>
      </c>
      <c r="F2728" t="s">
        <v>7529</v>
      </c>
      <c r="H2728">
        <v>1020689</v>
      </c>
      <c r="I2728" t="s">
        <v>17</v>
      </c>
      <c r="K2728" t="s">
        <v>7530</v>
      </c>
      <c r="L2728">
        <v>379</v>
      </c>
      <c r="M2728" t="s">
        <v>7531</v>
      </c>
    </row>
    <row r="2729" spans="1:13" x14ac:dyDescent="0.35">
      <c r="A2729" t="s">
        <v>13</v>
      </c>
      <c r="B2729">
        <v>2926705</v>
      </c>
      <c r="C2729">
        <v>2927547</v>
      </c>
      <c r="E2729" t="s">
        <v>38</v>
      </c>
      <c r="F2729" t="s">
        <v>7532</v>
      </c>
      <c r="H2729">
        <v>1020690</v>
      </c>
      <c r="I2729" t="s">
        <v>17</v>
      </c>
      <c r="K2729" t="s">
        <v>7533</v>
      </c>
      <c r="L2729">
        <v>280</v>
      </c>
      <c r="M2729" t="s">
        <v>7534</v>
      </c>
    </row>
    <row r="2730" spans="1:13" x14ac:dyDescent="0.35">
      <c r="A2730" t="s">
        <v>13</v>
      </c>
      <c r="B2730">
        <v>2927549</v>
      </c>
      <c r="C2730">
        <v>2928307</v>
      </c>
      <c r="E2730" t="s">
        <v>38</v>
      </c>
      <c r="F2730" t="s">
        <v>7535</v>
      </c>
      <c r="H2730">
        <v>1020691</v>
      </c>
      <c r="I2730" t="s">
        <v>17</v>
      </c>
      <c r="K2730" t="s">
        <v>7536</v>
      </c>
      <c r="L2730">
        <v>252</v>
      </c>
      <c r="M2730" t="s">
        <v>7537</v>
      </c>
    </row>
    <row r="2731" spans="1:13" x14ac:dyDescent="0.35">
      <c r="A2731" t="s">
        <v>13</v>
      </c>
      <c r="B2731">
        <v>2928300</v>
      </c>
      <c r="C2731">
        <v>2929232</v>
      </c>
      <c r="E2731" t="s">
        <v>38</v>
      </c>
      <c r="F2731" t="s">
        <v>147</v>
      </c>
      <c r="H2731">
        <v>1020692</v>
      </c>
      <c r="I2731" t="s">
        <v>17</v>
      </c>
      <c r="K2731" t="s">
        <v>7538</v>
      </c>
      <c r="L2731">
        <v>310</v>
      </c>
      <c r="M2731" t="s">
        <v>7539</v>
      </c>
    </row>
    <row r="2732" spans="1:13" x14ac:dyDescent="0.35">
      <c r="A2732" t="s">
        <v>13</v>
      </c>
      <c r="B2732">
        <v>2929254</v>
      </c>
      <c r="C2732">
        <v>2929748</v>
      </c>
      <c r="E2732" t="s">
        <v>38</v>
      </c>
      <c r="F2732" t="s">
        <v>2245</v>
      </c>
      <c r="H2732">
        <v>1020693</v>
      </c>
      <c r="I2732" t="s">
        <v>17</v>
      </c>
      <c r="K2732" t="s">
        <v>7540</v>
      </c>
      <c r="L2732">
        <v>164</v>
      </c>
      <c r="M2732" t="s">
        <v>7541</v>
      </c>
    </row>
    <row r="2733" spans="1:13" x14ac:dyDescent="0.35">
      <c r="A2733" t="s">
        <v>13</v>
      </c>
      <c r="B2733">
        <v>2929868</v>
      </c>
      <c r="C2733">
        <v>2931340</v>
      </c>
      <c r="E2733" t="s">
        <v>14</v>
      </c>
      <c r="F2733" t="s">
        <v>49</v>
      </c>
      <c r="H2733">
        <v>1020694</v>
      </c>
      <c r="I2733" t="s">
        <v>17</v>
      </c>
      <c r="K2733" t="s">
        <v>7542</v>
      </c>
      <c r="L2733">
        <v>490</v>
      </c>
      <c r="M2733" t="s">
        <v>7543</v>
      </c>
    </row>
    <row r="2734" spans="1:13" x14ac:dyDescent="0.35">
      <c r="A2734" t="s">
        <v>13</v>
      </c>
      <c r="B2734">
        <v>2931341</v>
      </c>
      <c r="C2734">
        <v>2932375</v>
      </c>
      <c r="E2734" t="s">
        <v>14</v>
      </c>
      <c r="F2734" t="s">
        <v>7544</v>
      </c>
      <c r="H2734">
        <v>1020695</v>
      </c>
      <c r="I2734" t="s">
        <v>17</v>
      </c>
      <c r="K2734" t="s">
        <v>7545</v>
      </c>
      <c r="L2734">
        <v>344</v>
      </c>
      <c r="M2734" t="s">
        <v>7546</v>
      </c>
    </row>
    <row r="2735" spans="1:13" x14ac:dyDescent="0.35">
      <c r="A2735" t="s">
        <v>13</v>
      </c>
      <c r="B2735">
        <v>2932365</v>
      </c>
      <c r="C2735">
        <v>2934833</v>
      </c>
      <c r="E2735" t="s">
        <v>14</v>
      </c>
      <c r="F2735" t="s">
        <v>7547</v>
      </c>
      <c r="H2735">
        <v>1020696</v>
      </c>
      <c r="I2735" t="s">
        <v>17</v>
      </c>
      <c r="K2735" t="s">
        <v>7548</v>
      </c>
      <c r="L2735">
        <v>822</v>
      </c>
      <c r="M2735" t="s">
        <v>7549</v>
      </c>
    </row>
    <row r="2736" spans="1:13" x14ac:dyDescent="0.35">
      <c r="A2736" t="s">
        <v>13</v>
      </c>
      <c r="B2736">
        <v>2935313</v>
      </c>
      <c r="C2736">
        <v>2936506</v>
      </c>
      <c r="E2736" t="s">
        <v>38</v>
      </c>
      <c r="F2736" t="s">
        <v>7550</v>
      </c>
      <c r="H2736">
        <v>1020697</v>
      </c>
      <c r="I2736" t="s">
        <v>17</v>
      </c>
      <c r="K2736" t="s">
        <v>7551</v>
      </c>
      <c r="L2736">
        <v>397</v>
      </c>
      <c r="M2736" t="s">
        <v>7552</v>
      </c>
    </row>
    <row r="2737" spans="1:13" x14ac:dyDescent="0.35">
      <c r="A2737" t="s">
        <v>13</v>
      </c>
      <c r="B2737">
        <v>2936506</v>
      </c>
      <c r="C2737">
        <v>2937891</v>
      </c>
      <c r="E2737" t="s">
        <v>38</v>
      </c>
      <c r="F2737" t="s">
        <v>7553</v>
      </c>
      <c r="G2737" t="s">
        <v>7554</v>
      </c>
      <c r="H2737">
        <v>1020698</v>
      </c>
      <c r="I2737" t="s">
        <v>17</v>
      </c>
      <c r="K2737" t="s">
        <v>7555</v>
      </c>
      <c r="L2737">
        <v>461</v>
      </c>
      <c r="M2737" t="s">
        <v>7556</v>
      </c>
    </row>
    <row r="2738" spans="1:13" x14ac:dyDescent="0.35">
      <c r="A2738" t="s">
        <v>13</v>
      </c>
      <c r="B2738">
        <v>2938404</v>
      </c>
      <c r="C2738">
        <v>2939771</v>
      </c>
      <c r="E2738" t="s">
        <v>14</v>
      </c>
      <c r="F2738" t="s">
        <v>7246</v>
      </c>
      <c r="H2738">
        <v>1020699</v>
      </c>
      <c r="I2738" t="s">
        <v>17</v>
      </c>
      <c r="K2738" t="s">
        <v>7557</v>
      </c>
      <c r="L2738">
        <v>455</v>
      </c>
      <c r="M2738" t="s">
        <v>7558</v>
      </c>
    </row>
    <row r="2739" spans="1:13" x14ac:dyDescent="0.35">
      <c r="A2739" t="s">
        <v>13</v>
      </c>
      <c r="B2739">
        <v>2939908</v>
      </c>
      <c r="C2739">
        <v>2940456</v>
      </c>
      <c r="E2739" t="s">
        <v>14</v>
      </c>
      <c r="F2739" t="s">
        <v>549</v>
      </c>
      <c r="H2739">
        <v>1020700</v>
      </c>
      <c r="I2739" t="s">
        <v>17</v>
      </c>
      <c r="K2739" t="s">
        <v>7559</v>
      </c>
      <c r="L2739">
        <v>182</v>
      </c>
      <c r="M2739" t="s">
        <v>7560</v>
      </c>
    </row>
    <row r="2740" spans="1:13" x14ac:dyDescent="0.35">
      <c r="A2740" t="s">
        <v>13</v>
      </c>
      <c r="B2740">
        <v>2940445</v>
      </c>
      <c r="C2740">
        <v>2941455</v>
      </c>
      <c r="E2740" t="s">
        <v>38</v>
      </c>
      <c r="F2740" t="s">
        <v>49</v>
      </c>
      <c r="H2740">
        <v>1020701</v>
      </c>
      <c r="I2740" t="s">
        <v>17</v>
      </c>
      <c r="K2740" t="s">
        <v>7561</v>
      </c>
      <c r="L2740">
        <v>336</v>
      </c>
      <c r="M2740" t="s">
        <v>7562</v>
      </c>
    </row>
    <row r="2741" spans="1:13" x14ac:dyDescent="0.35">
      <c r="A2741" t="s">
        <v>13</v>
      </c>
      <c r="B2741">
        <v>2941470</v>
      </c>
      <c r="C2741">
        <v>2942501</v>
      </c>
      <c r="E2741" t="s">
        <v>38</v>
      </c>
      <c r="F2741" t="s">
        <v>49</v>
      </c>
      <c r="H2741">
        <v>1020702</v>
      </c>
      <c r="I2741" t="s">
        <v>17</v>
      </c>
      <c r="K2741" t="s">
        <v>7563</v>
      </c>
      <c r="L2741">
        <v>343</v>
      </c>
      <c r="M2741" t="s">
        <v>7564</v>
      </c>
    </row>
    <row r="2742" spans="1:13" x14ac:dyDescent="0.35">
      <c r="A2742" t="s">
        <v>13</v>
      </c>
      <c r="B2742">
        <v>2942607</v>
      </c>
      <c r="C2742">
        <v>2943008</v>
      </c>
      <c r="E2742" t="s">
        <v>38</v>
      </c>
      <c r="F2742" t="s">
        <v>49</v>
      </c>
      <c r="H2742">
        <v>1020703</v>
      </c>
      <c r="I2742" t="s">
        <v>17</v>
      </c>
      <c r="K2742" t="s">
        <v>7565</v>
      </c>
      <c r="L2742">
        <v>133</v>
      </c>
      <c r="M2742" t="s">
        <v>7566</v>
      </c>
    </row>
    <row r="2743" spans="1:13" x14ac:dyDescent="0.35">
      <c r="A2743" t="s">
        <v>13</v>
      </c>
      <c r="B2743">
        <v>2943010</v>
      </c>
      <c r="C2743">
        <v>2944236</v>
      </c>
      <c r="E2743" t="s">
        <v>38</v>
      </c>
      <c r="F2743" t="s">
        <v>7567</v>
      </c>
      <c r="G2743" t="s">
        <v>7568</v>
      </c>
      <c r="H2743">
        <v>1020704</v>
      </c>
      <c r="I2743" t="s">
        <v>17</v>
      </c>
      <c r="K2743" t="s">
        <v>7569</v>
      </c>
      <c r="L2743">
        <v>408</v>
      </c>
      <c r="M2743" t="s">
        <v>7570</v>
      </c>
    </row>
    <row r="2744" spans="1:13" x14ac:dyDescent="0.35">
      <c r="A2744" t="s">
        <v>13</v>
      </c>
      <c r="B2744">
        <v>2945174</v>
      </c>
      <c r="C2744">
        <v>2945533</v>
      </c>
      <c r="E2744" t="s">
        <v>38</v>
      </c>
      <c r="F2744" t="s">
        <v>49</v>
      </c>
      <c r="H2744">
        <v>44145007</v>
      </c>
      <c r="I2744" t="s">
        <v>17</v>
      </c>
      <c r="K2744" t="s">
        <v>7571</v>
      </c>
      <c r="L2744">
        <v>119</v>
      </c>
      <c r="M2744" t="s">
        <v>7572</v>
      </c>
    </row>
    <row r="2745" spans="1:13" x14ac:dyDescent="0.35">
      <c r="A2745" t="s">
        <v>13</v>
      </c>
      <c r="B2745">
        <v>2945637</v>
      </c>
      <c r="C2745">
        <v>2946404</v>
      </c>
      <c r="E2745" t="s">
        <v>38</v>
      </c>
      <c r="F2745" t="s">
        <v>49</v>
      </c>
      <c r="H2745">
        <v>1020705</v>
      </c>
      <c r="I2745" t="s">
        <v>17</v>
      </c>
      <c r="K2745" t="s">
        <v>7573</v>
      </c>
      <c r="L2745">
        <v>255</v>
      </c>
      <c r="M2745" t="s">
        <v>7574</v>
      </c>
    </row>
    <row r="2746" spans="1:13" x14ac:dyDescent="0.35">
      <c r="A2746" t="s">
        <v>13</v>
      </c>
      <c r="B2746">
        <v>2946696</v>
      </c>
      <c r="C2746">
        <v>2947887</v>
      </c>
      <c r="E2746" t="s">
        <v>38</v>
      </c>
      <c r="F2746" t="s">
        <v>731</v>
      </c>
      <c r="H2746">
        <v>1020706</v>
      </c>
      <c r="I2746" t="s">
        <v>17</v>
      </c>
      <c r="K2746" t="s">
        <v>7575</v>
      </c>
      <c r="L2746">
        <v>396</v>
      </c>
      <c r="M2746" t="s">
        <v>7576</v>
      </c>
    </row>
    <row r="2747" spans="1:13" x14ac:dyDescent="0.35">
      <c r="A2747" t="s">
        <v>13</v>
      </c>
      <c r="B2747">
        <v>2948047</v>
      </c>
      <c r="C2747">
        <v>2949189</v>
      </c>
      <c r="E2747" t="s">
        <v>38</v>
      </c>
      <c r="F2747" t="s">
        <v>237</v>
      </c>
      <c r="H2747">
        <v>1020708</v>
      </c>
      <c r="I2747" t="s">
        <v>17</v>
      </c>
      <c r="K2747" t="s">
        <v>7577</v>
      </c>
      <c r="L2747">
        <v>380</v>
      </c>
      <c r="M2747" t="s">
        <v>7578</v>
      </c>
    </row>
    <row r="2748" spans="1:13" x14ac:dyDescent="0.35">
      <c r="A2748" t="s">
        <v>13</v>
      </c>
      <c r="B2748">
        <v>2949263</v>
      </c>
      <c r="C2748">
        <v>2949883</v>
      </c>
      <c r="E2748" t="s">
        <v>38</v>
      </c>
      <c r="F2748" t="s">
        <v>835</v>
      </c>
      <c r="H2748">
        <v>1020709</v>
      </c>
      <c r="I2748" t="s">
        <v>17</v>
      </c>
      <c r="K2748" t="s">
        <v>7579</v>
      </c>
      <c r="L2748">
        <v>206</v>
      </c>
      <c r="M2748" t="s">
        <v>7580</v>
      </c>
    </row>
    <row r="2749" spans="1:13" x14ac:dyDescent="0.35">
      <c r="A2749" t="s">
        <v>13</v>
      </c>
      <c r="B2749">
        <v>2950432</v>
      </c>
      <c r="C2749">
        <v>2951724</v>
      </c>
      <c r="E2749" t="s">
        <v>38</v>
      </c>
      <c r="F2749" t="s">
        <v>7581</v>
      </c>
      <c r="H2749">
        <v>1020710</v>
      </c>
      <c r="I2749" t="s">
        <v>17</v>
      </c>
      <c r="K2749" t="s">
        <v>7582</v>
      </c>
      <c r="L2749">
        <v>430</v>
      </c>
      <c r="M2749" t="s">
        <v>7583</v>
      </c>
    </row>
    <row r="2750" spans="1:13" x14ac:dyDescent="0.35">
      <c r="A2750" t="s">
        <v>13</v>
      </c>
      <c r="B2750">
        <v>2951844</v>
      </c>
      <c r="C2750">
        <v>2952695</v>
      </c>
      <c r="E2750" t="s">
        <v>14</v>
      </c>
      <c r="F2750" t="s">
        <v>49</v>
      </c>
      <c r="H2750">
        <v>1020711</v>
      </c>
      <c r="I2750" t="s">
        <v>17</v>
      </c>
      <c r="K2750" t="s">
        <v>7584</v>
      </c>
      <c r="L2750">
        <v>283</v>
      </c>
      <c r="M2750" t="s">
        <v>7585</v>
      </c>
    </row>
    <row r="2751" spans="1:13" x14ac:dyDescent="0.35">
      <c r="A2751" t="s">
        <v>13</v>
      </c>
      <c r="B2751">
        <v>2952710</v>
      </c>
      <c r="C2751">
        <v>2952976</v>
      </c>
      <c r="E2751" t="s">
        <v>14</v>
      </c>
      <c r="F2751" t="s">
        <v>4352</v>
      </c>
      <c r="H2751">
        <v>1020712</v>
      </c>
      <c r="I2751" t="s">
        <v>17</v>
      </c>
      <c r="K2751" t="s">
        <v>7586</v>
      </c>
      <c r="L2751">
        <v>88</v>
      </c>
      <c r="M2751" t="s">
        <v>7587</v>
      </c>
    </row>
    <row r="2752" spans="1:13" x14ac:dyDescent="0.35">
      <c r="A2752" t="s">
        <v>13</v>
      </c>
      <c r="B2752">
        <v>2952973</v>
      </c>
      <c r="C2752">
        <v>2954142</v>
      </c>
      <c r="E2752" t="s">
        <v>38</v>
      </c>
      <c r="F2752" t="s">
        <v>1024</v>
      </c>
      <c r="H2752">
        <v>1020713</v>
      </c>
      <c r="I2752" t="s">
        <v>17</v>
      </c>
      <c r="K2752" t="s">
        <v>7588</v>
      </c>
      <c r="L2752">
        <v>389</v>
      </c>
      <c r="M2752" t="s">
        <v>7589</v>
      </c>
    </row>
    <row r="2753" spans="1:13" x14ac:dyDescent="0.35">
      <c r="A2753" t="s">
        <v>13</v>
      </c>
      <c r="B2753">
        <v>2954239</v>
      </c>
      <c r="C2753">
        <v>2955273</v>
      </c>
      <c r="E2753" t="s">
        <v>38</v>
      </c>
      <c r="F2753" t="s">
        <v>7590</v>
      </c>
      <c r="G2753" t="s">
        <v>7591</v>
      </c>
      <c r="H2753">
        <v>1020714</v>
      </c>
      <c r="I2753" t="s">
        <v>17</v>
      </c>
      <c r="K2753" t="s">
        <v>7592</v>
      </c>
      <c r="L2753">
        <v>344</v>
      </c>
      <c r="M2753" t="s">
        <v>7593</v>
      </c>
    </row>
    <row r="2754" spans="1:13" x14ac:dyDescent="0.35">
      <c r="A2754" t="s">
        <v>13</v>
      </c>
      <c r="B2754">
        <v>2955521</v>
      </c>
      <c r="C2754">
        <v>2956738</v>
      </c>
      <c r="E2754" t="s">
        <v>38</v>
      </c>
      <c r="F2754" t="s">
        <v>7594</v>
      </c>
      <c r="H2754">
        <v>1020715</v>
      </c>
      <c r="I2754" t="s">
        <v>17</v>
      </c>
      <c r="K2754" t="s">
        <v>7595</v>
      </c>
      <c r="L2754">
        <v>405</v>
      </c>
      <c r="M2754" t="s">
        <v>7596</v>
      </c>
    </row>
    <row r="2755" spans="1:13" x14ac:dyDescent="0.35">
      <c r="A2755" t="s">
        <v>13</v>
      </c>
      <c r="B2755">
        <v>2956828</v>
      </c>
      <c r="C2755">
        <v>2957496</v>
      </c>
      <c r="E2755" t="s">
        <v>38</v>
      </c>
      <c r="F2755" t="s">
        <v>2387</v>
      </c>
      <c r="H2755">
        <v>1020716</v>
      </c>
      <c r="I2755" t="s">
        <v>17</v>
      </c>
      <c r="K2755" t="s">
        <v>7597</v>
      </c>
      <c r="L2755">
        <v>222</v>
      </c>
      <c r="M2755" t="s">
        <v>7598</v>
      </c>
    </row>
    <row r="2756" spans="1:13" x14ac:dyDescent="0.35">
      <c r="A2756" t="s">
        <v>13</v>
      </c>
      <c r="B2756">
        <v>2957483</v>
      </c>
      <c r="C2756">
        <v>2958037</v>
      </c>
      <c r="E2756" t="s">
        <v>38</v>
      </c>
      <c r="F2756" t="s">
        <v>7599</v>
      </c>
      <c r="G2756" t="s">
        <v>7600</v>
      </c>
      <c r="H2756">
        <v>1020717</v>
      </c>
      <c r="I2756" t="s">
        <v>17</v>
      </c>
      <c r="K2756" t="s">
        <v>7601</v>
      </c>
      <c r="L2756">
        <v>184</v>
      </c>
      <c r="M2756" t="s">
        <v>7602</v>
      </c>
    </row>
    <row r="2757" spans="1:13" x14ac:dyDescent="0.35">
      <c r="A2757" t="s">
        <v>13</v>
      </c>
      <c r="B2757">
        <v>2958137</v>
      </c>
      <c r="C2757">
        <v>2959474</v>
      </c>
      <c r="E2757" t="s">
        <v>38</v>
      </c>
      <c r="F2757" t="s">
        <v>49</v>
      </c>
      <c r="H2757">
        <v>1020718</v>
      </c>
      <c r="I2757" t="s">
        <v>17</v>
      </c>
      <c r="K2757" t="s">
        <v>7603</v>
      </c>
      <c r="L2757">
        <v>445</v>
      </c>
      <c r="M2757" t="s">
        <v>7604</v>
      </c>
    </row>
    <row r="2758" spans="1:13" x14ac:dyDescent="0.35">
      <c r="A2758" t="s">
        <v>13</v>
      </c>
      <c r="B2758">
        <v>2959518</v>
      </c>
      <c r="C2758">
        <v>2960342</v>
      </c>
      <c r="E2758" t="s">
        <v>38</v>
      </c>
      <c r="F2758" t="s">
        <v>2027</v>
      </c>
      <c r="H2758">
        <v>1020719</v>
      </c>
      <c r="I2758" t="s">
        <v>17</v>
      </c>
      <c r="K2758" t="s">
        <v>7605</v>
      </c>
      <c r="L2758">
        <v>274</v>
      </c>
      <c r="M2758" t="s">
        <v>7606</v>
      </c>
    </row>
    <row r="2759" spans="1:13" x14ac:dyDescent="0.35">
      <c r="A2759" t="s">
        <v>13</v>
      </c>
      <c r="B2759">
        <v>2960466</v>
      </c>
      <c r="C2759">
        <v>2961188</v>
      </c>
      <c r="E2759" t="s">
        <v>38</v>
      </c>
      <c r="F2759" t="s">
        <v>138</v>
      </c>
      <c r="H2759">
        <v>1020720</v>
      </c>
      <c r="I2759" t="s">
        <v>17</v>
      </c>
      <c r="K2759" t="s">
        <v>7607</v>
      </c>
      <c r="L2759">
        <v>240</v>
      </c>
      <c r="M2759" t="s">
        <v>7608</v>
      </c>
    </row>
    <row r="2760" spans="1:13" x14ac:dyDescent="0.35">
      <c r="A2760" t="s">
        <v>13</v>
      </c>
      <c r="B2760">
        <v>2961343</v>
      </c>
      <c r="C2760">
        <v>2962722</v>
      </c>
      <c r="E2760" t="s">
        <v>14</v>
      </c>
      <c r="F2760" t="s">
        <v>7609</v>
      </c>
      <c r="G2760" t="s">
        <v>7610</v>
      </c>
      <c r="H2760">
        <v>1020721</v>
      </c>
      <c r="I2760" t="s">
        <v>17</v>
      </c>
      <c r="K2760" t="s">
        <v>7611</v>
      </c>
      <c r="L2760">
        <v>459</v>
      </c>
      <c r="M2760" t="s">
        <v>7612</v>
      </c>
    </row>
    <row r="2761" spans="1:13" x14ac:dyDescent="0.35">
      <c r="A2761" t="s">
        <v>13</v>
      </c>
      <c r="B2761">
        <v>2963196</v>
      </c>
      <c r="C2761">
        <v>2963597</v>
      </c>
      <c r="E2761" t="s">
        <v>38</v>
      </c>
      <c r="F2761" t="s">
        <v>7613</v>
      </c>
      <c r="H2761">
        <v>1020722</v>
      </c>
      <c r="I2761" t="s">
        <v>17</v>
      </c>
      <c r="K2761" t="s">
        <v>7614</v>
      </c>
      <c r="L2761">
        <v>133</v>
      </c>
      <c r="M2761" t="s">
        <v>7615</v>
      </c>
    </row>
    <row r="2762" spans="1:13" x14ac:dyDescent="0.35">
      <c r="A2762" t="s">
        <v>13</v>
      </c>
      <c r="B2762">
        <v>2963604</v>
      </c>
      <c r="C2762">
        <v>2966162</v>
      </c>
      <c r="E2762" t="s">
        <v>38</v>
      </c>
      <c r="F2762" t="s">
        <v>7616</v>
      </c>
      <c r="G2762" t="s">
        <v>7617</v>
      </c>
      <c r="H2762">
        <v>1020723</v>
      </c>
      <c r="I2762" t="s">
        <v>17</v>
      </c>
      <c r="K2762" t="s">
        <v>7618</v>
      </c>
      <c r="L2762">
        <v>852</v>
      </c>
      <c r="M2762" t="s">
        <v>7619</v>
      </c>
    </row>
    <row r="2763" spans="1:13" x14ac:dyDescent="0.35">
      <c r="A2763" t="s">
        <v>13</v>
      </c>
      <c r="B2763">
        <v>2966456</v>
      </c>
      <c r="C2763">
        <v>2967805</v>
      </c>
      <c r="E2763" t="s">
        <v>38</v>
      </c>
      <c r="F2763" t="s">
        <v>7620</v>
      </c>
      <c r="H2763">
        <v>1020724</v>
      </c>
      <c r="I2763" t="s">
        <v>17</v>
      </c>
      <c r="K2763" t="s">
        <v>7621</v>
      </c>
      <c r="L2763">
        <v>449</v>
      </c>
      <c r="M2763" t="s">
        <v>7622</v>
      </c>
    </row>
    <row r="2764" spans="1:13" x14ac:dyDescent="0.35">
      <c r="A2764" t="s">
        <v>13</v>
      </c>
      <c r="B2764">
        <v>2968422</v>
      </c>
      <c r="C2764">
        <v>2968793</v>
      </c>
      <c r="E2764" t="s">
        <v>14</v>
      </c>
      <c r="F2764" t="s">
        <v>801</v>
      </c>
      <c r="H2764">
        <v>1020725</v>
      </c>
      <c r="I2764" t="s">
        <v>17</v>
      </c>
      <c r="K2764" t="s">
        <v>7623</v>
      </c>
      <c r="L2764">
        <v>123</v>
      </c>
      <c r="M2764" t="s">
        <v>7624</v>
      </c>
    </row>
    <row r="2765" spans="1:13" x14ac:dyDescent="0.35">
      <c r="A2765" t="s">
        <v>13</v>
      </c>
      <c r="B2765">
        <v>2968790</v>
      </c>
      <c r="C2765">
        <v>2969812</v>
      </c>
      <c r="E2765" t="s">
        <v>14</v>
      </c>
      <c r="F2765" t="s">
        <v>3632</v>
      </c>
      <c r="H2765">
        <v>1020726</v>
      </c>
      <c r="I2765" t="s">
        <v>17</v>
      </c>
      <c r="K2765" t="s">
        <v>7625</v>
      </c>
      <c r="L2765">
        <v>340</v>
      </c>
      <c r="M2765" t="s">
        <v>7626</v>
      </c>
    </row>
    <row r="2766" spans="1:13" x14ac:dyDescent="0.35">
      <c r="A2766" t="s">
        <v>13</v>
      </c>
      <c r="B2766">
        <v>2969835</v>
      </c>
      <c r="C2766">
        <v>2971007</v>
      </c>
      <c r="E2766" t="s">
        <v>14</v>
      </c>
      <c r="F2766" t="s">
        <v>3256</v>
      </c>
      <c r="H2766">
        <v>1020727</v>
      </c>
      <c r="I2766" t="s">
        <v>17</v>
      </c>
      <c r="K2766" t="s">
        <v>7627</v>
      </c>
      <c r="L2766">
        <v>390</v>
      </c>
      <c r="M2766" t="s">
        <v>7628</v>
      </c>
    </row>
    <row r="2767" spans="1:13" x14ac:dyDescent="0.35">
      <c r="A2767" t="s">
        <v>13</v>
      </c>
      <c r="B2767">
        <v>2971018</v>
      </c>
      <c r="C2767">
        <v>2972061</v>
      </c>
      <c r="E2767" t="s">
        <v>14</v>
      </c>
      <c r="F2767" t="s">
        <v>2071</v>
      </c>
      <c r="H2767">
        <v>1020728</v>
      </c>
      <c r="I2767" t="s">
        <v>17</v>
      </c>
      <c r="K2767" t="s">
        <v>7629</v>
      </c>
      <c r="L2767">
        <v>347</v>
      </c>
      <c r="M2767" t="s">
        <v>7630</v>
      </c>
    </row>
    <row r="2768" spans="1:13" x14ac:dyDescent="0.35">
      <c r="A2768" t="s">
        <v>13</v>
      </c>
      <c r="B2768">
        <v>2972058</v>
      </c>
      <c r="C2768">
        <v>2973206</v>
      </c>
      <c r="E2768" t="s">
        <v>38</v>
      </c>
      <c r="F2768" t="s">
        <v>7631</v>
      </c>
      <c r="H2768">
        <v>1020729</v>
      </c>
      <c r="I2768" t="s">
        <v>17</v>
      </c>
      <c r="K2768" t="s">
        <v>7632</v>
      </c>
      <c r="L2768">
        <v>382</v>
      </c>
      <c r="M2768" t="s">
        <v>7633</v>
      </c>
    </row>
    <row r="2769" spans="1:13" x14ac:dyDescent="0.35">
      <c r="A2769" t="s">
        <v>13</v>
      </c>
      <c r="B2769">
        <v>2973228</v>
      </c>
      <c r="C2769">
        <v>2973797</v>
      </c>
      <c r="E2769" t="s">
        <v>38</v>
      </c>
      <c r="F2769" t="s">
        <v>138</v>
      </c>
      <c r="H2769">
        <v>1020730</v>
      </c>
      <c r="I2769" t="s">
        <v>17</v>
      </c>
      <c r="K2769" t="s">
        <v>7634</v>
      </c>
      <c r="L2769">
        <v>189</v>
      </c>
      <c r="M2769" t="s">
        <v>7635</v>
      </c>
    </row>
    <row r="2770" spans="1:13" x14ac:dyDescent="0.35">
      <c r="A2770" t="s">
        <v>13</v>
      </c>
      <c r="B2770">
        <v>2973962</v>
      </c>
      <c r="C2770">
        <v>2974408</v>
      </c>
      <c r="E2770" t="s">
        <v>14</v>
      </c>
      <c r="F2770" t="s">
        <v>141</v>
      </c>
      <c r="H2770">
        <v>92792331</v>
      </c>
      <c r="I2770" t="s">
        <v>142</v>
      </c>
      <c r="M2770" t="s">
        <v>7636</v>
      </c>
    </row>
    <row r="2771" spans="1:13" x14ac:dyDescent="0.35">
      <c r="A2771" t="s">
        <v>13</v>
      </c>
      <c r="B2771">
        <v>2974468</v>
      </c>
      <c r="C2771">
        <v>2975595</v>
      </c>
      <c r="E2771" t="s">
        <v>14</v>
      </c>
      <c r="F2771" t="s">
        <v>7637</v>
      </c>
      <c r="H2771">
        <v>1020733</v>
      </c>
      <c r="I2771" t="s">
        <v>17</v>
      </c>
      <c r="K2771" t="s">
        <v>7638</v>
      </c>
      <c r="L2771">
        <v>375</v>
      </c>
      <c r="M2771" t="s">
        <v>7639</v>
      </c>
    </row>
    <row r="2772" spans="1:13" x14ac:dyDescent="0.35">
      <c r="A2772" t="s">
        <v>13</v>
      </c>
      <c r="B2772">
        <v>2975555</v>
      </c>
      <c r="C2772">
        <v>2976364</v>
      </c>
      <c r="E2772" t="s">
        <v>14</v>
      </c>
      <c r="F2772" t="s">
        <v>49</v>
      </c>
      <c r="H2772">
        <v>1020734</v>
      </c>
      <c r="I2772" t="s">
        <v>17</v>
      </c>
      <c r="K2772" t="s">
        <v>7640</v>
      </c>
      <c r="L2772">
        <v>269</v>
      </c>
      <c r="M2772" t="s">
        <v>7641</v>
      </c>
    </row>
    <row r="2773" spans="1:13" x14ac:dyDescent="0.35">
      <c r="A2773" t="s">
        <v>13</v>
      </c>
      <c r="B2773">
        <v>2976621</v>
      </c>
      <c r="C2773">
        <v>2977778</v>
      </c>
      <c r="E2773" t="s">
        <v>14</v>
      </c>
      <c r="F2773" t="s">
        <v>49</v>
      </c>
      <c r="H2773">
        <v>1020735</v>
      </c>
      <c r="I2773" t="s">
        <v>17</v>
      </c>
      <c r="K2773" t="s">
        <v>7642</v>
      </c>
      <c r="L2773">
        <v>385</v>
      </c>
      <c r="M2773" t="s">
        <v>7643</v>
      </c>
    </row>
    <row r="2774" spans="1:13" x14ac:dyDescent="0.35">
      <c r="A2774" t="s">
        <v>13</v>
      </c>
      <c r="B2774">
        <v>2977845</v>
      </c>
      <c r="C2774">
        <v>2978645</v>
      </c>
      <c r="E2774" t="s">
        <v>38</v>
      </c>
      <c r="F2774" t="s">
        <v>7644</v>
      </c>
      <c r="H2774">
        <v>1020736</v>
      </c>
      <c r="I2774" t="s">
        <v>17</v>
      </c>
      <c r="K2774" t="s">
        <v>7645</v>
      </c>
      <c r="L2774">
        <v>266</v>
      </c>
      <c r="M2774" t="s">
        <v>7646</v>
      </c>
    </row>
    <row r="2775" spans="1:13" x14ac:dyDescent="0.35">
      <c r="A2775" t="s">
        <v>13</v>
      </c>
      <c r="B2775">
        <v>2978738</v>
      </c>
      <c r="C2775">
        <v>2978983</v>
      </c>
      <c r="E2775" t="s">
        <v>14</v>
      </c>
      <c r="F2775" t="s">
        <v>49</v>
      </c>
      <c r="H2775">
        <v>1020737</v>
      </c>
      <c r="I2775" t="s">
        <v>17</v>
      </c>
      <c r="K2775" t="s">
        <v>7647</v>
      </c>
      <c r="L2775">
        <v>81</v>
      </c>
      <c r="M2775" t="s">
        <v>7648</v>
      </c>
    </row>
    <row r="2776" spans="1:13" x14ac:dyDescent="0.35">
      <c r="A2776" t="s">
        <v>13</v>
      </c>
      <c r="B2776">
        <v>2978983</v>
      </c>
      <c r="C2776">
        <v>2980119</v>
      </c>
      <c r="E2776" t="s">
        <v>14</v>
      </c>
      <c r="F2776" t="s">
        <v>391</v>
      </c>
      <c r="H2776">
        <v>1020738</v>
      </c>
      <c r="I2776" t="s">
        <v>17</v>
      </c>
      <c r="K2776" t="s">
        <v>7649</v>
      </c>
      <c r="L2776">
        <v>378</v>
      </c>
      <c r="M2776" t="s">
        <v>7650</v>
      </c>
    </row>
    <row r="2777" spans="1:13" x14ac:dyDescent="0.35">
      <c r="A2777" t="s">
        <v>13</v>
      </c>
      <c r="B2777">
        <v>2980179</v>
      </c>
      <c r="C2777">
        <v>2981699</v>
      </c>
      <c r="E2777" t="s">
        <v>38</v>
      </c>
      <c r="F2777" t="s">
        <v>7651</v>
      </c>
      <c r="H2777">
        <v>1020739</v>
      </c>
      <c r="I2777" t="s">
        <v>17</v>
      </c>
      <c r="K2777" t="s">
        <v>7652</v>
      </c>
      <c r="L2777">
        <v>506</v>
      </c>
      <c r="M2777" t="s">
        <v>7653</v>
      </c>
    </row>
    <row r="2778" spans="1:13" x14ac:dyDescent="0.35">
      <c r="A2778" t="s">
        <v>13</v>
      </c>
      <c r="B2778">
        <v>2982021</v>
      </c>
      <c r="C2778">
        <v>2982461</v>
      </c>
      <c r="E2778" t="s">
        <v>38</v>
      </c>
      <c r="F2778" t="s">
        <v>7654</v>
      </c>
      <c r="H2778">
        <v>1020740</v>
      </c>
      <c r="I2778" t="s">
        <v>17</v>
      </c>
      <c r="K2778" t="s">
        <v>7655</v>
      </c>
      <c r="L2778">
        <v>146</v>
      </c>
      <c r="M2778" t="s">
        <v>7656</v>
      </c>
    </row>
    <row r="2779" spans="1:13" x14ac:dyDescent="0.35">
      <c r="A2779" t="s">
        <v>13</v>
      </c>
      <c r="B2779">
        <v>2982493</v>
      </c>
      <c r="C2779">
        <v>2983680</v>
      </c>
      <c r="E2779" t="s">
        <v>38</v>
      </c>
      <c r="F2779" t="s">
        <v>6308</v>
      </c>
      <c r="G2779" t="s">
        <v>6309</v>
      </c>
      <c r="H2779">
        <v>1020741</v>
      </c>
      <c r="I2779" t="s">
        <v>17</v>
      </c>
      <c r="K2779" t="s">
        <v>7657</v>
      </c>
      <c r="L2779">
        <v>395</v>
      </c>
      <c r="M2779" t="s">
        <v>7658</v>
      </c>
    </row>
    <row r="2780" spans="1:13" x14ac:dyDescent="0.35">
      <c r="A2780" t="s">
        <v>13</v>
      </c>
      <c r="B2780">
        <v>2983885</v>
      </c>
      <c r="C2780">
        <v>2984541</v>
      </c>
      <c r="E2780" t="s">
        <v>38</v>
      </c>
      <c r="F2780" t="s">
        <v>7659</v>
      </c>
      <c r="G2780" t="s">
        <v>7660</v>
      </c>
      <c r="H2780">
        <v>1020742</v>
      </c>
      <c r="I2780" t="s">
        <v>17</v>
      </c>
      <c r="K2780" t="s">
        <v>7661</v>
      </c>
      <c r="L2780">
        <v>218</v>
      </c>
      <c r="M2780" t="s">
        <v>7662</v>
      </c>
    </row>
    <row r="2781" spans="1:13" x14ac:dyDescent="0.35">
      <c r="A2781" t="s">
        <v>13</v>
      </c>
      <c r="B2781">
        <v>2984542</v>
      </c>
      <c r="C2781">
        <v>2986398</v>
      </c>
      <c r="E2781" t="s">
        <v>38</v>
      </c>
      <c r="F2781" t="s">
        <v>7663</v>
      </c>
      <c r="G2781" t="s">
        <v>7664</v>
      </c>
      <c r="H2781">
        <v>1020743</v>
      </c>
      <c r="I2781" t="s">
        <v>17</v>
      </c>
      <c r="K2781" t="s">
        <v>7665</v>
      </c>
      <c r="L2781">
        <v>618</v>
      </c>
      <c r="M2781" t="s">
        <v>7666</v>
      </c>
    </row>
    <row r="2782" spans="1:13" x14ac:dyDescent="0.35">
      <c r="A2782" t="s">
        <v>13</v>
      </c>
      <c r="B2782">
        <v>2986738</v>
      </c>
      <c r="C2782">
        <v>2988168</v>
      </c>
      <c r="E2782" t="s">
        <v>14</v>
      </c>
      <c r="F2782" t="s">
        <v>2942</v>
      </c>
      <c r="H2782">
        <v>1020744</v>
      </c>
      <c r="I2782" t="s">
        <v>17</v>
      </c>
      <c r="K2782" t="s">
        <v>7667</v>
      </c>
      <c r="L2782">
        <v>476</v>
      </c>
      <c r="M2782" t="s">
        <v>7668</v>
      </c>
    </row>
    <row r="2783" spans="1:13" x14ac:dyDescent="0.35">
      <c r="A2783" t="s">
        <v>13</v>
      </c>
      <c r="B2783">
        <v>2988212</v>
      </c>
      <c r="C2783">
        <v>2988772</v>
      </c>
      <c r="E2783" t="s">
        <v>38</v>
      </c>
      <c r="F2783" t="s">
        <v>7669</v>
      </c>
      <c r="H2783">
        <v>1020745</v>
      </c>
      <c r="I2783" t="s">
        <v>17</v>
      </c>
      <c r="K2783" t="s">
        <v>7670</v>
      </c>
      <c r="L2783">
        <v>186</v>
      </c>
      <c r="M2783" t="s">
        <v>7671</v>
      </c>
    </row>
    <row r="2784" spans="1:13" x14ac:dyDescent="0.35">
      <c r="A2784" t="s">
        <v>13</v>
      </c>
      <c r="B2784">
        <v>2988844</v>
      </c>
      <c r="C2784">
        <v>2989950</v>
      </c>
      <c r="E2784" t="s">
        <v>38</v>
      </c>
      <c r="F2784" t="s">
        <v>7672</v>
      </c>
      <c r="H2784">
        <v>1020746</v>
      </c>
      <c r="I2784" t="s">
        <v>17</v>
      </c>
      <c r="K2784" t="s">
        <v>7673</v>
      </c>
      <c r="L2784">
        <v>368</v>
      </c>
      <c r="M2784" t="s">
        <v>7674</v>
      </c>
    </row>
    <row r="2785" spans="1:13" x14ac:dyDescent="0.35">
      <c r="A2785" t="s">
        <v>13</v>
      </c>
      <c r="B2785">
        <v>2989952</v>
      </c>
      <c r="C2785">
        <v>2993287</v>
      </c>
      <c r="E2785" t="s">
        <v>38</v>
      </c>
      <c r="F2785" t="s">
        <v>103</v>
      </c>
      <c r="H2785">
        <v>1020747</v>
      </c>
      <c r="I2785" t="s">
        <v>17</v>
      </c>
      <c r="K2785" t="s">
        <v>7675</v>
      </c>
      <c r="L2785">
        <v>1111</v>
      </c>
      <c r="M2785" t="s">
        <v>7676</v>
      </c>
    </row>
    <row r="2786" spans="1:13" x14ac:dyDescent="0.35">
      <c r="A2786" t="s">
        <v>13</v>
      </c>
      <c r="B2786">
        <v>2993284</v>
      </c>
      <c r="C2786">
        <v>2993922</v>
      </c>
      <c r="E2786" t="s">
        <v>38</v>
      </c>
      <c r="F2786" t="s">
        <v>7677</v>
      </c>
      <c r="H2786">
        <v>1020748</v>
      </c>
      <c r="I2786" t="s">
        <v>17</v>
      </c>
      <c r="K2786" t="s">
        <v>7678</v>
      </c>
      <c r="L2786">
        <v>212</v>
      </c>
      <c r="M2786" t="s">
        <v>7679</v>
      </c>
    </row>
    <row r="2787" spans="1:13" x14ac:dyDescent="0.35">
      <c r="A2787" t="s">
        <v>13</v>
      </c>
      <c r="B2787">
        <v>2993919</v>
      </c>
      <c r="C2787">
        <v>2995406</v>
      </c>
      <c r="E2787" t="s">
        <v>38</v>
      </c>
      <c r="F2787" t="s">
        <v>7680</v>
      </c>
      <c r="H2787">
        <v>1020749</v>
      </c>
      <c r="I2787" t="s">
        <v>17</v>
      </c>
      <c r="K2787" t="s">
        <v>7681</v>
      </c>
      <c r="L2787">
        <v>495</v>
      </c>
      <c r="M2787" t="s">
        <v>7682</v>
      </c>
    </row>
    <row r="2788" spans="1:13" x14ac:dyDescent="0.35">
      <c r="A2788" t="s">
        <v>13</v>
      </c>
      <c r="B2788">
        <v>2995745</v>
      </c>
      <c r="C2788">
        <v>2996782</v>
      </c>
      <c r="E2788" t="s">
        <v>38</v>
      </c>
      <c r="F2788" t="s">
        <v>7683</v>
      </c>
      <c r="G2788" t="s">
        <v>7684</v>
      </c>
      <c r="H2788">
        <v>1020750</v>
      </c>
      <c r="I2788" t="s">
        <v>17</v>
      </c>
      <c r="K2788" t="s">
        <v>7685</v>
      </c>
      <c r="L2788">
        <v>345</v>
      </c>
      <c r="M2788" t="s">
        <v>7686</v>
      </c>
    </row>
    <row r="2789" spans="1:13" x14ac:dyDescent="0.35">
      <c r="A2789" t="s">
        <v>13</v>
      </c>
      <c r="B2789">
        <v>2997407</v>
      </c>
      <c r="C2789">
        <v>2997475</v>
      </c>
      <c r="E2789" t="s">
        <v>14</v>
      </c>
      <c r="F2789" t="s">
        <v>141</v>
      </c>
      <c r="H2789">
        <v>92792315</v>
      </c>
      <c r="I2789" t="s">
        <v>142</v>
      </c>
      <c r="M2789" t="s">
        <v>7687</v>
      </c>
    </row>
    <row r="2790" spans="1:13" x14ac:dyDescent="0.35">
      <c r="A2790" t="s">
        <v>13</v>
      </c>
      <c r="B2790">
        <v>2997479</v>
      </c>
      <c r="C2790">
        <v>2997688</v>
      </c>
      <c r="E2790" t="s">
        <v>38</v>
      </c>
      <c r="F2790" t="s">
        <v>49</v>
      </c>
      <c r="H2790">
        <v>92792316</v>
      </c>
      <c r="I2790" t="s">
        <v>17</v>
      </c>
      <c r="K2790" t="s">
        <v>7688</v>
      </c>
      <c r="L2790">
        <v>69</v>
      </c>
      <c r="M2790" t="s">
        <v>7689</v>
      </c>
    </row>
    <row r="2791" spans="1:13" x14ac:dyDescent="0.35">
      <c r="A2791" t="s">
        <v>13</v>
      </c>
      <c r="B2791">
        <v>2997819</v>
      </c>
      <c r="C2791">
        <v>2998221</v>
      </c>
      <c r="E2791" t="s">
        <v>38</v>
      </c>
      <c r="F2791" t="s">
        <v>141</v>
      </c>
      <c r="H2791">
        <v>92792317</v>
      </c>
      <c r="I2791" t="s">
        <v>142</v>
      </c>
      <c r="M2791" t="s">
        <v>7690</v>
      </c>
    </row>
    <row r="2792" spans="1:13" x14ac:dyDescent="0.35">
      <c r="A2792" t="s">
        <v>13</v>
      </c>
      <c r="B2792">
        <v>2998526</v>
      </c>
      <c r="C2792">
        <v>2999455</v>
      </c>
      <c r="E2792" t="s">
        <v>38</v>
      </c>
      <c r="F2792" t="s">
        <v>194</v>
      </c>
      <c r="H2792">
        <v>1020754</v>
      </c>
      <c r="I2792" t="s">
        <v>17</v>
      </c>
      <c r="K2792" t="s">
        <v>7691</v>
      </c>
      <c r="L2792">
        <v>309</v>
      </c>
      <c r="M2792" t="s">
        <v>7692</v>
      </c>
    </row>
    <row r="2793" spans="1:13" x14ac:dyDescent="0.35">
      <c r="A2793" t="s">
        <v>13</v>
      </c>
      <c r="B2793">
        <v>2999476</v>
      </c>
      <c r="C2793">
        <v>3000201</v>
      </c>
      <c r="E2793" t="s">
        <v>38</v>
      </c>
      <c r="F2793" t="s">
        <v>7693</v>
      </c>
      <c r="H2793">
        <v>1020755</v>
      </c>
      <c r="I2793" t="s">
        <v>17</v>
      </c>
      <c r="K2793" t="s">
        <v>7694</v>
      </c>
      <c r="L2793">
        <v>241</v>
      </c>
      <c r="M2793" t="s">
        <v>7695</v>
      </c>
    </row>
    <row r="2794" spans="1:13" x14ac:dyDescent="0.35">
      <c r="A2794" t="s">
        <v>13</v>
      </c>
      <c r="B2794">
        <v>3000239</v>
      </c>
      <c r="C2794">
        <v>3001540</v>
      </c>
      <c r="E2794" t="s">
        <v>38</v>
      </c>
      <c r="F2794" t="s">
        <v>2006</v>
      </c>
      <c r="H2794">
        <v>1020756</v>
      </c>
      <c r="I2794" t="s">
        <v>17</v>
      </c>
      <c r="K2794" t="s">
        <v>7696</v>
      </c>
      <c r="L2794">
        <v>433</v>
      </c>
      <c r="M2794" t="s">
        <v>7697</v>
      </c>
    </row>
    <row r="2795" spans="1:13" x14ac:dyDescent="0.35">
      <c r="A2795" t="s">
        <v>13</v>
      </c>
      <c r="B2795">
        <v>3001540</v>
      </c>
      <c r="C2795">
        <v>3002454</v>
      </c>
      <c r="E2795" t="s">
        <v>38</v>
      </c>
      <c r="F2795" t="s">
        <v>7698</v>
      </c>
      <c r="G2795" t="s">
        <v>7699</v>
      </c>
      <c r="H2795">
        <v>1020757</v>
      </c>
      <c r="I2795" t="s">
        <v>17</v>
      </c>
      <c r="K2795" t="s">
        <v>7700</v>
      </c>
      <c r="L2795">
        <v>304</v>
      </c>
      <c r="M2795" t="s">
        <v>7701</v>
      </c>
    </row>
    <row r="2796" spans="1:13" x14ac:dyDescent="0.35">
      <c r="A2796" t="s">
        <v>13</v>
      </c>
      <c r="B2796">
        <v>3002451</v>
      </c>
      <c r="C2796">
        <v>3003236</v>
      </c>
      <c r="E2796" t="s">
        <v>38</v>
      </c>
      <c r="F2796" t="s">
        <v>7702</v>
      </c>
      <c r="H2796">
        <v>1020758</v>
      </c>
      <c r="I2796" t="s">
        <v>17</v>
      </c>
      <c r="K2796" t="s">
        <v>7703</v>
      </c>
      <c r="L2796">
        <v>261</v>
      </c>
      <c r="M2796" t="s">
        <v>7704</v>
      </c>
    </row>
    <row r="2797" spans="1:13" x14ac:dyDescent="0.35">
      <c r="A2797" t="s">
        <v>13</v>
      </c>
      <c r="B2797">
        <v>3003478</v>
      </c>
      <c r="C2797">
        <v>3005163</v>
      </c>
      <c r="E2797" t="s">
        <v>38</v>
      </c>
      <c r="F2797" t="s">
        <v>4178</v>
      </c>
      <c r="H2797">
        <v>1020759</v>
      </c>
      <c r="I2797" t="s">
        <v>17</v>
      </c>
      <c r="K2797" t="s">
        <v>7705</v>
      </c>
      <c r="L2797">
        <v>561</v>
      </c>
      <c r="M2797" t="s">
        <v>7706</v>
      </c>
    </row>
    <row r="2798" spans="1:13" x14ac:dyDescent="0.35">
      <c r="A2798" t="s">
        <v>13</v>
      </c>
      <c r="B2798">
        <v>3005546</v>
      </c>
      <c r="C2798">
        <v>3006919</v>
      </c>
      <c r="E2798" t="s">
        <v>14</v>
      </c>
      <c r="F2798" t="s">
        <v>7246</v>
      </c>
      <c r="H2798">
        <v>1020760</v>
      </c>
      <c r="I2798" t="s">
        <v>17</v>
      </c>
      <c r="K2798" t="s">
        <v>7707</v>
      </c>
      <c r="L2798">
        <v>457</v>
      </c>
      <c r="M2798" t="s">
        <v>7708</v>
      </c>
    </row>
    <row r="2799" spans="1:13" x14ac:dyDescent="0.35">
      <c r="A2799" t="s">
        <v>13</v>
      </c>
      <c r="B2799">
        <v>3007016</v>
      </c>
      <c r="C2799">
        <v>3008380</v>
      </c>
      <c r="E2799" t="s">
        <v>14</v>
      </c>
      <c r="F2799" t="s">
        <v>382</v>
      </c>
      <c r="H2799">
        <v>1020761</v>
      </c>
      <c r="I2799" t="s">
        <v>17</v>
      </c>
      <c r="K2799" t="s">
        <v>7709</v>
      </c>
      <c r="L2799">
        <v>454</v>
      </c>
      <c r="M2799" t="s">
        <v>7710</v>
      </c>
    </row>
    <row r="2800" spans="1:13" x14ac:dyDescent="0.35">
      <c r="A2800" t="s">
        <v>13</v>
      </c>
      <c r="B2800">
        <v>3008451</v>
      </c>
      <c r="C2800">
        <v>3008657</v>
      </c>
      <c r="E2800" t="s">
        <v>38</v>
      </c>
      <c r="F2800" t="s">
        <v>49</v>
      </c>
      <c r="H2800">
        <v>1020762</v>
      </c>
      <c r="I2800" t="s">
        <v>17</v>
      </c>
      <c r="K2800" t="s">
        <v>7711</v>
      </c>
      <c r="L2800">
        <v>68</v>
      </c>
      <c r="M2800" t="s">
        <v>7712</v>
      </c>
    </row>
    <row r="2801" spans="1:13" x14ac:dyDescent="0.35">
      <c r="A2801" t="s">
        <v>13</v>
      </c>
      <c r="B2801">
        <v>3008747</v>
      </c>
      <c r="C2801">
        <v>3009163</v>
      </c>
      <c r="E2801" t="s">
        <v>38</v>
      </c>
      <c r="F2801" t="s">
        <v>356</v>
      </c>
      <c r="H2801">
        <v>1020763</v>
      </c>
      <c r="I2801" t="s">
        <v>17</v>
      </c>
      <c r="K2801" t="s">
        <v>7713</v>
      </c>
      <c r="L2801">
        <v>138</v>
      </c>
      <c r="M2801" t="s">
        <v>7714</v>
      </c>
    </row>
    <row r="2802" spans="1:13" x14ac:dyDescent="0.35">
      <c r="A2802" t="s">
        <v>13</v>
      </c>
      <c r="B2802">
        <v>3009243</v>
      </c>
      <c r="C2802">
        <v>3009611</v>
      </c>
      <c r="E2802" t="s">
        <v>14</v>
      </c>
      <c r="F2802" t="s">
        <v>49</v>
      </c>
      <c r="H2802">
        <v>1020764</v>
      </c>
      <c r="I2802" t="s">
        <v>17</v>
      </c>
      <c r="K2802" t="s">
        <v>7715</v>
      </c>
      <c r="L2802">
        <v>122</v>
      </c>
      <c r="M2802" t="s">
        <v>7716</v>
      </c>
    </row>
    <row r="2803" spans="1:13" x14ac:dyDescent="0.35">
      <c r="A2803" t="s">
        <v>13</v>
      </c>
      <c r="B2803">
        <v>3009708</v>
      </c>
      <c r="C2803">
        <v>3011240</v>
      </c>
      <c r="E2803" t="s">
        <v>38</v>
      </c>
      <c r="F2803" t="s">
        <v>7717</v>
      </c>
      <c r="G2803" t="s">
        <v>7718</v>
      </c>
      <c r="H2803">
        <v>1020765</v>
      </c>
      <c r="I2803" t="s">
        <v>17</v>
      </c>
      <c r="K2803" t="s">
        <v>7719</v>
      </c>
      <c r="L2803">
        <v>510</v>
      </c>
      <c r="M2803" t="s">
        <v>7720</v>
      </c>
    </row>
    <row r="2804" spans="1:13" x14ac:dyDescent="0.35">
      <c r="A2804" t="s">
        <v>13</v>
      </c>
      <c r="B2804">
        <v>3011240</v>
      </c>
      <c r="C2804">
        <v>3011806</v>
      </c>
      <c r="E2804" t="s">
        <v>38</v>
      </c>
      <c r="F2804" t="s">
        <v>7721</v>
      </c>
      <c r="G2804" t="s">
        <v>7722</v>
      </c>
      <c r="H2804">
        <v>1020766</v>
      </c>
      <c r="I2804" t="s">
        <v>17</v>
      </c>
      <c r="K2804" t="s">
        <v>7723</v>
      </c>
      <c r="L2804">
        <v>188</v>
      </c>
      <c r="M2804" t="s">
        <v>7724</v>
      </c>
    </row>
    <row r="2805" spans="1:13" x14ac:dyDescent="0.35">
      <c r="A2805" t="s">
        <v>13</v>
      </c>
      <c r="B2805">
        <v>3011806</v>
      </c>
      <c r="C2805">
        <v>3012810</v>
      </c>
      <c r="E2805" t="s">
        <v>38</v>
      </c>
      <c r="F2805" t="s">
        <v>7725</v>
      </c>
      <c r="G2805" t="s">
        <v>7726</v>
      </c>
      <c r="H2805">
        <v>1020767</v>
      </c>
      <c r="I2805" t="s">
        <v>17</v>
      </c>
      <c r="K2805" t="s">
        <v>7727</v>
      </c>
      <c r="L2805">
        <v>334</v>
      </c>
      <c r="M2805" t="s">
        <v>7728</v>
      </c>
    </row>
    <row r="2806" spans="1:13" x14ac:dyDescent="0.35">
      <c r="A2806" t="s">
        <v>13</v>
      </c>
      <c r="B2806">
        <v>3013104</v>
      </c>
      <c r="C2806">
        <v>3013838</v>
      </c>
      <c r="E2806" t="s">
        <v>38</v>
      </c>
      <c r="F2806" t="s">
        <v>3013</v>
      </c>
      <c r="H2806">
        <v>1020768</v>
      </c>
      <c r="I2806" t="s">
        <v>17</v>
      </c>
      <c r="K2806" t="s">
        <v>7729</v>
      </c>
      <c r="L2806">
        <v>244</v>
      </c>
      <c r="M2806" t="s">
        <v>7730</v>
      </c>
    </row>
    <row r="2807" spans="1:13" x14ac:dyDescent="0.35">
      <c r="A2807" t="s">
        <v>13</v>
      </c>
      <c r="B2807">
        <v>3013835</v>
      </c>
      <c r="C2807">
        <v>3014557</v>
      </c>
      <c r="E2807" t="s">
        <v>38</v>
      </c>
      <c r="F2807" t="s">
        <v>3013</v>
      </c>
      <c r="H2807">
        <v>1020769</v>
      </c>
      <c r="I2807" t="s">
        <v>17</v>
      </c>
      <c r="K2807" t="s">
        <v>7731</v>
      </c>
      <c r="L2807">
        <v>240</v>
      </c>
      <c r="M2807" t="s">
        <v>7732</v>
      </c>
    </row>
    <row r="2808" spans="1:13" x14ac:dyDescent="0.35">
      <c r="A2808" t="s">
        <v>13</v>
      </c>
      <c r="B2808">
        <v>3014617</v>
      </c>
      <c r="C2808">
        <v>3015828</v>
      </c>
      <c r="E2808" t="s">
        <v>14</v>
      </c>
      <c r="F2808" t="s">
        <v>265</v>
      </c>
      <c r="H2808">
        <v>1020770</v>
      </c>
      <c r="I2808" t="s">
        <v>17</v>
      </c>
      <c r="K2808" t="s">
        <v>7733</v>
      </c>
      <c r="L2808">
        <v>403</v>
      </c>
      <c r="M2808" t="s">
        <v>7734</v>
      </c>
    </row>
    <row r="2809" spans="1:13" x14ac:dyDescent="0.35">
      <c r="A2809" t="s">
        <v>13</v>
      </c>
      <c r="B2809">
        <v>3015825</v>
      </c>
      <c r="C2809">
        <v>3017150</v>
      </c>
      <c r="E2809" t="s">
        <v>38</v>
      </c>
      <c r="F2809" t="s">
        <v>7735</v>
      </c>
      <c r="H2809">
        <v>1020771</v>
      </c>
      <c r="I2809" t="s">
        <v>17</v>
      </c>
      <c r="K2809" t="s">
        <v>7736</v>
      </c>
      <c r="L2809">
        <v>441</v>
      </c>
      <c r="M2809" t="s">
        <v>7737</v>
      </c>
    </row>
    <row r="2810" spans="1:13" x14ac:dyDescent="0.35">
      <c r="A2810" t="s">
        <v>13</v>
      </c>
      <c r="B2810">
        <v>3017485</v>
      </c>
      <c r="C2810">
        <v>3019224</v>
      </c>
      <c r="E2810" t="s">
        <v>14</v>
      </c>
      <c r="F2810" t="s">
        <v>7738</v>
      </c>
      <c r="H2810">
        <v>92792328</v>
      </c>
      <c r="I2810" t="s">
        <v>17</v>
      </c>
      <c r="K2810" t="s">
        <v>7739</v>
      </c>
      <c r="L2810">
        <v>579</v>
      </c>
      <c r="M2810" t="s">
        <v>7740</v>
      </c>
    </row>
    <row r="2811" spans="1:13" x14ac:dyDescent="0.35">
      <c r="A2811" t="s">
        <v>13</v>
      </c>
      <c r="B2811">
        <v>3019540</v>
      </c>
      <c r="C2811">
        <v>3020568</v>
      </c>
      <c r="E2811" t="s">
        <v>38</v>
      </c>
      <c r="F2811" t="s">
        <v>127</v>
      </c>
      <c r="H2811">
        <v>1020773</v>
      </c>
      <c r="I2811" t="s">
        <v>17</v>
      </c>
      <c r="K2811" t="s">
        <v>7741</v>
      </c>
      <c r="L2811">
        <v>342</v>
      </c>
      <c r="M2811" t="s">
        <v>7742</v>
      </c>
    </row>
    <row r="2812" spans="1:13" x14ac:dyDescent="0.35">
      <c r="A2812" t="s">
        <v>13</v>
      </c>
      <c r="B2812">
        <v>3020559</v>
      </c>
      <c r="C2812">
        <v>3021203</v>
      </c>
      <c r="E2812" t="s">
        <v>38</v>
      </c>
      <c r="F2812" t="s">
        <v>3077</v>
      </c>
      <c r="H2812">
        <v>1020774</v>
      </c>
      <c r="I2812" t="s">
        <v>17</v>
      </c>
      <c r="K2812" t="s">
        <v>7743</v>
      </c>
      <c r="L2812">
        <v>214</v>
      </c>
      <c r="M2812" t="s">
        <v>7744</v>
      </c>
    </row>
    <row r="2813" spans="1:13" x14ac:dyDescent="0.35">
      <c r="A2813" t="s">
        <v>13</v>
      </c>
      <c r="B2813">
        <v>3021206</v>
      </c>
      <c r="C2813">
        <v>3021958</v>
      </c>
      <c r="E2813" t="s">
        <v>38</v>
      </c>
      <c r="F2813" t="s">
        <v>49</v>
      </c>
      <c r="H2813">
        <v>1020775</v>
      </c>
      <c r="I2813" t="s">
        <v>17</v>
      </c>
      <c r="K2813" t="s">
        <v>7745</v>
      </c>
      <c r="L2813">
        <v>250</v>
      </c>
      <c r="M2813" t="s">
        <v>7746</v>
      </c>
    </row>
    <row r="2814" spans="1:13" x14ac:dyDescent="0.35">
      <c r="A2814" t="s">
        <v>13</v>
      </c>
      <c r="B2814">
        <v>3022111</v>
      </c>
      <c r="C2814">
        <v>3022929</v>
      </c>
      <c r="E2814" t="s">
        <v>38</v>
      </c>
      <c r="F2814" t="s">
        <v>7747</v>
      </c>
      <c r="H2814">
        <v>1020776</v>
      </c>
      <c r="I2814" t="s">
        <v>17</v>
      </c>
      <c r="K2814" t="s">
        <v>7748</v>
      </c>
      <c r="L2814">
        <v>272</v>
      </c>
      <c r="M2814" t="s">
        <v>7749</v>
      </c>
    </row>
    <row r="2815" spans="1:13" x14ac:dyDescent="0.35">
      <c r="A2815" t="s">
        <v>13</v>
      </c>
      <c r="B2815">
        <v>3022996</v>
      </c>
      <c r="C2815">
        <v>3023901</v>
      </c>
      <c r="E2815" t="s">
        <v>38</v>
      </c>
      <c r="F2815" t="s">
        <v>3845</v>
      </c>
      <c r="H2815">
        <v>1020777</v>
      </c>
      <c r="I2815" t="s">
        <v>17</v>
      </c>
      <c r="K2815" t="s">
        <v>7750</v>
      </c>
      <c r="L2815">
        <v>301</v>
      </c>
      <c r="M2815" t="s">
        <v>7751</v>
      </c>
    </row>
    <row r="2816" spans="1:13" x14ac:dyDescent="0.35">
      <c r="A2816" t="s">
        <v>13</v>
      </c>
      <c r="B2816">
        <v>3024380</v>
      </c>
      <c r="C2816">
        <v>3025357</v>
      </c>
      <c r="E2816" t="s">
        <v>14</v>
      </c>
      <c r="F2816" t="s">
        <v>1897</v>
      </c>
      <c r="H2816">
        <v>1020778</v>
      </c>
      <c r="I2816" t="s">
        <v>17</v>
      </c>
      <c r="K2816" t="s">
        <v>7752</v>
      </c>
      <c r="L2816">
        <v>325</v>
      </c>
      <c r="M2816" t="s">
        <v>7753</v>
      </c>
    </row>
    <row r="2817" spans="1:13" x14ac:dyDescent="0.35">
      <c r="A2817" t="s">
        <v>13</v>
      </c>
      <c r="B2817">
        <v>3025362</v>
      </c>
      <c r="C2817">
        <v>3025556</v>
      </c>
      <c r="E2817" t="s">
        <v>14</v>
      </c>
      <c r="F2817" t="s">
        <v>49</v>
      </c>
      <c r="H2817">
        <v>1020779</v>
      </c>
      <c r="I2817" t="s">
        <v>17</v>
      </c>
      <c r="K2817" t="s">
        <v>7754</v>
      </c>
      <c r="L2817">
        <v>64</v>
      </c>
      <c r="M2817" t="s">
        <v>7755</v>
      </c>
    </row>
    <row r="2818" spans="1:13" x14ac:dyDescent="0.35">
      <c r="A2818" t="s">
        <v>13</v>
      </c>
      <c r="B2818">
        <v>3025553</v>
      </c>
      <c r="C2818">
        <v>3026143</v>
      </c>
      <c r="E2818" t="s">
        <v>14</v>
      </c>
      <c r="F2818" t="s">
        <v>460</v>
      </c>
      <c r="H2818">
        <v>1020780</v>
      </c>
      <c r="I2818" t="s">
        <v>17</v>
      </c>
      <c r="K2818" t="s">
        <v>7756</v>
      </c>
      <c r="L2818">
        <v>196</v>
      </c>
      <c r="M2818" t="s">
        <v>7757</v>
      </c>
    </row>
    <row r="2819" spans="1:13" x14ac:dyDescent="0.35">
      <c r="A2819" t="s">
        <v>13</v>
      </c>
      <c r="B2819">
        <v>3026140</v>
      </c>
      <c r="C2819">
        <v>3027300</v>
      </c>
      <c r="E2819" t="s">
        <v>38</v>
      </c>
      <c r="F2819" t="s">
        <v>7758</v>
      </c>
      <c r="H2819">
        <v>1020781</v>
      </c>
      <c r="I2819" t="s">
        <v>17</v>
      </c>
      <c r="K2819" t="s">
        <v>7759</v>
      </c>
      <c r="L2819">
        <v>386</v>
      </c>
      <c r="M2819" t="s">
        <v>7760</v>
      </c>
    </row>
    <row r="2820" spans="1:13" x14ac:dyDescent="0.35">
      <c r="A2820" t="s">
        <v>13</v>
      </c>
      <c r="B2820">
        <v>3027562</v>
      </c>
      <c r="C2820">
        <v>3028167</v>
      </c>
      <c r="E2820" t="s">
        <v>14</v>
      </c>
      <c r="F2820" t="s">
        <v>1443</v>
      </c>
      <c r="H2820">
        <v>1020782</v>
      </c>
      <c r="I2820" t="s">
        <v>17</v>
      </c>
      <c r="K2820" t="s">
        <v>7761</v>
      </c>
      <c r="L2820">
        <v>201</v>
      </c>
      <c r="M2820" t="s">
        <v>7762</v>
      </c>
    </row>
    <row r="2821" spans="1:13" x14ac:dyDescent="0.35">
      <c r="A2821" t="s">
        <v>13</v>
      </c>
      <c r="B2821">
        <v>3028269</v>
      </c>
      <c r="C2821">
        <v>3028895</v>
      </c>
      <c r="E2821" t="s">
        <v>14</v>
      </c>
      <c r="F2821" t="s">
        <v>3580</v>
      </c>
      <c r="H2821">
        <v>1020783</v>
      </c>
      <c r="I2821" t="s">
        <v>17</v>
      </c>
      <c r="K2821" t="s">
        <v>7763</v>
      </c>
      <c r="L2821">
        <v>208</v>
      </c>
      <c r="M2821" t="s">
        <v>7764</v>
      </c>
    </row>
    <row r="2822" spans="1:13" x14ac:dyDescent="0.35">
      <c r="A2822" t="s">
        <v>13</v>
      </c>
      <c r="B2822">
        <v>3028882</v>
      </c>
      <c r="C2822">
        <v>3029466</v>
      </c>
      <c r="E2822" t="s">
        <v>38</v>
      </c>
      <c r="F2822" t="s">
        <v>7765</v>
      </c>
      <c r="H2822">
        <v>1020784</v>
      </c>
      <c r="I2822" t="s">
        <v>17</v>
      </c>
      <c r="K2822" t="s">
        <v>7766</v>
      </c>
      <c r="L2822">
        <v>194</v>
      </c>
      <c r="M2822" t="s">
        <v>7767</v>
      </c>
    </row>
    <row r="2823" spans="1:13" x14ac:dyDescent="0.35">
      <c r="A2823" t="s">
        <v>13</v>
      </c>
      <c r="B2823">
        <v>3029700</v>
      </c>
      <c r="C2823">
        <v>3030374</v>
      </c>
      <c r="E2823" t="s">
        <v>38</v>
      </c>
      <c r="F2823" t="s">
        <v>141</v>
      </c>
      <c r="H2823">
        <v>97006782</v>
      </c>
      <c r="I2823" t="s">
        <v>142</v>
      </c>
      <c r="M2823" t="s">
        <v>7768</v>
      </c>
    </row>
    <row r="2824" spans="1:13" x14ac:dyDescent="0.35">
      <c r="A2824" t="s">
        <v>13</v>
      </c>
      <c r="B2824">
        <v>3030360</v>
      </c>
      <c r="C2824">
        <v>3030539</v>
      </c>
      <c r="E2824" t="s">
        <v>14</v>
      </c>
      <c r="F2824" t="s">
        <v>147</v>
      </c>
      <c r="H2824">
        <v>92792279</v>
      </c>
      <c r="I2824" t="s">
        <v>17</v>
      </c>
      <c r="K2824" t="s">
        <v>7769</v>
      </c>
      <c r="L2824">
        <v>59</v>
      </c>
      <c r="M2824" t="s">
        <v>7770</v>
      </c>
    </row>
    <row r="2825" spans="1:13" x14ac:dyDescent="0.35">
      <c r="A2825" t="s">
        <v>13</v>
      </c>
      <c r="B2825">
        <v>3030670</v>
      </c>
      <c r="C2825">
        <v>3031983</v>
      </c>
      <c r="E2825" t="s">
        <v>14</v>
      </c>
      <c r="F2825" t="s">
        <v>2355</v>
      </c>
      <c r="H2825">
        <v>1020788</v>
      </c>
      <c r="I2825" t="s">
        <v>17</v>
      </c>
      <c r="K2825" t="s">
        <v>7771</v>
      </c>
      <c r="L2825">
        <v>437</v>
      </c>
      <c r="M2825" t="s">
        <v>7772</v>
      </c>
    </row>
    <row r="2826" spans="1:13" x14ac:dyDescent="0.35">
      <c r="A2826" t="s">
        <v>13</v>
      </c>
      <c r="B2826">
        <v>3032662</v>
      </c>
      <c r="C2826">
        <v>3033867</v>
      </c>
      <c r="E2826" t="s">
        <v>14</v>
      </c>
      <c r="F2826" t="s">
        <v>559</v>
      </c>
      <c r="H2826">
        <v>1020789</v>
      </c>
      <c r="I2826" t="s">
        <v>17</v>
      </c>
      <c r="K2826" t="s">
        <v>560</v>
      </c>
      <c r="L2826">
        <v>401</v>
      </c>
      <c r="M2826" t="s">
        <v>7773</v>
      </c>
    </row>
    <row r="2827" spans="1:13" x14ac:dyDescent="0.35">
      <c r="A2827" t="s">
        <v>13</v>
      </c>
      <c r="B2827">
        <v>3034182</v>
      </c>
      <c r="C2827">
        <v>3035441</v>
      </c>
      <c r="E2827" t="s">
        <v>14</v>
      </c>
      <c r="F2827" t="s">
        <v>7774</v>
      </c>
      <c r="H2827">
        <v>1020790</v>
      </c>
      <c r="I2827" t="s">
        <v>17</v>
      </c>
      <c r="K2827" t="s">
        <v>7775</v>
      </c>
      <c r="L2827">
        <v>419</v>
      </c>
      <c r="M2827" t="s">
        <v>7776</v>
      </c>
    </row>
    <row r="2828" spans="1:13" x14ac:dyDescent="0.35">
      <c r="A2828" t="s">
        <v>13</v>
      </c>
      <c r="B2828">
        <v>3035438</v>
      </c>
      <c r="C2828">
        <v>3036757</v>
      </c>
      <c r="E2828" t="s">
        <v>38</v>
      </c>
      <c r="F2828" t="s">
        <v>7777</v>
      </c>
      <c r="H2828">
        <v>1020791</v>
      </c>
      <c r="I2828" t="s">
        <v>17</v>
      </c>
      <c r="K2828" t="s">
        <v>7778</v>
      </c>
      <c r="L2828">
        <v>439</v>
      </c>
      <c r="M2828" t="s">
        <v>7779</v>
      </c>
    </row>
    <row r="2829" spans="1:13" x14ac:dyDescent="0.35">
      <c r="A2829" t="s">
        <v>13</v>
      </c>
      <c r="B2829">
        <v>3036843</v>
      </c>
      <c r="C2829">
        <v>3037412</v>
      </c>
      <c r="E2829" t="s">
        <v>38</v>
      </c>
      <c r="F2829" t="s">
        <v>7780</v>
      </c>
      <c r="G2829" t="s">
        <v>7781</v>
      </c>
      <c r="H2829">
        <v>1020792</v>
      </c>
      <c r="I2829" t="s">
        <v>17</v>
      </c>
      <c r="K2829" t="s">
        <v>7782</v>
      </c>
      <c r="L2829">
        <v>189</v>
      </c>
      <c r="M2829" t="s">
        <v>7783</v>
      </c>
    </row>
    <row r="2830" spans="1:13" x14ac:dyDescent="0.35">
      <c r="A2830" t="s">
        <v>13</v>
      </c>
      <c r="B2830">
        <v>3037552</v>
      </c>
      <c r="C2830">
        <v>3037625</v>
      </c>
      <c r="E2830" t="s">
        <v>14</v>
      </c>
      <c r="F2830" t="s">
        <v>4743</v>
      </c>
      <c r="H2830">
        <v>2745373</v>
      </c>
      <c r="I2830" t="s">
        <v>62</v>
      </c>
      <c r="M2830" t="s">
        <v>7784</v>
      </c>
    </row>
    <row r="2831" spans="1:13" x14ac:dyDescent="0.35">
      <c r="A2831" t="s">
        <v>13</v>
      </c>
      <c r="B2831">
        <v>3038173</v>
      </c>
      <c r="C2831">
        <v>3038946</v>
      </c>
      <c r="E2831" t="s">
        <v>14</v>
      </c>
      <c r="F2831" t="s">
        <v>1151</v>
      </c>
      <c r="H2831">
        <v>1020793</v>
      </c>
      <c r="I2831" t="s">
        <v>17</v>
      </c>
      <c r="K2831" t="s">
        <v>7785</v>
      </c>
      <c r="L2831">
        <v>257</v>
      </c>
      <c r="M2831" t="s">
        <v>7786</v>
      </c>
    </row>
    <row r="2832" spans="1:13" x14ac:dyDescent="0.35">
      <c r="A2832" t="s">
        <v>13</v>
      </c>
      <c r="B2832">
        <v>3038991</v>
      </c>
      <c r="C2832">
        <v>3040682</v>
      </c>
      <c r="E2832" t="s">
        <v>38</v>
      </c>
      <c r="F2832" t="s">
        <v>7787</v>
      </c>
      <c r="H2832">
        <v>1020794</v>
      </c>
      <c r="I2832" t="s">
        <v>17</v>
      </c>
      <c r="K2832" t="s">
        <v>7788</v>
      </c>
      <c r="L2832">
        <v>563</v>
      </c>
      <c r="M2832" t="s">
        <v>7789</v>
      </c>
    </row>
    <row r="2833" spans="1:13" x14ac:dyDescent="0.35">
      <c r="A2833" t="s">
        <v>13</v>
      </c>
      <c r="B2833">
        <v>3040746</v>
      </c>
      <c r="C2833">
        <v>3041903</v>
      </c>
      <c r="E2833" t="s">
        <v>38</v>
      </c>
      <c r="F2833" t="s">
        <v>7790</v>
      </c>
      <c r="H2833">
        <v>1020795</v>
      </c>
      <c r="I2833" t="s">
        <v>17</v>
      </c>
      <c r="K2833" t="s">
        <v>7791</v>
      </c>
      <c r="L2833">
        <v>385</v>
      </c>
      <c r="M2833" t="s">
        <v>7792</v>
      </c>
    </row>
    <row r="2834" spans="1:13" x14ac:dyDescent="0.35">
      <c r="A2834" t="s">
        <v>13</v>
      </c>
      <c r="B2834">
        <v>3041995</v>
      </c>
      <c r="C2834">
        <v>3042441</v>
      </c>
      <c r="E2834" t="s">
        <v>14</v>
      </c>
      <c r="F2834" t="s">
        <v>3863</v>
      </c>
      <c r="H2834">
        <v>1020796</v>
      </c>
      <c r="I2834" t="s">
        <v>17</v>
      </c>
      <c r="K2834" t="s">
        <v>7793</v>
      </c>
      <c r="L2834">
        <v>148</v>
      </c>
      <c r="M2834" t="s">
        <v>7794</v>
      </c>
    </row>
    <row r="2835" spans="1:13" x14ac:dyDescent="0.35">
      <c r="A2835" t="s">
        <v>13</v>
      </c>
      <c r="B2835">
        <v>3042504</v>
      </c>
      <c r="C2835">
        <v>3042707</v>
      </c>
      <c r="E2835" t="s">
        <v>14</v>
      </c>
      <c r="F2835" t="s">
        <v>7795</v>
      </c>
      <c r="H2835">
        <v>1020797</v>
      </c>
      <c r="I2835" t="s">
        <v>17</v>
      </c>
      <c r="K2835" t="s">
        <v>7796</v>
      </c>
      <c r="L2835">
        <v>67</v>
      </c>
      <c r="M2835" t="s">
        <v>7797</v>
      </c>
    </row>
    <row r="2836" spans="1:13" x14ac:dyDescent="0.35">
      <c r="A2836" t="s">
        <v>13</v>
      </c>
      <c r="B2836">
        <v>3042685</v>
      </c>
      <c r="C2836">
        <v>3045792</v>
      </c>
      <c r="E2836" t="s">
        <v>14</v>
      </c>
      <c r="F2836" t="s">
        <v>7798</v>
      </c>
      <c r="H2836">
        <v>1020798</v>
      </c>
      <c r="I2836" t="s">
        <v>17</v>
      </c>
      <c r="K2836" t="s">
        <v>7799</v>
      </c>
      <c r="L2836">
        <v>1035</v>
      </c>
      <c r="M2836" t="s">
        <v>7800</v>
      </c>
    </row>
    <row r="2837" spans="1:13" x14ac:dyDescent="0.35">
      <c r="A2837" t="s">
        <v>13</v>
      </c>
      <c r="B2837">
        <v>3046120</v>
      </c>
      <c r="C2837">
        <v>3047190</v>
      </c>
      <c r="E2837" t="s">
        <v>38</v>
      </c>
      <c r="F2837" t="s">
        <v>7801</v>
      </c>
      <c r="G2837" t="s">
        <v>7802</v>
      </c>
      <c r="H2837">
        <v>1020800</v>
      </c>
      <c r="I2837" t="s">
        <v>17</v>
      </c>
      <c r="K2837" t="s">
        <v>7803</v>
      </c>
      <c r="L2837">
        <v>356</v>
      </c>
      <c r="M2837" t="s">
        <v>7804</v>
      </c>
    </row>
    <row r="2838" spans="1:13" x14ac:dyDescent="0.35">
      <c r="A2838" t="s">
        <v>13</v>
      </c>
      <c r="B2838">
        <v>3047234</v>
      </c>
      <c r="C2838">
        <v>3048052</v>
      </c>
      <c r="E2838" t="s">
        <v>14</v>
      </c>
      <c r="F2838" t="s">
        <v>7805</v>
      </c>
      <c r="H2838">
        <v>1020801</v>
      </c>
      <c r="I2838" t="s">
        <v>17</v>
      </c>
      <c r="K2838" t="s">
        <v>7806</v>
      </c>
      <c r="L2838">
        <v>272</v>
      </c>
      <c r="M2838" t="s">
        <v>7807</v>
      </c>
    </row>
    <row r="2839" spans="1:13" x14ac:dyDescent="0.35">
      <c r="A2839" t="s">
        <v>13</v>
      </c>
      <c r="B2839">
        <v>3048059</v>
      </c>
      <c r="C2839">
        <v>3049483</v>
      </c>
      <c r="E2839" t="s">
        <v>14</v>
      </c>
      <c r="F2839" t="s">
        <v>49</v>
      </c>
      <c r="H2839">
        <v>1020802</v>
      </c>
      <c r="I2839" t="s">
        <v>17</v>
      </c>
      <c r="K2839" t="s">
        <v>7808</v>
      </c>
      <c r="L2839">
        <v>474</v>
      </c>
      <c r="M2839" t="s">
        <v>7809</v>
      </c>
    </row>
    <row r="2840" spans="1:13" x14ac:dyDescent="0.35">
      <c r="A2840" t="s">
        <v>13</v>
      </c>
      <c r="B2840">
        <v>3049454</v>
      </c>
      <c r="C2840">
        <v>3050557</v>
      </c>
      <c r="E2840" t="s">
        <v>38</v>
      </c>
      <c r="F2840" t="s">
        <v>1046</v>
      </c>
      <c r="H2840">
        <v>1020803</v>
      </c>
      <c r="I2840" t="s">
        <v>17</v>
      </c>
      <c r="K2840" t="s">
        <v>7810</v>
      </c>
      <c r="L2840">
        <v>367</v>
      </c>
      <c r="M2840" t="s">
        <v>7811</v>
      </c>
    </row>
    <row r="2841" spans="1:13" x14ac:dyDescent="0.35">
      <c r="A2841" t="s">
        <v>13</v>
      </c>
      <c r="B2841">
        <v>3050604</v>
      </c>
      <c r="C2841">
        <v>3051194</v>
      </c>
      <c r="E2841" t="s">
        <v>14</v>
      </c>
      <c r="F2841" t="s">
        <v>49</v>
      </c>
      <c r="H2841">
        <v>1020804</v>
      </c>
      <c r="I2841" t="s">
        <v>17</v>
      </c>
      <c r="K2841" t="s">
        <v>7812</v>
      </c>
      <c r="L2841">
        <v>196</v>
      </c>
      <c r="M2841" t="s">
        <v>7813</v>
      </c>
    </row>
    <row r="2842" spans="1:13" x14ac:dyDescent="0.35">
      <c r="A2842" t="s">
        <v>13</v>
      </c>
      <c r="B2842">
        <v>3051195</v>
      </c>
      <c r="C2842">
        <v>3051968</v>
      </c>
      <c r="E2842" t="s">
        <v>14</v>
      </c>
      <c r="F2842" t="s">
        <v>1169</v>
      </c>
      <c r="H2842">
        <v>1020805</v>
      </c>
      <c r="I2842" t="s">
        <v>17</v>
      </c>
      <c r="K2842" t="s">
        <v>7814</v>
      </c>
      <c r="L2842">
        <v>257</v>
      </c>
      <c r="M2842" t="s">
        <v>7815</v>
      </c>
    </row>
    <row r="2843" spans="1:13" x14ac:dyDescent="0.35">
      <c r="A2843" t="s">
        <v>13</v>
      </c>
      <c r="B2843">
        <v>3052060</v>
      </c>
      <c r="C2843">
        <v>3053892</v>
      </c>
      <c r="E2843" t="s">
        <v>38</v>
      </c>
      <c r="F2843" t="s">
        <v>7816</v>
      </c>
      <c r="H2843">
        <v>1020806</v>
      </c>
      <c r="I2843" t="s">
        <v>17</v>
      </c>
      <c r="K2843" t="s">
        <v>7817</v>
      </c>
      <c r="L2843">
        <v>610</v>
      </c>
      <c r="M2843" t="s">
        <v>7818</v>
      </c>
    </row>
    <row r="2844" spans="1:13" x14ac:dyDescent="0.35">
      <c r="A2844" t="s">
        <v>13</v>
      </c>
      <c r="B2844">
        <v>3054754</v>
      </c>
      <c r="C2844">
        <v>3055773</v>
      </c>
      <c r="E2844" t="s">
        <v>14</v>
      </c>
      <c r="F2844" t="s">
        <v>7819</v>
      </c>
      <c r="H2844">
        <v>1020807</v>
      </c>
      <c r="I2844" t="s">
        <v>17</v>
      </c>
      <c r="K2844" t="s">
        <v>7820</v>
      </c>
      <c r="L2844">
        <v>339</v>
      </c>
      <c r="M2844" t="s">
        <v>7821</v>
      </c>
    </row>
    <row r="2845" spans="1:13" x14ac:dyDescent="0.35">
      <c r="A2845" t="s">
        <v>13</v>
      </c>
      <c r="B2845">
        <v>3055868</v>
      </c>
      <c r="C2845">
        <v>3056635</v>
      </c>
      <c r="E2845" t="s">
        <v>14</v>
      </c>
      <c r="F2845" t="s">
        <v>7822</v>
      </c>
      <c r="G2845" t="s">
        <v>7823</v>
      </c>
      <c r="H2845">
        <v>1020808</v>
      </c>
      <c r="I2845" t="s">
        <v>17</v>
      </c>
      <c r="K2845" t="s">
        <v>7824</v>
      </c>
      <c r="L2845">
        <v>255</v>
      </c>
      <c r="M2845" t="s">
        <v>7825</v>
      </c>
    </row>
    <row r="2846" spans="1:13" x14ac:dyDescent="0.35">
      <c r="A2846" t="s">
        <v>13</v>
      </c>
      <c r="B2846">
        <v>3056635</v>
      </c>
      <c r="C2846">
        <v>3057321</v>
      </c>
      <c r="E2846" t="s">
        <v>14</v>
      </c>
      <c r="F2846" t="s">
        <v>7826</v>
      </c>
      <c r="H2846">
        <v>1020809</v>
      </c>
      <c r="I2846" t="s">
        <v>17</v>
      </c>
      <c r="K2846" t="s">
        <v>7827</v>
      </c>
      <c r="L2846">
        <v>228</v>
      </c>
      <c r="M2846" t="s">
        <v>7828</v>
      </c>
    </row>
    <row r="2847" spans="1:13" x14ac:dyDescent="0.35">
      <c r="A2847" t="s">
        <v>13</v>
      </c>
      <c r="B2847">
        <v>3057329</v>
      </c>
      <c r="C2847">
        <v>3059647</v>
      </c>
      <c r="E2847" t="s">
        <v>14</v>
      </c>
      <c r="F2847" t="s">
        <v>708</v>
      </c>
      <c r="H2847">
        <v>1020810</v>
      </c>
      <c r="I2847" t="s">
        <v>17</v>
      </c>
      <c r="K2847" t="s">
        <v>7829</v>
      </c>
      <c r="L2847">
        <v>772</v>
      </c>
      <c r="M2847" t="s">
        <v>7830</v>
      </c>
    </row>
    <row r="2848" spans="1:13" x14ac:dyDescent="0.35">
      <c r="A2848" t="s">
        <v>13</v>
      </c>
      <c r="B2848">
        <v>3059652</v>
      </c>
      <c r="C2848">
        <v>3060737</v>
      </c>
      <c r="E2848" t="s">
        <v>14</v>
      </c>
      <c r="F2848" t="s">
        <v>7831</v>
      </c>
      <c r="H2848">
        <v>1020811</v>
      </c>
      <c r="I2848" t="s">
        <v>17</v>
      </c>
      <c r="K2848" t="s">
        <v>7832</v>
      </c>
      <c r="L2848">
        <v>361</v>
      </c>
      <c r="M2848" t="s">
        <v>7833</v>
      </c>
    </row>
    <row r="2849" spans="1:13" x14ac:dyDescent="0.35">
      <c r="A2849" t="s">
        <v>13</v>
      </c>
      <c r="B2849">
        <v>3060734</v>
      </c>
      <c r="C2849">
        <v>3061099</v>
      </c>
      <c r="E2849" t="s">
        <v>14</v>
      </c>
      <c r="F2849" t="s">
        <v>7834</v>
      </c>
      <c r="H2849">
        <v>1020812</v>
      </c>
      <c r="I2849" t="s">
        <v>17</v>
      </c>
      <c r="K2849" t="s">
        <v>7835</v>
      </c>
      <c r="L2849">
        <v>121</v>
      </c>
      <c r="M2849" t="s">
        <v>7836</v>
      </c>
    </row>
    <row r="2850" spans="1:13" x14ac:dyDescent="0.35">
      <c r="A2850" t="s">
        <v>13</v>
      </c>
      <c r="B2850">
        <v>3061378</v>
      </c>
      <c r="C2850">
        <v>3062928</v>
      </c>
      <c r="E2850" t="s">
        <v>38</v>
      </c>
      <c r="F2850" t="s">
        <v>2044</v>
      </c>
      <c r="H2850">
        <v>1020813</v>
      </c>
      <c r="I2850" t="s">
        <v>17</v>
      </c>
      <c r="K2850" t="s">
        <v>7837</v>
      </c>
      <c r="L2850">
        <v>516</v>
      </c>
      <c r="M2850" t="s">
        <v>7838</v>
      </c>
    </row>
    <row r="2851" spans="1:13" x14ac:dyDescent="0.35">
      <c r="A2851" t="s">
        <v>13</v>
      </c>
      <c r="B2851">
        <v>3062949</v>
      </c>
      <c r="C2851">
        <v>3064037</v>
      </c>
      <c r="E2851" t="s">
        <v>38</v>
      </c>
      <c r="F2851" t="s">
        <v>141</v>
      </c>
      <c r="H2851">
        <v>97006783</v>
      </c>
      <c r="I2851" t="s">
        <v>142</v>
      </c>
      <c r="M2851" t="s">
        <v>7839</v>
      </c>
    </row>
    <row r="2852" spans="1:13" x14ac:dyDescent="0.35">
      <c r="A2852" t="s">
        <v>13</v>
      </c>
      <c r="B2852">
        <v>3064125</v>
      </c>
      <c r="C2852">
        <v>3067781</v>
      </c>
      <c r="E2852" t="s">
        <v>38</v>
      </c>
      <c r="F2852" t="s">
        <v>141</v>
      </c>
      <c r="H2852">
        <v>1020814</v>
      </c>
      <c r="I2852" t="s">
        <v>142</v>
      </c>
      <c r="M2852" t="s">
        <v>7840</v>
      </c>
    </row>
    <row r="2853" spans="1:13" x14ac:dyDescent="0.35">
      <c r="A2853" t="s">
        <v>13</v>
      </c>
      <c r="B2853">
        <v>3068141</v>
      </c>
      <c r="C2853">
        <v>3070003</v>
      </c>
      <c r="E2853" t="s">
        <v>38</v>
      </c>
      <c r="F2853" t="s">
        <v>7841</v>
      </c>
      <c r="H2853">
        <v>1020815</v>
      </c>
      <c r="I2853" t="s">
        <v>17</v>
      </c>
      <c r="K2853" t="s">
        <v>7842</v>
      </c>
      <c r="L2853">
        <v>620</v>
      </c>
      <c r="M2853" t="s">
        <v>7843</v>
      </c>
    </row>
    <row r="2854" spans="1:13" x14ac:dyDescent="0.35">
      <c r="A2854" t="s">
        <v>13</v>
      </c>
      <c r="B2854">
        <v>3070212</v>
      </c>
      <c r="C2854">
        <v>3071141</v>
      </c>
      <c r="E2854" t="s">
        <v>38</v>
      </c>
      <c r="F2854" t="s">
        <v>7844</v>
      </c>
      <c r="H2854">
        <v>1020816</v>
      </c>
      <c r="I2854" t="s">
        <v>17</v>
      </c>
      <c r="K2854" t="s">
        <v>7845</v>
      </c>
      <c r="L2854">
        <v>309</v>
      </c>
      <c r="M2854" t="s">
        <v>7846</v>
      </c>
    </row>
    <row r="2855" spans="1:13" x14ac:dyDescent="0.35">
      <c r="A2855" t="s">
        <v>13</v>
      </c>
      <c r="B2855">
        <v>3071145</v>
      </c>
      <c r="C2855">
        <v>3071645</v>
      </c>
      <c r="E2855" t="s">
        <v>38</v>
      </c>
      <c r="F2855" t="s">
        <v>7847</v>
      </c>
      <c r="H2855">
        <v>1020817</v>
      </c>
      <c r="I2855" t="s">
        <v>17</v>
      </c>
      <c r="K2855" t="s">
        <v>7848</v>
      </c>
      <c r="L2855">
        <v>166</v>
      </c>
      <c r="M2855" t="s">
        <v>7849</v>
      </c>
    </row>
    <row r="2856" spans="1:13" x14ac:dyDescent="0.35">
      <c r="A2856" t="s">
        <v>13</v>
      </c>
      <c r="B2856">
        <v>3071648</v>
      </c>
      <c r="C2856">
        <v>3073621</v>
      </c>
      <c r="E2856" t="s">
        <v>38</v>
      </c>
      <c r="F2856" t="s">
        <v>7850</v>
      </c>
      <c r="H2856">
        <v>1020818</v>
      </c>
      <c r="I2856" t="s">
        <v>17</v>
      </c>
      <c r="K2856" t="s">
        <v>7851</v>
      </c>
      <c r="L2856">
        <v>657</v>
      </c>
      <c r="M2856" t="s">
        <v>7852</v>
      </c>
    </row>
    <row r="2857" spans="1:13" x14ac:dyDescent="0.35">
      <c r="A2857" t="s">
        <v>13</v>
      </c>
      <c r="B2857">
        <v>3074078</v>
      </c>
      <c r="C2857">
        <v>3075451</v>
      </c>
      <c r="E2857" t="s">
        <v>14</v>
      </c>
      <c r="F2857" t="s">
        <v>2205</v>
      </c>
      <c r="H2857">
        <v>1020819</v>
      </c>
      <c r="I2857" t="s">
        <v>17</v>
      </c>
      <c r="K2857" t="s">
        <v>7853</v>
      </c>
      <c r="L2857">
        <v>457</v>
      </c>
      <c r="M2857" t="s">
        <v>7854</v>
      </c>
    </row>
    <row r="2858" spans="1:13" x14ac:dyDescent="0.35">
      <c r="A2858" t="s">
        <v>13</v>
      </c>
      <c r="B2858">
        <v>3075538</v>
      </c>
      <c r="C2858">
        <v>3076563</v>
      </c>
      <c r="E2858" t="s">
        <v>38</v>
      </c>
      <c r="F2858" t="s">
        <v>391</v>
      </c>
      <c r="H2858">
        <v>1020820</v>
      </c>
      <c r="I2858" t="s">
        <v>17</v>
      </c>
      <c r="K2858" t="s">
        <v>7855</v>
      </c>
      <c r="L2858">
        <v>341</v>
      </c>
      <c r="M2858" t="s">
        <v>7856</v>
      </c>
    </row>
    <row r="2859" spans="1:13" x14ac:dyDescent="0.35">
      <c r="A2859" t="s">
        <v>13</v>
      </c>
      <c r="B2859">
        <v>3076713</v>
      </c>
      <c r="C2859">
        <v>3078773</v>
      </c>
      <c r="E2859" t="s">
        <v>38</v>
      </c>
      <c r="F2859" t="s">
        <v>7857</v>
      </c>
      <c r="G2859" t="s">
        <v>7858</v>
      </c>
      <c r="H2859">
        <v>1020821</v>
      </c>
      <c r="I2859" t="s">
        <v>17</v>
      </c>
      <c r="K2859" t="s">
        <v>7859</v>
      </c>
      <c r="L2859">
        <v>686</v>
      </c>
      <c r="M2859" t="s">
        <v>7860</v>
      </c>
    </row>
    <row r="2860" spans="1:13" x14ac:dyDescent="0.35">
      <c r="A2860" t="s">
        <v>13</v>
      </c>
      <c r="B2860">
        <v>3078851</v>
      </c>
      <c r="C2860">
        <v>3079849</v>
      </c>
      <c r="E2860" t="s">
        <v>38</v>
      </c>
      <c r="F2860" t="s">
        <v>7861</v>
      </c>
      <c r="H2860">
        <v>1020822</v>
      </c>
      <c r="I2860" t="s">
        <v>17</v>
      </c>
      <c r="K2860" t="s">
        <v>7862</v>
      </c>
      <c r="L2860">
        <v>332</v>
      </c>
      <c r="M2860" t="s">
        <v>7863</v>
      </c>
    </row>
    <row r="2861" spans="1:13" x14ac:dyDescent="0.35">
      <c r="A2861" t="s">
        <v>13</v>
      </c>
      <c r="B2861">
        <v>3079846</v>
      </c>
      <c r="C2861">
        <v>3080352</v>
      </c>
      <c r="E2861" t="s">
        <v>38</v>
      </c>
      <c r="F2861" t="s">
        <v>7864</v>
      </c>
      <c r="H2861">
        <v>1020823</v>
      </c>
      <c r="I2861" t="s">
        <v>17</v>
      </c>
      <c r="K2861" t="s">
        <v>7865</v>
      </c>
      <c r="L2861">
        <v>168</v>
      </c>
      <c r="M2861" t="s">
        <v>7866</v>
      </c>
    </row>
    <row r="2862" spans="1:13" x14ac:dyDescent="0.35">
      <c r="A2862" t="s">
        <v>13</v>
      </c>
      <c r="B2862">
        <v>3080342</v>
      </c>
      <c r="C2862">
        <v>3082312</v>
      </c>
      <c r="E2862" t="s">
        <v>38</v>
      </c>
      <c r="F2862" t="s">
        <v>414</v>
      </c>
      <c r="H2862">
        <v>1020824</v>
      </c>
      <c r="I2862" t="s">
        <v>17</v>
      </c>
      <c r="K2862" t="s">
        <v>7867</v>
      </c>
      <c r="L2862">
        <v>656</v>
      </c>
      <c r="M2862" t="s">
        <v>7868</v>
      </c>
    </row>
    <row r="2863" spans="1:13" x14ac:dyDescent="0.35">
      <c r="A2863" t="s">
        <v>13</v>
      </c>
      <c r="B2863">
        <v>3082564</v>
      </c>
      <c r="C2863">
        <v>3083964</v>
      </c>
      <c r="E2863" t="s">
        <v>14</v>
      </c>
      <c r="F2863" t="s">
        <v>7869</v>
      </c>
      <c r="H2863">
        <v>1020825</v>
      </c>
      <c r="I2863" t="s">
        <v>17</v>
      </c>
      <c r="K2863" t="s">
        <v>7870</v>
      </c>
      <c r="L2863">
        <v>466</v>
      </c>
      <c r="M2863" t="s">
        <v>7871</v>
      </c>
    </row>
    <row r="2864" spans="1:13" x14ac:dyDescent="0.35">
      <c r="A2864" t="s">
        <v>13</v>
      </c>
      <c r="B2864">
        <v>3083933</v>
      </c>
      <c r="C2864">
        <v>3084412</v>
      </c>
      <c r="E2864" t="s">
        <v>38</v>
      </c>
      <c r="F2864" t="s">
        <v>7864</v>
      </c>
      <c r="H2864">
        <v>1020826</v>
      </c>
      <c r="I2864" t="s">
        <v>17</v>
      </c>
      <c r="K2864" t="s">
        <v>7872</v>
      </c>
      <c r="L2864">
        <v>159</v>
      </c>
      <c r="M2864" t="s">
        <v>7873</v>
      </c>
    </row>
    <row r="2865" spans="1:13" x14ac:dyDescent="0.35">
      <c r="A2865" t="s">
        <v>13</v>
      </c>
      <c r="B2865">
        <v>3084422</v>
      </c>
      <c r="C2865">
        <v>3085096</v>
      </c>
      <c r="E2865" t="s">
        <v>38</v>
      </c>
      <c r="F2865" t="s">
        <v>49</v>
      </c>
      <c r="H2865">
        <v>1020827</v>
      </c>
      <c r="I2865" t="s">
        <v>17</v>
      </c>
      <c r="K2865" t="s">
        <v>7874</v>
      </c>
      <c r="L2865">
        <v>224</v>
      </c>
      <c r="M2865" t="s">
        <v>7875</v>
      </c>
    </row>
    <row r="2866" spans="1:13" x14ac:dyDescent="0.35">
      <c r="A2866" t="s">
        <v>13</v>
      </c>
      <c r="B2866">
        <v>3085262</v>
      </c>
      <c r="C2866">
        <v>3087052</v>
      </c>
      <c r="E2866" t="s">
        <v>14</v>
      </c>
      <c r="F2866" t="s">
        <v>3256</v>
      </c>
      <c r="H2866">
        <v>1020828</v>
      </c>
      <c r="I2866" t="s">
        <v>17</v>
      </c>
      <c r="K2866" t="s">
        <v>7876</v>
      </c>
      <c r="L2866">
        <v>596</v>
      </c>
      <c r="M2866" t="s">
        <v>7877</v>
      </c>
    </row>
    <row r="2867" spans="1:13" x14ac:dyDescent="0.35">
      <c r="A2867" t="s">
        <v>13</v>
      </c>
      <c r="B2867">
        <v>3087099</v>
      </c>
      <c r="C2867">
        <v>3088304</v>
      </c>
      <c r="E2867" t="s">
        <v>38</v>
      </c>
      <c r="F2867" t="s">
        <v>7878</v>
      </c>
      <c r="G2867" t="s">
        <v>7879</v>
      </c>
      <c r="H2867">
        <v>1020830</v>
      </c>
      <c r="I2867" t="s">
        <v>17</v>
      </c>
      <c r="K2867" t="s">
        <v>7880</v>
      </c>
      <c r="L2867">
        <v>401</v>
      </c>
      <c r="M2867" t="s">
        <v>7881</v>
      </c>
    </row>
    <row r="2868" spans="1:13" x14ac:dyDescent="0.35">
      <c r="A2868" t="s">
        <v>13</v>
      </c>
      <c r="B2868">
        <v>3088590</v>
      </c>
      <c r="C2868">
        <v>3090668</v>
      </c>
      <c r="E2868" t="s">
        <v>14</v>
      </c>
      <c r="F2868" t="s">
        <v>2295</v>
      </c>
      <c r="H2868">
        <v>1020831</v>
      </c>
      <c r="I2868" t="s">
        <v>17</v>
      </c>
      <c r="K2868" t="s">
        <v>7882</v>
      </c>
      <c r="L2868">
        <v>692</v>
      </c>
      <c r="M2868" t="s">
        <v>7883</v>
      </c>
    </row>
    <row r="2869" spans="1:13" x14ac:dyDescent="0.35">
      <c r="A2869" t="s">
        <v>13</v>
      </c>
      <c r="B2869">
        <v>3090758</v>
      </c>
      <c r="C2869">
        <v>3092287</v>
      </c>
      <c r="E2869" t="s">
        <v>38</v>
      </c>
      <c r="F2869" t="s">
        <v>7884</v>
      </c>
      <c r="G2869" t="s">
        <v>7885</v>
      </c>
      <c r="H2869">
        <v>1020833</v>
      </c>
      <c r="I2869" t="s">
        <v>17</v>
      </c>
      <c r="K2869" t="s">
        <v>7886</v>
      </c>
      <c r="L2869">
        <v>509</v>
      </c>
      <c r="M2869" t="s">
        <v>7887</v>
      </c>
    </row>
    <row r="2870" spans="1:13" x14ac:dyDescent="0.35">
      <c r="A2870" t="s">
        <v>13</v>
      </c>
      <c r="B2870">
        <v>3092340</v>
      </c>
      <c r="C2870">
        <v>3093176</v>
      </c>
      <c r="E2870" t="s">
        <v>38</v>
      </c>
      <c r="F2870" t="s">
        <v>2653</v>
      </c>
      <c r="H2870">
        <v>1020834</v>
      </c>
      <c r="I2870" t="s">
        <v>17</v>
      </c>
      <c r="K2870" t="s">
        <v>7888</v>
      </c>
      <c r="L2870">
        <v>278</v>
      </c>
      <c r="M2870" t="s">
        <v>7889</v>
      </c>
    </row>
    <row r="2871" spans="1:13" x14ac:dyDescent="0.35">
      <c r="A2871" t="s">
        <v>13</v>
      </c>
      <c r="B2871">
        <v>3093173</v>
      </c>
      <c r="C2871">
        <v>3094051</v>
      </c>
      <c r="E2871" t="s">
        <v>38</v>
      </c>
      <c r="F2871" t="s">
        <v>6028</v>
      </c>
      <c r="H2871">
        <v>1020835</v>
      </c>
      <c r="I2871" t="s">
        <v>17</v>
      </c>
      <c r="K2871" t="s">
        <v>7890</v>
      </c>
      <c r="L2871">
        <v>292</v>
      </c>
      <c r="M2871" t="s">
        <v>7891</v>
      </c>
    </row>
    <row r="2872" spans="1:13" x14ac:dyDescent="0.35">
      <c r="A2872" t="s">
        <v>13</v>
      </c>
      <c r="B2872">
        <v>3094076</v>
      </c>
      <c r="C2872">
        <v>3095344</v>
      </c>
      <c r="E2872" t="s">
        <v>38</v>
      </c>
      <c r="F2872" t="s">
        <v>7892</v>
      </c>
      <c r="G2872" t="s">
        <v>7893</v>
      </c>
      <c r="H2872">
        <v>1020836</v>
      </c>
      <c r="I2872" t="s">
        <v>17</v>
      </c>
      <c r="K2872" t="s">
        <v>7894</v>
      </c>
      <c r="L2872">
        <v>422</v>
      </c>
      <c r="M2872" t="s">
        <v>7895</v>
      </c>
    </row>
    <row r="2873" spans="1:13" x14ac:dyDescent="0.35">
      <c r="A2873" t="s">
        <v>13</v>
      </c>
      <c r="B2873">
        <v>3095491</v>
      </c>
      <c r="C2873">
        <v>3096291</v>
      </c>
      <c r="E2873" t="s">
        <v>14</v>
      </c>
      <c r="F2873" t="s">
        <v>1930</v>
      </c>
      <c r="H2873">
        <v>1020837</v>
      </c>
      <c r="I2873" t="s">
        <v>17</v>
      </c>
      <c r="K2873" t="s">
        <v>7896</v>
      </c>
      <c r="L2873">
        <v>266</v>
      </c>
      <c r="M2873" t="s">
        <v>7897</v>
      </c>
    </row>
    <row r="2874" spans="1:13" x14ac:dyDescent="0.35">
      <c r="A2874" t="s">
        <v>13</v>
      </c>
      <c r="B2874">
        <v>3096327</v>
      </c>
      <c r="C2874">
        <v>3097427</v>
      </c>
      <c r="E2874" t="s">
        <v>14</v>
      </c>
      <c r="F2874" t="s">
        <v>2425</v>
      </c>
      <c r="H2874">
        <v>1020838</v>
      </c>
      <c r="I2874" t="s">
        <v>17</v>
      </c>
      <c r="K2874" t="s">
        <v>7898</v>
      </c>
      <c r="L2874">
        <v>366</v>
      </c>
      <c r="M2874" t="s">
        <v>7899</v>
      </c>
    </row>
    <row r="2875" spans="1:13" x14ac:dyDescent="0.35">
      <c r="A2875" t="s">
        <v>13</v>
      </c>
      <c r="B2875">
        <v>3097424</v>
      </c>
      <c r="C2875">
        <v>3097768</v>
      </c>
      <c r="E2875" t="s">
        <v>14</v>
      </c>
      <c r="F2875" t="s">
        <v>2136</v>
      </c>
      <c r="H2875">
        <v>1020839</v>
      </c>
      <c r="I2875" t="s">
        <v>17</v>
      </c>
      <c r="K2875" t="s">
        <v>7900</v>
      </c>
      <c r="L2875">
        <v>114</v>
      </c>
      <c r="M2875" t="s">
        <v>7901</v>
      </c>
    </row>
    <row r="2876" spans="1:13" x14ac:dyDescent="0.35">
      <c r="A2876" t="s">
        <v>13</v>
      </c>
      <c r="B2876">
        <v>3097902</v>
      </c>
      <c r="C2876">
        <v>3098573</v>
      </c>
      <c r="E2876" t="s">
        <v>38</v>
      </c>
      <c r="F2876" t="s">
        <v>1279</v>
      </c>
      <c r="H2876">
        <v>1020841</v>
      </c>
      <c r="I2876" t="s">
        <v>17</v>
      </c>
      <c r="K2876" t="s">
        <v>7902</v>
      </c>
      <c r="L2876">
        <v>223</v>
      </c>
      <c r="M2876" t="s">
        <v>7903</v>
      </c>
    </row>
    <row r="2877" spans="1:13" x14ac:dyDescent="0.35">
      <c r="A2877" t="s">
        <v>13</v>
      </c>
      <c r="B2877">
        <v>3098576</v>
      </c>
      <c r="C2877">
        <v>3099523</v>
      </c>
      <c r="E2877" t="s">
        <v>38</v>
      </c>
      <c r="F2877" t="s">
        <v>7904</v>
      </c>
      <c r="G2877" t="s">
        <v>7905</v>
      </c>
      <c r="H2877">
        <v>1020842</v>
      </c>
      <c r="I2877" t="s">
        <v>17</v>
      </c>
      <c r="K2877" t="s">
        <v>7906</v>
      </c>
      <c r="L2877">
        <v>315</v>
      </c>
      <c r="M2877" t="s">
        <v>7907</v>
      </c>
    </row>
    <row r="2878" spans="1:13" x14ac:dyDescent="0.35">
      <c r="A2878" t="s">
        <v>13</v>
      </c>
      <c r="B2878">
        <v>3099563</v>
      </c>
      <c r="C2878">
        <v>3100702</v>
      </c>
      <c r="E2878" t="s">
        <v>14</v>
      </c>
      <c r="F2878" t="s">
        <v>7908</v>
      </c>
      <c r="H2878">
        <v>1020843</v>
      </c>
      <c r="I2878" t="s">
        <v>17</v>
      </c>
      <c r="K2878" t="s">
        <v>7909</v>
      </c>
      <c r="L2878">
        <v>379</v>
      </c>
      <c r="M2878" t="s">
        <v>7910</v>
      </c>
    </row>
    <row r="2879" spans="1:13" x14ac:dyDescent="0.35">
      <c r="A2879" t="s">
        <v>13</v>
      </c>
      <c r="B2879">
        <v>3100699</v>
      </c>
      <c r="C2879">
        <v>3101430</v>
      </c>
      <c r="E2879" t="s">
        <v>14</v>
      </c>
      <c r="F2879" t="s">
        <v>7911</v>
      </c>
      <c r="H2879">
        <v>1020844</v>
      </c>
      <c r="I2879" t="s">
        <v>17</v>
      </c>
      <c r="K2879" t="s">
        <v>7912</v>
      </c>
      <c r="L2879">
        <v>243</v>
      </c>
      <c r="M2879" t="s">
        <v>7913</v>
      </c>
    </row>
    <row r="2880" spans="1:13" x14ac:dyDescent="0.35">
      <c r="A2880" t="s">
        <v>13</v>
      </c>
      <c r="B2880">
        <v>3101528</v>
      </c>
      <c r="C2880">
        <v>3102772</v>
      </c>
      <c r="E2880" t="s">
        <v>14</v>
      </c>
      <c r="F2880" t="s">
        <v>7914</v>
      </c>
      <c r="H2880">
        <v>1020845</v>
      </c>
      <c r="I2880" t="s">
        <v>17</v>
      </c>
      <c r="K2880" t="s">
        <v>7915</v>
      </c>
      <c r="L2880">
        <v>414</v>
      </c>
      <c r="M2880" t="s">
        <v>7916</v>
      </c>
    </row>
    <row r="2881" spans="1:13" x14ac:dyDescent="0.35">
      <c r="A2881" t="s">
        <v>13</v>
      </c>
      <c r="B2881">
        <v>3102895</v>
      </c>
      <c r="C2881">
        <v>3103767</v>
      </c>
      <c r="E2881" t="s">
        <v>14</v>
      </c>
      <c r="F2881" t="s">
        <v>49</v>
      </c>
      <c r="H2881">
        <v>1020846</v>
      </c>
      <c r="I2881" t="s">
        <v>17</v>
      </c>
      <c r="K2881" t="s">
        <v>7917</v>
      </c>
      <c r="L2881">
        <v>290</v>
      </c>
      <c r="M2881" t="s">
        <v>7918</v>
      </c>
    </row>
    <row r="2882" spans="1:13" x14ac:dyDescent="0.35">
      <c r="A2882" t="s">
        <v>13</v>
      </c>
      <c r="B2882">
        <v>3103927</v>
      </c>
      <c r="C2882">
        <v>3104256</v>
      </c>
      <c r="E2882" t="s">
        <v>14</v>
      </c>
      <c r="F2882" t="s">
        <v>2993</v>
      </c>
      <c r="H2882">
        <v>1020847</v>
      </c>
      <c r="I2882" t="s">
        <v>17</v>
      </c>
      <c r="K2882" t="s">
        <v>7919</v>
      </c>
      <c r="L2882">
        <v>109</v>
      </c>
      <c r="M2882" t="s">
        <v>7920</v>
      </c>
    </row>
    <row r="2883" spans="1:13" x14ac:dyDescent="0.35">
      <c r="A2883" t="s">
        <v>13</v>
      </c>
      <c r="B2883">
        <v>3104437</v>
      </c>
      <c r="C2883">
        <v>3105723</v>
      </c>
      <c r="E2883" t="s">
        <v>14</v>
      </c>
      <c r="F2883" t="s">
        <v>1900</v>
      </c>
      <c r="H2883">
        <v>1020848</v>
      </c>
      <c r="I2883" t="s">
        <v>17</v>
      </c>
      <c r="K2883" t="s">
        <v>7921</v>
      </c>
      <c r="L2883">
        <v>428</v>
      </c>
      <c r="M2883" t="s">
        <v>7922</v>
      </c>
    </row>
    <row r="2884" spans="1:13" x14ac:dyDescent="0.35">
      <c r="A2884" t="s">
        <v>13</v>
      </c>
      <c r="B2884">
        <v>3106051</v>
      </c>
      <c r="C2884">
        <v>3106965</v>
      </c>
      <c r="E2884" t="s">
        <v>38</v>
      </c>
      <c r="F2884" t="s">
        <v>7923</v>
      </c>
      <c r="H2884">
        <v>1020849</v>
      </c>
      <c r="I2884" t="s">
        <v>17</v>
      </c>
      <c r="K2884" t="s">
        <v>7924</v>
      </c>
      <c r="L2884">
        <v>304</v>
      </c>
      <c r="M2884" t="s">
        <v>7925</v>
      </c>
    </row>
    <row r="2885" spans="1:13" x14ac:dyDescent="0.35">
      <c r="A2885" t="s">
        <v>13</v>
      </c>
      <c r="B2885">
        <v>3106949</v>
      </c>
      <c r="C2885">
        <v>3107710</v>
      </c>
      <c r="E2885" t="s">
        <v>38</v>
      </c>
      <c r="F2885" t="s">
        <v>3910</v>
      </c>
      <c r="H2885">
        <v>1020850</v>
      </c>
      <c r="I2885" t="s">
        <v>17</v>
      </c>
      <c r="K2885" t="s">
        <v>7926</v>
      </c>
      <c r="L2885">
        <v>253</v>
      </c>
      <c r="M2885" t="s">
        <v>7927</v>
      </c>
    </row>
    <row r="2886" spans="1:13" x14ac:dyDescent="0.35">
      <c r="A2886" t="s">
        <v>13</v>
      </c>
      <c r="B2886">
        <v>3108132</v>
      </c>
      <c r="C2886">
        <v>3109523</v>
      </c>
      <c r="E2886" t="s">
        <v>14</v>
      </c>
      <c r="F2886" t="s">
        <v>7928</v>
      </c>
      <c r="H2886">
        <v>1020851</v>
      </c>
      <c r="I2886" t="s">
        <v>17</v>
      </c>
      <c r="K2886" t="s">
        <v>7929</v>
      </c>
      <c r="L2886">
        <v>463</v>
      </c>
      <c r="M2886" t="s">
        <v>7930</v>
      </c>
    </row>
    <row r="2887" spans="1:13" x14ac:dyDescent="0.35">
      <c r="A2887" t="s">
        <v>13</v>
      </c>
      <c r="B2887">
        <v>3110462</v>
      </c>
      <c r="C2887">
        <v>3112321</v>
      </c>
      <c r="E2887" t="s">
        <v>38</v>
      </c>
      <c r="F2887" t="s">
        <v>5754</v>
      </c>
      <c r="H2887">
        <v>1020852</v>
      </c>
      <c r="I2887" t="s">
        <v>17</v>
      </c>
      <c r="K2887" t="s">
        <v>7931</v>
      </c>
      <c r="L2887">
        <v>619</v>
      </c>
      <c r="M2887" t="s">
        <v>7932</v>
      </c>
    </row>
    <row r="2888" spans="1:13" x14ac:dyDescent="0.35">
      <c r="A2888" t="s">
        <v>13</v>
      </c>
      <c r="B2888">
        <v>3112447</v>
      </c>
      <c r="C2888">
        <v>3113391</v>
      </c>
      <c r="E2888" t="s">
        <v>38</v>
      </c>
      <c r="F2888" t="s">
        <v>7933</v>
      </c>
      <c r="H2888">
        <v>1020853</v>
      </c>
      <c r="I2888" t="s">
        <v>17</v>
      </c>
      <c r="K2888" t="s">
        <v>7934</v>
      </c>
      <c r="L2888">
        <v>314</v>
      </c>
      <c r="M2888" t="s">
        <v>7935</v>
      </c>
    </row>
    <row r="2889" spans="1:13" x14ac:dyDescent="0.35">
      <c r="A2889" t="s">
        <v>13</v>
      </c>
      <c r="B2889">
        <v>3113620</v>
      </c>
      <c r="C2889">
        <v>3115398</v>
      </c>
      <c r="E2889" t="s">
        <v>14</v>
      </c>
      <c r="F2889" t="s">
        <v>391</v>
      </c>
      <c r="H2889">
        <v>1020854</v>
      </c>
      <c r="I2889" t="s">
        <v>17</v>
      </c>
      <c r="K2889" t="s">
        <v>7936</v>
      </c>
      <c r="L2889">
        <v>592</v>
      </c>
      <c r="M2889" t="s">
        <v>7937</v>
      </c>
    </row>
    <row r="2890" spans="1:13" x14ac:dyDescent="0.35">
      <c r="A2890" t="s">
        <v>13</v>
      </c>
      <c r="B2890">
        <v>3115408</v>
      </c>
      <c r="C2890">
        <v>3116046</v>
      </c>
      <c r="E2890" t="s">
        <v>14</v>
      </c>
      <c r="F2890" t="s">
        <v>394</v>
      </c>
      <c r="H2890">
        <v>1020855</v>
      </c>
      <c r="I2890" t="s">
        <v>17</v>
      </c>
      <c r="K2890" t="s">
        <v>7938</v>
      </c>
      <c r="L2890">
        <v>212</v>
      </c>
      <c r="M2890" t="s">
        <v>7939</v>
      </c>
    </row>
    <row r="2891" spans="1:13" x14ac:dyDescent="0.35">
      <c r="A2891" t="s">
        <v>13</v>
      </c>
      <c r="B2891">
        <v>3116080</v>
      </c>
      <c r="C2891">
        <v>3116625</v>
      </c>
      <c r="E2891" t="s">
        <v>14</v>
      </c>
      <c r="F2891" t="s">
        <v>2906</v>
      </c>
      <c r="H2891">
        <v>1020856</v>
      </c>
      <c r="I2891" t="s">
        <v>17</v>
      </c>
      <c r="K2891" t="s">
        <v>7940</v>
      </c>
      <c r="L2891">
        <v>181</v>
      </c>
      <c r="M2891" t="s">
        <v>7941</v>
      </c>
    </row>
    <row r="2892" spans="1:13" x14ac:dyDescent="0.35">
      <c r="A2892" t="s">
        <v>13</v>
      </c>
      <c r="B2892">
        <v>3116641</v>
      </c>
      <c r="C2892">
        <v>3117336</v>
      </c>
      <c r="E2892" t="s">
        <v>14</v>
      </c>
      <c r="F2892" t="s">
        <v>4846</v>
      </c>
      <c r="H2892">
        <v>1020857</v>
      </c>
      <c r="I2892" t="s">
        <v>17</v>
      </c>
      <c r="K2892" t="s">
        <v>7942</v>
      </c>
      <c r="L2892">
        <v>231</v>
      </c>
      <c r="M2892" t="s">
        <v>7943</v>
      </c>
    </row>
    <row r="2893" spans="1:13" x14ac:dyDescent="0.35">
      <c r="A2893" t="s">
        <v>13</v>
      </c>
      <c r="B2893">
        <v>3117337</v>
      </c>
      <c r="C2893">
        <v>3118125</v>
      </c>
      <c r="E2893" t="s">
        <v>14</v>
      </c>
      <c r="F2893" t="s">
        <v>3320</v>
      </c>
      <c r="H2893">
        <v>1020858</v>
      </c>
      <c r="I2893" t="s">
        <v>17</v>
      </c>
      <c r="K2893" t="s">
        <v>7944</v>
      </c>
      <c r="L2893">
        <v>262</v>
      </c>
      <c r="M2893" t="s">
        <v>7945</v>
      </c>
    </row>
    <row r="2894" spans="1:13" x14ac:dyDescent="0.35">
      <c r="A2894" t="s">
        <v>13</v>
      </c>
      <c r="B2894">
        <v>3118285</v>
      </c>
      <c r="C2894">
        <v>3119586</v>
      </c>
      <c r="E2894" t="s">
        <v>14</v>
      </c>
      <c r="F2894" t="s">
        <v>265</v>
      </c>
      <c r="H2894">
        <v>1020859</v>
      </c>
      <c r="I2894" t="s">
        <v>17</v>
      </c>
      <c r="K2894" t="s">
        <v>7946</v>
      </c>
      <c r="L2894">
        <v>433</v>
      </c>
      <c r="M2894" t="s">
        <v>7947</v>
      </c>
    </row>
    <row r="2895" spans="1:13" x14ac:dyDescent="0.35">
      <c r="A2895" t="s">
        <v>13</v>
      </c>
      <c r="B2895">
        <v>3119621</v>
      </c>
      <c r="C2895">
        <v>3120883</v>
      </c>
      <c r="E2895" t="s">
        <v>14</v>
      </c>
      <c r="F2895" t="s">
        <v>7948</v>
      </c>
      <c r="G2895" t="s">
        <v>7949</v>
      </c>
      <c r="H2895">
        <v>1020860</v>
      </c>
      <c r="I2895" t="s">
        <v>17</v>
      </c>
      <c r="K2895" t="s">
        <v>7950</v>
      </c>
      <c r="L2895">
        <v>420</v>
      </c>
      <c r="M2895" t="s">
        <v>7951</v>
      </c>
    </row>
    <row r="2896" spans="1:13" x14ac:dyDescent="0.35">
      <c r="A2896" t="s">
        <v>13</v>
      </c>
      <c r="B2896">
        <v>3121599</v>
      </c>
      <c r="C2896">
        <v>3121913</v>
      </c>
      <c r="E2896" t="s">
        <v>14</v>
      </c>
      <c r="F2896" t="s">
        <v>138</v>
      </c>
      <c r="H2896">
        <v>1020862</v>
      </c>
      <c r="I2896" t="s">
        <v>17</v>
      </c>
      <c r="K2896" t="s">
        <v>7952</v>
      </c>
      <c r="L2896">
        <v>104</v>
      </c>
      <c r="M2896" t="s">
        <v>7953</v>
      </c>
    </row>
    <row r="2897" spans="1:13" x14ac:dyDescent="0.35">
      <c r="A2897" t="s">
        <v>13</v>
      </c>
      <c r="B2897">
        <v>3122554</v>
      </c>
      <c r="C2897">
        <v>3124173</v>
      </c>
      <c r="E2897" t="s">
        <v>38</v>
      </c>
      <c r="F2897" t="s">
        <v>7954</v>
      </c>
      <c r="H2897">
        <v>1020864</v>
      </c>
      <c r="I2897" t="s">
        <v>17</v>
      </c>
      <c r="K2897" t="s">
        <v>7955</v>
      </c>
      <c r="L2897">
        <v>539</v>
      </c>
      <c r="M2897" t="s">
        <v>7956</v>
      </c>
    </row>
    <row r="2898" spans="1:13" x14ac:dyDescent="0.35">
      <c r="A2898" t="s">
        <v>13</v>
      </c>
      <c r="B2898">
        <v>3124339</v>
      </c>
      <c r="C2898">
        <v>3124887</v>
      </c>
      <c r="E2898" t="s">
        <v>38</v>
      </c>
      <c r="F2898" t="s">
        <v>7957</v>
      </c>
      <c r="H2898">
        <v>1020865</v>
      </c>
      <c r="I2898" t="s">
        <v>17</v>
      </c>
      <c r="K2898" t="s">
        <v>7958</v>
      </c>
      <c r="L2898">
        <v>182</v>
      </c>
      <c r="M2898" t="s">
        <v>7959</v>
      </c>
    </row>
    <row r="2899" spans="1:13" x14ac:dyDescent="0.35">
      <c r="A2899" t="s">
        <v>13</v>
      </c>
      <c r="B2899">
        <v>3125006</v>
      </c>
      <c r="C2899">
        <v>3125442</v>
      </c>
      <c r="E2899" t="s">
        <v>38</v>
      </c>
      <c r="F2899" t="s">
        <v>141</v>
      </c>
      <c r="H2899">
        <v>1020866</v>
      </c>
      <c r="I2899" t="s">
        <v>142</v>
      </c>
      <c r="M2899" t="s">
        <v>7960</v>
      </c>
    </row>
    <row r="2900" spans="1:13" x14ac:dyDescent="0.35">
      <c r="A2900" t="s">
        <v>13</v>
      </c>
      <c r="B2900">
        <v>3125493</v>
      </c>
      <c r="C2900">
        <v>3126146</v>
      </c>
      <c r="E2900" t="s">
        <v>38</v>
      </c>
      <c r="F2900" t="s">
        <v>7961</v>
      </c>
      <c r="G2900" t="s">
        <v>7962</v>
      </c>
      <c r="H2900">
        <v>1020868</v>
      </c>
      <c r="I2900" t="s">
        <v>17</v>
      </c>
      <c r="K2900" t="s">
        <v>7963</v>
      </c>
      <c r="L2900">
        <v>217</v>
      </c>
      <c r="M2900" t="s">
        <v>7964</v>
      </c>
    </row>
    <row r="2901" spans="1:13" x14ac:dyDescent="0.35">
      <c r="A2901" t="s">
        <v>13</v>
      </c>
      <c r="B2901">
        <v>3126393</v>
      </c>
      <c r="C2901">
        <v>3126995</v>
      </c>
      <c r="E2901" t="s">
        <v>14</v>
      </c>
      <c r="F2901" t="s">
        <v>7965</v>
      </c>
      <c r="H2901">
        <v>1020869</v>
      </c>
      <c r="I2901" t="s">
        <v>17</v>
      </c>
      <c r="K2901" t="s">
        <v>7966</v>
      </c>
      <c r="L2901">
        <v>200</v>
      </c>
      <c r="M2901" t="s">
        <v>7967</v>
      </c>
    </row>
    <row r="2902" spans="1:13" x14ac:dyDescent="0.35">
      <c r="A2902" t="s">
        <v>13</v>
      </c>
      <c r="B2902">
        <v>3127492</v>
      </c>
      <c r="C2902">
        <v>3128418</v>
      </c>
      <c r="E2902" t="s">
        <v>38</v>
      </c>
      <c r="F2902" t="s">
        <v>69</v>
      </c>
      <c r="H2902">
        <v>1020870</v>
      </c>
      <c r="I2902" t="s">
        <v>17</v>
      </c>
      <c r="K2902" t="s">
        <v>7968</v>
      </c>
      <c r="L2902">
        <v>308</v>
      </c>
      <c r="M2902" t="s">
        <v>7969</v>
      </c>
    </row>
    <row r="2903" spans="1:13" x14ac:dyDescent="0.35">
      <c r="A2903" t="s">
        <v>13</v>
      </c>
      <c r="B2903">
        <v>3128493</v>
      </c>
      <c r="C2903">
        <v>3129743</v>
      </c>
      <c r="E2903" t="s">
        <v>14</v>
      </c>
      <c r="F2903" t="s">
        <v>265</v>
      </c>
      <c r="H2903">
        <v>1020871</v>
      </c>
      <c r="I2903" t="s">
        <v>17</v>
      </c>
      <c r="K2903" t="s">
        <v>7970</v>
      </c>
      <c r="L2903">
        <v>416</v>
      </c>
      <c r="M2903" t="s">
        <v>7971</v>
      </c>
    </row>
    <row r="2904" spans="1:13" x14ac:dyDescent="0.35">
      <c r="A2904" t="s">
        <v>13</v>
      </c>
      <c r="B2904">
        <v>3129858</v>
      </c>
      <c r="C2904">
        <v>3131399</v>
      </c>
      <c r="E2904" t="s">
        <v>14</v>
      </c>
      <c r="F2904" t="s">
        <v>7972</v>
      </c>
      <c r="H2904">
        <v>1020872</v>
      </c>
      <c r="I2904" t="s">
        <v>17</v>
      </c>
      <c r="K2904" t="s">
        <v>7973</v>
      </c>
      <c r="L2904">
        <v>513</v>
      </c>
      <c r="M2904" t="s">
        <v>7974</v>
      </c>
    </row>
    <row r="2905" spans="1:13" x14ac:dyDescent="0.35">
      <c r="A2905" t="s">
        <v>13</v>
      </c>
      <c r="B2905">
        <v>3131506</v>
      </c>
      <c r="C2905">
        <v>3132921</v>
      </c>
      <c r="E2905" t="s">
        <v>38</v>
      </c>
      <c r="F2905" t="s">
        <v>7975</v>
      </c>
      <c r="H2905">
        <v>1020873</v>
      </c>
      <c r="I2905" t="s">
        <v>17</v>
      </c>
      <c r="K2905" t="s">
        <v>7976</v>
      </c>
      <c r="L2905">
        <v>471</v>
      </c>
      <c r="M2905" t="s">
        <v>7977</v>
      </c>
    </row>
    <row r="2906" spans="1:13" x14ac:dyDescent="0.35">
      <c r="A2906" t="s">
        <v>13</v>
      </c>
      <c r="B2906">
        <v>3133116</v>
      </c>
      <c r="C2906">
        <v>3133751</v>
      </c>
      <c r="E2906" t="s">
        <v>14</v>
      </c>
      <c r="F2906" t="s">
        <v>7978</v>
      </c>
      <c r="H2906">
        <v>1020874</v>
      </c>
      <c r="I2906" t="s">
        <v>17</v>
      </c>
      <c r="K2906" t="s">
        <v>7979</v>
      </c>
      <c r="L2906">
        <v>211</v>
      </c>
      <c r="M2906" t="s">
        <v>7980</v>
      </c>
    </row>
    <row r="2907" spans="1:13" x14ac:dyDescent="0.35">
      <c r="A2907" t="s">
        <v>13</v>
      </c>
      <c r="B2907">
        <v>3133776</v>
      </c>
      <c r="C2907">
        <v>3135242</v>
      </c>
      <c r="E2907" t="s">
        <v>38</v>
      </c>
      <c r="F2907" t="s">
        <v>265</v>
      </c>
      <c r="H2907">
        <v>1020875</v>
      </c>
      <c r="I2907" t="s">
        <v>17</v>
      </c>
      <c r="K2907" t="s">
        <v>7981</v>
      </c>
      <c r="L2907">
        <v>488</v>
      </c>
      <c r="M2907" t="s">
        <v>7982</v>
      </c>
    </row>
    <row r="2908" spans="1:13" x14ac:dyDescent="0.35">
      <c r="A2908" t="s">
        <v>13</v>
      </c>
      <c r="B2908">
        <v>3135298</v>
      </c>
      <c r="C2908">
        <v>3135756</v>
      </c>
      <c r="E2908" t="s">
        <v>14</v>
      </c>
      <c r="F2908" t="s">
        <v>285</v>
      </c>
      <c r="H2908">
        <v>1020876</v>
      </c>
      <c r="I2908" t="s">
        <v>17</v>
      </c>
      <c r="K2908" t="s">
        <v>7983</v>
      </c>
      <c r="L2908">
        <v>152</v>
      </c>
      <c r="M2908" t="s">
        <v>7984</v>
      </c>
    </row>
    <row r="2909" spans="1:13" x14ac:dyDescent="0.35">
      <c r="A2909" t="s">
        <v>13</v>
      </c>
      <c r="B2909">
        <v>3135854</v>
      </c>
      <c r="C2909">
        <v>3136492</v>
      </c>
      <c r="E2909" t="s">
        <v>38</v>
      </c>
      <c r="F2909" t="s">
        <v>7985</v>
      </c>
      <c r="H2909">
        <v>1020877</v>
      </c>
      <c r="I2909" t="s">
        <v>17</v>
      </c>
      <c r="K2909" t="s">
        <v>7986</v>
      </c>
      <c r="L2909">
        <v>212</v>
      </c>
      <c r="M2909" t="s">
        <v>7987</v>
      </c>
    </row>
    <row r="2910" spans="1:13" x14ac:dyDescent="0.35">
      <c r="A2910" t="s">
        <v>13</v>
      </c>
      <c r="B2910">
        <v>3136591</v>
      </c>
      <c r="C2910">
        <v>3137925</v>
      </c>
      <c r="E2910" t="s">
        <v>38</v>
      </c>
      <c r="F2910" t="s">
        <v>237</v>
      </c>
      <c r="H2910">
        <v>1020878</v>
      </c>
      <c r="I2910" t="s">
        <v>17</v>
      </c>
      <c r="K2910" t="s">
        <v>7988</v>
      </c>
      <c r="L2910">
        <v>444</v>
      </c>
      <c r="M2910" t="s">
        <v>7989</v>
      </c>
    </row>
    <row r="2911" spans="1:13" x14ac:dyDescent="0.35">
      <c r="A2911" t="s">
        <v>13</v>
      </c>
      <c r="B2911">
        <v>3137924</v>
      </c>
      <c r="C2911">
        <v>3138475</v>
      </c>
      <c r="E2911" t="s">
        <v>14</v>
      </c>
      <c r="F2911" t="s">
        <v>7990</v>
      </c>
      <c r="H2911">
        <v>1020879</v>
      </c>
      <c r="I2911" t="s">
        <v>17</v>
      </c>
      <c r="K2911" t="s">
        <v>7991</v>
      </c>
      <c r="L2911">
        <v>183</v>
      </c>
      <c r="M2911" t="s">
        <v>7992</v>
      </c>
    </row>
    <row r="2912" spans="1:13" x14ac:dyDescent="0.35">
      <c r="A2912" t="s">
        <v>13</v>
      </c>
      <c r="B2912">
        <v>3138479</v>
      </c>
      <c r="C2912">
        <v>3138631</v>
      </c>
      <c r="E2912" t="s">
        <v>38</v>
      </c>
      <c r="F2912" t="s">
        <v>49</v>
      </c>
      <c r="H2912">
        <v>44156739</v>
      </c>
      <c r="I2912" t="s">
        <v>17</v>
      </c>
      <c r="K2912" t="s">
        <v>7993</v>
      </c>
      <c r="L2912">
        <v>50</v>
      </c>
      <c r="M2912" t="s">
        <v>7994</v>
      </c>
    </row>
    <row r="2913" spans="1:13" x14ac:dyDescent="0.35">
      <c r="A2913" t="s">
        <v>13</v>
      </c>
      <c r="B2913">
        <v>3138632</v>
      </c>
      <c r="C2913">
        <v>3139456</v>
      </c>
      <c r="E2913" t="s">
        <v>38</v>
      </c>
      <c r="F2913" t="s">
        <v>7995</v>
      </c>
      <c r="H2913">
        <v>1020881</v>
      </c>
      <c r="I2913" t="s">
        <v>17</v>
      </c>
      <c r="K2913" t="s">
        <v>7996</v>
      </c>
      <c r="L2913">
        <v>274</v>
      </c>
      <c r="M2913" t="s">
        <v>7997</v>
      </c>
    </row>
    <row r="2914" spans="1:13" x14ac:dyDescent="0.35">
      <c r="A2914" t="s">
        <v>13</v>
      </c>
      <c r="B2914">
        <v>3139688</v>
      </c>
      <c r="C2914">
        <v>3140956</v>
      </c>
      <c r="E2914" t="s">
        <v>14</v>
      </c>
      <c r="F2914" t="s">
        <v>7998</v>
      </c>
      <c r="G2914" t="s">
        <v>7999</v>
      </c>
      <c r="H2914">
        <v>1020882</v>
      </c>
      <c r="I2914" t="s">
        <v>17</v>
      </c>
      <c r="K2914" t="s">
        <v>8000</v>
      </c>
      <c r="L2914">
        <v>422</v>
      </c>
      <c r="M2914" t="s">
        <v>8001</v>
      </c>
    </row>
    <row r="2915" spans="1:13" x14ac:dyDescent="0.35">
      <c r="A2915" t="s">
        <v>13</v>
      </c>
      <c r="B2915">
        <v>3140883</v>
      </c>
      <c r="C2915">
        <v>3141524</v>
      </c>
      <c r="E2915" t="s">
        <v>38</v>
      </c>
      <c r="F2915" t="s">
        <v>8002</v>
      </c>
      <c r="G2915" t="s">
        <v>8003</v>
      </c>
      <c r="H2915">
        <v>1020883</v>
      </c>
      <c r="I2915" t="s">
        <v>17</v>
      </c>
      <c r="K2915" t="s">
        <v>8004</v>
      </c>
      <c r="L2915">
        <v>213</v>
      </c>
      <c r="M2915" t="s">
        <v>8005</v>
      </c>
    </row>
    <row r="2916" spans="1:13" x14ac:dyDescent="0.35">
      <c r="A2916" t="s">
        <v>13</v>
      </c>
      <c r="B2916">
        <v>3141707</v>
      </c>
      <c r="C2916">
        <v>3141970</v>
      </c>
      <c r="E2916" t="s">
        <v>38</v>
      </c>
      <c r="F2916" t="s">
        <v>8006</v>
      </c>
      <c r="H2916">
        <v>1020884</v>
      </c>
      <c r="I2916" t="s">
        <v>17</v>
      </c>
      <c r="K2916" t="s">
        <v>8007</v>
      </c>
      <c r="L2916">
        <v>87</v>
      </c>
      <c r="M2916" t="s">
        <v>8008</v>
      </c>
    </row>
    <row r="2917" spans="1:13" x14ac:dyDescent="0.35">
      <c r="A2917" t="s">
        <v>13</v>
      </c>
      <c r="B2917">
        <v>3142452</v>
      </c>
      <c r="C2917">
        <v>3143357</v>
      </c>
      <c r="E2917" t="s">
        <v>38</v>
      </c>
      <c r="F2917" t="s">
        <v>3863</v>
      </c>
      <c r="H2917">
        <v>1020885</v>
      </c>
      <c r="I2917" t="s">
        <v>17</v>
      </c>
      <c r="K2917" t="s">
        <v>8009</v>
      </c>
      <c r="L2917">
        <v>301</v>
      </c>
      <c r="M2917" t="s">
        <v>8010</v>
      </c>
    </row>
    <row r="2918" spans="1:13" x14ac:dyDescent="0.35">
      <c r="A2918" t="s">
        <v>13</v>
      </c>
      <c r="B2918">
        <v>3143494</v>
      </c>
      <c r="C2918">
        <v>3144483</v>
      </c>
      <c r="E2918" t="s">
        <v>38</v>
      </c>
      <c r="F2918" t="s">
        <v>2071</v>
      </c>
      <c r="H2918">
        <v>1020886</v>
      </c>
      <c r="I2918" t="s">
        <v>17</v>
      </c>
      <c r="K2918" t="s">
        <v>8011</v>
      </c>
      <c r="L2918">
        <v>329</v>
      </c>
      <c r="M2918" t="s">
        <v>8012</v>
      </c>
    </row>
    <row r="2919" spans="1:13" x14ac:dyDescent="0.35">
      <c r="A2919" t="s">
        <v>13</v>
      </c>
      <c r="B2919">
        <v>3144493</v>
      </c>
      <c r="C2919">
        <v>3144633</v>
      </c>
      <c r="E2919" t="s">
        <v>38</v>
      </c>
      <c r="F2919" t="s">
        <v>49</v>
      </c>
      <c r="H2919">
        <v>44156740</v>
      </c>
      <c r="I2919" t="s">
        <v>17</v>
      </c>
      <c r="K2919" t="s">
        <v>8013</v>
      </c>
      <c r="L2919">
        <v>46</v>
      </c>
      <c r="M2919" t="s">
        <v>8014</v>
      </c>
    </row>
    <row r="2920" spans="1:13" x14ac:dyDescent="0.35">
      <c r="A2920" t="s">
        <v>13</v>
      </c>
      <c r="B2920">
        <v>3144662</v>
      </c>
      <c r="C2920">
        <v>3145630</v>
      </c>
      <c r="E2920" t="s">
        <v>14</v>
      </c>
      <c r="F2920" t="s">
        <v>958</v>
      </c>
      <c r="H2920">
        <v>1020887</v>
      </c>
      <c r="I2920" t="s">
        <v>17</v>
      </c>
      <c r="K2920" t="s">
        <v>8015</v>
      </c>
      <c r="L2920">
        <v>322</v>
      </c>
      <c r="M2920" t="s">
        <v>8016</v>
      </c>
    </row>
    <row r="2921" spans="1:13" x14ac:dyDescent="0.35">
      <c r="A2921" t="s">
        <v>13</v>
      </c>
      <c r="B2921">
        <v>3145971</v>
      </c>
      <c r="C2921">
        <v>3146087</v>
      </c>
      <c r="E2921" t="s">
        <v>38</v>
      </c>
      <c r="F2921" t="s">
        <v>262</v>
      </c>
      <c r="G2921" t="s">
        <v>263</v>
      </c>
      <c r="H2921">
        <v>2745358</v>
      </c>
      <c r="I2921" t="s">
        <v>258</v>
      </c>
      <c r="M2921" t="s">
        <v>8017</v>
      </c>
    </row>
    <row r="2922" spans="1:13" x14ac:dyDescent="0.35">
      <c r="A2922" t="s">
        <v>13</v>
      </c>
      <c r="B2922">
        <v>3146203</v>
      </c>
      <c r="C2922">
        <v>3149289</v>
      </c>
      <c r="E2922" t="s">
        <v>38</v>
      </c>
      <c r="F2922" t="s">
        <v>260</v>
      </c>
      <c r="H2922">
        <v>2745360</v>
      </c>
      <c r="I2922" t="s">
        <v>258</v>
      </c>
      <c r="M2922" t="s">
        <v>8018</v>
      </c>
    </row>
    <row r="2923" spans="1:13" x14ac:dyDescent="0.35">
      <c r="A2923" t="s">
        <v>13</v>
      </c>
      <c r="B2923">
        <v>3149681</v>
      </c>
      <c r="C2923">
        <v>3151204</v>
      </c>
      <c r="E2923" t="s">
        <v>38</v>
      </c>
      <c r="F2923" t="s">
        <v>257</v>
      </c>
      <c r="H2923">
        <v>2745361</v>
      </c>
      <c r="I2923" t="s">
        <v>258</v>
      </c>
      <c r="M2923" t="s">
        <v>8019</v>
      </c>
    </row>
    <row r="2924" spans="1:13" x14ac:dyDescent="0.35">
      <c r="A2924" t="s">
        <v>13</v>
      </c>
      <c r="B2924">
        <v>3151840</v>
      </c>
      <c r="C2924">
        <v>3152205</v>
      </c>
      <c r="E2924" t="s">
        <v>38</v>
      </c>
      <c r="F2924" t="s">
        <v>1930</v>
      </c>
      <c r="H2924">
        <v>1020889</v>
      </c>
      <c r="I2924" t="s">
        <v>17</v>
      </c>
      <c r="K2924" t="s">
        <v>8020</v>
      </c>
      <c r="L2924">
        <v>121</v>
      </c>
      <c r="M2924" t="s">
        <v>8021</v>
      </c>
    </row>
    <row r="2925" spans="1:13" x14ac:dyDescent="0.35">
      <c r="A2925" t="s">
        <v>13</v>
      </c>
      <c r="B2925">
        <v>3152414</v>
      </c>
      <c r="C2925">
        <v>3153832</v>
      </c>
      <c r="E2925" t="s">
        <v>14</v>
      </c>
      <c r="F2925" t="s">
        <v>7826</v>
      </c>
      <c r="H2925">
        <v>1020890</v>
      </c>
      <c r="I2925" t="s">
        <v>17</v>
      </c>
      <c r="K2925" t="s">
        <v>8022</v>
      </c>
      <c r="L2925">
        <v>472</v>
      </c>
      <c r="M2925" t="s">
        <v>8023</v>
      </c>
    </row>
    <row r="2926" spans="1:13" x14ac:dyDescent="0.35">
      <c r="A2926" t="s">
        <v>13</v>
      </c>
      <c r="B2926">
        <v>3153892</v>
      </c>
      <c r="C2926">
        <v>3154767</v>
      </c>
      <c r="E2926" t="s">
        <v>38</v>
      </c>
      <c r="F2926" t="s">
        <v>8024</v>
      </c>
      <c r="G2926" t="s">
        <v>8025</v>
      </c>
      <c r="H2926">
        <v>1020891</v>
      </c>
      <c r="I2926" t="s">
        <v>17</v>
      </c>
      <c r="K2926" t="s">
        <v>8026</v>
      </c>
      <c r="L2926">
        <v>291</v>
      </c>
      <c r="M2926" t="s">
        <v>8027</v>
      </c>
    </row>
    <row r="2927" spans="1:13" x14ac:dyDescent="0.35">
      <c r="A2927" t="s">
        <v>13</v>
      </c>
      <c r="B2927">
        <v>3155244</v>
      </c>
      <c r="C2927">
        <v>3156251</v>
      </c>
      <c r="E2927" t="s">
        <v>38</v>
      </c>
      <c r="F2927" t="s">
        <v>2074</v>
      </c>
      <c r="H2927">
        <v>44145013</v>
      </c>
      <c r="I2927" t="s">
        <v>17</v>
      </c>
      <c r="K2927" t="s">
        <v>8028</v>
      </c>
      <c r="L2927">
        <v>335</v>
      </c>
      <c r="M2927" t="s">
        <v>8029</v>
      </c>
    </row>
    <row r="2928" spans="1:13" x14ac:dyDescent="0.35">
      <c r="A2928" t="s">
        <v>13</v>
      </c>
      <c r="B2928">
        <v>3156304</v>
      </c>
      <c r="C2928">
        <v>3157239</v>
      </c>
      <c r="E2928" t="s">
        <v>38</v>
      </c>
      <c r="F2928" t="s">
        <v>8030</v>
      </c>
      <c r="H2928">
        <v>44145014</v>
      </c>
      <c r="I2928" t="s">
        <v>17</v>
      </c>
      <c r="K2928" t="s">
        <v>8031</v>
      </c>
      <c r="L2928">
        <v>311</v>
      </c>
      <c r="M2928" t="s">
        <v>8032</v>
      </c>
    </row>
    <row r="2929" spans="1:13" x14ac:dyDescent="0.35">
      <c r="A2929" t="s">
        <v>13</v>
      </c>
      <c r="B2929">
        <v>3157221</v>
      </c>
      <c r="C2929">
        <v>3157466</v>
      </c>
      <c r="E2929" t="s">
        <v>38</v>
      </c>
      <c r="F2929" t="s">
        <v>7738</v>
      </c>
      <c r="H2929">
        <v>44145015</v>
      </c>
      <c r="I2929" t="s">
        <v>17</v>
      </c>
      <c r="K2929" t="s">
        <v>8033</v>
      </c>
      <c r="L2929">
        <v>81</v>
      </c>
      <c r="M2929" t="s">
        <v>8034</v>
      </c>
    </row>
    <row r="2930" spans="1:13" x14ac:dyDescent="0.35">
      <c r="A2930" t="s">
        <v>13</v>
      </c>
      <c r="B2930">
        <v>3157477</v>
      </c>
      <c r="C2930">
        <v>3157731</v>
      </c>
      <c r="E2930" t="s">
        <v>38</v>
      </c>
      <c r="F2930" t="s">
        <v>49</v>
      </c>
      <c r="H2930">
        <v>1020895</v>
      </c>
      <c r="I2930" t="s">
        <v>17</v>
      </c>
      <c r="K2930" t="s">
        <v>8035</v>
      </c>
      <c r="L2930">
        <v>84</v>
      </c>
      <c r="M2930" t="s">
        <v>8036</v>
      </c>
    </row>
    <row r="2931" spans="1:13" x14ac:dyDescent="0.35">
      <c r="A2931" t="s">
        <v>13</v>
      </c>
      <c r="B2931">
        <v>3158233</v>
      </c>
      <c r="C2931">
        <v>3158838</v>
      </c>
      <c r="E2931" t="s">
        <v>14</v>
      </c>
      <c r="F2931" t="s">
        <v>8037</v>
      </c>
      <c r="H2931">
        <v>1020896</v>
      </c>
      <c r="I2931" t="s">
        <v>17</v>
      </c>
      <c r="K2931" t="s">
        <v>8038</v>
      </c>
      <c r="L2931">
        <v>201</v>
      </c>
      <c r="M2931" t="s">
        <v>8039</v>
      </c>
    </row>
    <row r="2932" spans="1:13" x14ac:dyDescent="0.35">
      <c r="A2932" t="s">
        <v>13</v>
      </c>
      <c r="B2932">
        <v>3159079</v>
      </c>
      <c r="C2932">
        <v>3159801</v>
      </c>
      <c r="E2932" t="s">
        <v>38</v>
      </c>
      <c r="F2932" t="s">
        <v>6284</v>
      </c>
      <c r="H2932">
        <v>1020897</v>
      </c>
      <c r="I2932" t="s">
        <v>17</v>
      </c>
      <c r="K2932" t="s">
        <v>8040</v>
      </c>
      <c r="L2932">
        <v>240</v>
      </c>
      <c r="M2932" t="s">
        <v>8041</v>
      </c>
    </row>
    <row r="2933" spans="1:13" x14ac:dyDescent="0.35">
      <c r="A2933" t="s">
        <v>13</v>
      </c>
      <c r="B2933">
        <v>3160235</v>
      </c>
      <c r="C2933">
        <v>3160507</v>
      </c>
      <c r="E2933" t="s">
        <v>38</v>
      </c>
      <c r="F2933" t="s">
        <v>2600</v>
      </c>
      <c r="H2933">
        <v>44145016</v>
      </c>
      <c r="I2933" t="s">
        <v>17</v>
      </c>
      <c r="K2933" t="s">
        <v>8042</v>
      </c>
      <c r="L2933">
        <v>90</v>
      </c>
      <c r="M2933" t="s">
        <v>8043</v>
      </c>
    </row>
    <row r="2934" spans="1:13" x14ac:dyDescent="0.35">
      <c r="A2934" t="s">
        <v>13</v>
      </c>
      <c r="B2934">
        <v>3160629</v>
      </c>
      <c r="C2934">
        <v>3160802</v>
      </c>
      <c r="E2934" t="s">
        <v>38</v>
      </c>
      <c r="F2934" t="s">
        <v>138</v>
      </c>
      <c r="H2934">
        <v>92792318</v>
      </c>
      <c r="I2934" t="s">
        <v>17</v>
      </c>
      <c r="K2934" t="s">
        <v>8044</v>
      </c>
      <c r="L2934">
        <v>57</v>
      </c>
      <c r="M2934" t="s">
        <v>8045</v>
      </c>
    </row>
    <row r="2935" spans="1:13" x14ac:dyDescent="0.35">
      <c r="A2935" t="s">
        <v>13</v>
      </c>
      <c r="B2935">
        <v>3160721</v>
      </c>
      <c r="C2935">
        <v>3160939</v>
      </c>
      <c r="E2935" t="s">
        <v>38</v>
      </c>
      <c r="F2935" t="s">
        <v>4834</v>
      </c>
      <c r="H2935">
        <v>92792319</v>
      </c>
      <c r="I2935" t="s">
        <v>17</v>
      </c>
      <c r="K2935" t="s">
        <v>8046</v>
      </c>
      <c r="L2935">
        <v>72</v>
      </c>
      <c r="M2935" t="s">
        <v>8047</v>
      </c>
    </row>
    <row r="2936" spans="1:13" x14ac:dyDescent="0.35">
      <c r="A2936" t="s">
        <v>13</v>
      </c>
      <c r="B2936">
        <v>3161085</v>
      </c>
      <c r="C2936">
        <v>3161408</v>
      </c>
      <c r="E2936" t="s">
        <v>38</v>
      </c>
      <c r="F2936" t="s">
        <v>3140</v>
      </c>
      <c r="G2936" t="s">
        <v>3141</v>
      </c>
      <c r="H2936">
        <v>1020899</v>
      </c>
      <c r="I2936" t="s">
        <v>17</v>
      </c>
      <c r="K2936" t="s">
        <v>8048</v>
      </c>
      <c r="L2936">
        <v>107</v>
      </c>
      <c r="M2936" t="s">
        <v>8049</v>
      </c>
    </row>
    <row r="2937" spans="1:13" x14ac:dyDescent="0.35">
      <c r="A2937" t="s">
        <v>13</v>
      </c>
      <c r="B2937">
        <v>3161680</v>
      </c>
      <c r="C2937">
        <v>3162015</v>
      </c>
      <c r="E2937" t="s">
        <v>38</v>
      </c>
      <c r="F2937" t="s">
        <v>2600</v>
      </c>
      <c r="H2937">
        <v>1020900</v>
      </c>
      <c r="I2937" t="s">
        <v>17</v>
      </c>
      <c r="K2937" t="s">
        <v>8050</v>
      </c>
      <c r="L2937">
        <v>111</v>
      </c>
      <c r="M2937" t="s">
        <v>8051</v>
      </c>
    </row>
    <row r="2938" spans="1:13" x14ac:dyDescent="0.35">
      <c r="A2938" t="s">
        <v>13</v>
      </c>
      <c r="B2938">
        <v>3162386</v>
      </c>
      <c r="C2938">
        <v>3162613</v>
      </c>
      <c r="E2938" t="s">
        <v>38</v>
      </c>
      <c r="F2938" t="s">
        <v>8052</v>
      </c>
      <c r="H2938">
        <v>18194976</v>
      </c>
      <c r="I2938" t="s">
        <v>17</v>
      </c>
      <c r="K2938" t="s">
        <v>8053</v>
      </c>
      <c r="L2938">
        <v>75</v>
      </c>
      <c r="M2938" t="s">
        <v>8054</v>
      </c>
    </row>
    <row r="2939" spans="1:13" x14ac:dyDescent="0.35">
      <c r="A2939" t="s">
        <v>13</v>
      </c>
      <c r="B2939">
        <v>3162590</v>
      </c>
      <c r="C2939">
        <v>3162805</v>
      </c>
      <c r="E2939" t="s">
        <v>14</v>
      </c>
      <c r="F2939" t="s">
        <v>141</v>
      </c>
      <c r="H2939">
        <v>44145017</v>
      </c>
      <c r="I2939" t="s">
        <v>142</v>
      </c>
      <c r="M2939" t="s">
        <v>8055</v>
      </c>
    </row>
    <row r="2940" spans="1:13" x14ac:dyDescent="0.35">
      <c r="A2940" t="s">
        <v>13</v>
      </c>
      <c r="B2940">
        <v>3162859</v>
      </c>
      <c r="C2940">
        <v>3162984</v>
      </c>
      <c r="E2940" t="s">
        <v>38</v>
      </c>
      <c r="F2940" t="s">
        <v>141</v>
      </c>
      <c r="H2940">
        <v>92792329</v>
      </c>
      <c r="I2940" t="s">
        <v>142</v>
      </c>
      <c r="M2940" t="s">
        <v>8056</v>
      </c>
    </row>
    <row r="2941" spans="1:13" x14ac:dyDescent="0.35">
      <c r="A2941" t="s">
        <v>13</v>
      </c>
      <c r="B2941">
        <v>3163072</v>
      </c>
      <c r="C2941">
        <v>3163734</v>
      </c>
      <c r="E2941" t="s">
        <v>38</v>
      </c>
      <c r="F2941" t="s">
        <v>8057</v>
      </c>
      <c r="H2941">
        <v>1020901</v>
      </c>
      <c r="I2941" t="s">
        <v>17</v>
      </c>
      <c r="K2941" t="s">
        <v>8058</v>
      </c>
      <c r="L2941">
        <v>220</v>
      </c>
      <c r="M2941" t="s">
        <v>8059</v>
      </c>
    </row>
    <row r="2942" spans="1:13" x14ac:dyDescent="0.35">
      <c r="A2942" t="s">
        <v>13</v>
      </c>
      <c r="B2942">
        <v>3163787</v>
      </c>
      <c r="C2942">
        <v>3166006</v>
      </c>
      <c r="E2942" t="s">
        <v>38</v>
      </c>
      <c r="F2942" t="s">
        <v>8060</v>
      </c>
      <c r="H2942">
        <v>1020902</v>
      </c>
      <c r="I2942" t="s">
        <v>17</v>
      </c>
      <c r="K2942" t="s">
        <v>8061</v>
      </c>
      <c r="L2942">
        <v>739</v>
      </c>
      <c r="M2942" t="s">
        <v>8062</v>
      </c>
    </row>
    <row r="2943" spans="1:13" x14ac:dyDescent="0.35">
      <c r="A2943" t="s">
        <v>13</v>
      </c>
      <c r="B2943">
        <v>3166057</v>
      </c>
      <c r="C2943">
        <v>3166293</v>
      </c>
      <c r="E2943" t="s">
        <v>38</v>
      </c>
      <c r="F2943" t="s">
        <v>3340</v>
      </c>
      <c r="H2943">
        <v>1020903</v>
      </c>
      <c r="I2943" t="s">
        <v>17</v>
      </c>
      <c r="K2943" t="s">
        <v>8063</v>
      </c>
      <c r="L2943">
        <v>78</v>
      </c>
      <c r="M2943" t="s">
        <v>8064</v>
      </c>
    </row>
    <row r="2944" spans="1:13" x14ac:dyDescent="0.35">
      <c r="A2944" t="s">
        <v>13</v>
      </c>
      <c r="B2944">
        <v>3166265</v>
      </c>
      <c r="C2944">
        <v>3166438</v>
      </c>
      <c r="E2944" t="s">
        <v>38</v>
      </c>
      <c r="F2944" t="s">
        <v>49</v>
      </c>
      <c r="H2944">
        <v>92792320</v>
      </c>
      <c r="I2944" t="s">
        <v>17</v>
      </c>
      <c r="K2944" t="s">
        <v>8065</v>
      </c>
      <c r="L2944">
        <v>57</v>
      </c>
      <c r="M2944" t="s">
        <v>8066</v>
      </c>
    </row>
    <row r="2945" spans="1:13" x14ac:dyDescent="0.35">
      <c r="A2945" t="s">
        <v>13</v>
      </c>
      <c r="B2945">
        <v>3166448</v>
      </c>
      <c r="C2945">
        <v>3167647</v>
      </c>
      <c r="E2945" t="s">
        <v>38</v>
      </c>
      <c r="F2945" t="s">
        <v>237</v>
      </c>
      <c r="H2945">
        <v>1020905</v>
      </c>
      <c r="I2945" t="s">
        <v>17</v>
      </c>
      <c r="K2945" t="s">
        <v>8067</v>
      </c>
      <c r="L2945">
        <v>399</v>
      </c>
      <c r="M2945" t="s">
        <v>8068</v>
      </c>
    </row>
    <row r="2946" spans="1:13" x14ac:dyDescent="0.35">
      <c r="A2946" t="s">
        <v>13</v>
      </c>
      <c r="B2946">
        <v>3167644</v>
      </c>
      <c r="C2946">
        <v>3168366</v>
      </c>
      <c r="E2946" t="s">
        <v>38</v>
      </c>
      <c r="F2946" t="s">
        <v>835</v>
      </c>
      <c r="H2946">
        <v>1020906</v>
      </c>
      <c r="I2946" t="s">
        <v>17</v>
      </c>
      <c r="K2946" t="s">
        <v>8069</v>
      </c>
      <c r="L2946">
        <v>240</v>
      </c>
      <c r="M2946" t="s">
        <v>8070</v>
      </c>
    </row>
    <row r="2947" spans="1:13" x14ac:dyDescent="0.35">
      <c r="A2947" t="s">
        <v>13</v>
      </c>
      <c r="B2947">
        <v>3168769</v>
      </c>
      <c r="C2947">
        <v>3169344</v>
      </c>
      <c r="E2947" t="s">
        <v>14</v>
      </c>
      <c r="F2947" t="s">
        <v>3222</v>
      </c>
      <c r="H2947">
        <v>1020907</v>
      </c>
      <c r="I2947" t="s">
        <v>17</v>
      </c>
      <c r="K2947" t="s">
        <v>8071</v>
      </c>
      <c r="L2947">
        <v>191</v>
      </c>
      <c r="M2947" t="s">
        <v>8072</v>
      </c>
    </row>
    <row r="2948" spans="1:13" x14ac:dyDescent="0.35">
      <c r="A2948" t="s">
        <v>13</v>
      </c>
      <c r="B2948">
        <v>3169415</v>
      </c>
      <c r="C2948">
        <v>3170896</v>
      </c>
      <c r="E2948" t="s">
        <v>14</v>
      </c>
      <c r="F2948" t="s">
        <v>2733</v>
      </c>
      <c r="H2948">
        <v>1020909</v>
      </c>
      <c r="I2948" t="s">
        <v>17</v>
      </c>
      <c r="K2948" t="s">
        <v>8073</v>
      </c>
      <c r="L2948">
        <v>493</v>
      </c>
      <c r="M2948" t="s">
        <v>8074</v>
      </c>
    </row>
    <row r="2949" spans="1:13" x14ac:dyDescent="0.35">
      <c r="A2949" t="s">
        <v>13</v>
      </c>
      <c r="B2949">
        <v>3171047</v>
      </c>
      <c r="C2949">
        <v>3171620</v>
      </c>
      <c r="E2949" t="s">
        <v>14</v>
      </c>
      <c r="F2949" t="s">
        <v>141</v>
      </c>
      <c r="H2949">
        <v>18194977</v>
      </c>
      <c r="I2949" t="s">
        <v>142</v>
      </c>
      <c r="M2949" t="s">
        <v>8075</v>
      </c>
    </row>
    <row r="2950" spans="1:13" x14ac:dyDescent="0.35">
      <c r="A2950" t="s">
        <v>13</v>
      </c>
      <c r="B2950">
        <v>3171617</v>
      </c>
      <c r="C2950">
        <v>3172603</v>
      </c>
      <c r="E2950" t="s">
        <v>38</v>
      </c>
      <c r="F2950" t="s">
        <v>8076</v>
      </c>
      <c r="H2950">
        <v>1020911</v>
      </c>
      <c r="I2950" t="s">
        <v>17</v>
      </c>
      <c r="K2950" t="s">
        <v>8077</v>
      </c>
      <c r="L2950">
        <v>328</v>
      </c>
      <c r="M2950" t="s">
        <v>8078</v>
      </c>
    </row>
    <row r="2951" spans="1:13" x14ac:dyDescent="0.35">
      <c r="A2951" t="s">
        <v>13</v>
      </c>
      <c r="B2951">
        <v>3172908</v>
      </c>
      <c r="C2951">
        <v>3173090</v>
      </c>
      <c r="E2951" t="s">
        <v>38</v>
      </c>
      <c r="F2951" t="s">
        <v>49</v>
      </c>
      <c r="H2951">
        <v>44145019</v>
      </c>
      <c r="I2951" t="s">
        <v>17</v>
      </c>
      <c r="K2951" t="s">
        <v>8079</v>
      </c>
      <c r="L2951">
        <v>60</v>
      </c>
      <c r="M2951" t="s">
        <v>8080</v>
      </c>
    </row>
    <row r="2952" spans="1:13" x14ac:dyDescent="0.35">
      <c r="A2952" t="s">
        <v>13</v>
      </c>
      <c r="B2952">
        <v>3173059</v>
      </c>
      <c r="C2952">
        <v>3173469</v>
      </c>
      <c r="E2952" t="s">
        <v>14</v>
      </c>
      <c r="F2952" t="s">
        <v>3337</v>
      </c>
      <c r="H2952">
        <v>1020912</v>
      </c>
      <c r="I2952" t="s">
        <v>17</v>
      </c>
      <c r="K2952" t="s">
        <v>8081</v>
      </c>
      <c r="L2952">
        <v>136</v>
      </c>
      <c r="M2952" t="s">
        <v>8082</v>
      </c>
    </row>
    <row r="2953" spans="1:13" x14ac:dyDescent="0.35">
      <c r="A2953" t="s">
        <v>13</v>
      </c>
      <c r="B2953">
        <v>3173625</v>
      </c>
      <c r="C2953">
        <v>3173861</v>
      </c>
      <c r="E2953" t="s">
        <v>14</v>
      </c>
      <c r="F2953" t="s">
        <v>3340</v>
      </c>
      <c r="H2953">
        <v>1020913</v>
      </c>
      <c r="I2953" t="s">
        <v>17</v>
      </c>
      <c r="K2953" t="s">
        <v>8083</v>
      </c>
      <c r="L2953">
        <v>78</v>
      </c>
      <c r="M2953" t="s">
        <v>8084</v>
      </c>
    </row>
    <row r="2954" spans="1:13" x14ac:dyDescent="0.35">
      <c r="A2954" t="s">
        <v>13</v>
      </c>
      <c r="B2954">
        <v>3174067</v>
      </c>
      <c r="C2954">
        <v>3174384</v>
      </c>
      <c r="E2954" t="s">
        <v>14</v>
      </c>
      <c r="F2954" t="s">
        <v>49</v>
      </c>
      <c r="H2954">
        <v>1020914</v>
      </c>
      <c r="I2954" t="s">
        <v>17</v>
      </c>
      <c r="K2954" t="s">
        <v>8085</v>
      </c>
      <c r="L2954">
        <v>105</v>
      </c>
      <c r="M2954" t="s">
        <v>8086</v>
      </c>
    </row>
    <row r="2955" spans="1:13" x14ac:dyDescent="0.35">
      <c r="A2955" t="s">
        <v>13</v>
      </c>
      <c r="B2955">
        <v>3175028</v>
      </c>
      <c r="C2955">
        <v>3176905</v>
      </c>
      <c r="E2955" t="s">
        <v>14</v>
      </c>
      <c r="F2955" t="s">
        <v>1146</v>
      </c>
      <c r="H2955">
        <v>1020915</v>
      </c>
      <c r="I2955" t="s">
        <v>17</v>
      </c>
      <c r="K2955" t="s">
        <v>8087</v>
      </c>
      <c r="L2955">
        <v>625</v>
      </c>
      <c r="M2955" t="s">
        <v>8088</v>
      </c>
    </row>
    <row r="2956" spans="1:13" x14ac:dyDescent="0.35">
      <c r="A2956" t="s">
        <v>13</v>
      </c>
      <c r="B2956">
        <v>3177087</v>
      </c>
      <c r="C2956">
        <v>3177804</v>
      </c>
      <c r="E2956" t="s">
        <v>38</v>
      </c>
      <c r="F2956" t="s">
        <v>141</v>
      </c>
      <c r="H2956">
        <v>18194978</v>
      </c>
      <c r="I2956" t="s">
        <v>142</v>
      </c>
      <c r="M2956" t="s">
        <v>8089</v>
      </c>
    </row>
    <row r="2957" spans="1:13" x14ac:dyDescent="0.35">
      <c r="A2957" t="s">
        <v>13</v>
      </c>
      <c r="B2957">
        <v>3178110</v>
      </c>
      <c r="C2957">
        <v>3178484</v>
      </c>
      <c r="E2957" t="s">
        <v>38</v>
      </c>
      <c r="F2957" t="s">
        <v>2000</v>
      </c>
      <c r="G2957" t="s">
        <v>8090</v>
      </c>
      <c r="H2957">
        <v>1020918</v>
      </c>
      <c r="I2957" t="s">
        <v>17</v>
      </c>
      <c r="K2957" t="s">
        <v>8091</v>
      </c>
      <c r="L2957">
        <v>124</v>
      </c>
      <c r="M2957" t="s">
        <v>8092</v>
      </c>
    </row>
    <row r="2958" spans="1:13" x14ac:dyDescent="0.35">
      <c r="A2958" t="s">
        <v>13</v>
      </c>
      <c r="B2958">
        <v>3178670</v>
      </c>
      <c r="C2958">
        <v>3178876</v>
      </c>
      <c r="E2958" t="s">
        <v>14</v>
      </c>
      <c r="F2958" t="s">
        <v>3340</v>
      </c>
      <c r="H2958">
        <v>1020919</v>
      </c>
      <c r="I2958" t="s">
        <v>17</v>
      </c>
      <c r="K2958" t="s">
        <v>8093</v>
      </c>
      <c r="L2958">
        <v>68</v>
      </c>
      <c r="M2958" t="s">
        <v>8094</v>
      </c>
    </row>
    <row r="2959" spans="1:13" x14ac:dyDescent="0.35">
      <c r="A2959" t="s">
        <v>13</v>
      </c>
      <c r="B2959">
        <v>3179077</v>
      </c>
      <c r="C2959">
        <v>3180396</v>
      </c>
      <c r="E2959" t="s">
        <v>14</v>
      </c>
      <c r="F2959" t="s">
        <v>265</v>
      </c>
      <c r="H2959">
        <v>1020920</v>
      </c>
      <c r="I2959" t="s">
        <v>17</v>
      </c>
      <c r="K2959" t="s">
        <v>8095</v>
      </c>
      <c r="L2959">
        <v>439</v>
      </c>
      <c r="M2959" t="s">
        <v>8096</v>
      </c>
    </row>
    <row r="2960" spans="1:13" x14ac:dyDescent="0.35">
      <c r="A2960" t="s">
        <v>13</v>
      </c>
      <c r="B2960">
        <v>3180356</v>
      </c>
      <c r="C2960">
        <v>3180568</v>
      </c>
      <c r="E2960" t="s">
        <v>38</v>
      </c>
      <c r="F2960" t="s">
        <v>49</v>
      </c>
      <c r="H2960">
        <v>44145020</v>
      </c>
      <c r="I2960" t="s">
        <v>17</v>
      </c>
      <c r="K2960" t="s">
        <v>8097</v>
      </c>
      <c r="L2960">
        <v>70</v>
      </c>
      <c r="M2960" t="s">
        <v>8098</v>
      </c>
    </row>
    <row r="2961" spans="1:13" x14ac:dyDescent="0.35">
      <c r="A2961" t="s">
        <v>13</v>
      </c>
      <c r="B2961">
        <v>3180549</v>
      </c>
      <c r="C2961">
        <v>3181127</v>
      </c>
      <c r="E2961" t="s">
        <v>38</v>
      </c>
      <c r="F2961" t="s">
        <v>2479</v>
      </c>
      <c r="H2961">
        <v>1020921</v>
      </c>
      <c r="I2961" t="s">
        <v>17</v>
      </c>
      <c r="K2961" t="s">
        <v>8099</v>
      </c>
      <c r="L2961">
        <v>192</v>
      </c>
      <c r="M2961" t="s">
        <v>8100</v>
      </c>
    </row>
    <row r="2962" spans="1:13" x14ac:dyDescent="0.35">
      <c r="A2962" t="s">
        <v>13</v>
      </c>
      <c r="B2962">
        <v>3181335</v>
      </c>
      <c r="C2962">
        <v>3182867</v>
      </c>
      <c r="E2962" t="s">
        <v>38</v>
      </c>
      <c r="F2962" t="s">
        <v>8101</v>
      </c>
      <c r="G2962" t="s">
        <v>8102</v>
      </c>
      <c r="H2962">
        <v>1020922</v>
      </c>
      <c r="I2962" t="s">
        <v>17</v>
      </c>
      <c r="K2962" t="s">
        <v>8103</v>
      </c>
      <c r="L2962">
        <v>510</v>
      </c>
      <c r="M2962" t="s">
        <v>8104</v>
      </c>
    </row>
    <row r="2963" spans="1:13" x14ac:dyDescent="0.35">
      <c r="A2963" t="s">
        <v>13</v>
      </c>
      <c r="B2963">
        <v>3183476</v>
      </c>
      <c r="C2963">
        <v>3183928</v>
      </c>
      <c r="E2963" t="s">
        <v>38</v>
      </c>
      <c r="F2963" t="s">
        <v>8105</v>
      </c>
      <c r="G2963" t="s">
        <v>8106</v>
      </c>
      <c r="H2963">
        <v>1020923</v>
      </c>
      <c r="I2963" t="s">
        <v>17</v>
      </c>
      <c r="K2963" t="s">
        <v>8107</v>
      </c>
      <c r="L2963">
        <v>150</v>
      </c>
      <c r="M2963" t="s">
        <v>8108</v>
      </c>
    </row>
    <row r="2964" spans="1:13" x14ac:dyDescent="0.35">
      <c r="A2964" t="s">
        <v>13</v>
      </c>
      <c r="B2964">
        <v>3183985</v>
      </c>
      <c r="C2964">
        <v>3184662</v>
      </c>
      <c r="E2964" t="s">
        <v>38</v>
      </c>
      <c r="F2964" t="s">
        <v>5139</v>
      </c>
      <c r="H2964">
        <v>1020924</v>
      </c>
      <c r="I2964" t="s">
        <v>17</v>
      </c>
      <c r="K2964" t="s">
        <v>8109</v>
      </c>
      <c r="L2964">
        <v>225</v>
      </c>
      <c r="M2964" t="s">
        <v>8110</v>
      </c>
    </row>
    <row r="2965" spans="1:13" x14ac:dyDescent="0.35">
      <c r="A2965" t="s">
        <v>13</v>
      </c>
      <c r="B2965">
        <v>3184699</v>
      </c>
      <c r="C2965">
        <v>3184986</v>
      </c>
      <c r="E2965" t="s">
        <v>38</v>
      </c>
      <c r="F2965" t="s">
        <v>8111</v>
      </c>
      <c r="G2965" t="s">
        <v>8112</v>
      </c>
      <c r="H2965">
        <v>1020925</v>
      </c>
      <c r="I2965" t="s">
        <v>17</v>
      </c>
      <c r="K2965" t="s">
        <v>8113</v>
      </c>
      <c r="L2965">
        <v>95</v>
      </c>
      <c r="M2965" t="s">
        <v>8114</v>
      </c>
    </row>
    <row r="2966" spans="1:13" x14ac:dyDescent="0.35">
      <c r="A2966" t="s">
        <v>13</v>
      </c>
      <c r="B2966">
        <v>3185115</v>
      </c>
      <c r="C2966">
        <v>3185258</v>
      </c>
      <c r="E2966" t="s">
        <v>38</v>
      </c>
      <c r="F2966" t="s">
        <v>49</v>
      </c>
      <c r="H2966">
        <v>44156742</v>
      </c>
      <c r="I2966" t="s">
        <v>17</v>
      </c>
      <c r="K2966" t="s">
        <v>8115</v>
      </c>
      <c r="L2966">
        <v>47</v>
      </c>
      <c r="M2966" t="s">
        <v>8116</v>
      </c>
    </row>
    <row r="2967" spans="1:13" x14ac:dyDescent="0.35">
      <c r="A2967" t="s">
        <v>13</v>
      </c>
      <c r="B2967">
        <v>3185346</v>
      </c>
      <c r="C2967">
        <v>3185537</v>
      </c>
      <c r="E2967" t="s">
        <v>38</v>
      </c>
      <c r="F2967" t="s">
        <v>49</v>
      </c>
      <c r="H2967">
        <v>1020926</v>
      </c>
      <c r="I2967" t="s">
        <v>17</v>
      </c>
      <c r="K2967" t="s">
        <v>8117</v>
      </c>
      <c r="L2967">
        <v>63</v>
      </c>
      <c r="M2967" t="s">
        <v>8118</v>
      </c>
    </row>
    <row r="2968" spans="1:13" x14ac:dyDescent="0.35">
      <c r="A2968" t="s">
        <v>13</v>
      </c>
      <c r="B2968">
        <v>3185534</v>
      </c>
      <c r="C2968">
        <v>3186994</v>
      </c>
      <c r="E2968" t="s">
        <v>38</v>
      </c>
      <c r="F2968" t="s">
        <v>8119</v>
      </c>
      <c r="H2968">
        <v>1020927</v>
      </c>
      <c r="I2968" t="s">
        <v>17</v>
      </c>
      <c r="K2968" t="s">
        <v>8120</v>
      </c>
      <c r="L2968">
        <v>486</v>
      </c>
      <c r="M2968" t="s">
        <v>8121</v>
      </c>
    </row>
    <row r="2969" spans="1:13" x14ac:dyDescent="0.35">
      <c r="A2969" t="s">
        <v>13</v>
      </c>
      <c r="B2969">
        <v>3187040</v>
      </c>
      <c r="C2969">
        <v>3189202</v>
      </c>
      <c r="E2969" t="s">
        <v>38</v>
      </c>
      <c r="F2969" t="s">
        <v>852</v>
      </c>
      <c r="H2969">
        <v>1020928</v>
      </c>
      <c r="I2969" t="s">
        <v>17</v>
      </c>
      <c r="K2969" t="s">
        <v>8122</v>
      </c>
      <c r="L2969">
        <v>720</v>
      </c>
      <c r="M2969" t="s">
        <v>8123</v>
      </c>
    </row>
    <row r="2970" spans="1:13" x14ac:dyDescent="0.35">
      <c r="A2970" t="s">
        <v>13</v>
      </c>
      <c r="B2970">
        <v>3189294</v>
      </c>
      <c r="C2970">
        <v>3189686</v>
      </c>
      <c r="E2970" t="s">
        <v>38</v>
      </c>
      <c r="F2970" t="s">
        <v>8124</v>
      </c>
      <c r="H2970">
        <v>1020929</v>
      </c>
      <c r="I2970" t="s">
        <v>17</v>
      </c>
      <c r="K2970" t="s">
        <v>8125</v>
      </c>
      <c r="L2970">
        <v>130</v>
      </c>
      <c r="M2970" t="s">
        <v>8126</v>
      </c>
    </row>
    <row r="2971" spans="1:13" x14ac:dyDescent="0.35">
      <c r="A2971" t="s">
        <v>13</v>
      </c>
      <c r="B2971">
        <v>3189878</v>
      </c>
      <c r="C2971">
        <v>3190351</v>
      </c>
      <c r="E2971" t="s">
        <v>14</v>
      </c>
      <c r="F2971" t="s">
        <v>8127</v>
      </c>
      <c r="G2971" t="s">
        <v>8128</v>
      </c>
      <c r="H2971">
        <v>1020930</v>
      </c>
      <c r="I2971" t="s">
        <v>17</v>
      </c>
      <c r="K2971" t="s">
        <v>8129</v>
      </c>
      <c r="L2971">
        <v>157</v>
      </c>
      <c r="M2971" t="s">
        <v>8130</v>
      </c>
    </row>
    <row r="2972" spans="1:13" x14ac:dyDescent="0.35">
      <c r="A2972" t="s">
        <v>13</v>
      </c>
      <c r="B2972">
        <v>3190382</v>
      </c>
      <c r="C2972">
        <v>3191323</v>
      </c>
      <c r="E2972" t="s">
        <v>14</v>
      </c>
      <c r="F2972" t="s">
        <v>3863</v>
      </c>
      <c r="H2972">
        <v>1020931</v>
      </c>
      <c r="I2972" t="s">
        <v>17</v>
      </c>
      <c r="K2972" t="s">
        <v>8131</v>
      </c>
      <c r="L2972">
        <v>313</v>
      </c>
      <c r="M2972" t="s">
        <v>8132</v>
      </c>
    </row>
    <row r="2973" spans="1:13" x14ac:dyDescent="0.35">
      <c r="A2973" t="s">
        <v>13</v>
      </c>
      <c r="B2973">
        <v>3191355</v>
      </c>
      <c r="C2973">
        <v>3191852</v>
      </c>
      <c r="E2973" t="s">
        <v>14</v>
      </c>
      <c r="F2973" t="s">
        <v>49</v>
      </c>
      <c r="H2973">
        <v>1020932</v>
      </c>
      <c r="I2973" t="s">
        <v>17</v>
      </c>
      <c r="K2973" t="s">
        <v>8133</v>
      </c>
      <c r="L2973">
        <v>165</v>
      </c>
      <c r="M2973" t="s">
        <v>8134</v>
      </c>
    </row>
    <row r="2974" spans="1:13" x14ac:dyDescent="0.35">
      <c r="A2974" t="s">
        <v>13</v>
      </c>
      <c r="B2974">
        <v>3191920</v>
      </c>
      <c r="C2974">
        <v>3192243</v>
      </c>
      <c r="E2974" t="s">
        <v>38</v>
      </c>
      <c r="F2974" t="s">
        <v>2646</v>
      </c>
      <c r="H2974">
        <v>1020933</v>
      </c>
      <c r="I2974" t="s">
        <v>17</v>
      </c>
      <c r="K2974" t="s">
        <v>8135</v>
      </c>
      <c r="L2974">
        <v>107</v>
      </c>
      <c r="M2974" t="s">
        <v>8136</v>
      </c>
    </row>
    <row r="2975" spans="1:13" x14ac:dyDescent="0.35">
      <c r="A2975" t="s">
        <v>13</v>
      </c>
      <c r="B2975">
        <v>3192264</v>
      </c>
      <c r="C2975">
        <v>3193202</v>
      </c>
      <c r="E2975" t="s">
        <v>38</v>
      </c>
      <c r="F2975" t="s">
        <v>8137</v>
      </c>
      <c r="H2975">
        <v>1020934</v>
      </c>
      <c r="I2975" t="s">
        <v>17</v>
      </c>
      <c r="K2975" t="s">
        <v>8138</v>
      </c>
      <c r="L2975">
        <v>312</v>
      </c>
      <c r="M2975" t="s">
        <v>8139</v>
      </c>
    </row>
    <row r="2976" spans="1:13" x14ac:dyDescent="0.35">
      <c r="A2976" t="s">
        <v>13</v>
      </c>
      <c r="B2976">
        <v>3193250</v>
      </c>
      <c r="C2976">
        <v>3194515</v>
      </c>
      <c r="E2976" t="s">
        <v>38</v>
      </c>
      <c r="F2976" t="s">
        <v>124</v>
      </c>
      <c r="H2976">
        <v>1020935</v>
      </c>
      <c r="I2976" t="s">
        <v>17</v>
      </c>
      <c r="K2976" t="s">
        <v>8140</v>
      </c>
      <c r="L2976">
        <v>421</v>
      </c>
      <c r="M2976" t="s">
        <v>8141</v>
      </c>
    </row>
    <row r="2977" spans="1:13" x14ac:dyDescent="0.35">
      <c r="A2977" t="s">
        <v>13</v>
      </c>
      <c r="B2977">
        <v>3194512</v>
      </c>
      <c r="C2977">
        <v>3195204</v>
      </c>
      <c r="E2977" t="s">
        <v>38</v>
      </c>
      <c r="F2977" t="s">
        <v>147</v>
      </c>
      <c r="H2977">
        <v>1020936</v>
      </c>
      <c r="I2977" t="s">
        <v>17</v>
      </c>
      <c r="K2977" t="s">
        <v>8142</v>
      </c>
      <c r="L2977">
        <v>230</v>
      </c>
      <c r="M2977" t="s">
        <v>8143</v>
      </c>
    </row>
    <row r="2978" spans="1:13" x14ac:dyDescent="0.35">
      <c r="A2978" t="s">
        <v>13</v>
      </c>
      <c r="B2978">
        <v>3195208</v>
      </c>
      <c r="C2978">
        <v>3197046</v>
      </c>
      <c r="E2978" t="s">
        <v>38</v>
      </c>
      <c r="F2978" t="s">
        <v>8144</v>
      </c>
      <c r="H2978">
        <v>1020937</v>
      </c>
      <c r="I2978" t="s">
        <v>17</v>
      </c>
      <c r="K2978" t="s">
        <v>8145</v>
      </c>
      <c r="L2978">
        <v>612</v>
      </c>
      <c r="M2978" t="s">
        <v>8146</v>
      </c>
    </row>
    <row r="2979" spans="1:13" x14ac:dyDescent="0.35">
      <c r="A2979" t="s">
        <v>13</v>
      </c>
      <c r="B2979">
        <v>3197413</v>
      </c>
      <c r="C2979">
        <v>3198504</v>
      </c>
      <c r="E2979" t="s">
        <v>14</v>
      </c>
      <c r="F2979" t="s">
        <v>8147</v>
      </c>
      <c r="H2979">
        <v>1020938</v>
      </c>
      <c r="I2979" t="s">
        <v>17</v>
      </c>
      <c r="K2979" t="s">
        <v>8148</v>
      </c>
      <c r="L2979">
        <v>363</v>
      </c>
      <c r="M2979" t="s">
        <v>8149</v>
      </c>
    </row>
    <row r="2980" spans="1:13" x14ac:dyDescent="0.35">
      <c r="A2980" t="s">
        <v>13</v>
      </c>
      <c r="B2980">
        <v>3198580</v>
      </c>
      <c r="C2980">
        <v>3199125</v>
      </c>
      <c r="E2980" t="s">
        <v>38</v>
      </c>
      <c r="F2980" t="s">
        <v>49</v>
      </c>
      <c r="H2980">
        <v>1020939</v>
      </c>
      <c r="I2980" t="s">
        <v>17</v>
      </c>
      <c r="K2980" t="s">
        <v>8150</v>
      </c>
      <c r="L2980">
        <v>181</v>
      </c>
      <c r="M2980" t="s">
        <v>8151</v>
      </c>
    </row>
    <row r="2981" spans="1:13" x14ac:dyDescent="0.35">
      <c r="A2981" t="s">
        <v>13</v>
      </c>
      <c r="B2981">
        <v>3199200</v>
      </c>
      <c r="C2981">
        <v>3200687</v>
      </c>
      <c r="E2981" t="s">
        <v>38</v>
      </c>
      <c r="F2981" t="s">
        <v>8152</v>
      </c>
      <c r="H2981">
        <v>1020940</v>
      </c>
      <c r="I2981" t="s">
        <v>17</v>
      </c>
      <c r="K2981" t="s">
        <v>8153</v>
      </c>
      <c r="L2981">
        <v>495</v>
      </c>
      <c r="M2981" t="s">
        <v>8154</v>
      </c>
    </row>
    <row r="2982" spans="1:13" x14ac:dyDescent="0.35">
      <c r="A2982" t="s">
        <v>13</v>
      </c>
      <c r="B2982">
        <v>3201258</v>
      </c>
      <c r="C2982">
        <v>3201755</v>
      </c>
      <c r="E2982" t="s">
        <v>38</v>
      </c>
      <c r="F2982" t="s">
        <v>8155</v>
      </c>
      <c r="G2982" t="s">
        <v>8156</v>
      </c>
      <c r="H2982">
        <v>1020941</v>
      </c>
      <c r="I2982" t="s">
        <v>17</v>
      </c>
      <c r="K2982" t="s">
        <v>8157</v>
      </c>
      <c r="L2982">
        <v>165</v>
      </c>
      <c r="M2982" t="s">
        <v>8158</v>
      </c>
    </row>
    <row r="2983" spans="1:13" x14ac:dyDescent="0.35">
      <c r="A2983" t="s">
        <v>13</v>
      </c>
      <c r="B2983">
        <v>3201907</v>
      </c>
      <c r="C2983">
        <v>3202716</v>
      </c>
      <c r="E2983" t="s">
        <v>14</v>
      </c>
      <c r="F2983" t="s">
        <v>2449</v>
      </c>
      <c r="H2983">
        <v>1020942</v>
      </c>
      <c r="I2983" t="s">
        <v>17</v>
      </c>
      <c r="K2983" t="s">
        <v>8159</v>
      </c>
      <c r="L2983">
        <v>269</v>
      </c>
      <c r="M2983" t="s">
        <v>8160</v>
      </c>
    </row>
    <row r="2984" spans="1:13" x14ac:dyDescent="0.35">
      <c r="A2984" t="s">
        <v>13</v>
      </c>
      <c r="B2984">
        <v>3202953</v>
      </c>
      <c r="C2984">
        <v>3204104</v>
      </c>
      <c r="E2984" t="s">
        <v>14</v>
      </c>
      <c r="F2984" t="s">
        <v>8161</v>
      </c>
      <c r="H2984">
        <v>1020943</v>
      </c>
      <c r="I2984" t="s">
        <v>17</v>
      </c>
      <c r="K2984" t="s">
        <v>8162</v>
      </c>
      <c r="L2984">
        <v>383</v>
      </c>
      <c r="M2984" t="s">
        <v>8163</v>
      </c>
    </row>
    <row r="2985" spans="1:13" x14ac:dyDescent="0.35">
      <c r="A2985" t="s">
        <v>13</v>
      </c>
      <c r="B2985">
        <v>3204157</v>
      </c>
      <c r="C2985">
        <v>3204732</v>
      </c>
      <c r="E2985" t="s">
        <v>14</v>
      </c>
      <c r="F2985" t="s">
        <v>2066</v>
      </c>
      <c r="H2985">
        <v>1020944</v>
      </c>
      <c r="I2985" t="s">
        <v>17</v>
      </c>
      <c r="K2985" t="s">
        <v>8164</v>
      </c>
      <c r="L2985">
        <v>191</v>
      </c>
      <c r="M2985" t="s">
        <v>8165</v>
      </c>
    </row>
    <row r="2986" spans="1:13" x14ac:dyDescent="0.35">
      <c r="A2986" t="s">
        <v>13</v>
      </c>
      <c r="B2986">
        <v>3204729</v>
      </c>
      <c r="C2986">
        <v>3205205</v>
      </c>
      <c r="E2986" t="s">
        <v>38</v>
      </c>
      <c r="F2986" t="s">
        <v>8166</v>
      </c>
      <c r="H2986">
        <v>1020945</v>
      </c>
      <c r="I2986" t="s">
        <v>17</v>
      </c>
      <c r="K2986" t="s">
        <v>8167</v>
      </c>
      <c r="L2986">
        <v>158</v>
      </c>
      <c r="M2986" t="s">
        <v>8168</v>
      </c>
    </row>
    <row r="2987" spans="1:13" x14ac:dyDescent="0.35">
      <c r="A2987" t="s">
        <v>13</v>
      </c>
      <c r="B2987">
        <v>3205220</v>
      </c>
      <c r="C2987">
        <v>3206233</v>
      </c>
      <c r="E2987" t="s">
        <v>38</v>
      </c>
      <c r="F2987" t="s">
        <v>8169</v>
      </c>
      <c r="H2987">
        <v>1020946</v>
      </c>
      <c r="I2987" t="s">
        <v>17</v>
      </c>
      <c r="K2987" t="s">
        <v>8170</v>
      </c>
      <c r="L2987">
        <v>337</v>
      </c>
      <c r="M2987" t="s">
        <v>8171</v>
      </c>
    </row>
    <row r="2988" spans="1:13" x14ac:dyDescent="0.35">
      <c r="A2988" t="s">
        <v>13</v>
      </c>
      <c r="B2988">
        <v>3206850</v>
      </c>
      <c r="C2988">
        <v>3208028</v>
      </c>
      <c r="E2988" t="s">
        <v>14</v>
      </c>
      <c r="F2988" t="s">
        <v>265</v>
      </c>
      <c r="H2988">
        <v>1020947</v>
      </c>
      <c r="I2988" t="s">
        <v>17</v>
      </c>
      <c r="K2988" t="s">
        <v>8172</v>
      </c>
      <c r="L2988">
        <v>392</v>
      </c>
      <c r="M2988" t="s">
        <v>8173</v>
      </c>
    </row>
    <row r="2989" spans="1:13" x14ac:dyDescent="0.35">
      <c r="A2989" t="s">
        <v>13</v>
      </c>
      <c r="B2989">
        <v>3208280</v>
      </c>
      <c r="C2989">
        <v>3209458</v>
      </c>
      <c r="E2989" t="s">
        <v>14</v>
      </c>
      <c r="F2989" t="s">
        <v>8174</v>
      </c>
      <c r="H2989">
        <v>1020948</v>
      </c>
      <c r="I2989" t="s">
        <v>17</v>
      </c>
      <c r="K2989" t="s">
        <v>8175</v>
      </c>
      <c r="L2989">
        <v>392</v>
      </c>
      <c r="M2989" t="s">
        <v>8176</v>
      </c>
    </row>
    <row r="2990" spans="1:13" x14ac:dyDescent="0.35">
      <c r="A2990" t="s">
        <v>13</v>
      </c>
      <c r="B2990">
        <v>3209703</v>
      </c>
      <c r="C2990">
        <v>3211187</v>
      </c>
      <c r="E2990" t="s">
        <v>38</v>
      </c>
      <c r="F2990" t="s">
        <v>6833</v>
      </c>
      <c r="H2990">
        <v>1020949</v>
      </c>
      <c r="I2990" t="s">
        <v>17</v>
      </c>
      <c r="K2990" t="s">
        <v>8177</v>
      </c>
      <c r="L2990">
        <v>494</v>
      </c>
      <c r="M2990" t="s">
        <v>8178</v>
      </c>
    </row>
    <row r="2991" spans="1:13" x14ac:dyDescent="0.35">
      <c r="A2991" t="s">
        <v>13</v>
      </c>
      <c r="B2991">
        <v>3211244</v>
      </c>
      <c r="C2991">
        <v>3211837</v>
      </c>
      <c r="E2991" t="s">
        <v>38</v>
      </c>
      <c r="F2991" t="s">
        <v>8179</v>
      </c>
      <c r="H2991">
        <v>1020950</v>
      </c>
      <c r="I2991" t="s">
        <v>17</v>
      </c>
      <c r="K2991" t="s">
        <v>8180</v>
      </c>
      <c r="L2991">
        <v>197</v>
      </c>
      <c r="M2991" t="s">
        <v>8181</v>
      </c>
    </row>
    <row r="2992" spans="1:13" x14ac:dyDescent="0.35">
      <c r="A2992" t="s">
        <v>13</v>
      </c>
      <c r="B2992">
        <v>3211902</v>
      </c>
      <c r="C2992">
        <v>3212513</v>
      </c>
      <c r="E2992" t="s">
        <v>38</v>
      </c>
      <c r="F2992" t="s">
        <v>8179</v>
      </c>
      <c r="H2992">
        <v>1020951</v>
      </c>
      <c r="I2992" t="s">
        <v>17</v>
      </c>
      <c r="K2992" t="s">
        <v>8182</v>
      </c>
      <c r="L2992">
        <v>203</v>
      </c>
      <c r="M2992" t="s">
        <v>8183</v>
      </c>
    </row>
    <row r="2993" spans="1:13" x14ac:dyDescent="0.35">
      <c r="A2993" t="s">
        <v>13</v>
      </c>
      <c r="B2993">
        <v>3212637</v>
      </c>
      <c r="C2993">
        <v>3213935</v>
      </c>
      <c r="E2993" t="s">
        <v>14</v>
      </c>
      <c r="F2993" t="s">
        <v>7246</v>
      </c>
      <c r="H2993">
        <v>1020952</v>
      </c>
      <c r="I2993" t="s">
        <v>17</v>
      </c>
      <c r="K2993" t="s">
        <v>8184</v>
      </c>
      <c r="L2993">
        <v>432</v>
      </c>
      <c r="M2993" t="s">
        <v>8185</v>
      </c>
    </row>
    <row r="2994" spans="1:13" x14ac:dyDescent="0.35">
      <c r="A2994" t="s">
        <v>13</v>
      </c>
      <c r="B2994">
        <v>3213932</v>
      </c>
      <c r="C2994">
        <v>3215164</v>
      </c>
      <c r="E2994" t="s">
        <v>38</v>
      </c>
      <c r="F2994" t="s">
        <v>8186</v>
      </c>
      <c r="H2994">
        <v>1020953</v>
      </c>
      <c r="I2994" t="s">
        <v>17</v>
      </c>
      <c r="K2994" t="s">
        <v>8187</v>
      </c>
      <c r="L2994">
        <v>410</v>
      </c>
      <c r="M2994" t="s">
        <v>8188</v>
      </c>
    </row>
    <row r="2995" spans="1:13" x14ac:dyDescent="0.35">
      <c r="A2995" t="s">
        <v>13</v>
      </c>
      <c r="B2995">
        <v>3215255</v>
      </c>
      <c r="C2995">
        <v>3216760</v>
      </c>
      <c r="E2995" t="s">
        <v>38</v>
      </c>
      <c r="F2995" t="s">
        <v>2924</v>
      </c>
      <c r="H2995">
        <v>1020954</v>
      </c>
      <c r="I2995" t="s">
        <v>17</v>
      </c>
      <c r="K2995" t="s">
        <v>8189</v>
      </c>
      <c r="L2995">
        <v>501</v>
      </c>
      <c r="M2995" t="s">
        <v>8190</v>
      </c>
    </row>
    <row r="2996" spans="1:13" x14ac:dyDescent="0.35">
      <c r="A2996" t="s">
        <v>13</v>
      </c>
      <c r="B2996">
        <v>3216884</v>
      </c>
      <c r="C2996">
        <v>3217123</v>
      </c>
      <c r="E2996" t="s">
        <v>38</v>
      </c>
      <c r="F2996" t="s">
        <v>3010</v>
      </c>
      <c r="H2996">
        <v>1020955</v>
      </c>
      <c r="I2996" t="s">
        <v>17</v>
      </c>
      <c r="K2996" t="s">
        <v>8191</v>
      </c>
      <c r="L2996">
        <v>79</v>
      </c>
      <c r="M2996" t="s">
        <v>8192</v>
      </c>
    </row>
    <row r="2997" spans="1:13" x14ac:dyDescent="0.35">
      <c r="A2997" t="s">
        <v>13</v>
      </c>
      <c r="B2997">
        <v>3217455</v>
      </c>
      <c r="C2997">
        <v>3217778</v>
      </c>
      <c r="E2997" t="s">
        <v>38</v>
      </c>
      <c r="F2997" t="s">
        <v>49</v>
      </c>
      <c r="H2997">
        <v>1020956</v>
      </c>
      <c r="I2997" t="s">
        <v>17</v>
      </c>
      <c r="K2997" t="s">
        <v>8193</v>
      </c>
      <c r="L2997">
        <v>107</v>
      </c>
      <c r="M2997" t="s">
        <v>8194</v>
      </c>
    </row>
    <row r="2998" spans="1:13" x14ac:dyDescent="0.35">
      <c r="A2998" t="s">
        <v>13</v>
      </c>
      <c r="B2998">
        <v>3217994</v>
      </c>
      <c r="C2998">
        <v>3218605</v>
      </c>
      <c r="E2998" t="s">
        <v>14</v>
      </c>
      <c r="F2998" t="s">
        <v>8195</v>
      </c>
      <c r="H2998">
        <v>1020957</v>
      </c>
      <c r="I2998" t="s">
        <v>17</v>
      </c>
      <c r="K2998" t="s">
        <v>8196</v>
      </c>
      <c r="L2998">
        <v>203</v>
      </c>
      <c r="M2998" t="s">
        <v>8197</v>
      </c>
    </row>
    <row r="2999" spans="1:13" x14ac:dyDescent="0.35">
      <c r="A2999" t="s">
        <v>13</v>
      </c>
      <c r="B2999">
        <v>3218778</v>
      </c>
      <c r="C2999">
        <v>3219704</v>
      </c>
      <c r="E2999" t="s">
        <v>14</v>
      </c>
      <c r="F2999" t="s">
        <v>49</v>
      </c>
      <c r="H2999">
        <v>1020958</v>
      </c>
      <c r="I2999" t="s">
        <v>17</v>
      </c>
      <c r="K2999" t="s">
        <v>8198</v>
      </c>
      <c r="L2999">
        <v>308</v>
      </c>
      <c r="M2999" t="s">
        <v>8199</v>
      </c>
    </row>
    <row r="3000" spans="1:13" x14ac:dyDescent="0.35">
      <c r="A3000" t="s">
        <v>13</v>
      </c>
      <c r="B3000">
        <v>3219776</v>
      </c>
      <c r="C3000">
        <v>3222634</v>
      </c>
      <c r="E3000" t="s">
        <v>38</v>
      </c>
      <c r="F3000" t="s">
        <v>8200</v>
      </c>
      <c r="G3000" t="s">
        <v>8201</v>
      </c>
      <c r="H3000">
        <v>1020959</v>
      </c>
      <c r="I3000" t="s">
        <v>17</v>
      </c>
      <c r="K3000" t="s">
        <v>8202</v>
      </c>
      <c r="L3000">
        <v>952</v>
      </c>
      <c r="M3000" t="s">
        <v>8203</v>
      </c>
    </row>
    <row r="3001" spans="1:13" x14ac:dyDescent="0.35">
      <c r="A3001" t="s">
        <v>13</v>
      </c>
      <c r="B3001">
        <v>3222723</v>
      </c>
      <c r="C3001">
        <v>3223154</v>
      </c>
      <c r="E3001" t="s">
        <v>14</v>
      </c>
      <c r="F3001" t="s">
        <v>8204</v>
      </c>
      <c r="H3001">
        <v>1020960</v>
      </c>
      <c r="I3001" t="s">
        <v>17</v>
      </c>
      <c r="K3001" t="s">
        <v>8205</v>
      </c>
      <c r="L3001">
        <v>143</v>
      </c>
      <c r="M3001" t="s">
        <v>8206</v>
      </c>
    </row>
    <row r="3002" spans="1:13" x14ac:dyDescent="0.35">
      <c r="A3002" t="s">
        <v>13</v>
      </c>
      <c r="B3002">
        <v>3223087</v>
      </c>
      <c r="C3002">
        <v>3223452</v>
      </c>
      <c r="E3002" t="s">
        <v>38</v>
      </c>
      <c r="F3002" t="s">
        <v>2961</v>
      </c>
      <c r="H3002">
        <v>1020961</v>
      </c>
      <c r="I3002" t="s">
        <v>17</v>
      </c>
      <c r="K3002" t="s">
        <v>8207</v>
      </c>
      <c r="L3002">
        <v>121</v>
      </c>
      <c r="M3002" t="s">
        <v>8208</v>
      </c>
    </row>
    <row r="3003" spans="1:13" x14ac:dyDescent="0.35">
      <c r="A3003" t="s">
        <v>13</v>
      </c>
      <c r="B3003">
        <v>3223990</v>
      </c>
      <c r="C3003">
        <v>3224715</v>
      </c>
      <c r="E3003" t="s">
        <v>38</v>
      </c>
      <c r="F3003" t="s">
        <v>8209</v>
      </c>
      <c r="G3003" t="s">
        <v>8210</v>
      </c>
      <c r="H3003">
        <v>1020962</v>
      </c>
      <c r="I3003" t="s">
        <v>17</v>
      </c>
      <c r="K3003" t="s">
        <v>8211</v>
      </c>
      <c r="L3003">
        <v>241</v>
      </c>
      <c r="M3003" t="s">
        <v>8212</v>
      </c>
    </row>
    <row r="3004" spans="1:13" x14ac:dyDescent="0.35">
      <c r="A3004" t="s">
        <v>13</v>
      </c>
      <c r="B3004">
        <v>3224716</v>
      </c>
      <c r="C3004">
        <v>3225555</v>
      </c>
      <c r="E3004" t="s">
        <v>38</v>
      </c>
      <c r="F3004" t="s">
        <v>3658</v>
      </c>
      <c r="H3004">
        <v>1020963</v>
      </c>
      <c r="I3004" t="s">
        <v>17</v>
      </c>
      <c r="K3004" t="s">
        <v>8213</v>
      </c>
      <c r="L3004">
        <v>279</v>
      </c>
      <c r="M3004" t="s">
        <v>8214</v>
      </c>
    </row>
    <row r="3005" spans="1:13" x14ac:dyDescent="0.35">
      <c r="A3005" t="s">
        <v>13</v>
      </c>
      <c r="B3005">
        <v>3225561</v>
      </c>
      <c r="C3005">
        <v>3226688</v>
      </c>
      <c r="E3005" t="s">
        <v>38</v>
      </c>
      <c r="F3005" t="s">
        <v>2600</v>
      </c>
      <c r="H3005">
        <v>1020964</v>
      </c>
      <c r="I3005" t="s">
        <v>17</v>
      </c>
      <c r="K3005" t="s">
        <v>8215</v>
      </c>
      <c r="L3005">
        <v>375</v>
      </c>
      <c r="M3005" t="s">
        <v>8216</v>
      </c>
    </row>
    <row r="3006" spans="1:13" x14ac:dyDescent="0.35">
      <c r="A3006" t="s">
        <v>13</v>
      </c>
      <c r="B3006">
        <v>3226908</v>
      </c>
      <c r="C3006">
        <v>3227684</v>
      </c>
      <c r="E3006" t="s">
        <v>38</v>
      </c>
      <c r="F3006" t="s">
        <v>1618</v>
      </c>
      <c r="H3006">
        <v>1020965</v>
      </c>
      <c r="I3006" t="s">
        <v>17</v>
      </c>
      <c r="K3006" t="s">
        <v>8217</v>
      </c>
      <c r="L3006">
        <v>258</v>
      </c>
      <c r="M3006" t="s">
        <v>8218</v>
      </c>
    </row>
    <row r="3007" spans="1:13" x14ac:dyDescent="0.35">
      <c r="A3007" t="s">
        <v>13</v>
      </c>
      <c r="B3007">
        <v>3227749</v>
      </c>
      <c r="C3007">
        <v>3229083</v>
      </c>
      <c r="E3007" t="s">
        <v>14</v>
      </c>
      <c r="F3007" t="s">
        <v>265</v>
      </c>
      <c r="H3007">
        <v>1020966</v>
      </c>
      <c r="I3007" t="s">
        <v>17</v>
      </c>
      <c r="K3007" t="s">
        <v>8219</v>
      </c>
      <c r="L3007">
        <v>444</v>
      </c>
      <c r="M3007" t="s">
        <v>8220</v>
      </c>
    </row>
    <row r="3008" spans="1:13" x14ac:dyDescent="0.35">
      <c r="A3008" t="s">
        <v>13</v>
      </c>
      <c r="B3008">
        <v>3229120</v>
      </c>
      <c r="C3008">
        <v>3230448</v>
      </c>
      <c r="E3008" t="s">
        <v>14</v>
      </c>
      <c r="F3008" t="s">
        <v>8221</v>
      </c>
      <c r="H3008">
        <v>1020967</v>
      </c>
      <c r="I3008" t="s">
        <v>17</v>
      </c>
      <c r="K3008" t="s">
        <v>8222</v>
      </c>
      <c r="L3008">
        <v>442</v>
      </c>
      <c r="M3008" t="s">
        <v>8223</v>
      </c>
    </row>
    <row r="3009" spans="1:13" x14ac:dyDescent="0.35">
      <c r="A3009" t="s">
        <v>13</v>
      </c>
      <c r="B3009">
        <v>3231052</v>
      </c>
      <c r="C3009">
        <v>3232290</v>
      </c>
      <c r="E3009" t="s">
        <v>38</v>
      </c>
      <c r="F3009" t="s">
        <v>7005</v>
      </c>
      <c r="H3009">
        <v>1020968</v>
      </c>
      <c r="I3009" t="s">
        <v>17</v>
      </c>
      <c r="K3009" t="s">
        <v>8224</v>
      </c>
      <c r="L3009">
        <v>412</v>
      </c>
      <c r="M3009" t="s">
        <v>8225</v>
      </c>
    </row>
    <row r="3010" spans="1:13" x14ac:dyDescent="0.35">
      <c r="A3010" t="s">
        <v>13</v>
      </c>
      <c r="B3010">
        <v>3232597</v>
      </c>
      <c r="C3010">
        <v>3233109</v>
      </c>
      <c r="E3010" t="s">
        <v>14</v>
      </c>
      <c r="F3010" t="s">
        <v>2283</v>
      </c>
      <c r="H3010">
        <v>1020969</v>
      </c>
      <c r="I3010" t="s">
        <v>17</v>
      </c>
      <c r="K3010" t="s">
        <v>8226</v>
      </c>
      <c r="L3010">
        <v>170</v>
      </c>
      <c r="M3010" t="s">
        <v>8227</v>
      </c>
    </row>
    <row r="3011" spans="1:13" x14ac:dyDescent="0.35">
      <c r="A3011" t="s">
        <v>13</v>
      </c>
      <c r="B3011">
        <v>3233152</v>
      </c>
      <c r="C3011">
        <v>3233205</v>
      </c>
      <c r="E3011" t="s">
        <v>14</v>
      </c>
      <c r="F3011" t="s">
        <v>8228</v>
      </c>
      <c r="G3011" t="s">
        <v>8229</v>
      </c>
      <c r="H3011">
        <v>92792280</v>
      </c>
      <c r="I3011" t="s">
        <v>17</v>
      </c>
      <c r="K3011" t="s">
        <v>8230</v>
      </c>
      <c r="L3011">
        <v>17</v>
      </c>
      <c r="M3011" t="s">
        <v>8231</v>
      </c>
    </row>
    <row r="3012" spans="1:13" x14ac:dyDescent="0.35">
      <c r="A3012" t="s">
        <v>13</v>
      </c>
      <c r="B3012">
        <v>3233404</v>
      </c>
      <c r="C3012">
        <v>3234960</v>
      </c>
      <c r="E3012" t="s">
        <v>14</v>
      </c>
      <c r="F3012" t="s">
        <v>8232</v>
      </c>
      <c r="H3012">
        <v>1020972</v>
      </c>
      <c r="I3012" t="s">
        <v>17</v>
      </c>
      <c r="K3012" t="s">
        <v>8233</v>
      </c>
      <c r="L3012">
        <v>518</v>
      </c>
      <c r="M3012" t="s">
        <v>8234</v>
      </c>
    </row>
    <row r="3013" spans="1:13" x14ac:dyDescent="0.35">
      <c r="A3013" t="s">
        <v>13</v>
      </c>
      <c r="B3013">
        <v>3234957</v>
      </c>
      <c r="C3013">
        <v>3235583</v>
      </c>
      <c r="E3013" t="s">
        <v>14</v>
      </c>
      <c r="F3013" t="s">
        <v>8235</v>
      </c>
      <c r="H3013">
        <v>1020973</v>
      </c>
      <c r="I3013" t="s">
        <v>17</v>
      </c>
      <c r="K3013" t="s">
        <v>8236</v>
      </c>
      <c r="L3013">
        <v>208</v>
      </c>
      <c r="M3013" t="s">
        <v>8237</v>
      </c>
    </row>
    <row r="3014" spans="1:13" x14ac:dyDescent="0.35">
      <c r="A3014" t="s">
        <v>13</v>
      </c>
      <c r="B3014">
        <v>3235603</v>
      </c>
      <c r="C3014">
        <v>3236649</v>
      </c>
      <c r="E3014" t="s">
        <v>14</v>
      </c>
      <c r="F3014" t="s">
        <v>8238</v>
      </c>
      <c r="G3014" t="s">
        <v>8239</v>
      </c>
      <c r="H3014">
        <v>1020974</v>
      </c>
      <c r="I3014" t="s">
        <v>17</v>
      </c>
      <c r="K3014" t="s">
        <v>8240</v>
      </c>
      <c r="L3014">
        <v>348</v>
      </c>
      <c r="M3014" t="s">
        <v>8241</v>
      </c>
    </row>
    <row r="3015" spans="1:13" x14ac:dyDescent="0.35">
      <c r="A3015" t="s">
        <v>13</v>
      </c>
      <c r="B3015">
        <v>3236642</v>
      </c>
      <c r="C3015">
        <v>3238066</v>
      </c>
      <c r="E3015" t="s">
        <v>14</v>
      </c>
      <c r="F3015" t="s">
        <v>8242</v>
      </c>
      <c r="G3015" t="s">
        <v>8243</v>
      </c>
      <c r="H3015">
        <v>1020975</v>
      </c>
      <c r="I3015" t="s">
        <v>17</v>
      </c>
      <c r="K3015" t="s">
        <v>8244</v>
      </c>
      <c r="L3015">
        <v>474</v>
      </c>
      <c r="M3015" t="s">
        <v>8245</v>
      </c>
    </row>
    <row r="3016" spans="1:13" x14ac:dyDescent="0.35">
      <c r="A3016" t="s">
        <v>13</v>
      </c>
      <c r="B3016">
        <v>3238083</v>
      </c>
      <c r="C3016">
        <v>3239336</v>
      </c>
      <c r="E3016" t="s">
        <v>14</v>
      </c>
      <c r="F3016" t="s">
        <v>8246</v>
      </c>
      <c r="G3016" t="s">
        <v>8247</v>
      </c>
      <c r="H3016">
        <v>1020976</v>
      </c>
      <c r="I3016" t="s">
        <v>17</v>
      </c>
      <c r="K3016" t="s">
        <v>8248</v>
      </c>
      <c r="L3016">
        <v>417</v>
      </c>
      <c r="M3016" t="s">
        <v>8249</v>
      </c>
    </row>
    <row r="3017" spans="1:13" x14ac:dyDescent="0.35">
      <c r="A3017" t="s">
        <v>13</v>
      </c>
      <c r="B3017">
        <v>3239333</v>
      </c>
      <c r="C3017">
        <v>3240175</v>
      </c>
      <c r="E3017" t="s">
        <v>14</v>
      </c>
      <c r="F3017" t="s">
        <v>8250</v>
      </c>
      <c r="G3017" t="s">
        <v>8251</v>
      </c>
      <c r="H3017">
        <v>1020978</v>
      </c>
      <c r="I3017" t="s">
        <v>17</v>
      </c>
      <c r="K3017" t="s">
        <v>8252</v>
      </c>
      <c r="L3017">
        <v>280</v>
      </c>
      <c r="M3017" t="s">
        <v>8253</v>
      </c>
    </row>
    <row r="3018" spans="1:13" x14ac:dyDescent="0.35">
      <c r="A3018" t="s">
        <v>13</v>
      </c>
      <c r="B3018">
        <v>3240311</v>
      </c>
      <c r="C3018">
        <v>3241852</v>
      </c>
      <c r="E3018" t="s">
        <v>38</v>
      </c>
      <c r="F3018" t="s">
        <v>8254</v>
      </c>
      <c r="H3018">
        <v>1020979</v>
      </c>
      <c r="I3018" t="s">
        <v>17</v>
      </c>
      <c r="K3018" t="s">
        <v>8255</v>
      </c>
      <c r="L3018">
        <v>513</v>
      </c>
      <c r="M3018" t="s">
        <v>8256</v>
      </c>
    </row>
    <row r="3019" spans="1:13" x14ac:dyDescent="0.35">
      <c r="A3019" t="s">
        <v>13</v>
      </c>
      <c r="B3019">
        <v>3241877</v>
      </c>
      <c r="C3019">
        <v>3242689</v>
      </c>
      <c r="E3019" t="s">
        <v>38</v>
      </c>
      <c r="F3019" t="s">
        <v>8257</v>
      </c>
      <c r="H3019">
        <v>1020980</v>
      </c>
      <c r="I3019" t="s">
        <v>17</v>
      </c>
      <c r="K3019" t="s">
        <v>8258</v>
      </c>
      <c r="L3019">
        <v>270</v>
      </c>
      <c r="M3019" t="s">
        <v>8259</v>
      </c>
    </row>
    <row r="3020" spans="1:13" x14ac:dyDescent="0.35">
      <c r="A3020" t="s">
        <v>13</v>
      </c>
      <c r="B3020">
        <v>3242855</v>
      </c>
      <c r="C3020">
        <v>3243763</v>
      </c>
      <c r="E3020" t="s">
        <v>14</v>
      </c>
      <c r="F3020" t="s">
        <v>147</v>
      </c>
      <c r="H3020">
        <v>1020981</v>
      </c>
      <c r="I3020" t="s">
        <v>17</v>
      </c>
      <c r="K3020" t="s">
        <v>8260</v>
      </c>
      <c r="L3020">
        <v>302</v>
      </c>
      <c r="M3020" t="s">
        <v>8261</v>
      </c>
    </row>
    <row r="3021" spans="1:13" x14ac:dyDescent="0.35">
      <c r="A3021" t="s">
        <v>13</v>
      </c>
      <c r="B3021">
        <v>3243760</v>
      </c>
      <c r="C3021">
        <v>3245346</v>
      </c>
      <c r="E3021" t="s">
        <v>14</v>
      </c>
      <c r="F3021" t="s">
        <v>124</v>
      </c>
      <c r="H3021">
        <v>1020982</v>
      </c>
      <c r="I3021" t="s">
        <v>17</v>
      </c>
      <c r="K3021" t="s">
        <v>8262</v>
      </c>
      <c r="L3021">
        <v>528</v>
      </c>
      <c r="M3021" t="s">
        <v>8263</v>
      </c>
    </row>
    <row r="3022" spans="1:13" x14ac:dyDescent="0.35">
      <c r="A3022" t="s">
        <v>13</v>
      </c>
      <c r="B3022">
        <v>3245420</v>
      </c>
      <c r="C3022">
        <v>3245770</v>
      </c>
      <c r="E3022" t="s">
        <v>14</v>
      </c>
      <c r="F3022" t="s">
        <v>8264</v>
      </c>
      <c r="H3022">
        <v>1020983</v>
      </c>
      <c r="I3022" t="s">
        <v>17</v>
      </c>
      <c r="K3022" t="s">
        <v>8265</v>
      </c>
      <c r="L3022">
        <v>116</v>
      </c>
      <c r="M3022" t="s">
        <v>8266</v>
      </c>
    </row>
    <row r="3023" spans="1:13" x14ac:dyDescent="0.35">
      <c r="A3023" t="s">
        <v>13</v>
      </c>
      <c r="B3023">
        <v>3245820</v>
      </c>
      <c r="C3023">
        <v>3246932</v>
      </c>
      <c r="E3023" t="s">
        <v>38</v>
      </c>
      <c r="F3023" t="s">
        <v>8267</v>
      </c>
      <c r="H3023">
        <v>1020985</v>
      </c>
      <c r="I3023" t="s">
        <v>17</v>
      </c>
      <c r="K3023" t="s">
        <v>8268</v>
      </c>
      <c r="L3023">
        <v>370</v>
      </c>
      <c r="M3023" t="s">
        <v>8269</v>
      </c>
    </row>
    <row r="3024" spans="1:13" x14ac:dyDescent="0.35">
      <c r="A3024" t="s">
        <v>13</v>
      </c>
      <c r="B3024">
        <v>3247235</v>
      </c>
      <c r="C3024">
        <v>3248209</v>
      </c>
      <c r="E3024" t="s">
        <v>14</v>
      </c>
      <c r="F3024" t="s">
        <v>3573</v>
      </c>
      <c r="H3024">
        <v>1020986</v>
      </c>
      <c r="I3024" t="s">
        <v>17</v>
      </c>
      <c r="K3024" t="s">
        <v>8270</v>
      </c>
      <c r="L3024">
        <v>324</v>
      </c>
      <c r="M3024" t="s">
        <v>8271</v>
      </c>
    </row>
    <row r="3025" spans="1:13" x14ac:dyDescent="0.35">
      <c r="A3025" t="s">
        <v>13</v>
      </c>
      <c r="B3025">
        <v>3248393</v>
      </c>
      <c r="C3025">
        <v>3249169</v>
      </c>
      <c r="E3025" t="s">
        <v>14</v>
      </c>
      <c r="F3025" t="s">
        <v>8272</v>
      </c>
      <c r="H3025">
        <v>1020987</v>
      </c>
      <c r="I3025" t="s">
        <v>17</v>
      </c>
      <c r="K3025" t="s">
        <v>8273</v>
      </c>
      <c r="L3025">
        <v>258</v>
      </c>
      <c r="M3025" t="s">
        <v>8274</v>
      </c>
    </row>
    <row r="3026" spans="1:13" x14ac:dyDescent="0.35">
      <c r="A3026" t="s">
        <v>13</v>
      </c>
      <c r="B3026">
        <v>3249185</v>
      </c>
      <c r="C3026">
        <v>3249523</v>
      </c>
      <c r="E3026" t="s">
        <v>38</v>
      </c>
      <c r="F3026" t="s">
        <v>801</v>
      </c>
      <c r="H3026">
        <v>1020988</v>
      </c>
      <c r="I3026" t="s">
        <v>17</v>
      </c>
      <c r="K3026" t="s">
        <v>8275</v>
      </c>
      <c r="L3026">
        <v>112</v>
      </c>
      <c r="M3026" t="s">
        <v>8276</v>
      </c>
    </row>
    <row r="3027" spans="1:13" x14ac:dyDescent="0.35">
      <c r="A3027" t="s">
        <v>13</v>
      </c>
      <c r="B3027">
        <v>3249625</v>
      </c>
      <c r="C3027">
        <v>3250746</v>
      </c>
      <c r="E3027" t="s">
        <v>14</v>
      </c>
      <c r="F3027" t="s">
        <v>8267</v>
      </c>
      <c r="H3027">
        <v>1020989</v>
      </c>
      <c r="I3027" t="s">
        <v>17</v>
      </c>
      <c r="K3027" t="s">
        <v>8277</v>
      </c>
      <c r="L3027">
        <v>373</v>
      </c>
      <c r="M3027" t="s">
        <v>8278</v>
      </c>
    </row>
    <row r="3028" spans="1:13" x14ac:dyDescent="0.35">
      <c r="A3028" t="s">
        <v>13</v>
      </c>
      <c r="B3028">
        <v>3250759</v>
      </c>
      <c r="C3028">
        <v>3251409</v>
      </c>
      <c r="E3028" t="s">
        <v>14</v>
      </c>
      <c r="F3028" t="s">
        <v>4349</v>
      </c>
      <c r="H3028">
        <v>1020990</v>
      </c>
      <c r="I3028" t="s">
        <v>17</v>
      </c>
      <c r="K3028" t="s">
        <v>8279</v>
      </c>
      <c r="L3028">
        <v>216</v>
      </c>
      <c r="M3028" t="s">
        <v>8280</v>
      </c>
    </row>
    <row r="3029" spans="1:13" x14ac:dyDescent="0.35">
      <c r="A3029" t="s">
        <v>13</v>
      </c>
      <c r="B3029">
        <v>3251464</v>
      </c>
      <c r="C3029">
        <v>3251619</v>
      </c>
      <c r="E3029" t="s">
        <v>38</v>
      </c>
      <c r="F3029" t="s">
        <v>8281</v>
      </c>
      <c r="G3029" t="s">
        <v>8282</v>
      </c>
      <c r="H3029">
        <v>44156743</v>
      </c>
      <c r="I3029" t="s">
        <v>17</v>
      </c>
      <c r="K3029" t="s">
        <v>8283</v>
      </c>
      <c r="L3029">
        <v>51</v>
      </c>
      <c r="M3029" t="s">
        <v>8284</v>
      </c>
    </row>
    <row r="3030" spans="1:13" x14ac:dyDescent="0.35">
      <c r="A3030" t="s">
        <v>13</v>
      </c>
      <c r="B3030">
        <v>3251741</v>
      </c>
      <c r="C3030">
        <v>3251899</v>
      </c>
      <c r="E3030" t="s">
        <v>38</v>
      </c>
      <c r="F3030" t="s">
        <v>8285</v>
      </c>
      <c r="G3030" t="s">
        <v>8286</v>
      </c>
      <c r="H3030">
        <v>44156744</v>
      </c>
      <c r="I3030" t="s">
        <v>17</v>
      </c>
      <c r="K3030" t="s">
        <v>8287</v>
      </c>
      <c r="L3030">
        <v>52</v>
      </c>
      <c r="M3030" t="s">
        <v>8288</v>
      </c>
    </row>
    <row r="3031" spans="1:13" x14ac:dyDescent="0.35">
      <c r="A3031" t="s">
        <v>13</v>
      </c>
      <c r="B3031">
        <v>3252131</v>
      </c>
      <c r="C3031">
        <v>3252301</v>
      </c>
      <c r="E3031" t="s">
        <v>38</v>
      </c>
      <c r="F3031" t="s">
        <v>8289</v>
      </c>
      <c r="G3031" t="s">
        <v>8290</v>
      </c>
      <c r="H3031">
        <v>44156745</v>
      </c>
      <c r="I3031" t="s">
        <v>17</v>
      </c>
      <c r="K3031" t="s">
        <v>8291</v>
      </c>
      <c r="L3031">
        <v>56</v>
      </c>
      <c r="M3031" t="s">
        <v>8292</v>
      </c>
    </row>
    <row r="3032" spans="1:13" x14ac:dyDescent="0.35">
      <c r="A3032" t="s">
        <v>13</v>
      </c>
      <c r="B3032">
        <v>3252729</v>
      </c>
      <c r="C3032">
        <v>3253484</v>
      </c>
      <c r="E3032" t="s">
        <v>14</v>
      </c>
      <c r="F3032" t="s">
        <v>1841</v>
      </c>
      <c r="H3032">
        <v>1020994</v>
      </c>
      <c r="I3032" t="s">
        <v>17</v>
      </c>
      <c r="K3032" t="s">
        <v>8293</v>
      </c>
      <c r="L3032">
        <v>251</v>
      </c>
      <c r="M3032" t="s">
        <v>8294</v>
      </c>
    </row>
    <row r="3033" spans="1:13" x14ac:dyDescent="0.35">
      <c r="A3033" t="s">
        <v>13</v>
      </c>
      <c r="B3033">
        <v>3253561</v>
      </c>
      <c r="C3033">
        <v>3253743</v>
      </c>
      <c r="E3033" t="s">
        <v>14</v>
      </c>
      <c r="F3033" t="s">
        <v>4201</v>
      </c>
      <c r="G3033" t="s">
        <v>4202</v>
      </c>
      <c r="H3033">
        <v>1020996</v>
      </c>
      <c r="I3033" t="s">
        <v>17</v>
      </c>
      <c r="K3033" t="s">
        <v>8295</v>
      </c>
      <c r="L3033">
        <v>60</v>
      </c>
      <c r="M3033" t="s">
        <v>8296</v>
      </c>
    </row>
    <row r="3034" spans="1:13" x14ac:dyDescent="0.35">
      <c r="A3034" t="s">
        <v>13</v>
      </c>
      <c r="B3034">
        <v>3253822</v>
      </c>
      <c r="C3034">
        <v>3255348</v>
      </c>
      <c r="E3034" t="s">
        <v>38</v>
      </c>
      <c r="F3034" t="s">
        <v>7170</v>
      </c>
      <c r="H3034">
        <v>1020997</v>
      </c>
      <c r="I3034" t="s">
        <v>17</v>
      </c>
      <c r="K3034" t="s">
        <v>8297</v>
      </c>
      <c r="L3034">
        <v>508</v>
      </c>
      <c r="M3034" t="s">
        <v>8298</v>
      </c>
    </row>
    <row r="3035" spans="1:13" x14ac:dyDescent="0.35">
      <c r="A3035" t="s">
        <v>13</v>
      </c>
      <c r="B3035">
        <v>3255742</v>
      </c>
      <c r="C3035">
        <v>3256299</v>
      </c>
      <c r="E3035" t="s">
        <v>38</v>
      </c>
      <c r="F3035" t="s">
        <v>1126</v>
      </c>
      <c r="H3035">
        <v>1020998</v>
      </c>
      <c r="I3035" t="s">
        <v>17</v>
      </c>
      <c r="K3035" t="s">
        <v>8299</v>
      </c>
      <c r="L3035">
        <v>185</v>
      </c>
      <c r="M3035" t="s">
        <v>8300</v>
      </c>
    </row>
    <row r="3036" spans="1:13" x14ac:dyDescent="0.35">
      <c r="A3036" t="s">
        <v>13</v>
      </c>
      <c r="B3036">
        <v>3256469</v>
      </c>
      <c r="C3036">
        <v>3257374</v>
      </c>
      <c r="E3036" t="s">
        <v>38</v>
      </c>
      <c r="F3036" t="s">
        <v>8301</v>
      </c>
      <c r="H3036">
        <v>1020999</v>
      </c>
      <c r="I3036" t="s">
        <v>17</v>
      </c>
      <c r="K3036" t="s">
        <v>8302</v>
      </c>
      <c r="L3036">
        <v>301</v>
      </c>
      <c r="M3036" t="s">
        <v>8303</v>
      </c>
    </row>
    <row r="3037" spans="1:13" x14ac:dyDescent="0.35">
      <c r="A3037" t="s">
        <v>13</v>
      </c>
      <c r="B3037">
        <v>3257401</v>
      </c>
      <c r="C3037">
        <v>3258492</v>
      </c>
      <c r="E3037" t="s">
        <v>38</v>
      </c>
      <c r="F3037" t="s">
        <v>3300</v>
      </c>
      <c r="H3037">
        <v>1021000</v>
      </c>
      <c r="I3037" t="s">
        <v>17</v>
      </c>
      <c r="K3037" t="s">
        <v>8304</v>
      </c>
      <c r="L3037">
        <v>363</v>
      </c>
      <c r="M3037" t="s">
        <v>8305</v>
      </c>
    </row>
    <row r="3038" spans="1:13" x14ac:dyDescent="0.35">
      <c r="A3038" t="s">
        <v>13</v>
      </c>
      <c r="B3038">
        <v>3258559</v>
      </c>
      <c r="C3038">
        <v>3260085</v>
      </c>
      <c r="E3038" t="s">
        <v>38</v>
      </c>
      <c r="F3038" t="s">
        <v>556</v>
      </c>
      <c r="H3038">
        <v>1021001</v>
      </c>
      <c r="I3038" t="s">
        <v>17</v>
      </c>
      <c r="K3038" t="s">
        <v>8306</v>
      </c>
      <c r="L3038">
        <v>508</v>
      </c>
      <c r="M3038" t="s">
        <v>8307</v>
      </c>
    </row>
    <row r="3039" spans="1:13" x14ac:dyDescent="0.35">
      <c r="A3039" t="s">
        <v>13</v>
      </c>
      <c r="B3039">
        <v>3260509</v>
      </c>
      <c r="C3039">
        <v>3261993</v>
      </c>
      <c r="E3039" t="s">
        <v>14</v>
      </c>
      <c r="F3039" t="s">
        <v>1618</v>
      </c>
      <c r="H3039">
        <v>1021002</v>
      </c>
      <c r="I3039" t="s">
        <v>17</v>
      </c>
      <c r="K3039" t="s">
        <v>8308</v>
      </c>
      <c r="L3039">
        <v>494</v>
      </c>
      <c r="M3039" t="s">
        <v>8309</v>
      </c>
    </row>
    <row r="3040" spans="1:13" x14ac:dyDescent="0.35">
      <c r="A3040" t="s">
        <v>13</v>
      </c>
      <c r="B3040">
        <v>3262146</v>
      </c>
      <c r="C3040">
        <v>3263225</v>
      </c>
      <c r="E3040" t="s">
        <v>14</v>
      </c>
      <c r="F3040" t="s">
        <v>517</v>
      </c>
      <c r="H3040">
        <v>1021003</v>
      </c>
      <c r="I3040" t="s">
        <v>17</v>
      </c>
      <c r="K3040" t="s">
        <v>8310</v>
      </c>
      <c r="L3040">
        <v>359</v>
      </c>
      <c r="M3040" t="s">
        <v>8311</v>
      </c>
    </row>
    <row r="3041" spans="1:13" x14ac:dyDescent="0.35">
      <c r="A3041" t="s">
        <v>13</v>
      </c>
      <c r="B3041">
        <v>3263238</v>
      </c>
      <c r="C3041">
        <v>3264119</v>
      </c>
      <c r="E3041" t="s">
        <v>14</v>
      </c>
      <c r="F3041" t="s">
        <v>514</v>
      </c>
      <c r="H3041">
        <v>1021004</v>
      </c>
      <c r="I3041" t="s">
        <v>17</v>
      </c>
      <c r="K3041" t="s">
        <v>8312</v>
      </c>
      <c r="L3041">
        <v>293</v>
      </c>
      <c r="M3041" t="s">
        <v>8313</v>
      </c>
    </row>
    <row r="3042" spans="1:13" x14ac:dyDescent="0.35">
      <c r="A3042" t="s">
        <v>13</v>
      </c>
      <c r="B3042">
        <v>3264143</v>
      </c>
      <c r="C3042">
        <v>3265150</v>
      </c>
      <c r="E3042" t="s">
        <v>14</v>
      </c>
      <c r="F3042" t="s">
        <v>8314</v>
      </c>
      <c r="G3042" t="s">
        <v>8315</v>
      </c>
      <c r="H3042">
        <v>1021005</v>
      </c>
      <c r="I3042" t="s">
        <v>17</v>
      </c>
      <c r="K3042" t="s">
        <v>8316</v>
      </c>
      <c r="L3042">
        <v>335</v>
      </c>
      <c r="M3042" t="s">
        <v>8317</v>
      </c>
    </row>
    <row r="3043" spans="1:13" x14ac:dyDescent="0.35">
      <c r="A3043" t="s">
        <v>13</v>
      </c>
      <c r="B3043">
        <v>3265185</v>
      </c>
      <c r="C3043">
        <v>3266270</v>
      </c>
      <c r="E3043" t="s">
        <v>14</v>
      </c>
      <c r="F3043" t="s">
        <v>517</v>
      </c>
      <c r="H3043">
        <v>1021006</v>
      </c>
      <c r="I3043" t="s">
        <v>17</v>
      </c>
      <c r="K3043" t="s">
        <v>8318</v>
      </c>
      <c r="L3043">
        <v>361</v>
      </c>
      <c r="M3043" t="s">
        <v>8319</v>
      </c>
    </row>
    <row r="3044" spans="1:13" x14ac:dyDescent="0.35">
      <c r="A3044" t="s">
        <v>13</v>
      </c>
      <c r="B3044">
        <v>3266712</v>
      </c>
      <c r="C3044">
        <v>3271097</v>
      </c>
      <c r="E3044" t="s">
        <v>14</v>
      </c>
      <c r="F3044" t="s">
        <v>6436</v>
      </c>
      <c r="H3044">
        <v>1021007</v>
      </c>
      <c r="I3044" t="s">
        <v>17</v>
      </c>
      <c r="K3044" t="s">
        <v>8320</v>
      </c>
      <c r="L3044">
        <v>1461</v>
      </c>
      <c r="M3044" t="s">
        <v>8321</v>
      </c>
    </row>
    <row r="3045" spans="1:13" x14ac:dyDescent="0.35">
      <c r="A3045" t="s">
        <v>13</v>
      </c>
      <c r="B3045">
        <v>3271465</v>
      </c>
      <c r="C3045">
        <v>3272481</v>
      </c>
      <c r="E3045" t="s">
        <v>14</v>
      </c>
      <c r="F3045" t="s">
        <v>49</v>
      </c>
      <c r="H3045">
        <v>1021008</v>
      </c>
      <c r="I3045" t="s">
        <v>17</v>
      </c>
      <c r="K3045" t="s">
        <v>8322</v>
      </c>
      <c r="L3045">
        <v>338</v>
      </c>
      <c r="M3045" t="s">
        <v>8323</v>
      </c>
    </row>
    <row r="3046" spans="1:13" x14ac:dyDescent="0.35">
      <c r="A3046" t="s">
        <v>13</v>
      </c>
      <c r="B3046">
        <v>3272561</v>
      </c>
      <c r="C3046">
        <v>3274075</v>
      </c>
      <c r="E3046" t="s">
        <v>38</v>
      </c>
      <c r="F3046" t="s">
        <v>265</v>
      </c>
      <c r="H3046">
        <v>1021009</v>
      </c>
      <c r="I3046" t="s">
        <v>17</v>
      </c>
      <c r="K3046" t="s">
        <v>8324</v>
      </c>
      <c r="L3046">
        <v>504</v>
      </c>
      <c r="M3046" t="s">
        <v>8325</v>
      </c>
    </row>
    <row r="3047" spans="1:13" x14ac:dyDescent="0.35">
      <c r="A3047" t="s">
        <v>13</v>
      </c>
      <c r="B3047">
        <v>3274486</v>
      </c>
      <c r="C3047">
        <v>3275232</v>
      </c>
      <c r="E3047" t="s">
        <v>38</v>
      </c>
      <c r="F3047" t="s">
        <v>8326</v>
      </c>
      <c r="H3047">
        <v>1021010</v>
      </c>
      <c r="I3047" t="s">
        <v>17</v>
      </c>
      <c r="K3047" t="s">
        <v>8327</v>
      </c>
      <c r="L3047">
        <v>248</v>
      </c>
      <c r="M3047" t="s">
        <v>8328</v>
      </c>
    </row>
    <row r="3048" spans="1:13" x14ac:dyDescent="0.35">
      <c r="A3048" t="s">
        <v>13</v>
      </c>
      <c r="B3048">
        <v>3275600</v>
      </c>
      <c r="C3048">
        <v>3276571</v>
      </c>
      <c r="E3048" t="s">
        <v>38</v>
      </c>
      <c r="F3048" t="s">
        <v>3896</v>
      </c>
      <c r="H3048">
        <v>1021011</v>
      </c>
      <c r="I3048" t="s">
        <v>17</v>
      </c>
      <c r="K3048" t="s">
        <v>8329</v>
      </c>
      <c r="L3048">
        <v>323</v>
      </c>
      <c r="M3048" t="s">
        <v>8330</v>
      </c>
    </row>
    <row r="3049" spans="1:13" x14ac:dyDescent="0.35">
      <c r="A3049" t="s">
        <v>13</v>
      </c>
      <c r="B3049">
        <v>3276669</v>
      </c>
      <c r="C3049">
        <v>3281600</v>
      </c>
      <c r="E3049" t="s">
        <v>38</v>
      </c>
      <c r="F3049" t="s">
        <v>930</v>
      </c>
      <c r="H3049">
        <v>1021012</v>
      </c>
      <c r="I3049" t="s">
        <v>17</v>
      </c>
      <c r="K3049" t="s">
        <v>8331</v>
      </c>
      <c r="L3049">
        <v>1643</v>
      </c>
      <c r="M3049" t="s">
        <v>8332</v>
      </c>
    </row>
    <row r="3050" spans="1:13" x14ac:dyDescent="0.35">
      <c r="A3050" t="s">
        <v>13</v>
      </c>
      <c r="B3050">
        <v>3281664</v>
      </c>
      <c r="C3050">
        <v>3282173</v>
      </c>
      <c r="E3050" t="s">
        <v>38</v>
      </c>
      <c r="F3050" t="s">
        <v>8333</v>
      </c>
      <c r="H3050">
        <v>1021013</v>
      </c>
      <c r="I3050" t="s">
        <v>17</v>
      </c>
      <c r="K3050" t="s">
        <v>8334</v>
      </c>
      <c r="L3050">
        <v>169</v>
      </c>
      <c r="M3050" t="s">
        <v>8335</v>
      </c>
    </row>
    <row r="3051" spans="1:13" x14ac:dyDescent="0.35">
      <c r="A3051" t="s">
        <v>13</v>
      </c>
      <c r="B3051">
        <v>3282345</v>
      </c>
      <c r="C3051">
        <v>3282761</v>
      </c>
      <c r="E3051" t="s">
        <v>38</v>
      </c>
      <c r="F3051" t="s">
        <v>141</v>
      </c>
      <c r="H3051">
        <v>1021014</v>
      </c>
      <c r="I3051" t="s">
        <v>142</v>
      </c>
      <c r="M3051" t="s">
        <v>8336</v>
      </c>
    </row>
    <row r="3052" spans="1:13" x14ac:dyDescent="0.35">
      <c r="A3052" t="s">
        <v>13</v>
      </c>
      <c r="B3052">
        <v>3282782</v>
      </c>
      <c r="C3052">
        <v>3283105</v>
      </c>
      <c r="E3052" t="s">
        <v>14</v>
      </c>
      <c r="F3052" t="s">
        <v>471</v>
      </c>
      <c r="H3052">
        <v>92792321</v>
      </c>
      <c r="I3052" t="s">
        <v>17</v>
      </c>
      <c r="K3052" t="s">
        <v>8337</v>
      </c>
      <c r="L3052">
        <v>107</v>
      </c>
      <c r="M3052" t="s">
        <v>8338</v>
      </c>
    </row>
    <row r="3053" spans="1:13" x14ac:dyDescent="0.35">
      <c r="A3053" t="s">
        <v>13</v>
      </c>
      <c r="B3053">
        <v>3283181</v>
      </c>
      <c r="C3053">
        <v>3283387</v>
      </c>
      <c r="E3053" t="s">
        <v>14</v>
      </c>
      <c r="F3053" t="s">
        <v>3340</v>
      </c>
      <c r="H3053">
        <v>1021016</v>
      </c>
      <c r="I3053" t="s">
        <v>17</v>
      </c>
      <c r="K3053" t="s">
        <v>8339</v>
      </c>
      <c r="L3053">
        <v>68</v>
      </c>
      <c r="M3053" t="s">
        <v>8340</v>
      </c>
    </row>
    <row r="3054" spans="1:13" x14ac:dyDescent="0.35">
      <c r="A3054" t="s">
        <v>13</v>
      </c>
      <c r="B3054">
        <v>3283471</v>
      </c>
      <c r="C3054">
        <v>3284283</v>
      </c>
      <c r="E3054" t="s">
        <v>38</v>
      </c>
      <c r="F3054" t="s">
        <v>265</v>
      </c>
      <c r="H3054">
        <v>1021017</v>
      </c>
      <c r="I3054" t="s">
        <v>17</v>
      </c>
      <c r="K3054" t="s">
        <v>8341</v>
      </c>
      <c r="L3054">
        <v>270</v>
      </c>
      <c r="M3054" t="s">
        <v>8342</v>
      </c>
    </row>
    <row r="3055" spans="1:13" x14ac:dyDescent="0.35">
      <c r="A3055" t="s">
        <v>13</v>
      </c>
      <c r="B3055">
        <v>3284397</v>
      </c>
      <c r="C3055">
        <v>3285425</v>
      </c>
      <c r="E3055" t="s">
        <v>38</v>
      </c>
      <c r="F3055" t="s">
        <v>1008</v>
      </c>
      <c r="H3055">
        <v>1021018</v>
      </c>
      <c r="I3055" t="s">
        <v>17</v>
      </c>
      <c r="K3055" t="s">
        <v>8343</v>
      </c>
      <c r="L3055">
        <v>342</v>
      </c>
      <c r="M3055" t="s">
        <v>8344</v>
      </c>
    </row>
    <row r="3056" spans="1:13" x14ac:dyDescent="0.35">
      <c r="A3056" t="s">
        <v>13</v>
      </c>
      <c r="B3056">
        <v>3285603</v>
      </c>
      <c r="C3056">
        <v>3286580</v>
      </c>
      <c r="E3056" t="s">
        <v>14</v>
      </c>
      <c r="F3056" t="s">
        <v>8345</v>
      </c>
      <c r="H3056">
        <v>1021019</v>
      </c>
      <c r="I3056" t="s">
        <v>17</v>
      </c>
      <c r="K3056" t="s">
        <v>8346</v>
      </c>
      <c r="L3056">
        <v>325</v>
      </c>
      <c r="M3056" t="s">
        <v>8347</v>
      </c>
    </row>
    <row r="3057" spans="1:13" x14ac:dyDescent="0.35">
      <c r="A3057" t="s">
        <v>13</v>
      </c>
      <c r="B3057">
        <v>3286623</v>
      </c>
      <c r="C3057">
        <v>3287009</v>
      </c>
      <c r="E3057" t="s">
        <v>14</v>
      </c>
      <c r="F3057" t="s">
        <v>8348</v>
      </c>
      <c r="H3057">
        <v>1021020</v>
      </c>
      <c r="I3057" t="s">
        <v>17</v>
      </c>
      <c r="K3057" t="s">
        <v>8349</v>
      </c>
      <c r="L3057">
        <v>128</v>
      </c>
      <c r="M3057" t="s">
        <v>8350</v>
      </c>
    </row>
    <row r="3058" spans="1:13" x14ac:dyDescent="0.35">
      <c r="A3058" t="s">
        <v>13</v>
      </c>
      <c r="B3058">
        <v>3287077</v>
      </c>
      <c r="C3058">
        <v>3287283</v>
      </c>
      <c r="E3058" t="s">
        <v>38</v>
      </c>
      <c r="F3058" t="s">
        <v>49</v>
      </c>
      <c r="H3058">
        <v>44145022</v>
      </c>
      <c r="I3058" t="s">
        <v>17</v>
      </c>
      <c r="K3058" t="s">
        <v>8351</v>
      </c>
      <c r="L3058">
        <v>68</v>
      </c>
      <c r="M3058" t="s">
        <v>8352</v>
      </c>
    </row>
    <row r="3059" spans="1:13" x14ac:dyDescent="0.35">
      <c r="A3059" t="s">
        <v>13</v>
      </c>
      <c r="B3059">
        <v>3287391</v>
      </c>
      <c r="C3059">
        <v>3288191</v>
      </c>
      <c r="E3059" t="s">
        <v>38</v>
      </c>
      <c r="F3059" t="s">
        <v>4126</v>
      </c>
      <c r="G3059" t="s">
        <v>8353</v>
      </c>
      <c r="H3059">
        <v>1021021</v>
      </c>
      <c r="I3059" t="s">
        <v>17</v>
      </c>
      <c r="K3059" t="s">
        <v>8354</v>
      </c>
      <c r="L3059">
        <v>266</v>
      </c>
      <c r="M3059" t="s">
        <v>8355</v>
      </c>
    </row>
    <row r="3060" spans="1:13" x14ac:dyDescent="0.35">
      <c r="A3060" t="s">
        <v>13</v>
      </c>
      <c r="B3060">
        <v>3288266</v>
      </c>
      <c r="C3060">
        <v>3288613</v>
      </c>
      <c r="E3060" t="s">
        <v>14</v>
      </c>
      <c r="F3060" t="s">
        <v>49</v>
      </c>
      <c r="H3060">
        <v>1021022</v>
      </c>
      <c r="I3060" t="s">
        <v>17</v>
      </c>
      <c r="K3060" t="s">
        <v>8356</v>
      </c>
      <c r="L3060">
        <v>115</v>
      </c>
      <c r="M3060" t="s">
        <v>8357</v>
      </c>
    </row>
    <row r="3061" spans="1:13" x14ac:dyDescent="0.35">
      <c r="A3061" t="s">
        <v>13</v>
      </c>
      <c r="B3061">
        <v>3288686</v>
      </c>
      <c r="C3061">
        <v>3288889</v>
      </c>
      <c r="E3061" t="s">
        <v>14</v>
      </c>
      <c r="F3061" t="s">
        <v>3340</v>
      </c>
      <c r="H3061">
        <v>1021023</v>
      </c>
      <c r="I3061" t="s">
        <v>17</v>
      </c>
      <c r="K3061" t="s">
        <v>8358</v>
      </c>
      <c r="L3061">
        <v>67</v>
      </c>
      <c r="M3061" t="s">
        <v>8359</v>
      </c>
    </row>
    <row r="3062" spans="1:13" x14ac:dyDescent="0.35">
      <c r="A3062" t="s">
        <v>13</v>
      </c>
      <c r="B3062">
        <v>3288969</v>
      </c>
      <c r="C3062">
        <v>3289316</v>
      </c>
      <c r="E3062" t="s">
        <v>38</v>
      </c>
      <c r="F3062" t="s">
        <v>8360</v>
      </c>
      <c r="H3062">
        <v>1021024</v>
      </c>
      <c r="I3062" t="s">
        <v>17</v>
      </c>
      <c r="K3062" t="s">
        <v>8361</v>
      </c>
      <c r="L3062">
        <v>115</v>
      </c>
      <c r="M3062" t="s">
        <v>8362</v>
      </c>
    </row>
    <row r="3063" spans="1:13" x14ac:dyDescent="0.35">
      <c r="A3063" t="s">
        <v>13</v>
      </c>
      <c r="B3063">
        <v>3289309</v>
      </c>
      <c r="C3063">
        <v>3290022</v>
      </c>
      <c r="E3063" t="s">
        <v>38</v>
      </c>
      <c r="F3063" t="s">
        <v>8363</v>
      </c>
      <c r="H3063">
        <v>1021026</v>
      </c>
      <c r="I3063" t="s">
        <v>17</v>
      </c>
      <c r="K3063" t="s">
        <v>8364</v>
      </c>
      <c r="L3063">
        <v>237</v>
      </c>
      <c r="M3063" t="s">
        <v>8365</v>
      </c>
    </row>
    <row r="3064" spans="1:13" x14ac:dyDescent="0.35">
      <c r="A3064" t="s">
        <v>13</v>
      </c>
      <c r="B3064">
        <v>3290023</v>
      </c>
      <c r="C3064">
        <v>3290628</v>
      </c>
      <c r="E3064" t="s">
        <v>38</v>
      </c>
      <c r="F3064" t="s">
        <v>8366</v>
      </c>
      <c r="H3064">
        <v>1021027</v>
      </c>
      <c r="I3064" t="s">
        <v>17</v>
      </c>
      <c r="K3064" t="s">
        <v>8367</v>
      </c>
      <c r="L3064">
        <v>201</v>
      </c>
      <c r="M3064" t="s">
        <v>8368</v>
      </c>
    </row>
    <row r="3065" spans="1:13" x14ac:dyDescent="0.35">
      <c r="A3065" t="s">
        <v>13</v>
      </c>
      <c r="B3065">
        <v>3290621</v>
      </c>
      <c r="C3065">
        <v>3292105</v>
      </c>
      <c r="E3065" t="s">
        <v>38</v>
      </c>
      <c r="F3065" t="s">
        <v>8369</v>
      </c>
      <c r="H3065">
        <v>1021029</v>
      </c>
      <c r="I3065" t="s">
        <v>17</v>
      </c>
      <c r="K3065" t="s">
        <v>8370</v>
      </c>
      <c r="L3065">
        <v>494</v>
      </c>
      <c r="M3065" t="s">
        <v>8371</v>
      </c>
    </row>
    <row r="3066" spans="1:13" x14ac:dyDescent="0.35">
      <c r="A3066" t="s">
        <v>13</v>
      </c>
      <c r="B3066">
        <v>3292533</v>
      </c>
      <c r="C3066">
        <v>3293501</v>
      </c>
      <c r="E3066" t="s">
        <v>14</v>
      </c>
      <c r="F3066" t="s">
        <v>898</v>
      </c>
      <c r="H3066">
        <v>92792281</v>
      </c>
      <c r="I3066" t="s">
        <v>17</v>
      </c>
      <c r="K3066" t="s">
        <v>8372</v>
      </c>
      <c r="L3066">
        <v>322</v>
      </c>
      <c r="M3066" t="s">
        <v>8373</v>
      </c>
    </row>
    <row r="3067" spans="1:13" x14ac:dyDescent="0.35">
      <c r="A3067" t="s">
        <v>13</v>
      </c>
      <c r="B3067">
        <v>3293498</v>
      </c>
      <c r="C3067">
        <v>3296011</v>
      </c>
      <c r="E3067" t="s">
        <v>14</v>
      </c>
      <c r="F3067" t="s">
        <v>49</v>
      </c>
      <c r="H3067">
        <v>1021031</v>
      </c>
      <c r="I3067" t="s">
        <v>17</v>
      </c>
      <c r="K3067" t="s">
        <v>8374</v>
      </c>
      <c r="L3067">
        <v>837</v>
      </c>
      <c r="M3067" t="s">
        <v>8375</v>
      </c>
    </row>
    <row r="3068" spans="1:13" x14ac:dyDescent="0.35">
      <c r="A3068" t="s">
        <v>13</v>
      </c>
      <c r="B3068">
        <v>3296064</v>
      </c>
      <c r="C3068">
        <v>3299408</v>
      </c>
      <c r="E3068" t="s">
        <v>14</v>
      </c>
      <c r="F3068" t="s">
        <v>8376</v>
      </c>
      <c r="H3068">
        <v>1021032</v>
      </c>
      <c r="I3068" t="s">
        <v>17</v>
      </c>
      <c r="K3068" t="s">
        <v>8377</v>
      </c>
      <c r="L3068">
        <v>1114</v>
      </c>
      <c r="M3068" t="s">
        <v>8378</v>
      </c>
    </row>
    <row r="3069" spans="1:13" x14ac:dyDescent="0.35">
      <c r="A3069" t="s">
        <v>13</v>
      </c>
      <c r="B3069">
        <v>3299593</v>
      </c>
      <c r="C3069">
        <v>3300267</v>
      </c>
      <c r="E3069" t="s">
        <v>14</v>
      </c>
      <c r="F3069" t="s">
        <v>1762</v>
      </c>
      <c r="H3069">
        <v>1021033</v>
      </c>
      <c r="I3069" t="s">
        <v>17</v>
      </c>
      <c r="K3069" t="s">
        <v>8379</v>
      </c>
      <c r="L3069">
        <v>224</v>
      </c>
      <c r="M3069" t="s">
        <v>8380</v>
      </c>
    </row>
    <row r="3070" spans="1:13" x14ac:dyDescent="0.35">
      <c r="A3070" t="s">
        <v>13</v>
      </c>
      <c r="B3070">
        <v>3300372</v>
      </c>
      <c r="C3070">
        <v>3301325</v>
      </c>
      <c r="E3070" t="s">
        <v>14</v>
      </c>
      <c r="F3070" t="s">
        <v>8381</v>
      </c>
      <c r="G3070" t="s">
        <v>8382</v>
      </c>
      <c r="H3070">
        <v>1021034</v>
      </c>
      <c r="I3070" t="s">
        <v>17</v>
      </c>
      <c r="K3070" t="s">
        <v>8383</v>
      </c>
      <c r="L3070">
        <v>317</v>
      </c>
      <c r="M3070" t="s">
        <v>8384</v>
      </c>
    </row>
    <row r="3071" spans="1:13" x14ac:dyDescent="0.35">
      <c r="A3071" t="s">
        <v>13</v>
      </c>
      <c r="B3071">
        <v>3301410</v>
      </c>
      <c r="C3071">
        <v>3301733</v>
      </c>
      <c r="E3071" t="s">
        <v>14</v>
      </c>
      <c r="F3071" t="s">
        <v>2000</v>
      </c>
      <c r="G3071" t="s">
        <v>8090</v>
      </c>
      <c r="H3071">
        <v>1021035</v>
      </c>
      <c r="I3071" t="s">
        <v>17</v>
      </c>
      <c r="K3071" t="s">
        <v>8385</v>
      </c>
      <c r="L3071">
        <v>107</v>
      </c>
      <c r="M3071" t="s">
        <v>8386</v>
      </c>
    </row>
    <row r="3072" spans="1:13" x14ac:dyDescent="0.35">
      <c r="A3072" t="s">
        <v>13</v>
      </c>
      <c r="B3072">
        <v>3301810</v>
      </c>
      <c r="C3072">
        <v>3303000</v>
      </c>
      <c r="E3072" t="s">
        <v>14</v>
      </c>
      <c r="F3072" t="s">
        <v>8387</v>
      </c>
      <c r="H3072">
        <v>1021036</v>
      </c>
      <c r="I3072" t="s">
        <v>17</v>
      </c>
      <c r="K3072" t="s">
        <v>8388</v>
      </c>
      <c r="L3072">
        <v>396</v>
      </c>
      <c r="M3072" t="s">
        <v>8389</v>
      </c>
    </row>
    <row r="3073" spans="1:13" x14ac:dyDescent="0.35">
      <c r="A3073" t="s">
        <v>13</v>
      </c>
      <c r="B3073">
        <v>3302997</v>
      </c>
      <c r="C3073">
        <v>3303617</v>
      </c>
      <c r="E3073" t="s">
        <v>38</v>
      </c>
      <c r="F3073" t="s">
        <v>49</v>
      </c>
      <c r="H3073">
        <v>1021037</v>
      </c>
      <c r="I3073" t="s">
        <v>17</v>
      </c>
      <c r="K3073" t="s">
        <v>8390</v>
      </c>
      <c r="L3073">
        <v>206</v>
      </c>
      <c r="M3073" t="s">
        <v>8391</v>
      </c>
    </row>
    <row r="3074" spans="1:13" x14ac:dyDescent="0.35">
      <c r="A3074" t="s">
        <v>13</v>
      </c>
      <c r="B3074">
        <v>3303634</v>
      </c>
      <c r="C3074">
        <v>3304773</v>
      </c>
      <c r="E3074" t="s">
        <v>38</v>
      </c>
      <c r="F3074" t="s">
        <v>8392</v>
      </c>
      <c r="H3074">
        <v>1021038</v>
      </c>
      <c r="I3074" t="s">
        <v>17</v>
      </c>
      <c r="K3074" t="s">
        <v>8393</v>
      </c>
      <c r="L3074">
        <v>379</v>
      </c>
      <c r="M3074" t="s">
        <v>8394</v>
      </c>
    </row>
    <row r="3075" spans="1:13" x14ac:dyDescent="0.35">
      <c r="A3075" t="s">
        <v>13</v>
      </c>
      <c r="B3075">
        <v>3304833</v>
      </c>
      <c r="C3075">
        <v>3305756</v>
      </c>
      <c r="E3075" t="s">
        <v>38</v>
      </c>
      <c r="F3075" t="s">
        <v>4011</v>
      </c>
      <c r="H3075">
        <v>1021039</v>
      </c>
      <c r="I3075" t="s">
        <v>17</v>
      </c>
      <c r="K3075" t="s">
        <v>8395</v>
      </c>
      <c r="L3075">
        <v>307</v>
      </c>
      <c r="M3075" t="s">
        <v>8396</v>
      </c>
    </row>
    <row r="3076" spans="1:13" x14ac:dyDescent="0.35">
      <c r="A3076" t="s">
        <v>13</v>
      </c>
      <c r="B3076">
        <v>3305862</v>
      </c>
      <c r="C3076">
        <v>3306491</v>
      </c>
      <c r="E3076" t="s">
        <v>38</v>
      </c>
      <c r="F3076" t="s">
        <v>8397</v>
      </c>
      <c r="G3076" t="s">
        <v>8398</v>
      </c>
      <c r="H3076">
        <v>1021040</v>
      </c>
      <c r="I3076" t="s">
        <v>17</v>
      </c>
      <c r="K3076" t="s">
        <v>8399</v>
      </c>
      <c r="L3076">
        <v>209</v>
      </c>
      <c r="M3076" t="s">
        <v>8400</v>
      </c>
    </row>
    <row r="3077" spans="1:13" x14ac:dyDescent="0.35">
      <c r="A3077" t="s">
        <v>13</v>
      </c>
      <c r="B3077">
        <v>3306680</v>
      </c>
      <c r="C3077">
        <v>3307633</v>
      </c>
      <c r="E3077" t="s">
        <v>38</v>
      </c>
      <c r="F3077" t="s">
        <v>7998</v>
      </c>
      <c r="G3077" t="s">
        <v>7999</v>
      </c>
      <c r="H3077">
        <v>1021041</v>
      </c>
      <c r="I3077" t="s">
        <v>17</v>
      </c>
      <c r="K3077" t="s">
        <v>8401</v>
      </c>
      <c r="L3077">
        <v>317</v>
      </c>
      <c r="M3077" t="s">
        <v>8402</v>
      </c>
    </row>
    <row r="3078" spans="1:13" x14ac:dyDescent="0.35">
      <c r="A3078" t="s">
        <v>13</v>
      </c>
      <c r="B3078">
        <v>3307689</v>
      </c>
      <c r="C3078">
        <v>3307988</v>
      </c>
      <c r="E3078" t="s">
        <v>38</v>
      </c>
      <c r="F3078" t="s">
        <v>8403</v>
      </c>
      <c r="G3078" t="s">
        <v>8404</v>
      </c>
      <c r="H3078">
        <v>44145025</v>
      </c>
      <c r="I3078" t="s">
        <v>17</v>
      </c>
      <c r="K3078" t="s">
        <v>8405</v>
      </c>
      <c r="L3078">
        <v>99</v>
      </c>
      <c r="M3078" t="s">
        <v>8406</v>
      </c>
    </row>
    <row r="3079" spans="1:13" x14ac:dyDescent="0.35">
      <c r="A3079" t="s">
        <v>13</v>
      </c>
      <c r="B3079">
        <v>3307969</v>
      </c>
      <c r="C3079">
        <v>3308370</v>
      </c>
      <c r="E3079" t="s">
        <v>38</v>
      </c>
      <c r="F3079" t="s">
        <v>8407</v>
      </c>
      <c r="G3079" t="s">
        <v>8408</v>
      </c>
      <c r="H3079">
        <v>1021042</v>
      </c>
      <c r="I3079" t="s">
        <v>17</v>
      </c>
      <c r="K3079" t="s">
        <v>8409</v>
      </c>
      <c r="L3079">
        <v>133</v>
      </c>
      <c r="M3079" t="s">
        <v>8410</v>
      </c>
    </row>
    <row r="3080" spans="1:13" x14ac:dyDescent="0.35">
      <c r="A3080" t="s">
        <v>13</v>
      </c>
      <c r="B3080">
        <v>3308410</v>
      </c>
      <c r="C3080">
        <v>3308553</v>
      </c>
      <c r="E3080" t="s">
        <v>38</v>
      </c>
      <c r="F3080" t="s">
        <v>8411</v>
      </c>
      <c r="G3080" t="s">
        <v>8412</v>
      </c>
      <c r="H3080">
        <v>1021043</v>
      </c>
      <c r="I3080" t="s">
        <v>17</v>
      </c>
      <c r="K3080" t="s">
        <v>8413</v>
      </c>
      <c r="L3080">
        <v>47</v>
      </c>
      <c r="M3080" t="s">
        <v>8414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66CF-AAC3-4D98-AC76-649FF760EE0C}">
  <dimension ref="A1:H1214"/>
  <sheetViews>
    <sheetView zoomScaleNormal="100" workbookViewId="0">
      <selection activeCell="A534" sqref="A534"/>
    </sheetView>
  </sheetViews>
  <sheetFormatPr defaultRowHeight="14.5" x14ac:dyDescent="0.35"/>
  <cols>
    <col min="1" max="1" width="26.36328125" customWidth="1"/>
    <col min="2" max="2" width="17.08984375" customWidth="1"/>
    <col min="3" max="3" width="16.81640625" customWidth="1"/>
    <col min="4" max="4" width="16.81640625" hidden="1" customWidth="1"/>
    <col min="5" max="5" width="34.54296875" customWidth="1"/>
    <col min="6" max="6" width="33.6328125" customWidth="1"/>
    <col min="7" max="7" width="47.36328125" customWidth="1"/>
    <col min="8" max="8" width="64.08984375" customWidth="1"/>
    <col min="9" max="9" width="38" customWidth="1"/>
  </cols>
  <sheetData>
    <row r="1" spans="1:8" x14ac:dyDescent="0.35">
      <c r="A1" t="s">
        <v>8858</v>
      </c>
      <c r="B1" t="s">
        <v>12</v>
      </c>
      <c r="C1" t="s">
        <v>8859</v>
      </c>
      <c r="D1" t="s">
        <v>8917</v>
      </c>
      <c r="E1" t="s">
        <v>8919</v>
      </c>
      <c r="F1" t="s">
        <v>8918</v>
      </c>
      <c r="G1" t="s">
        <v>8999</v>
      </c>
      <c r="H1" t="s">
        <v>9000</v>
      </c>
    </row>
    <row r="2" spans="1:8" x14ac:dyDescent="0.35">
      <c r="A2" t="s">
        <v>7685</v>
      </c>
      <c r="B2" t="s">
        <v>7686</v>
      </c>
      <c r="C2" t="s">
        <v>8813</v>
      </c>
      <c r="E2" t="s">
        <v>11538</v>
      </c>
      <c r="F2" t="s">
        <v>11539</v>
      </c>
      <c r="G2" t="s">
        <v>11540</v>
      </c>
      <c r="H2" t="s">
        <v>11541</v>
      </c>
    </row>
    <row r="3" spans="1:8" x14ac:dyDescent="0.35">
      <c r="A3" t="s">
        <v>7685</v>
      </c>
      <c r="B3" t="s">
        <v>7686</v>
      </c>
      <c r="C3" t="s">
        <v>8813</v>
      </c>
      <c r="E3" t="s">
        <v>11538</v>
      </c>
      <c r="F3" t="s">
        <v>11542</v>
      </c>
      <c r="G3" t="s">
        <v>8860</v>
      </c>
      <c r="H3" t="s">
        <v>11543</v>
      </c>
    </row>
    <row r="4" spans="1:8" ht="29" x14ac:dyDescent="0.35">
      <c r="A4" t="s">
        <v>7685</v>
      </c>
      <c r="B4" t="s">
        <v>7686</v>
      </c>
      <c r="C4" t="s">
        <v>8813</v>
      </c>
      <c r="E4" t="s">
        <v>11538</v>
      </c>
      <c r="F4" t="s">
        <v>11544</v>
      </c>
      <c r="G4" s="1" t="s">
        <v>11545</v>
      </c>
      <c r="H4" t="s">
        <v>11546</v>
      </c>
    </row>
    <row r="5" spans="1:8" x14ac:dyDescent="0.35">
      <c r="A5" t="s">
        <v>7685</v>
      </c>
      <c r="B5" t="s">
        <v>7686</v>
      </c>
      <c r="C5" t="s">
        <v>8813</v>
      </c>
      <c r="E5" t="s">
        <v>11538</v>
      </c>
      <c r="F5" t="s">
        <v>11547</v>
      </c>
      <c r="G5" t="s">
        <v>8861</v>
      </c>
      <c r="H5" t="s">
        <v>11548</v>
      </c>
    </row>
    <row r="6" spans="1:8" ht="29" x14ac:dyDescent="0.35">
      <c r="A6" t="s">
        <v>7685</v>
      </c>
      <c r="B6" t="s">
        <v>7686</v>
      </c>
      <c r="C6" t="s">
        <v>8813</v>
      </c>
      <c r="E6" t="s">
        <v>11538</v>
      </c>
      <c r="F6" t="s">
        <v>11549</v>
      </c>
      <c r="G6" s="1" t="s">
        <v>11550</v>
      </c>
      <c r="H6" t="s">
        <v>11551</v>
      </c>
    </row>
    <row r="7" spans="1:8" ht="29" x14ac:dyDescent="0.35">
      <c r="A7" t="s">
        <v>7685</v>
      </c>
      <c r="B7" t="s">
        <v>7686</v>
      </c>
      <c r="C7" t="s">
        <v>8813</v>
      </c>
      <c r="E7" t="s">
        <v>11538</v>
      </c>
      <c r="F7" t="s">
        <v>11552</v>
      </c>
      <c r="G7" s="1" t="s">
        <v>11553</v>
      </c>
      <c r="H7" t="s">
        <v>8862</v>
      </c>
    </row>
    <row r="8" spans="1:8" ht="29" x14ac:dyDescent="0.35">
      <c r="A8" t="s">
        <v>7685</v>
      </c>
      <c r="B8" t="s">
        <v>7686</v>
      </c>
      <c r="C8" t="s">
        <v>8813</v>
      </c>
      <c r="E8" t="s">
        <v>11538</v>
      </c>
      <c r="F8" t="s">
        <v>11554</v>
      </c>
      <c r="G8" s="1" t="s">
        <v>11555</v>
      </c>
      <c r="H8" t="s">
        <v>11556</v>
      </c>
    </row>
    <row r="9" spans="1:8" x14ac:dyDescent="0.35">
      <c r="A9" t="s">
        <v>7685</v>
      </c>
      <c r="B9" t="s">
        <v>7686</v>
      </c>
      <c r="C9" t="s">
        <v>8813</v>
      </c>
      <c r="E9" t="s">
        <v>11538</v>
      </c>
      <c r="F9" t="s">
        <v>11557</v>
      </c>
      <c r="G9" s="1" t="s">
        <v>11558</v>
      </c>
      <c r="H9" t="s">
        <v>11559</v>
      </c>
    </row>
    <row r="10" spans="1:8" ht="29" x14ac:dyDescent="0.35">
      <c r="A10" t="s">
        <v>7685</v>
      </c>
      <c r="B10" t="s">
        <v>7686</v>
      </c>
      <c r="C10" t="s">
        <v>8813</v>
      </c>
      <c r="E10" t="s">
        <v>11538</v>
      </c>
      <c r="F10" t="s">
        <v>11560</v>
      </c>
      <c r="G10" s="1" t="s">
        <v>11561</v>
      </c>
      <c r="H10" t="s">
        <v>8863</v>
      </c>
    </row>
    <row r="11" spans="1:8" x14ac:dyDescent="0.35">
      <c r="A11" t="s">
        <v>7685</v>
      </c>
      <c r="B11" t="s">
        <v>7686</v>
      </c>
      <c r="C11" t="s">
        <v>8813</v>
      </c>
      <c r="E11" t="s">
        <v>11538</v>
      </c>
      <c r="F11" t="s">
        <v>11562</v>
      </c>
      <c r="G11" s="1" t="s">
        <v>11563</v>
      </c>
      <c r="H11" t="s">
        <v>11564</v>
      </c>
    </row>
    <row r="12" spans="1:8" ht="29" x14ac:dyDescent="0.35">
      <c r="A12" t="s">
        <v>7685</v>
      </c>
      <c r="B12" t="s">
        <v>7686</v>
      </c>
      <c r="C12" t="s">
        <v>8813</v>
      </c>
      <c r="E12" t="s">
        <v>11538</v>
      </c>
      <c r="F12" t="s">
        <v>11565</v>
      </c>
      <c r="G12" s="1" t="s">
        <v>11566</v>
      </c>
      <c r="H12" t="s">
        <v>11567</v>
      </c>
    </row>
    <row r="13" spans="1:8" ht="29" x14ac:dyDescent="0.35">
      <c r="A13" t="s">
        <v>7685</v>
      </c>
      <c r="B13" t="s">
        <v>7686</v>
      </c>
      <c r="C13" t="s">
        <v>8813</v>
      </c>
      <c r="E13" t="s">
        <v>11538</v>
      </c>
      <c r="F13" t="s">
        <v>11568</v>
      </c>
      <c r="G13" s="1" t="s">
        <v>11569</v>
      </c>
      <c r="H13" t="s">
        <v>11570</v>
      </c>
    </row>
    <row r="14" spans="1:8" x14ac:dyDescent="0.35">
      <c r="A14" t="s">
        <v>7685</v>
      </c>
      <c r="B14" t="s">
        <v>7686</v>
      </c>
      <c r="C14" t="s">
        <v>8813</v>
      </c>
      <c r="E14" t="s">
        <v>11538</v>
      </c>
      <c r="F14" t="s">
        <v>11571</v>
      </c>
      <c r="G14" t="s">
        <v>8864</v>
      </c>
      <c r="H14" t="s">
        <v>11572</v>
      </c>
    </row>
    <row r="15" spans="1:8" ht="29" x14ac:dyDescent="0.35">
      <c r="A15" t="s">
        <v>7685</v>
      </c>
      <c r="B15" t="s">
        <v>7686</v>
      </c>
      <c r="C15" t="s">
        <v>8813</v>
      </c>
      <c r="E15" t="s">
        <v>11538</v>
      </c>
      <c r="F15" t="s">
        <v>11573</v>
      </c>
      <c r="G15" s="1" t="s">
        <v>11574</v>
      </c>
      <c r="H15" t="s">
        <v>11575</v>
      </c>
    </row>
    <row r="16" spans="1:8" ht="29" x14ac:dyDescent="0.35">
      <c r="A16" t="s">
        <v>7685</v>
      </c>
      <c r="B16" t="s">
        <v>7686</v>
      </c>
      <c r="C16" t="s">
        <v>8813</v>
      </c>
      <c r="E16" t="s">
        <v>11538</v>
      </c>
      <c r="F16" s="19" t="s">
        <v>11576</v>
      </c>
      <c r="G16" s="1" t="s">
        <v>11577</v>
      </c>
      <c r="H16" t="s">
        <v>11578</v>
      </c>
    </row>
    <row r="17" spans="1:8" ht="29" x14ac:dyDescent="0.35">
      <c r="A17" t="s">
        <v>7685</v>
      </c>
      <c r="B17" t="s">
        <v>7686</v>
      </c>
      <c r="C17" t="s">
        <v>8813</v>
      </c>
      <c r="E17" t="s">
        <v>11538</v>
      </c>
      <c r="F17" t="s">
        <v>11579</v>
      </c>
      <c r="G17" s="1" t="s">
        <v>11580</v>
      </c>
      <c r="H17" t="s">
        <v>8865</v>
      </c>
    </row>
    <row r="18" spans="1:8" ht="29" x14ac:dyDescent="0.35">
      <c r="A18" t="s">
        <v>7685</v>
      </c>
      <c r="B18" t="s">
        <v>7686</v>
      </c>
      <c r="C18" t="s">
        <v>8813</v>
      </c>
      <c r="E18" t="s">
        <v>11538</v>
      </c>
      <c r="F18" t="s">
        <v>11581</v>
      </c>
      <c r="G18" s="1" t="s">
        <v>11582</v>
      </c>
      <c r="H18" t="s">
        <v>8866</v>
      </c>
    </row>
    <row r="19" spans="1:8" ht="29" x14ac:dyDescent="0.35">
      <c r="A19" t="s">
        <v>7685</v>
      </c>
      <c r="B19" t="s">
        <v>7686</v>
      </c>
      <c r="C19" t="s">
        <v>8813</v>
      </c>
      <c r="E19" t="s">
        <v>11538</v>
      </c>
      <c r="F19" t="s">
        <v>11583</v>
      </c>
      <c r="G19" s="1" t="s">
        <v>11584</v>
      </c>
      <c r="H19" t="s">
        <v>8867</v>
      </c>
    </row>
    <row r="20" spans="1:8" ht="29" x14ac:dyDescent="0.35">
      <c r="A20" t="s">
        <v>7685</v>
      </c>
      <c r="B20" t="s">
        <v>7686</v>
      </c>
      <c r="C20" t="s">
        <v>8813</v>
      </c>
      <c r="E20" t="s">
        <v>11538</v>
      </c>
      <c r="F20" t="s">
        <v>11585</v>
      </c>
      <c r="G20" s="1" t="s">
        <v>11586</v>
      </c>
      <c r="H20" t="s">
        <v>11587</v>
      </c>
    </row>
    <row r="21" spans="1:8" x14ac:dyDescent="0.35">
      <c r="A21" t="s">
        <v>2078</v>
      </c>
      <c r="B21" t="s">
        <v>2079</v>
      </c>
      <c r="C21" t="s">
        <v>8510</v>
      </c>
      <c r="E21" t="s">
        <v>11588</v>
      </c>
      <c r="F21" t="s">
        <v>11589</v>
      </c>
      <c r="G21" s="1" t="s">
        <v>11590</v>
      </c>
      <c r="H21" t="s">
        <v>8868</v>
      </c>
    </row>
    <row r="22" spans="1:8" ht="29" x14ac:dyDescent="0.35">
      <c r="A22" t="s">
        <v>2078</v>
      </c>
      <c r="B22" t="s">
        <v>2079</v>
      </c>
      <c r="C22" t="s">
        <v>8510</v>
      </c>
      <c r="E22" t="s">
        <v>11588</v>
      </c>
      <c r="F22" t="s">
        <v>9386</v>
      </c>
      <c r="G22" s="1" t="s">
        <v>11591</v>
      </c>
      <c r="H22" t="s">
        <v>9387</v>
      </c>
    </row>
    <row r="23" spans="1:8" ht="29" x14ac:dyDescent="0.35">
      <c r="A23" t="s">
        <v>2078</v>
      </c>
      <c r="B23" t="s">
        <v>2079</v>
      </c>
      <c r="C23" t="s">
        <v>8510</v>
      </c>
      <c r="E23" t="s">
        <v>11588</v>
      </c>
      <c r="F23" t="s">
        <v>9388</v>
      </c>
      <c r="G23" s="1" t="s">
        <v>11592</v>
      </c>
      <c r="H23" t="s">
        <v>8870</v>
      </c>
    </row>
    <row r="24" spans="1:8" ht="29" x14ac:dyDescent="0.35">
      <c r="A24" t="s">
        <v>2078</v>
      </c>
      <c r="B24" t="s">
        <v>2079</v>
      </c>
      <c r="C24" t="s">
        <v>8510</v>
      </c>
      <c r="E24" t="s">
        <v>11588</v>
      </c>
      <c r="F24" t="s">
        <v>9393</v>
      </c>
      <c r="G24" s="1" t="s">
        <v>9394</v>
      </c>
      <c r="H24" t="s">
        <v>8871</v>
      </c>
    </row>
    <row r="25" spans="1:8" ht="29" x14ac:dyDescent="0.35">
      <c r="A25" t="s">
        <v>2078</v>
      </c>
      <c r="B25" t="s">
        <v>2079</v>
      </c>
      <c r="C25" t="s">
        <v>8510</v>
      </c>
      <c r="E25" t="s">
        <v>11588</v>
      </c>
      <c r="F25" t="s">
        <v>9399</v>
      </c>
      <c r="G25" s="1" t="s">
        <v>11593</v>
      </c>
      <c r="H25" t="s">
        <v>8873</v>
      </c>
    </row>
    <row r="26" spans="1:8" ht="29" x14ac:dyDescent="0.35">
      <c r="A26" t="s">
        <v>2078</v>
      </c>
      <c r="B26" t="s">
        <v>2079</v>
      </c>
      <c r="C26" t="s">
        <v>8510</v>
      </c>
      <c r="E26" t="s">
        <v>11588</v>
      </c>
      <c r="F26" t="s">
        <v>9403</v>
      </c>
      <c r="G26" s="1" t="s">
        <v>11594</v>
      </c>
      <c r="H26" t="s">
        <v>9405</v>
      </c>
    </row>
    <row r="27" spans="1:8" ht="29" x14ac:dyDescent="0.35">
      <c r="A27" t="s">
        <v>2078</v>
      </c>
      <c r="B27" t="s">
        <v>2079</v>
      </c>
      <c r="C27" t="s">
        <v>8510</v>
      </c>
      <c r="E27" t="s">
        <v>11588</v>
      </c>
      <c r="F27" t="s">
        <v>9418</v>
      </c>
      <c r="G27" s="1" t="s">
        <v>9419</v>
      </c>
      <c r="H27" t="s">
        <v>8874</v>
      </c>
    </row>
    <row r="28" spans="1:8" x14ac:dyDescent="0.35">
      <c r="A28" t="s">
        <v>2078</v>
      </c>
      <c r="B28" t="s">
        <v>2079</v>
      </c>
      <c r="C28" t="s">
        <v>8510</v>
      </c>
      <c r="E28" t="s">
        <v>11588</v>
      </c>
      <c r="F28" t="s">
        <v>9441</v>
      </c>
      <c r="G28" s="1" t="s">
        <v>11595</v>
      </c>
      <c r="H28" t="s">
        <v>8876</v>
      </c>
    </row>
    <row r="29" spans="1:8" x14ac:dyDescent="0.35">
      <c r="A29" t="s">
        <v>2078</v>
      </c>
      <c r="B29" t="s">
        <v>2079</v>
      </c>
      <c r="C29" t="s">
        <v>8510</v>
      </c>
      <c r="E29" t="s">
        <v>11588</v>
      </c>
      <c r="F29" t="s">
        <v>11596</v>
      </c>
      <c r="G29" s="1" t="s">
        <v>11597</v>
      </c>
      <c r="H29" t="s">
        <v>11598</v>
      </c>
    </row>
    <row r="30" spans="1:8" ht="29" x14ac:dyDescent="0.35">
      <c r="A30" t="s">
        <v>2078</v>
      </c>
      <c r="B30" t="s">
        <v>2079</v>
      </c>
      <c r="C30" t="s">
        <v>8510</v>
      </c>
      <c r="E30" t="s">
        <v>11588</v>
      </c>
      <c r="F30" t="s">
        <v>11599</v>
      </c>
      <c r="G30" s="1" t="s">
        <v>11600</v>
      </c>
      <c r="H30" t="s">
        <v>11601</v>
      </c>
    </row>
    <row r="31" spans="1:8" ht="29" x14ac:dyDescent="0.35">
      <c r="A31" t="s">
        <v>2078</v>
      </c>
      <c r="B31" t="s">
        <v>2079</v>
      </c>
      <c r="C31" t="s">
        <v>8510</v>
      </c>
      <c r="E31" t="s">
        <v>11588</v>
      </c>
      <c r="F31" t="s">
        <v>11602</v>
      </c>
      <c r="G31" s="1" t="s">
        <v>11603</v>
      </c>
      <c r="H31" t="s">
        <v>11604</v>
      </c>
    </row>
    <row r="32" spans="1:8" ht="29" x14ac:dyDescent="0.35">
      <c r="A32" t="s">
        <v>3103</v>
      </c>
      <c r="B32" t="s">
        <v>3104</v>
      </c>
      <c r="C32" t="s">
        <v>8556</v>
      </c>
      <c r="E32" t="s">
        <v>11605</v>
      </c>
      <c r="F32" t="s">
        <v>11606</v>
      </c>
      <c r="G32" s="1" t="s">
        <v>11607</v>
      </c>
      <c r="H32" t="s">
        <v>8877</v>
      </c>
    </row>
    <row r="33" spans="1:8" ht="29" x14ac:dyDescent="0.35">
      <c r="A33" t="s">
        <v>8316</v>
      </c>
      <c r="B33" t="s">
        <v>8317</v>
      </c>
      <c r="C33" t="s">
        <v>8853</v>
      </c>
      <c r="E33" t="s">
        <v>11608</v>
      </c>
      <c r="F33" t="s">
        <v>11609</v>
      </c>
      <c r="G33" s="1" t="s">
        <v>11610</v>
      </c>
      <c r="H33" t="s">
        <v>11611</v>
      </c>
    </row>
    <row r="34" spans="1:8" ht="39" customHeight="1" x14ac:dyDescent="0.35">
      <c r="A34" t="s">
        <v>4510</v>
      </c>
      <c r="B34" t="s">
        <v>4511</v>
      </c>
      <c r="C34" t="s">
        <v>8920</v>
      </c>
      <c r="E34" t="s">
        <v>11612</v>
      </c>
      <c r="F34" s="1" t="s">
        <v>11613</v>
      </c>
      <c r="G34" s="1" t="s">
        <v>11614</v>
      </c>
      <c r="H34" t="s">
        <v>11615</v>
      </c>
    </row>
    <row r="35" spans="1:8" ht="39" customHeight="1" x14ac:dyDescent="0.35">
      <c r="A35" t="s">
        <v>4510</v>
      </c>
      <c r="B35" t="s">
        <v>4511</v>
      </c>
      <c r="C35" t="s">
        <v>8921</v>
      </c>
      <c r="E35" t="s">
        <v>11616</v>
      </c>
      <c r="F35" s="1" t="s">
        <v>11617</v>
      </c>
      <c r="G35" s="1" t="s">
        <v>11618</v>
      </c>
      <c r="H35" t="s">
        <v>11619</v>
      </c>
    </row>
    <row r="36" spans="1:8" x14ac:dyDescent="0.35">
      <c r="A36" t="s">
        <v>1772</v>
      </c>
      <c r="B36" t="s">
        <v>1773</v>
      </c>
      <c r="C36" t="s">
        <v>8495</v>
      </c>
      <c r="E36" t="s">
        <v>11620</v>
      </c>
      <c r="F36" t="s">
        <v>11621</v>
      </c>
      <c r="G36" s="1" t="s">
        <v>11622</v>
      </c>
      <c r="H36" t="s">
        <v>11623</v>
      </c>
    </row>
    <row r="37" spans="1:8" x14ac:dyDescent="0.35">
      <c r="A37" t="s">
        <v>1772</v>
      </c>
      <c r="B37" t="s">
        <v>1773</v>
      </c>
      <c r="C37" t="s">
        <v>8495</v>
      </c>
      <c r="E37" t="s">
        <v>11620</v>
      </c>
      <c r="F37" t="s">
        <v>11624</v>
      </c>
      <c r="G37" s="1" t="s">
        <v>11625</v>
      </c>
      <c r="H37" t="s">
        <v>8878</v>
      </c>
    </row>
    <row r="38" spans="1:8" ht="29" x14ac:dyDescent="0.35">
      <c r="A38" t="s">
        <v>5799</v>
      </c>
      <c r="B38" t="s">
        <v>5800</v>
      </c>
      <c r="C38" t="s">
        <v>8717</v>
      </c>
      <c r="E38" t="s">
        <v>11626</v>
      </c>
      <c r="F38" t="s">
        <v>11627</v>
      </c>
      <c r="G38" s="1" t="s">
        <v>13856</v>
      </c>
      <c r="H38" t="s">
        <v>8879</v>
      </c>
    </row>
    <row r="39" spans="1:8" ht="29" x14ac:dyDescent="0.35">
      <c r="A39" t="s">
        <v>5799</v>
      </c>
      <c r="B39" t="s">
        <v>5800</v>
      </c>
      <c r="C39" t="s">
        <v>8717</v>
      </c>
      <c r="E39" t="s">
        <v>11626</v>
      </c>
      <c r="F39" t="s">
        <v>11628</v>
      </c>
      <c r="G39" s="1" t="s">
        <v>11629</v>
      </c>
      <c r="H39" t="s">
        <v>11630</v>
      </c>
    </row>
    <row r="40" spans="1:8" ht="29" x14ac:dyDescent="0.35">
      <c r="A40" t="s">
        <v>5799</v>
      </c>
      <c r="B40" t="s">
        <v>5800</v>
      </c>
      <c r="C40" t="s">
        <v>8717</v>
      </c>
      <c r="E40" t="s">
        <v>11626</v>
      </c>
      <c r="F40" t="s">
        <v>11631</v>
      </c>
      <c r="G40" s="1" t="s">
        <v>11632</v>
      </c>
      <c r="H40" t="s">
        <v>8880</v>
      </c>
    </row>
    <row r="41" spans="1:8" ht="29" x14ac:dyDescent="0.35">
      <c r="A41" t="s">
        <v>4615</v>
      </c>
      <c r="B41" t="s">
        <v>4616</v>
      </c>
      <c r="C41" t="s">
        <v>8660</v>
      </c>
      <c r="E41" t="s">
        <v>11633</v>
      </c>
      <c r="F41" t="s">
        <v>11634</v>
      </c>
      <c r="G41" s="1" t="s">
        <v>11635</v>
      </c>
      <c r="H41" t="s">
        <v>8881</v>
      </c>
    </row>
    <row r="42" spans="1:8" ht="29" x14ac:dyDescent="0.35">
      <c r="A42" t="s">
        <v>4615</v>
      </c>
      <c r="B42" t="s">
        <v>4616</v>
      </c>
      <c r="C42" t="s">
        <v>8660</v>
      </c>
      <c r="E42" t="s">
        <v>11633</v>
      </c>
      <c r="F42" t="s">
        <v>11636</v>
      </c>
      <c r="G42" s="1" t="s">
        <v>11637</v>
      </c>
      <c r="H42" t="s">
        <v>8882</v>
      </c>
    </row>
    <row r="43" spans="1:8" ht="29" x14ac:dyDescent="0.35">
      <c r="A43" t="s">
        <v>5554</v>
      </c>
      <c r="B43" t="s">
        <v>5555</v>
      </c>
      <c r="C43" t="s">
        <v>8696</v>
      </c>
      <c r="E43" t="s">
        <v>11638</v>
      </c>
      <c r="F43" t="s">
        <v>11639</v>
      </c>
      <c r="G43" s="1" t="s">
        <v>11640</v>
      </c>
      <c r="H43" t="s">
        <v>8883</v>
      </c>
    </row>
    <row r="44" spans="1:8" ht="29" x14ac:dyDescent="0.35">
      <c r="A44" t="s">
        <v>7934</v>
      </c>
      <c r="B44" t="s">
        <v>7935</v>
      </c>
      <c r="C44" t="s">
        <v>8838</v>
      </c>
      <c r="E44" t="s">
        <v>11641</v>
      </c>
      <c r="F44" t="s">
        <v>11642</v>
      </c>
      <c r="G44" s="1" t="s">
        <v>11643</v>
      </c>
      <c r="H44" t="s">
        <v>8884</v>
      </c>
    </row>
    <row r="45" spans="1:8" ht="29" x14ac:dyDescent="0.35">
      <c r="A45" t="s">
        <v>7934</v>
      </c>
      <c r="B45" t="s">
        <v>7935</v>
      </c>
      <c r="C45" t="s">
        <v>8838</v>
      </c>
      <c r="E45" t="s">
        <v>11641</v>
      </c>
      <c r="F45" t="s">
        <v>11644</v>
      </c>
      <c r="G45" s="1" t="s">
        <v>11645</v>
      </c>
      <c r="H45" t="s">
        <v>11646</v>
      </c>
    </row>
    <row r="46" spans="1:8" ht="29" x14ac:dyDescent="0.35">
      <c r="A46" t="s">
        <v>7934</v>
      </c>
      <c r="B46" t="s">
        <v>7935</v>
      </c>
      <c r="C46" t="s">
        <v>8838</v>
      </c>
      <c r="E46" t="s">
        <v>11641</v>
      </c>
      <c r="F46" t="s">
        <v>11647</v>
      </c>
      <c r="G46" s="1" t="s">
        <v>11648</v>
      </c>
      <c r="H46" t="s">
        <v>8885</v>
      </c>
    </row>
    <row r="47" spans="1:8" ht="29" x14ac:dyDescent="0.35">
      <c r="A47" t="s">
        <v>2609</v>
      </c>
      <c r="B47" t="s">
        <v>2610</v>
      </c>
      <c r="C47" t="s">
        <v>8532</v>
      </c>
      <c r="E47" t="s">
        <v>11649</v>
      </c>
      <c r="F47" t="s">
        <v>11650</v>
      </c>
      <c r="G47" s="1" t="s">
        <v>11651</v>
      </c>
      <c r="H47" t="s">
        <v>8886</v>
      </c>
    </row>
    <row r="48" spans="1:8" ht="29" x14ac:dyDescent="0.35">
      <c r="A48" t="s">
        <v>8196</v>
      </c>
      <c r="B48" t="s">
        <v>8197</v>
      </c>
      <c r="C48" t="s">
        <v>8846</v>
      </c>
      <c r="E48" t="s">
        <v>11652</v>
      </c>
      <c r="F48" t="s">
        <v>11653</v>
      </c>
      <c r="G48" s="1" t="s">
        <v>11654</v>
      </c>
      <c r="H48" t="s">
        <v>8887</v>
      </c>
    </row>
    <row r="49" spans="1:8" ht="29" x14ac:dyDescent="0.35">
      <c r="A49" t="s">
        <v>3362</v>
      </c>
      <c r="B49" t="s">
        <v>3363</v>
      </c>
      <c r="C49" t="s">
        <v>8573</v>
      </c>
      <c r="E49" t="s">
        <v>11655</v>
      </c>
      <c r="F49" t="s">
        <v>11656</v>
      </c>
      <c r="G49" s="1" t="s">
        <v>11657</v>
      </c>
      <c r="H49" t="s">
        <v>11658</v>
      </c>
    </row>
    <row r="50" spans="1:8" ht="29" x14ac:dyDescent="0.35">
      <c r="A50" t="s">
        <v>3362</v>
      </c>
      <c r="B50" t="s">
        <v>3363</v>
      </c>
      <c r="C50" t="s">
        <v>8573</v>
      </c>
      <c r="E50" t="s">
        <v>11655</v>
      </c>
      <c r="F50" t="s">
        <v>11659</v>
      </c>
      <c r="G50" s="1" t="s">
        <v>11660</v>
      </c>
      <c r="H50" t="s">
        <v>8888</v>
      </c>
    </row>
    <row r="51" spans="1:8" x14ac:dyDescent="0.35">
      <c r="A51" t="s">
        <v>963</v>
      </c>
      <c r="B51" t="s">
        <v>964</v>
      </c>
      <c r="C51" t="s">
        <v>8455</v>
      </c>
      <c r="E51" t="s">
        <v>11661</v>
      </c>
      <c r="F51" t="s">
        <v>11662</v>
      </c>
      <c r="G51" s="1" t="s">
        <v>11663</v>
      </c>
      <c r="H51" t="s">
        <v>11664</v>
      </c>
    </row>
    <row r="52" spans="1:8" ht="29" x14ac:dyDescent="0.35">
      <c r="A52" t="s">
        <v>963</v>
      </c>
      <c r="B52" t="s">
        <v>964</v>
      </c>
      <c r="C52" t="s">
        <v>8455</v>
      </c>
      <c r="E52" t="s">
        <v>11661</v>
      </c>
      <c r="F52" t="s">
        <v>11665</v>
      </c>
      <c r="G52" s="1" t="s">
        <v>11666</v>
      </c>
      <c r="H52" t="s">
        <v>11667</v>
      </c>
    </row>
    <row r="53" spans="1:8" ht="29" x14ac:dyDescent="0.35">
      <c r="A53" t="s">
        <v>582</v>
      </c>
      <c r="B53" t="s">
        <v>583</v>
      </c>
      <c r="C53" t="s">
        <v>8438</v>
      </c>
      <c r="E53" t="s">
        <v>11668</v>
      </c>
      <c r="F53" t="s">
        <v>11669</v>
      </c>
      <c r="G53" s="1" t="s">
        <v>11670</v>
      </c>
      <c r="H53" t="s">
        <v>11671</v>
      </c>
    </row>
    <row r="54" spans="1:8" ht="29" x14ac:dyDescent="0.35">
      <c r="A54" t="s">
        <v>6561</v>
      </c>
      <c r="B54" t="s">
        <v>6562</v>
      </c>
      <c r="C54" t="s">
        <v>8763</v>
      </c>
      <c r="E54" t="s">
        <v>11672</v>
      </c>
      <c r="F54" t="s">
        <v>11673</v>
      </c>
      <c r="G54" s="1" t="s">
        <v>11674</v>
      </c>
      <c r="H54" t="s">
        <v>11675</v>
      </c>
    </row>
    <row r="55" spans="1:8" ht="29" x14ac:dyDescent="0.35">
      <c r="A55" t="s">
        <v>6561</v>
      </c>
      <c r="B55" t="s">
        <v>6562</v>
      </c>
      <c r="C55" t="s">
        <v>8763</v>
      </c>
      <c r="E55" t="s">
        <v>11672</v>
      </c>
      <c r="F55" t="s">
        <v>11676</v>
      </c>
      <c r="G55" s="1" t="s">
        <v>11677</v>
      </c>
      <c r="H55" t="s">
        <v>11678</v>
      </c>
    </row>
    <row r="56" spans="1:8" ht="29" x14ac:dyDescent="0.35">
      <c r="A56" t="s">
        <v>6561</v>
      </c>
      <c r="B56" t="s">
        <v>6562</v>
      </c>
      <c r="C56" t="s">
        <v>8763</v>
      </c>
      <c r="E56" t="s">
        <v>11672</v>
      </c>
      <c r="F56" t="s">
        <v>11679</v>
      </c>
      <c r="G56" s="1" t="s">
        <v>11680</v>
      </c>
      <c r="H56" t="s">
        <v>8889</v>
      </c>
    </row>
    <row r="57" spans="1:8" x14ac:dyDescent="0.35">
      <c r="A57" t="s">
        <v>8175</v>
      </c>
      <c r="B57" t="s">
        <v>8176</v>
      </c>
      <c r="C57" t="s">
        <v>8844</v>
      </c>
      <c r="E57" t="s">
        <v>11681</v>
      </c>
      <c r="F57" t="s">
        <v>11682</v>
      </c>
      <c r="G57" s="1" t="s">
        <v>11683</v>
      </c>
      <c r="H57" t="s">
        <v>11684</v>
      </c>
    </row>
    <row r="58" spans="1:8" ht="29" x14ac:dyDescent="0.35">
      <c r="A58" t="s">
        <v>8175</v>
      </c>
      <c r="B58" t="s">
        <v>8176</v>
      </c>
      <c r="C58" t="s">
        <v>8844</v>
      </c>
      <c r="E58" t="s">
        <v>11681</v>
      </c>
      <c r="F58" t="s">
        <v>11685</v>
      </c>
      <c r="G58" s="1" t="s">
        <v>11686</v>
      </c>
      <c r="H58" t="s">
        <v>11687</v>
      </c>
    </row>
    <row r="59" spans="1:8" x14ac:dyDescent="0.35">
      <c r="A59" t="s">
        <v>1936</v>
      </c>
      <c r="B59" t="s">
        <v>1937</v>
      </c>
      <c r="C59" t="s">
        <v>8502</v>
      </c>
      <c r="E59" t="s">
        <v>11688</v>
      </c>
      <c r="F59" t="s">
        <v>11689</v>
      </c>
      <c r="G59" s="1" t="s">
        <v>11690</v>
      </c>
      <c r="H59" t="s">
        <v>8891</v>
      </c>
    </row>
    <row r="60" spans="1:8" ht="29" x14ac:dyDescent="0.35">
      <c r="A60" t="s">
        <v>1936</v>
      </c>
      <c r="B60" t="s">
        <v>1937</v>
      </c>
      <c r="C60" t="s">
        <v>8502</v>
      </c>
      <c r="E60" t="s">
        <v>11688</v>
      </c>
      <c r="F60" t="s">
        <v>11691</v>
      </c>
      <c r="G60" s="1" t="s">
        <v>11692</v>
      </c>
      <c r="H60" t="s">
        <v>11693</v>
      </c>
    </row>
    <row r="61" spans="1:8" x14ac:dyDescent="0.35">
      <c r="A61" t="s">
        <v>1936</v>
      </c>
      <c r="B61" t="s">
        <v>1937</v>
      </c>
      <c r="C61" t="s">
        <v>8502</v>
      </c>
      <c r="E61" t="s">
        <v>11688</v>
      </c>
      <c r="F61" s="19" t="s">
        <v>11694</v>
      </c>
      <c r="G61" s="1" t="s">
        <v>11695</v>
      </c>
      <c r="H61" t="s">
        <v>11696</v>
      </c>
    </row>
    <row r="62" spans="1:8" x14ac:dyDescent="0.35">
      <c r="A62" t="s">
        <v>4096</v>
      </c>
      <c r="B62" t="s">
        <v>4097</v>
      </c>
      <c r="C62" t="s">
        <v>8616</v>
      </c>
      <c r="E62" t="s">
        <v>11697</v>
      </c>
      <c r="F62" t="s">
        <v>11698</v>
      </c>
      <c r="G62" s="1" t="s">
        <v>11699</v>
      </c>
      <c r="H62" t="s">
        <v>11700</v>
      </c>
    </row>
    <row r="63" spans="1:8" x14ac:dyDescent="0.35">
      <c r="A63" t="s">
        <v>4440</v>
      </c>
      <c r="B63" t="s">
        <v>4441</v>
      </c>
      <c r="C63" t="s">
        <v>8639</v>
      </c>
      <c r="E63" t="s">
        <v>11701</v>
      </c>
      <c r="F63" t="s">
        <v>11702</v>
      </c>
      <c r="G63" s="1" t="s">
        <v>11703</v>
      </c>
      <c r="H63" t="s">
        <v>11704</v>
      </c>
    </row>
    <row r="64" spans="1:8" ht="29" x14ac:dyDescent="0.35">
      <c r="A64" t="s">
        <v>4440</v>
      </c>
      <c r="B64" t="s">
        <v>4441</v>
      </c>
      <c r="C64" t="s">
        <v>8639</v>
      </c>
      <c r="E64" t="s">
        <v>11701</v>
      </c>
      <c r="F64" t="s">
        <v>11705</v>
      </c>
      <c r="G64" s="1" t="s">
        <v>11706</v>
      </c>
      <c r="H64" t="s">
        <v>11707</v>
      </c>
    </row>
    <row r="65" spans="1:8" ht="29" x14ac:dyDescent="0.35">
      <c r="A65" t="s">
        <v>3648</v>
      </c>
      <c r="B65" t="s">
        <v>3649</v>
      </c>
      <c r="C65" t="s">
        <v>8593</v>
      </c>
      <c r="E65" t="s">
        <v>11708</v>
      </c>
      <c r="F65" t="s">
        <v>11709</v>
      </c>
      <c r="G65" s="1" t="s">
        <v>11710</v>
      </c>
      <c r="H65" t="s">
        <v>11711</v>
      </c>
    </row>
    <row r="66" spans="1:8" ht="29" x14ac:dyDescent="0.35">
      <c r="A66" t="s">
        <v>3648</v>
      </c>
      <c r="B66" t="s">
        <v>3649</v>
      </c>
      <c r="C66" t="s">
        <v>8593</v>
      </c>
      <c r="E66" t="s">
        <v>11708</v>
      </c>
      <c r="F66" t="s">
        <v>11712</v>
      </c>
      <c r="G66" s="1" t="s">
        <v>11713</v>
      </c>
      <c r="H66" t="s">
        <v>11714</v>
      </c>
    </row>
    <row r="67" spans="1:8" ht="29" x14ac:dyDescent="0.35">
      <c r="A67" t="s">
        <v>3648</v>
      </c>
      <c r="B67" t="s">
        <v>3649</v>
      </c>
      <c r="C67" t="s">
        <v>8593</v>
      </c>
      <c r="E67" t="s">
        <v>11708</v>
      </c>
      <c r="F67" t="s">
        <v>11715</v>
      </c>
      <c r="G67" s="1" t="s">
        <v>11716</v>
      </c>
      <c r="H67" t="s">
        <v>11717</v>
      </c>
    </row>
    <row r="68" spans="1:8" ht="29" x14ac:dyDescent="0.35">
      <c r="A68" t="s">
        <v>3648</v>
      </c>
      <c r="B68" t="s">
        <v>3649</v>
      </c>
      <c r="C68" t="s">
        <v>8593</v>
      </c>
      <c r="E68" t="s">
        <v>11708</v>
      </c>
      <c r="F68" t="s">
        <v>11718</v>
      </c>
      <c r="G68" s="1" t="s">
        <v>11719</v>
      </c>
      <c r="H68" t="s">
        <v>8894</v>
      </c>
    </row>
    <row r="69" spans="1:8" ht="29" x14ac:dyDescent="0.35">
      <c r="A69" t="s">
        <v>3619</v>
      </c>
      <c r="B69" t="s">
        <v>3620</v>
      </c>
      <c r="C69" t="s">
        <v>8591</v>
      </c>
      <c r="E69" t="s">
        <v>11720</v>
      </c>
      <c r="F69" t="s">
        <v>11721</v>
      </c>
      <c r="G69" s="1" t="s">
        <v>11722</v>
      </c>
      <c r="H69" t="s">
        <v>11723</v>
      </c>
    </row>
    <row r="70" spans="1:8" x14ac:dyDescent="0.35">
      <c r="A70" t="s">
        <v>3619</v>
      </c>
      <c r="B70" t="s">
        <v>3620</v>
      </c>
      <c r="C70" t="s">
        <v>8591</v>
      </c>
      <c r="E70" t="s">
        <v>11720</v>
      </c>
      <c r="F70" t="s">
        <v>11724</v>
      </c>
      <c r="G70" s="1" t="s">
        <v>11725</v>
      </c>
      <c r="H70" t="s">
        <v>11726</v>
      </c>
    </row>
    <row r="71" spans="1:8" ht="29" x14ac:dyDescent="0.35">
      <c r="A71" t="s">
        <v>3619</v>
      </c>
      <c r="B71" t="s">
        <v>3620</v>
      </c>
      <c r="C71" t="s">
        <v>8591</v>
      </c>
      <c r="E71" t="s">
        <v>11720</v>
      </c>
      <c r="F71" t="s">
        <v>11727</v>
      </c>
      <c r="G71" s="1" t="s">
        <v>11728</v>
      </c>
      <c r="H71" t="s">
        <v>8895</v>
      </c>
    </row>
    <row r="72" spans="1:8" ht="29" x14ac:dyDescent="0.35">
      <c r="A72" t="s">
        <v>3619</v>
      </c>
      <c r="B72" t="s">
        <v>3620</v>
      </c>
      <c r="C72" t="s">
        <v>8591</v>
      </c>
      <c r="E72" t="s">
        <v>11720</v>
      </c>
      <c r="F72" t="s">
        <v>11729</v>
      </c>
      <c r="G72" s="1" t="s">
        <v>11730</v>
      </c>
      <c r="H72" t="s">
        <v>11731</v>
      </c>
    </row>
    <row r="73" spans="1:8" ht="29" x14ac:dyDescent="0.35">
      <c r="A73" t="s">
        <v>3619</v>
      </c>
      <c r="B73" t="s">
        <v>3620</v>
      </c>
      <c r="C73" t="s">
        <v>8591</v>
      </c>
      <c r="E73" t="s">
        <v>11720</v>
      </c>
      <c r="F73" t="s">
        <v>11732</v>
      </c>
      <c r="G73" s="1" t="s">
        <v>11733</v>
      </c>
      <c r="H73" t="s">
        <v>11734</v>
      </c>
    </row>
    <row r="74" spans="1:8" ht="29" x14ac:dyDescent="0.35">
      <c r="A74" t="s">
        <v>3619</v>
      </c>
      <c r="B74" t="s">
        <v>3620</v>
      </c>
      <c r="C74" t="s">
        <v>8591</v>
      </c>
      <c r="E74" t="s">
        <v>11720</v>
      </c>
      <c r="F74" t="s">
        <v>11735</v>
      </c>
      <c r="G74" s="1" t="s">
        <v>11736</v>
      </c>
      <c r="H74" t="s">
        <v>11737</v>
      </c>
    </row>
    <row r="75" spans="1:8" ht="29" x14ac:dyDescent="0.35">
      <c r="A75" t="s">
        <v>3733</v>
      </c>
      <c r="B75" t="s">
        <v>3734</v>
      </c>
      <c r="C75" t="s">
        <v>8598</v>
      </c>
      <c r="E75" t="s">
        <v>11738</v>
      </c>
      <c r="F75" t="s">
        <v>11739</v>
      </c>
      <c r="G75" s="1" t="s">
        <v>11740</v>
      </c>
      <c r="H75" t="s">
        <v>11741</v>
      </c>
    </row>
    <row r="76" spans="1:8" ht="29" x14ac:dyDescent="0.35">
      <c r="A76" t="s">
        <v>3733</v>
      </c>
      <c r="B76" t="s">
        <v>3734</v>
      </c>
      <c r="C76" t="s">
        <v>8598</v>
      </c>
      <c r="E76" t="s">
        <v>11738</v>
      </c>
      <c r="F76" t="s">
        <v>11742</v>
      </c>
      <c r="G76" s="1" t="s">
        <v>11743</v>
      </c>
      <c r="H76" t="s">
        <v>8898</v>
      </c>
    </row>
    <row r="77" spans="1:8" ht="29" x14ac:dyDescent="0.35">
      <c r="A77" t="s">
        <v>3642</v>
      </c>
      <c r="B77" t="s">
        <v>3643</v>
      </c>
      <c r="C77" t="s">
        <v>8592</v>
      </c>
      <c r="E77" t="s">
        <v>11744</v>
      </c>
      <c r="F77" t="s">
        <v>11745</v>
      </c>
      <c r="G77" s="1" t="s">
        <v>11746</v>
      </c>
      <c r="H77" t="s">
        <v>11747</v>
      </c>
    </row>
    <row r="78" spans="1:8" x14ac:dyDescent="0.35">
      <c r="A78" t="s">
        <v>3642</v>
      </c>
      <c r="B78" t="s">
        <v>3643</v>
      </c>
      <c r="C78" t="s">
        <v>8592</v>
      </c>
      <c r="E78" t="s">
        <v>11744</v>
      </c>
      <c r="F78" t="s">
        <v>11748</v>
      </c>
      <c r="G78" t="s">
        <v>11749</v>
      </c>
      <c r="H78" t="s">
        <v>8899</v>
      </c>
    </row>
    <row r="79" spans="1:8" ht="29" x14ac:dyDescent="0.35">
      <c r="A79" t="s">
        <v>5519</v>
      </c>
      <c r="B79" t="s">
        <v>5520</v>
      </c>
      <c r="C79" t="s">
        <v>8693</v>
      </c>
      <c r="E79" t="s">
        <v>11750</v>
      </c>
      <c r="F79" t="s">
        <v>11751</v>
      </c>
      <c r="G79" s="1" t="s">
        <v>11752</v>
      </c>
      <c r="H79" t="s">
        <v>11753</v>
      </c>
    </row>
    <row r="80" spans="1:8" ht="29" x14ac:dyDescent="0.35">
      <c r="A80" t="s">
        <v>5519</v>
      </c>
      <c r="B80" t="s">
        <v>5520</v>
      </c>
      <c r="C80" t="s">
        <v>8693</v>
      </c>
      <c r="E80" t="s">
        <v>11750</v>
      </c>
      <c r="F80" s="19" t="s">
        <v>11754</v>
      </c>
      <c r="G80" s="1" t="s">
        <v>11755</v>
      </c>
      <c r="H80" t="s">
        <v>8900</v>
      </c>
    </row>
    <row r="81" spans="1:8" ht="29" x14ac:dyDescent="0.35">
      <c r="A81" t="s">
        <v>5519</v>
      </c>
      <c r="B81" t="s">
        <v>5520</v>
      </c>
      <c r="C81" t="s">
        <v>8693</v>
      </c>
      <c r="E81" t="s">
        <v>11750</v>
      </c>
      <c r="F81" t="s">
        <v>11756</v>
      </c>
      <c r="G81" s="1" t="s">
        <v>11757</v>
      </c>
      <c r="H81" t="s">
        <v>11758</v>
      </c>
    </row>
    <row r="82" spans="1:8" x14ac:dyDescent="0.35">
      <c r="A82" t="s">
        <v>6846</v>
      </c>
      <c r="B82" t="s">
        <v>6847</v>
      </c>
      <c r="C82" t="s">
        <v>8778</v>
      </c>
      <c r="E82" t="s">
        <v>11759</v>
      </c>
      <c r="F82" t="s">
        <v>11760</v>
      </c>
      <c r="G82" s="1" t="s">
        <v>11761</v>
      </c>
      <c r="H82" t="s">
        <v>11762</v>
      </c>
    </row>
    <row r="83" spans="1:8" ht="29" x14ac:dyDescent="0.35">
      <c r="A83" t="s">
        <v>784</v>
      </c>
      <c r="B83" t="s">
        <v>785</v>
      </c>
      <c r="C83" t="s">
        <v>8451</v>
      </c>
      <c r="E83" t="s">
        <v>11763</v>
      </c>
      <c r="F83" t="s">
        <v>11764</v>
      </c>
      <c r="G83" s="1" t="s">
        <v>13857</v>
      </c>
      <c r="H83" t="s">
        <v>11765</v>
      </c>
    </row>
    <row r="84" spans="1:8" ht="29" x14ac:dyDescent="0.35">
      <c r="A84" t="s">
        <v>784</v>
      </c>
      <c r="B84" t="s">
        <v>785</v>
      </c>
      <c r="C84" t="s">
        <v>8451</v>
      </c>
      <c r="E84" t="s">
        <v>11763</v>
      </c>
      <c r="F84" t="s">
        <v>11766</v>
      </c>
      <c r="G84" s="1" t="s">
        <v>11767</v>
      </c>
      <c r="H84" t="s">
        <v>11768</v>
      </c>
    </row>
    <row r="85" spans="1:8" x14ac:dyDescent="0.35">
      <c r="A85" t="s">
        <v>784</v>
      </c>
      <c r="B85" t="s">
        <v>785</v>
      </c>
      <c r="C85" t="s">
        <v>8451</v>
      </c>
      <c r="E85" t="s">
        <v>11763</v>
      </c>
      <c r="F85" t="s">
        <v>11769</v>
      </c>
      <c r="G85" s="1" t="s">
        <v>13858</v>
      </c>
      <c r="H85" t="s">
        <v>8901</v>
      </c>
    </row>
    <row r="86" spans="1:8" ht="29" x14ac:dyDescent="0.35">
      <c r="A86" t="s">
        <v>6628</v>
      </c>
      <c r="B86" t="s">
        <v>6629</v>
      </c>
      <c r="C86" t="s">
        <v>8769</v>
      </c>
      <c r="E86" t="s">
        <v>11770</v>
      </c>
      <c r="F86" t="s">
        <v>11771</v>
      </c>
      <c r="G86" s="1" t="s">
        <v>11772</v>
      </c>
      <c r="H86" t="s">
        <v>8902</v>
      </c>
    </row>
    <row r="87" spans="1:8" ht="29" x14ac:dyDescent="0.35">
      <c r="A87" t="s">
        <v>6628</v>
      </c>
      <c r="B87" t="s">
        <v>6629</v>
      </c>
      <c r="C87" t="s">
        <v>8769</v>
      </c>
      <c r="E87" t="s">
        <v>11770</v>
      </c>
      <c r="F87" t="s">
        <v>11773</v>
      </c>
      <c r="G87" s="1" t="s">
        <v>11774</v>
      </c>
      <c r="H87" t="s">
        <v>8903</v>
      </c>
    </row>
    <row r="88" spans="1:8" ht="29" x14ac:dyDescent="0.35">
      <c r="A88" t="s">
        <v>6628</v>
      </c>
      <c r="B88" t="s">
        <v>6629</v>
      </c>
      <c r="C88" t="s">
        <v>8769</v>
      </c>
      <c r="E88" t="s">
        <v>11770</v>
      </c>
      <c r="F88" t="s">
        <v>11775</v>
      </c>
      <c r="G88" s="1" t="s">
        <v>11776</v>
      </c>
      <c r="H88" t="s">
        <v>8904</v>
      </c>
    </row>
    <row r="89" spans="1:8" ht="29" x14ac:dyDescent="0.35">
      <c r="A89" t="s">
        <v>6628</v>
      </c>
      <c r="B89" t="s">
        <v>6629</v>
      </c>
      <c r="C89" t="s">
        <v>8769</v>
      </c>
      <c r="E89" t="s">
        <v>11770</v>
      </c>
      <c r="F89" t="s">
        <v>11777</v>
      </c>
      <c r="G89" s="1" t="s">
        <v>11778</v>
      </c>
      <c r="H89" t="s">
        <v>11779</v>
      </c>
    </row>
    <row r="90" spans="1:8" ht="29" x14ac:dyDescent="0.35">
      <c r="A90" t="s">
        <v>6628</v>
      </c>
      <c r="B90" t="s">
        <v>6629</v>
      </c>
      <c r="C90" t="s">
        <v>8769</v>
      </c>
      <c r="E90" t="s">
        <v>11770</v>
      </c>
      <c r="F90" t="s">
        <v>11780</v>
      </c>
      <c r="G90" s="1" t="s">
        <v>11781</v>
      </c>
      <c r="H90" t="s">
        <v>8906</v>
      </c>
    </row>
    <row r="91" spans="1:8" ht="29" x14ac:dyDescent="0.35">
      <c r="A91" t="s">
        <v>6628</v>
      </c>
      <c r="B91" t="s">
        <v>6629</v>
      </c>
      <c r="C91" t="s">
        <v>8769</v>
      </c>
      <c r="E91" t="s">
        <v>11770</v>
      </c>
      <c r="F91" t="s">
        <v>11782</v>
      </c>
      <c r="G91" s="1" t="s">
        <v>11783</v>
      </c>
      <c r="H91" t="s">
        <v>8907</v>
      </c>
    </row>
    <row r="92" spans="1:8" x14ac:dyDescent="0.35">
      <c r="A92" s="9" t="s">
        <v>6612</v>
      </c>
      <c r="B92" s="9" t="s">
        <v>6613</v>
      </c>
      <c r="C92" s="20" t="s">
        <v>8767</v>
      </c>
      <c r="D92" s="21"/>
      <c r="E92" t="s">
        <v>11784</v>
      </c>
      <c r="F92" t="s">
        <v>11785</v>
      </c>
      <c r="G92" s="1" t="s">
        <v>11786</v>
      </c>
      <c r="H92" t="s">
        <v>11787</v>
      </c>
    </row>
    <row r="93" spans="1:8" ht="29" x14ac:dyDescent="0.35">
      <c r="A93" s="9" t="s">
        <v>6612</v>
      </c>
      <c r="B93" s="9" t="s">
        <v>6613</v>
      </c>
      <c r="C93" s="20" t="s">
        <v>8767</v>
      </c>
      <c r="D93" s="21"/>
      <c r="E93" t="s">
        <v>11784</v>
      </c>
      <c r="F93" t="s">
        <v>11788</v>
      </c>
      <c r="G93" s="1" t="s">
        <v>11789</v>
      </c>
      <c r="H93" t="s">
        <v>8909</v>
      </c>
    </row>
    <row r="94" spans="1:8" x14ac:dyDescent="0.35">
      <c r="A94" s="9" t="s">
        <v>6615</v>
      </c>
      <c r="B94" s="9" t="s">
        <v>6616</v>
      </c>
      <c r="C94" s="20" t="s">
        <v>8767</v>
      </c>
      <c r="D94" s="21"/>
      <c r="E94" t="s">
        <v>11784</v>
      </c>
      <c r="F94" t="s">
        <v>11785</v>
      </c>
      <c r="G94" s="1" t="s">
        <v>11786</v>
      </c>
      <c r="H94" t="s">
        <v>11787</v>
      </c>
    </row>
    <row r="95" spans="1:8" ht="29" x14ac:dyDescent="0.35">
      <c r="A95" t="s">
        <v>6615</v>
      </c>
      <c r="B95" t="s">
        <v>6616</v>
      </c>
      <c r="C95" s="21" t="s">
        <v>8767</v>
      </c>
      <c r="D95" s="21"/>
      <c r="E95" t="s">
        <v>11784</v>
      </c>
      <c r="F95" t="s">
        <v>11788</v>
      </c>
      <c r="G95" s="1" t="s">
        <v>11789</v>
      </c>
      <c r="H95" t="s">
        <v>8909</v>
      </c>
    </row>
    <row r="96" spans="1:8" ht="29" x14ac:dyDescent="0.35">
      <c r="A96" t="s">
        <v>2707</v>
      </c>
      <c r="B96" t="s">
        <v>2708</v>
      </c>
      <c r="C96" t="s">
        <v>8538</v>
      </c>
      <c r="E96" t="s">
        <v>11790</v>
      </c>
      <c r="F96" t="s">
        <v>11791</v>
      </c>
      <c r="G96" s="1" t="s">
        <v>11792</v>
      </c>
      <c r="H96" t="s">
        <v>11793</v>
      </c>
    </row>
    <row r="97" spans="1:8" ht="19" customHeight="1" x14ac:dyDescent="0.35">
      <c r="A97" s="9" t="s">
        <v>6632</v>
      </c>
      <c r="B97" s="9" t="s">
        <v>6633</v>
      </c>
      <c r="C97" s="10" t="s">
        <v>8770</v>
      </c>
      <c r="D97" s="11"/>
      <c r="E97" t="s">
        <v>11794</v>
      </c>
      <c r="F97" t="s">
        <v>11795</v>
      </c>
      <c r="G97" s="1" t="s">
        <v>11796</v>
      </c>
      <c r="H97" t="s">
        <v>11797</v>
      </c>
    </row>
    <row r="98" spans="1:8" ht="29" x14ac:dyDescent="0.35">
      <c r="A98" s="3" t="s">
        <v>6632</v>
      </c>
      <c r="B98" s="4" t="s">
        <v>6633</v>
      </c>
      <c r="C98" s="10" t="s">
        <v>8770</v>
      </c>
      <c r="D98" s="11"/>
      <c r="E98" t="s">
        <v>11794</v>
      </c>
      <c r="F98" t="s">
        <v>11798</v>
      </c>
      <c r="G98" s="1" t="s">
        <v>11799</v>
      </c>
      <c r="H98" t="s">
        <v>11800</v>
      </c>
    </row>
    <row r="99" spans="1:8" ht="29" x14ac:dyDescent="0.35">
      <c r="A99" s="5" t="s">
        <v>6632</v>
      </c>
      <c r="B99" s="6" t="s">
        <v>6633</v>
      </c>
      <c r="C99" s="10" t="s">
        <v>8770</v>
      </c>
      <c r="D99" s="11"/>
      <c r="E99" t="s">
        <v>11794</v>
      </c>
      <c r="F99" t="s">
        <v>11801</v>
      </c>
      <c r="G99" s="1" t="s">
        <v>11802</v>
      </c>
      <c r="H99" t="s">
        <v>11803</v>
      </c>
    </row>
    <row r="100" spans="1:8" x14ac:dyDescent="0.35">
      <c r="A100" s="5" t="s">
        <v>6632</v>
      </c>
      <c r="B100" t="s">
        <v>6633</v>
      </c>
      <c r="C100" s="10" t="s">
        <v>8770</v>
      </c>
      <c r="D100" s="11"/>
      <c r="E100" t="s">
        <v>11794</v>
      </c>
      <c r="F100" t="s">
        <v>11804</v>
      </c>
      <c r="G100" s="1" t="s">
        <v>11805</v>
      </c>
      <c r="H100" t="s">
        <v>11806</v>
      </c>
    </row>
    <row r="101" spans="1:8" ht="29" x14ac:dyDescent="0.35">
      <c r="A101" t="s">
        <v>6632</v>
      </c>
      <c r="B101" s="6" t="s">
        <v>6633</v>
      </c>
      <c r="C101" s="10" t="s">
        <v>8770</v>
      </c>
      <c r="D101" s="11"/>
      <c r="E101" t="s">
        <v>11794</v>
      </c>
      <c r="F101" t="s">
        <v>11807</v>
      </c>
      <c r="G101" s="1" t="s">
        <v>11808</v>
      </c>
      <c r="H101" t="s">
        <v>8910</v>
      </c>
    </row>
    <row r="102" spans="1:8" x14ac:dyDescent="0.35">
      <c r="A102" s="5" t="s">
        <v>6632</v>
      </c>
      <c r="B102" s="6" t="s">
        <v>6633</v>
      </c>
      <c r="C102" s="10" t="s">
        <v>8770</v>
      </c>
      <c r="D102" s="11"/>
      <c r="E102" t="s">
        <v>11794</v>
      </c>
      <c r="F102" t="s">
        <v>11809</v>
      </c>
      <c r="G102" s="1" t="s">
        <v>11810</v>
      </c>
      <c r="H102" t="s">
        <v>8911</v>
      </c>
    </row>
    <row r="103" spans="1:8" ht="29" x14ac:dyDescent="0.35">
      <c r="A103" s="7" t="s">
        <v>6632</v>
      </c>
      <c r="B103" s="8" t="s">
        <v>6633</v>
      </c>
      <c r="C103" s="10" t="s">
        <v>8770</v>
      </c>
      <c r="D103" s="11"/>
      <c r="E103" t="s">
        <v>11794</v>
      </c>
      <c r="F103" t="s">
        <v>11811</v>
      </c>
      <c r="G103" s="1" t="s">
        <v>11812</v>
      </c>
      <c r="H103" t="s">
        <v>8912</v>
      </c>
    </row>
    <row r="104" spans="1:8" ht="29" x14ac:dyDescent="0.35">
      <c r="A104" s="7" t="s">
        <v>6632</v>
      </c>
      <c r="B104" s="8" t="s">
        <v>6633</v>
      </c>
      <c r="C104" s="10" t="s">
        <v>8770</v>
      </c>
      <c r="D104" s="11"/>
      <c r="E104" t="s">
        <v>11794</v>
      </c>
      <c r="F104" t="s">
        <v>11813</v>
      </c>
      <c r="G104" s="1" t="s">
        <v>11814</v>
      </c>
      <c r="H104" t="s">
        <v>8913</v>
      </c>
    </row>
    <row r="105" spans="1:8" x14ac:dyDescent="0.35">
      <c r="A105" s="9" t="s">
        <v>6636</v>
      </c>
      <c r="B105" s="9" t="s">
        <v>6637</v>
      </c>
      <c r="C105" s="10" t="s">
        <v>8770</v>
      </c>
      <c r="D105" s="11"/>
      <c r="E105" t="s">
        <v>11794</v>
      </c>
      <c r="F105" t="s">
        <v>11795</v>
      </c>
      <c r="G105" t="s">
        <v>11796</v>
      </c>
      <c r="H105" t="s">
        <v>11797</v>
      </c>
    </row>
    <row r="106" spans="1:8" ht="29" x14ac:dyDescent="0.35">
      <c r="A106" t="s">
        <v>6636</v>
      </c>
      <c r="B106" t="s">
        <v>6637</v>
      </c>
      <c r="C106" s="11" t="s">
        <v>8770</v>
      </c>
      <c r="D106" s="11"/>
      <c r="E106" t="s">
        <v>11794</v>
      </c>
      <c r="F106" t="s">
        <v>11798</v>
      </c>
      <c r="G106" s="1" t="s">
        <v>11799</v>
      </c>
      <c r="H106" t="s">
        <v>11800</v>
      </c>
    </row>
    <row r="107" spans="1:8" ht="29" x14ac:dyDescent="0.35">
      <c r="A107" t="s">
        <v>6636</v>
      </c>
      <c r="B107" t="s">
        <v>6637</v>
      </c>
      <c r="C107" s="11" t="s">
        <v>8770</v>
      </c>
      <c r="D107" s="11"/>
      <c r="E107" t="s">
        <v>11794</v>
      </c>
      <c r="F107" t="s">
        <v>11801</v>
      </c>
      <c r="G107" s="1" t="s">
        <v>11802</v>
      </c>
      <c r="H107" t="s">
        <v>11803</v>
      </c>
    </row>
    <row r="108" spans="1:8" x14ac:dyDescent="0.35">
      <c r="A108" t="s">
        <v>6636</v>
      </c>
      <c r="B108" t="s">
        <v>6637</v>
      </c>
      <c r="C108" s="11" t="s">
        <v>8770</v>
      </c>
      <c r="D108" s="11"/>
      <c r="E108" t="s">
        <v>11794</v>
      </c>
      <c r="F108" t="s">
        <v>11804</v>
      </c>
      <c r="G108" t="s">
        <v>11805</v>
      </c>
      <c r="H108" t="s">
        <v>11806</v>
      </c>
    </row>
    <row r="109" spans="1:8" ht="29" x14ac:dyDescent="0.35">
      <c r="A109" t="s">
        <v>6636</v>
      </c>
      <c r="B109" t="s">
        <v>6637</v>
      </c>
      <c r="C109" s="11" t="s">
        <v>8770</v>
      </c>
      <c r="D109" s="11"/>
      <c r="E109" t="s">
        <v>11794</v>
      </c>
      <c r="F109" t="s">
        <v>11807</v>
      </c>
      <c r="G109" s="1" t="s">
        <v>11808</v>
      </c>
      <c r="H109" t="s">
        <v>8910</v>
      </c>
    </row>
    <row r="110" spans="1:8" x14ac:dyDescent="0.35">
      <c r="A110" t="s">
        <v>6636</v>
      </c>
      <c r="B110" t="s">
        <v>6637</v>
      </c>
      <c r="C110" s="11" t="s">
        <v>8770</v>
      </c>
      <c r="D110" s="11"/>
      <c r="E110" t="s">
        <v>11794</v>
      </c>
      <c r="F110" t="s">
        <v>11809</v>
      </c>
      <c r="G110" s="1" t="s">
        <v>11810</v>
      </c>
      <c r="H110" t="s">
        <v>8911</v>
      </c>
    </row>
    <row r="111" spans="1:8" ht="29" x14ac:dyDescent="0.35">
      <c r="A111" t="s">
        <v>6636</v>
      </c>
      <c r="B111" t="s">
        <v>6637</v>
      </c>
      <c r="C111" s="11" t="s">
        <v>8770</v>
      </c>
      <c r="D111" s="11"/>
      <c r="E111" t="s">
        <v>11794</v>
      </c>
      <c r="F111" t="s">
        <v>11811</v>
      </c>
      <c r="G111" s="1" t="s">
        <v>11812</v>
      </c>
      <c r="H111" t="s">
        <v>8912</v>
      </c>
    </row>
    <row r="112" spans="1:8" ht="29" x14ac:dyDescent="0.35">
      <c r="A112" t="s">
        <v>6636</v>
      </c>
      <c r="B112" t="s">
        <v>6637</v>
      </c>
      <c r="C112" s="11" t="s">
        <v>8770</v>
      </c>
      <c r="D112" s="11"/>
      <c r="E112" t="s">
        <v>11794</v>
      </c>
      <c r="F112" t="s">
        <v>11813</v>
      </c>
      <c r="G112" s="1" t="s">
        <v>11814</v>
      </c>
      <c r="H112" t="s">
        <v>8913</v>
      </c>
    </row>
    <row r="113" spans="1:8" x14ac:dyDescent="0.35">
      <c r="A113" t="s">
        <v>3298</v>
      </c>
      <c r="B113" t="s">
        <v>3299</v>
      </c>
      <c r="C113" t="s">
        <v>8568</v>
      </c>
      <c r="E113" t="s">
        <v>11815</v>
      </c>
      <c r="F113" t="s">
        <v>11816</v>
      </c>
      <c r="G113" s="1" t="s">
        <v>11817</v>
      </c>
      <c r="H113" t="s">
        <v>11818</v>
      </c>
    </row>
    <row r="114" spans="1:8" ht="29" x14ac:dyDescent="0.35">
      <c r="A114" t="s">
        <v>3298</v>
      </c>
      <c r="B114" t="s">
        <v>3299</v>
      </c>
      <c r="C114" t="s">
        <v>8568</v>
      </c>
      <c r="E114" t="s">
        <v>11815</v>
      </c>
      <c r="F114" t="s">
        <v>11819</v>
      </c>
      <c r="G114" s="1" t="s">
        <v>11820</v>
      </c>
      <c r="H114" t="s">
        <v>8914</v>
      </c>
    </row>
    <row r="115" spans="1:8" ht="29" x14ac:dyDescent="0.35">
      <c r="A115" t="s">
        <v>8222</v>
      </c>
      <c r="B115" t="s">
        <v>8223</v>
      </c>
      <c r="C115" t="s">
        <v>8849</v>
      </c>
      <c r="E115" t="s">
        <v>11821</v>
      </c>
      <c r="F115" t="s">
        <v>11822</v>
      </c>
      <c r="G115" s="1" t="s">
        <v>11823</v>
      </c>
      <c r="H115" t="s">
        <v>11824</v>
      </c>
    </row>
    <row r="116" spans="1:8" ht="29" x14ac:dyDescent="0.35">
      <c r="A116" t="s">
        <v>7966</v>
      </c>
      <c r="B116" t="s">
        <v>7967</v>
      </c>
      <c r="C116" t="s">
        <v>8840</v>
      </c>
      <c r="E116" t="s">
        <v>11825</v>
      </c>
      <c r="F116" t="s">
        <v>11826</v>
      </c>
      <c r="G116" s="1" t="s">
        <v>13861</v>
      </c>
      <c r="H116" t="s">
        <v>11827</v>
      </c>
    </row>
    <row r="117" spans="1:8" ht="29" x14ac:dyDescent="0.35">
      <c r="A117" t="s">
        <v>5436</v>
      </c>
      <c r="B117" t="s">
        <v>5437</v>
      </c>
      <c r="C117" t="s">
        <v>8687</v>
      </c>
      <c r="E117" t="s">
        <v>11828</v>
      </c>
      <c r="F117" t="s">
        <v>11829</v>
      </c>
      <c r="G117" s="1" t="s">
        <v>11830</v>
      </c>
      <c r="H117" t="s">
        <v>8915</v>
      </c>
    </row>
    <row r="118" spans="1:8" ht="29" x14ac:dyDescent="0.35">
      <c r="A118" t="s">
        <v>5436</v>
      </c>
      <c r="B118" t="s">
        <v>5437</v>
      </c>
      <c r="C118" t="s">
        <v>8687</v>
      </c>
      <c r="E118" t="s">
        <v>11828</v>
      </c>
      <c r="F118" t="s">
        <v>11831</v>
      </c>
      <c r="G118" s="1" t="s">
        <v>11832</v>
      </c>
      <c r="H118" t="s">
        <v>8916</v>
      </c>
    </row>
    <row r="119" spans="1:8" x14ac:dyDescent="0.35">
      <c r="A119" s="2" t="s">
        <v>6934</v>
      </c>
      <c r="B119" s="2" t="s">
        <v>6935</v>
      </c>
      <c r="C119" s="18" t="s">
        <v>8784</v>
      </c>
      <c r="D119" s="11"/>
      <c r="E119" t="s">
        <v>8922</v>
      </c>
      <c r="F119" t="s">
        <v>8923</v>
      </c>
      <c r="G119" s="1" t="s">
        <v>11833</v>
      </c>
      <c r="H119" t="s">
        <v>11835</v>
      </c>
    </row>
    <row r="120" spans="1:8" ht="29" x14ac:dyDescent="0.35">
      <c r="A120" s="12" t="s">
        <v>6934</v>
      </c>
      <c r="B120" s="13" t="s">
        <v>6935</v>
      </c>
      <c r="C120" s="18" t="s">
        <v>8784</v>
      </c>
      <c r="D120" s="11"/>
      <c r="E120" s="19" t="s">
        <v>8922</v>
      </c>
      <c r="F120" t="s">
        <v>8924</v>
      </c>
      <c r="G120" s="1" t="s">
        <v>11836</v>
      </c>
      <c r="H120" t="s">
        <v>11837</v>
      </c>
    </row>
    <row r="121" spans="1:8" ht="29" x14ac:dyDescent="0.35">
      <c r="A121" s="14" t="s">
        <v>6934</v>
      </c>
      <c r="B121" s="15" t="s">
        <v>6935</v>
      </c>
      <c r="C121" s="18" t="s">
        <v>8784</v>
      </c>
      <c r="D121" s="11"/>
      <c r="E121" s="19" t="s">
        <v>8922</v>
      </c>
      <c r="F121" t="s">
        <v>8925</v>
      </c>
      <c r="G121" s="1" t="s">
        <v>11838</v>
      </c>
      <c r="H121" t="s">
        <v>11839</v>
      </c>
    </row>
    <row r="122" spans="1:8" ht="29" x14ac:dyDescent="0.35">
      <c r="A122" s="14" t="s">
        <v>6934</v>
      </c>
      <c r="B122" s="15" t="s">
        <v>6935</v>
      </c>
      <c r="C122" s="18" t="s">
        <v>8784</v>
      </c>
      <c r="D122" s="11"/>
      <c r="E122" s="19" t="s">
        <v>8922</v>
      </c>
      <c r="F122" t="s">
        <v>8926</v>
      </c>
      <c r="G122" s="1" t="s">
        <v>11840</v>
      </c>
      <c r="H122" t="s">
        <v>11841</v>
      </c>
    </row>
    <row r="123" spans="1:8" ht="29" x14ac:dyDescent="0.35">
      <c r="A123" s="14" t="s">
        <v>6934</v>
      </c>
      <c r="B123" s="15" t="s">
        <v>6935</v>
      </c>
      <c r="C123" s="18" t="s">
        <v>8784</v>
      </c>
      <c r="D123" s="11"/>
      <c r="E123" s="19" t="s">
        <v>8922</v>
      </c>
      <c r="F123" t="s">
        <v>8927</v>
      </c>
      <c r="G123" s="1" t="s">
        <v>11842</v>
      </c>
      <c r="H123" t="s">
        <v>11843</v>
      </c>
    </row>
    <row r="124" spans="1:8" ht="29" x14ac:dyDescent="0.35">
      <c r="A124" s="14" t="s">
        <v>6934</v>
      </c>
      <c r="B124" s="15" t="s">
        <v>6935</v>
      </c>
      <c r="C124" s="18" t="s">
        <v>8784</v>
      </c>
      <c r="D124" s="11"/>
      <c r="E124" s="19" t="s">
        <v>8922</v>
      </c>
      <c r="F124" t="s">
        <v>8928</v>
      </c>
      <c r="G124" s="1" t="s">
        <v>11844</v>
      </c>
      <c r="H124" t="s">
        <v>11845</v>
      </c>
    </row>
    <row r="125" spans="1:8" ht="29" x14ac:dyDescent="0.35">
      <c r="A125" s="16" t="s">
        <v>6934</v>
      </c>
      <c r="B125" s="17" t="s">
        <v>6935</v>
      </c>
      <c r="C125" s="18" t="s">
        <v>8784</v>
      </c>
      <c r="D125" s="11"/>
      <c r="E125" s="19" t="s">
        <v>8922</v>
      </c>
      <c r="F125" t="s">
        <v>8929</v>
      </c>
      <c r="G125" s="1" t="s">
        <v>11846</v>
      </c>
      <c r="H125" t="s">
        <v>11847</v>
      </c>
    </row>
    <row r="126" spans="1:8" ht="29" x14ac:dyDescent="0.35">
      <c r="A126" s="16" t="s">
        <v>6934</v>
      </c>
      <c r="B126" s="17" t="s">
        <v>6935</v>
      </c>
      <c r="C126" s="18" t="s">
        <v>8784</v>
      </c>
      <c r="D126" s="11"/>
      <c r="E126" s="19" t="s">
        <v>8922</v>
      </c>
      <c r="F126" t="s">
        <v>8930</v>
      </c>
      <c r="G126" s="1" t="s">
        <v>11848</v>
      </c>
      <c r="H126" t="s">
        <v>11849</v>
      </c>
    </row>
    <row r="127" spans="1:8" x14ac:dyDescent="0.35">
      <c r="A127" s="2" t="s">
        <v>6946</v>
      </c>
      <c r="B127" s="2" t="s">
        <v>6947</v>
      </c>
      <c r="C127" s="18" t="s">
        <v>8784</v>
      </c>
      <c r="D127" s="11"/>
      <c r="E127" s="19" t="s">
        <v>8922</v>
      </c>
      <c r="F127" t="s">
        <v>8923</v>
      </c>
      <c r="G127" t="s">
        <v>11834</v>
      </c>
      <c r="H127" t="s">
        <v>11835</v>
      </c>
    </row>
    <row r="128" spans="1:8" ht="29" x14ac:dyDescent="0.35">
      <c r="A128" t="s">
        <v>6946</v>
      </c>
      <c r="B128" t="s">
        <v>6947</v>
      </c>
      <c r="C128" s="11" t="s">
        <v>8784</v>
      </c>
      <c r="D128" s="11"/>
      <c r="E128" t="s">
        <v>8922</v>
      </c>
      <c r="F128" t="s">
        <v>8924</v>
      </c>
      <c r="G128" s="1" t="s">
        <v>11836</v>
      </c>
      <c r="H128" t="s">
        <v>11837</v>
      </c>
    </row>
    <row r="129" spans="1:8" ht="29" x14ac:dyDescent="0.35">
      <c r="A129" t="s">
        <v>6946</v>
      </c>
      <c r="B129" t="s">
        <v>6947</v>
      </c>
      <c r="C129" s="11" t="s">
        <v>8784</v>
      </c>
      <c r="D129" s="11"/>
      <c r="E129" t="s">
        <v>8922</v>
      </c>
      <c r="F129" t="s">
        <v>8925</v>
      </c>
      <c r="G129" s="1" t="s">
        <v>11838</v>
      </c>
      <c r="H129" t="s">
        <v>11839</v>
      </c>
    </row>
    <row r="130" spans="1:8" ht="29" x14ac:dyDescent="0.35">
      <c r="A130" t="s">
        <v>6946</v>
      </c>
      <c r="B130" t="s">
        <v>6947</v>
      </c>
      <c r="C130" s="11" t="s">
        <v>8784</v>
      </c>
      <c r="D130" s="11"/>
      <c r="E130" t="s">
        <v>8922</v>
      </c>
      <c r="F130" t="s">
        <v>8926</v>
      </c>
      <c r="G130" s="1" t="s">
        <v>11840</v>
      </c>
      <c r="H130" t="s">
        <v>11841</v>
      </c>
    </row>
    <row r="131" spans="1:8" ht="29" x14ac:dyDescent="0.35">
      <c r="A131" t="s">
        <v>6946</v>
      </c>
      <c r="B131" t="s">
        <v>6947</v>
      </c>
      <c r="C131" s="11" t="s">
        <v>8784</v>
      </c>
      <c r="D131" s="11"/>
      <c r="E131" t="s">
        <v>8922</v>
      </c>
      <c r="F131" t="s">
        <v>8927</v>
      </c>
      <c r="G131" s="1" t="s">
        <v>11842</v>
      </c>
      <c r="H131" t="s">
        <v>11843</v>
      </c>
    </row>
    <row r="132" spans="1:8" ht="29" x14ac:dyDescent="0.35">
      <c r="A132" t="s">
        <v>6946</v>
      </c>
      <c r="B132" t="s">
        <v>6947</v>
      </c>
      <c r="C132" s="11" t="s">
        <v>8784</v>
      </c>
      <c r="D132" s="11"/>
      <c r="E132" t="s">
        <v>8922</v>
      </c>
      <c r="F132" t="s">
        <v>8928</v>
      </c>
      <c r="G132" s="1" t="s">
        <v>11844</v>
      </c>
      <c r="H132" t="s">
        <v>11845</v>
      </c>
    </row>
    <row r="133" spans="1:8" ht="29" x14ac:dyDescent="0.35">
      <c r="A133" t="s">
        <v>6946</v>
      </c>
      <c r="B133" t="s">
        <v>6947</v>
      </c>
      <c r="C133" s="11" t="s">
        <v>8784</v>
      </c>
      <c r="D133" s="11"/>
      <c r="E133" t="s">
        <v>8922</v>
      </c>
      <c r="F133" t="s">
        <v>8929</v>
      </c>
      <c r="G133" s="1" t="s">
        <v>11846</v>
      </c>
      <c r="H133" t="s">
        <v>11847</v>
      </c>
    </row>
    <row r="134" spans="1:8" ht="29" x14ac:dyDescent="0.35">
      <c r="A134" t="s">
        <v>6946</v>
      </c>
      <c r="B134" t="s">
        <v>6947</v>
      </c>
      <c r="C134" s="11" t="s">
        <v>8784</v>
      </c>
      <c r="D134" s="11"/>
      <c r="E134" t="s">
        <v>8922</v>
      </c>
      <c r="F134" t="s">
        <v>8930</v>
      </c>
      <c r="G134" s="1" t="s">
        <v>11848</v>
      </c>
      <c r="H134" t="s">
        <v>11849</v>
      </c>
    </row>
    <row r="135" spans="1:8" ht="29" x14ac:dyDescent="0.35">
      <c r="A135" t="s">
        <v>5547</v>
      </c>
      <c r="B135" t="s">
        <v>5548</v>
      </c>
      <c r="C135" t="s">
        <v>8695</v>
      </c>
      <c r="E135" t="s">
        <v>8931</v>
      </c>
      <c r="F135" t="s">
        <v>8932</v>
      </c>
      <c r="G135" s="1" t="s">
        <v>13862</v>
      </c>
      <c r="H135" t="s">
        <v>11850</v>
      </c>
    </row>
    <row r="136" spans="1:8" ht="29" x14ac:dyDescent="0.35">
      <c r="A136" t="s">
        <v>2937</v>
      </c>
      <c r="B136" t="s">
        <v>2938</v>
      </c>
      <c r="C136" t="s">
        <v>8552</v>
      </c>
      <c r="E136" t="s">
        <v>8933</v>
      </c>
      <c r="F136" t="s">
        <v>8934</v>
      </c>
      <c r="G136" s="1" t="s">
        <v>13863</v>
      </c>
      <c r="H136" t="s">
        <v>11851</v>
      </c>
    </row>
    <row r="137" spans="1:8" ht="29" x14ac:dyDescent="0.35">
      <c r="A137" t="s">
        <v>2937</v>
      </c>
      <c r="B137" t="s">
        <v>2938</v>
      </c>
      <c r="C137" t="s">
        <v>8552</v>
      </c>
      <c r="E137" t="s">
        <v>8933</v>
      </c>
      <c r="F137" t="s">
        <v>8935</v>
      </c>
      <c r="G137" s="1" t="s">
        <v>13864</v>
      </c>
      <c r="H137" t="s">
        <v>11852</v>
      </c>
    </row>
    <row r="138" spans="1:8" ht="29" x14ac:dyDescent="0.35">
      <c r="A138" t="s">
        <v>4419</v>
      </c>
      <c r="B138" t="s">
        <v>4420</v>
      </c>
      <c r="C138" t="s">
        <v>8635</v>
      </c>
      <c r="E138" t="s">
        <v>8936</v>
      </c>
      <c r="F138" t="s">
        <v>8937</v>
      </c>
      <c r="G138" s="1" t="s">
        <v>13865</v>
      </c>
      <c r="H138" t="s">
        <v>11853</v>
      </c>
    </row>
    <row r="139" spans="1:8" ht="29" x14ac:dyDescent="0.35">
      <c r="A139" t="s">
        <v>4419</v>
      </c>
      <c r="B139" t="s">
        <v>4420</v>
      </c>
      <c r="C139" t="s">
        <v>8635</v>
      </c>
      <c r="E139" t="s">
        <v>8936</v>
      </c>
      <c r="F139" t="s">
        <v>8938</v>
      </c>
      <c r="G139" s="1" t="s">
        <v>11854</v>
      </c>
      <c r="H139" t="s">
        <v>11855</v>
      </c>
    </row>
    <row r="140" spans="1:8" ht="29" x14ac:dyDescent="0.35">
      <c r="A140" t="s">
        <v>4419</v>
      </c>
      <c r="B140" t="s">
        <v>4420</v>
      </c>
      <c r="C140" t="s">
        <v>8635</v>
      </c>
      <c r="E140" t="s">
        <v>8936</v>
      </c>
      <c r="F140" t="s">
        <v>8939</v>
      </c>
      <c r="G140" s="1" t="s">
        <v>11856</v>
      </c>
      <c r="H140" t="s">
        <v>11857</v>
      </c>
    </row>
    <row r="141" spans="1:8" x14ac:dyDescent="0.35">
      <c r="A141" t="s">
        <v>776</v>
      </c>
      <c r="B141" t="s">
        <v>777</v>
      </c>
      <c r="C141" t="s">
        <v>8450</v>
      </c>
      <c r="E141" t="s">
        <v>8940</v>
      </c>
      <c r="F141" t="s">
        <v>8941</v>
      </c>
      <c r="G141" s="1" t="s">
        <v>11858</v>
      </c>
      <c r="H141" t="s">
        <v>11859</v>
      </c>
    </row>
    <row r="142" spans="1:8" ht="29" x14ac:dyDescent="0.35">
      <c r="A142" t="s">
        <v>2710</v>
      </c>
      <c r="B142" t="s">
        <v>2711</v>
      </c>
      <c r="C142" t="s">
        <v>8539</v>
      </c>
      <c r="E142" t="s">
        <v>8942</v>
      </c>
      <c r="F142" t="s">
        <v>8943</v>
      </c>
      <c r="G142" s="1" t="s">
        <v>11860</v>
      </c>
      <c r="H142" t="s">
        <v>11861</v>
      </c>
    </row>
    <row r="143" spans="1:8" ht="29" x14ac:dyDescent="0.35">
      <c r="A143" t="s">
        <v>3931</v>
      </c>
      <c r="B143" t="s">
        <v>3932</v>
      </c>
      <c r="C143" t="s">
        <v>8606</v>
      </c>
      <c r="E143" t="s">
        <v>8944</v>
      </c>
      <c r="F143" t="s">
        <v>8945</v>
      </c>
      <c r="G143" s="1" t="s">
        <v>11862</v>
      </c>
      <c r="H143" t="s">
        <v>11863</v>
      </c>
    </row>
    <row r="144" spans="1:8" ht="29" x14ac:dyDescent="0.35">
      <c r="A144" t="s">
        <v>6493</v>
      </c>
      <c r="B144" t="s">
        <v>6494</v>
      </c>
      <c r="C144" t="s">
        <v>8759</v>
      </c>
      <c r="E144" t="s">
        <v>8946</v>
      </c>
      <c r="F144" t="s">
        <v>8947</v>
      </c>
      <c r="G144" s="1" t="s">
        <v>11864</v>
      </c>
      <c r="H144" t="s">
        <v>11865</v>
      </c>
    </row>
    <row r="145" spans="1:8" ht="29" x14ac:dyDescent="0.35">
      <c r="A145" t="s">
        <v>1220</v>
      </c>
      <c r="B145" t="s">
        <v>1221</v>
      </c>
      <c r="C145" t="s">
        <v>8469</v>
      </c>
      <c r="E145" t="s">
        <v>8948</v>
      </c>
      <c r="F145" t="s">
        <v>8949</v>
      </c>
      <c r="G145" s="1" t="s">
        <v>11866</v>
      </c>
      <c r="H145" t="s">
        <v>11867</v>
      </c>
    </row>
    <row r="146" spans="1:8" ht="29" x14ac:dyDescent="0.35">
      <c r="A146" t="s">
        <v>7450</v>
      </c>
      <c r="B146" t="s">
        <v>7451</v>
      </c>
      <c r="C146" t="s">
        <v>8820</v>
      </c>
      <c r="E146" t="s">
        <v>8950</v>
      </c>
      <c r="F146" t="s">
        <v>8951</v>
      </c>
      <c r="G146" s="1" t="s">
        <v>11868</v>
      </c>
      <c r="H146" t="s">
        <v>11869</v>
      </c>
    </row>
    <row r="147" spans="1:8" ht="29" x14ac:dyDescent="0.35">
      <c r="A147" t="s">
        <v>6196</v>
      </c>
      <c r="B147" t="s">
        <v>6197</v>
      </c>
      <c r="C147" t="s">
        <v>8746</v>
      </c>
      <c r="E147" t="s">
        <v>8952</v>
      </c>
      <c r="F147" t="s">
        <v>8953</v>
      </c>
      <c r="G147" s="1" t="s">
        <v>11870</v>
      </c>
      <c r="H147" t="s">
        <v>11871</v>
      </c>
    </row>
    <row r="148" spans="1:8" x14ac:dyDescent="0.35">
      <c r="A148" t="s">
        <v>6196</v>
      </c>
      <c r="B148" t="s">
        <v>6197</v>
      </c>
      <c r="C148" t="s">
        <v>8746</v>
      </c>
      <c r="E148" t="s">
        <v>8952</v>
      </c>
      <c r="F148" t="s">
        <v>8954</v>
      </c>
      <c r="G148" s="1" t="s">
        <v>9285</v>
      </c>
      <c r="H148" t="s">
        <v>11872</v>
      </c>
    </row>
    <row r="149" spans="1:8" x14ac:dyDescent="0.35">
      <c r="A149" t="s">
        <v>6196</v>
      </c>
      <c r="B149" t="s">
        <v>6197</v>
      </c>
      <c r="C149" t="s">
        <v>8746</v>
      </c>
      <c r="E149" t="s">
        <v>8952</v>
      </c>
      <c r="F149" t="s">
        <v>8955</v>
      </c>
      <c r="G149" s="1" t="s">
        <v>11873</v>
      </c>
      <c r="H149" t="s">
        <v>11874</v>
      </c>
    </row>
    <row r="150" spans="1:8" x14ac:dyDescent="0.35">
      <c r="A150" t="s">
        <v>3116</v>
      </c>
      <c r="B150" t="s">
        <v>3117</v>
      </c>
      <c r="C150" t="s">
        <v>8557</v>
      </c>
      <c r="E150" t="s">
        <v>8956</v>
      </c>
      <c r="F150" t="s">
        <v>8957</v>
      </c>
      <c r="G150" s="1" t="s">
        <v>11875</v>
      </c>
      <c r="H150" t="s">
        <v>11876</v>
      </c>
    </row>
    <row r="151" spans="1:8" ht="29" x14ac:dyDescent="0.35">
      <c r="A151" t="s">
        <v>4266</v>
      </c>
      <c r="B151" t="s">
        <v>4267</v>
      </c>
      <c r="C151" t="s">
        <v>8628</v>
      </c>
      <c r="E151" t="s">
        <v>8958</v>
      </c>
      <c r="F151" t="s">
        <v>8959</v>
      </c>
      <c r="G151" s="1" t="s">
        <v>11877</v>
      </c>
      <c r="H151" t="s">
        <v>11878</v>
      </c>
    </row>
    <row r="152" spans="1:8" x14ac:dyDescent="0.35">
      <c r="A152" t="s">
        <v>693</v>
      </c>
      <c r="B152" t="s">
        <v>694</v>
      </c>
      <c r="C152" t="s">
        <v>8444</v>
      </c>
      <c r="E152" t="s">
        <v>8960</v>
      </c>
      <c r="F152" t="s">
        <v>8961</v>
      </c>
      <c r="G152" s="1" t="s">
        <v>11879</v>
      </c>
      <c r="H152" t="s">
        <v>11880</v>
      </c>
    </row>
    <row r="153" spans="1:8" ht="29" x14ac:dyDescent="0.35">
      <c r="A153" t="s">
        <v>6643</v>
      </c>
      <c r="B153" t="s">
        <v>6644</v>
      </c>
      <c r="C153" t="s">
        <v>8771</v>
      </c>
      <c r="E153" t="s">
        <v>8962</v>
      </c>
      <c r="F153" t="s">
        <v>8963</v>
      </c>
      <c r="G153" s="1" t="s">
        <v>11881</v>
      </c>
      <c r="H153" t="s">
        <v>11882</v>
      </c>
    </row>
    <row r="154" spans="1:8" ht="29" x14ac:dyDescent="0.35">
      <c r="A154" t="s">
        <v>6643</v>
      </c>
      <c r="B154" t="s">
        <v>6644</v>
      </c>
      <c r="C154" t="s">
        <v>8771</v>
      </c>
      <c r="E154" t="s">
        <v>8962</v>
      </c>
      <c r="F154" t="s">
        <v>8964</v>
      </c>
      <c r="G154" s="1" t="s">
        <v>11883</v>
      </c>
      <c r="H154" t="s">
        <v>11884</v>
      </c>
    </row>
    <row r="155" spans="1:8" ht="29" x14ac:dyDescent="0.35">
      <c r="A155" t="s">
        <v>6643</v>
      </c>
      <c r="B155" t="s">
        <v>6644</v>
      </c>
      <c r="C155" t="s">
        <v>8771</v>
      </c>
      <c r="E155" t="s">
        <v>8962</v>
      </c>
      <c r="F155" t="s">
        <v>8965</v>
      </c>
      <c r="G155" s="1" t="s">
        <v>11885</v>
      </c>
      <c r="H155" t="s">
        <v>11886</v>
      </c>
    </row>
    <row r="156" spans="1:8" ht="29" x14ac:dyDescent="0.35">
      <c r="A156" t="s">
        <v>6643</v>
      </c>
      <c r="B156" t="s">
        <v>6644</v>
      </c>
      <c r="C156" t="s">
        <v>8771</v>
      </c>
      <c r="E156" t="s">
        <v>8962</v>
      </c>
      <c r="F156" t="s">
        <v>8966</v>
      </c>
      <c r="G156" s="1" t="s">
        <v>11887</v>
      </c>
      <c r="H156" t="s">
        <v>11886</v>
      </c>
    </row>
    <row r="157" spans="1:8" x14ac:dyDescent="0.35">
      <c r="A157" t="s">
        <v>3301</v>
      </c>
      <c r="B157" t="s">
        <v>3302</v>
      </c>
      <c r="C157" t="s">
        <v>8569</v>
      </c>
      <c r="E157" t="s">
        <v>8967</v>
      </c>
      <c r="F157" t="s">
        <v>8968</v>
      </c>
      <c r="G157" s="1" t="s">
        <v>11888</v>
      </c>
      <c r="H157" t="s">
        <v>11889</v>
      </c>
    </row>
    <row r="158" spans="1:8" ht="29" x14ac:dyDescent="0.35">
      <c r="A158" t="s">
        <v>3301</v>
      </c>
      <c r="B158" t="s">
        <v>3302</v>
      </c>
      <c r="C158" t="s">
        <v>8569</v>
      </c>
      <c r="E158" t="s">
        <v>8967</v>
      </c>
      <c r="F158" t="s">
        <v>8969</v>
      </c>
      <c r="G158" s="1" t="s">
        <v>11890</v>
      </c>
      <c r="H158" t="s">
        <v>11891</v>
      </c>
    </row>
    <row r="159" spans="1:8" x14ac:dyDescent="0.35">
      <c r="A159" t="s">
        <v>3301</v>
      </c>
      <c r="B159" t="s">
        <v>3302</v>
      </c>
      <c r="C159" t="s">
        <v>8569</v>
      </c>
      <c r="E159" t="s">
        <v>8967</v>
      </c>
      <c r="F159" t="s">
        <v>8970</v>
      </c>
      <c r="G159" s="1" t="s">
        <v>11892</v>
      </c>
      <c r="H159" t="s">
        <v>11893</v>
      </c>
    </row>
    <row r="160" spans="1:8" x14ac:dyDescent="0.35">
      <c r="A160" t="s">
        <v>3301</v>
      </c>
      <c r="B160" t="s">
        <v>3302</v>
      </c>
      <c r="C160" t="s">
        <v>8569</v>
      </c>
      <c r="E160" t="s">
        <v>8967</v>
      </c>
      <c r="F160" t="s">
        <v>8971</v>
      </c>
      <c r="G160" s="1" t="s">
        <v>13866</v>
      </c>
      <c r="H160" t="s">
        <v>11894</v>
      </c>
    </row>
    <row r="161" spans="1:8" ht="29" x14ac:dyDescent="0.35">
      <c r="A161" t="s">
        <v>3301</v>
      </c>
      <c r="B161" t="s">
        <v>3302</v>
      </c>
      <c r="C161" t="s">
        <v>8569</v>
      </c>
      <c r="E161" t="s">
        <v>8967</v>
      </c>
      <c r="F161" t="s">
        <v>8972</v>
      </c>
      <c r="G161" s="1" t="s">
        <v>11895</v>
      </c>
      <c r="H161" t="s">
        <v>11896</v>
      </c>
    </row>
    <row r="162" spans="1:8" x14ac:dyDescent="0.35">
      <c r="A162" t="s">
        <v>3301</v>
      </c>
      <c r="B162" t="s">
        <v>3302</v>
      </c>
      <c r="C162" t="s">
        <v>8569</v>
      </c>
      <c r="E162" t="s">
        <v>8967</v>
      </c>
      <c r="F162" t="s">
        <v>8973</v>
      </c>
      <c r="G162" s="1" t="s">
        <v>13867</v>
      </c>
      <c r="H162" t="s">
        <v>11897</v>
      </c>
    </row>
    <row r="163" spans="1:8" ht="29" x14ac:dyDescent="0.35">
      <c r="A163" t="s">
        <v>3301</v>
      </c>
      <c r="B163" t="s">
        <v>3302</v>
      </c>
      <c r="C163" t="s">
        <v>8569</v>
      </c>
      <c r="E163" t="s">
        <v>8967</v>
      </c>
      <c r="F163" t="s">
        <v>8974</v>
      </c>
      <c r="G163" s="1" t="s">
        <v>13868</v>
      </c>
      <c r="H163" t="s">
        <v>11898</v>
      </c>
    </row>
    <row r="164" spans="1:8" ht="29" x14ac:dyDescent="0.35">
      <c r="A164" t="s">
        <v>3301</v>
      </c>
      <c r="B164" t="s">
        <v>3302</v>
      </c>
      <c r="C164" t="s">
        <v>8569</v>
      </c>
      <c r="E164" t="s">
        <v>8967</v>
      </c>
      <c r="F164" t="s">
        <v>8975</v>
      </c>
      <c r="G164" s="1" t="s">
        <v>11899</v>
      </c>
      <c r="H164" t="s">
        <v>11900</v>
      </c>
    </row>
    <row r="165" spans="1:8" ht="29" x14ac:dyDescent="0.35">
      <c r="A165" t="s">
        <v>3301</v>
      </c>
      <c r="B165" t="s">
        <v>3302</v>
      </c>
      <c r="C165" t="s">
        <v>8569</v>
      </c>
      <c r="E165" t="s">
        <v>8967</v>
      </c>
      <c r="F165" t="s">
        <v>8976</v>
      </c>
      <c r="G165" s="1" t="s">
        <v>11901</v>
      </c>
      <c r="H165" t="s">
        <v>11902</v>
      </c>
    </row>
    <row r="166" spans="1:8" x14ac:dyDescent="0.35">
      <c r="A166" t="s">
        <v>8304</v>
      </c>
      <c r="B166" t="s">
        <v>8305</v>
      </c>
      <c r="C166" t="s">
        <v>8569</v>
      </c>
      <c r="E166" t="s">
        <v>8967</v>
      </c>
      <c r="F166" t="s">
        <v>8968</v>
      </c>
      <c r="G166" t="s">
        <v>11888</v>
      </c>
      <c r="H166" t="s">
        <v>11889</v>
      </c>
    </row>
    <row r="167" spans="1:8" ht="29" x14ac:dyDescent="0.35">
      <c r="A167" t="s">
        <v>8304</v>
      </c>
      <c r="B167" t="s">
        <v>8305</v>
      </c>
      <c r="C167" t="s">
        <v>8569</v>
      </c>
      <c r="E167" t="s">
        <v>8967</v>
      </c>
      <c r="F167" t="s">
        <v>8969</v>
      </c>
      <c r="G167" s="1" t="s">
        <v>11890</v>
      </c>
      <c r="H167" t="s">
        <v>11891</v>
      </c>
    </row>
    <row r="168" spans="1:8" x14ac:dyDescent="0.35">
      <c r="A168" t="s">
        <v>8304</v>
      </c>
      <c r="B168" t="s">
        <v>8305</v>
      </c>
      <c r="C168" t="s">
        <v>8569</v>
      </c>
      <c r="E168" t="s">
        <v>8967</v>
      </c>
      <c r="F168" t="s">
        <v>8970</v>
      </c>
      <c r="G168" t="s">
        <v>11892</v>
      </c>
      <c r="H168" t="s">
        <v>11893</v>
      </c>
    </row>
    <row r="169" spans="1:8" x14ac:dyDescent="0.35">
      <c r="A169" t="s">
        <v>8304</v>
      </c>
      <c r="B169" t="s">
        <v>8305</v>
      </c>
      <c r="C169" t="s">
        <v>8569</v>
      </c>
      <c r="E169" t="s">
        <v>8967</v>
      </c>
      <c r="F169" t="s">
        <v>8971</v>
      </c>
      <c r="G169" t="s">
        <v>13866</v>
      </c>
      <c r="H169" t="s">
        <v>11894</v>
      </c>
    </row>
    <row r="170" spans="1:8" ht="29" x14ac:dyDescent="0.35">
      <c r="A170" t="s">
        <v>8304</v>
      </c>
      <c r="B170" t="s">
        <v>8305</v>
      </c>
      <c r="C170" t="s">
        <v>8569</v>
      </c>
      <c r="E170" t="s">
        <v>8967</v>
      </c>
      <c r="F170" t="s">
        <v>8972</v>
      </c>
      <c r="G170" s="1" t="s">
        <v>11895</v>
      </c>
      <c r="H170" t="s">
        <v>11896</v>
      </c>
    </row>
    <row r="171" spans="1:8" x14ac:dyDescent="0.35">
      <c r="A171" t="s">
        <v>8304</v>
      </c>
      <c r="B171" t="s">
        <v>8305</v>
      </c>
      <c r="C171" t="s">
        <v>8569</v>
      </c>
      <c r="E171" t="s">
        <v>8967</v>
      </c>
      <c r="F171" t="s">
        <v>8973</v>
      </c>
      <c r="G171" t="s">
        <v>13869</v>
      </c>
      <c r="H171" t="s">
        <v>11897</v>
      </c>
    </row>
    <row r="172" spans="1:8" ht="29" x14ac:dyDescent="0.35">
      <c r="A172" t="s">
        <v>8304</v>
      </c>
      <c r="B172" t="s">
        <v>8305</v>
      </c>
      <c r="C172" t="s">
        <v>8569</v>
      </c>
      <c r="E172" t="s">
        <v>8967</v>
      </c>
      <c r="F172" t="s">
        <v>8974</v>
      </c>
      <c r="G172" s="1" t="s">
        <v>13870</v>
      </c>
      <c r="H172" t="s">
        <v>11898</v>
      </c>
    </row>
    <row r="173" spans="1:8" ht="29" x14ac:dyDescent="0.35">
      <c r="A173" t="s">
        <v>8304</v>
      </c>
      <c r="B173" t="s">
        <v>8305</v>
      </c>
      <c r="C173" t="s">
        <v>8569</v>
      </c>
      <c r="E173" t="s">
        <v>8967</v>
      </c>
      <c r="F173" t="s">
        <v>8975</v>
      </c>
      <c r="G173" s="1" t="s">
        <v>11899</v>
      </c>
      <c r="H173" t="s">
        <v>11900</v>
      </c>
    </row>
    <row r="174" spans="1:8" ht="29" x14ac:dyDescent="0.35">
      <c r="A174" t="s">
        <v>8304</v>
      </c>
      <c r="B174" t="s">
        <v>8305</v>
      </c>
      <c r="C174" t="s">
        <v>8569</v>
      </c>
      <c r="E174" t="s">
        <v>8967</v>
      </c>
      <c r="F174" t="s">
        <v>8976</v>
      </c>
      <c r="G174" s="1" t="s">
        <v>11901</v>
      </c>
      <c r="H174" t="s">
        <v>11902</v>
      </c>
    </row>
    <row r="175" spans="1:8" ht="29" x14ac:dyDescent="0.35">
      <c r="A175" t="s">
        <v>1373</v>
      </c>
      <c r="B175" t="s">
        <v>1374</v>
      </c>
      <c r="C175" t="s">
        <v>8485</v>
      </c>
      <c r="E175" t="s">
        <v>8977</v>
      </c>
      <c r="F175" t="s">
        <v>8978</v>
      </c>
      <c r="G175" s="1" t="s">
        <v>13871</v>
      </c>
      <c r="H175" t="s">
        <v>11903</v>
      </c>
    </row>
    <row r="176" spans="1:8" ht="29" x14ac:dyDescent="0.35">
      <c r="A176" t="s">
        <v>1057</v>
      </c>
      <c r="B176" t="s">
        <v>1058</v>
      </c>
      <c r="C176" t="s">
        <v>8461</v>
      </c>
      <c r="E176" t="s">
        <v>8979</v>
      </c>
      <c r="F176" t="s">
        <v>8980</v>
      </c>
      <c r="G176" s="1" t="s">
        <v>11904</v>
      </c>
      <c r="H176" t="s">
        <v>11905</v>
      </c>
    </row>
    <row r="177" spans="1:8" ht="29" x14ac:dyDescent="0.35">
      <c r="A177" t="s">
        <v>1057</v>
      </c>
      <c r="B177" t="s">
        <v>1058</v>
      </c>
      <c r="C177" t="s">
        <v>8461</v>
      </c>
      <c r="E177" t="s">
        <v>8979</v>
      </c>
      <c r="F177" t="s">
        <v>8981</v>
      </c>
      <c r="G177" s="1" t="s">
        <v>11906</v>
      </c>
      <c r="H177" t="s">
        <v>11907</v>
      </c>
    </row>
    <row r="178" spans="1:8" ht="29" x14ac:dyDescent="0.35">
      <c r="A178" t="s">
        <v>1175</v>
      </c>
      <c r="B178" t="s">
        <v>1176</v>
      </c>
      <c r="C178" t="s">
        <v>8461</v>
      </c>
      <c r="E178" t="s">
        <v>8979</v>
      </c>
      <c r="F178" t="s">
        <v>8980</v>
      </c>
      <c r="G178" s="1" t="s">
        <v>11904</v>
      </c>
      <c r="H178" t="s">
        <v>11905</v>
      </c>
    </row>
    <row r="179" spans="1:8" ht="29" x14ac:dyDescent="0.35">
      <c r="A179" t="s">
        <v>1175</v>
      </c>
      <c r="B179" t="s">
        <v>1176</v>
      </c>
      <c r="C179" t="s">
        <v>8461</v>
      </c>
      <c r="E179" t="s">
        <v>8979</v>
      </c>
      <c r="F179" t="s">
        <v>8981</v>
      </c>
      <c r="G179" s="1" t="s">
        <v>11906</v>
      </c>
      <c r="H179" t="s">
        <v>11907</v>
      </c>
    </row>
    <row r="180" spans="1:8" ht="29" x14ac:dyDescent="0.35">
      <c r="A180" t="s">
        <v>1273</v>
      </c>
      <c r="B180" t="s">
        <v>1274</v>
      </c>
      <c r="C180" t="s">
        <v>8476</v>
      </c>
      <c r="E180" t="s">
        <v>8982</v>
      </c>
      <c r="F180" t="s">
        <v>8983</v>
      </c>
      <c r="G180" s="1" t="s">
        <v>13872</v>
      </c>
      <c r="H180" t="s">
        <v>11908</v>
      </c>
    </row>
    <row r="181" spans="1:8" x14ac:dyDescent="0.35">
      <c r="A181" t="s">
        <v>4282</v>
      </c>
      <c r="B181" t="s">
        <v>4283</v>
      </c>
      <c r="C181" t="s">
        <v>8631</v>
      </c>
      <c r="E181" t="s">
        <v>8984</v>
      </c>
      <c r="F181" t="s">
        <v>8985</v>
      </c>
      <c r="G181" s="1" t="s">
        <v>11909</v>
      </c>
      <c r="H181" t="s">
        <v>11910</v>
      </c>
    </row>
    <row r="182" spans="1:8" ht="29" x14ac:dyDescent="0.35">
      <c r="A182" t="s">
        <v>5214</v>
      </c>
      <c r="B182" t="s">
        <v>5215</v>
      </c>
      <c r="C182" t="s">
        <v>8671</v>
      </c>
      <c r="E182" t="s">
        <v>8986</v>
      </c>
      <c r="F182" t="s">
        <v>8987</v>
      </c>
      <c r="G182" s="1" t="s">
        <v>13873</v>
      </c>
      <c r="H182" t="s">
        <v>11911</v>
      </c>
    </row>
    <row r="183" spans="1:8" ht="29" x14ac:dyDescent="0.35">
      <c r="A183" t="s">
        <v>5214</v>
      </c>
      <c r="B183" t="s">
        <v>5215</v>
      </c>
      <c r="C183" t="s">
        <v>8671</v>
      </c>
      <c r="E183" t="s">
        <v>8986</v>
      </c>
      <c r="F183" t="s">
        <v>8988</v>
      </c>
      <c r="G183" s="1" t="s">
        <v>11912</v>
      </c>
      <c r="H183" t="s">
        <v>11913</v>
      </c>
    </row>
    <row r="184" spans="1:8" x14ac:dyDescent="0.35">
      <c r="A184" t="s">
        <v>5214</v>
      </c>
      <c r="B184" t="s">
        <v>5215</v>
      </c>
      <c r="C184" t="s">
        <v>8671</v>
      </c>
      <c r="E184" t="s">
        <v>8986</v>
      </c>
      <c r="F184" t="s">
        <v>8989</v>
      </c>
      <c r="G184" s="1" t="s">
        <v>11914</v>
      </c>
      <c r="H184" t="s">
        <v>11915</v>
      </c>
    </row>
    <row r="185" spans="1:8" x14ac:dyDescent="0.35">
      <c r="A185" t="s">
        <v>567</v>
      </c>
      <c r="B185" t="s">
        <v>568</v>
      </c>
      <c r="C185" t="s">
        <v>8437</v>
      </c>
      <c r="E185" t="s">
        <v>8990</v>
      </c>
      <c r="F185" t="s">
        <v>8991</v>
      </c>
      <c r="G185" s="1" t="s">
        <v>13874</v>
      </c>
      <c r="H185" t="s">
        <v>11916</v>
      </c>
    </row>
    <row r="186" spans="1:8" x14ac:dyDescent="0.35">
      <c r="A186" t="s">
        <v>567</v>
      </c>
      <c r="B186" t="s">
        <v>568</v>
      </c>
      <c r="C186" t="s">
        <v>8437</v>
      </c>
      <c r="E186" t="s">
        <v>8990</v>
      </c>
      <c r="F186" t="s">
        <v>8992</v>
      </c>
      <c r="G186" s="1" t="s">
        <v>11917</v>
      </c>
      <c r="H186" t="s">
        <v>11918</v>
      </c>
    </row>
    <row r="187" spans="1:8" ht="29" x14ac:dyDescent="0.35">
      <c r="A187" t="s">
        <v>567</v>
      </c>
      <c r="B187" t="s">
        <v>568</v>
      </c>
      <c r="C187" t="s">
        <v>8437</v>
      </c>
      <c r="E187" t="s">
        <v>8990</v>
      </c>
      <c r="F187" t="s">
        <v>8993</v>
      </c>
      <c r="G187" s="1" t="s">
        <v>11919</v>
      </c>
      <c r="H187" t="s">
        <v>11920</v>
      </c>
    </row>
    <row r="188" spans="1:8" x14ac:dyDescent="0.35">
      <c r="A188" t="s">
        <v>7207</v>
      </c>
      <c r="B188" t="s">
        <v>7208</v>
      </c>
      <c r="C188" t="s">
        <v>8800</v>
      </c>
      <c r="E188" t="s">
        <v>8994</v>
      </c>
      <c r="F188" t="s">
        <v>8995</v>
      </c>
      <c r="G188" s="1" t="s">
        <v>11921</v>
      </c>
      <c r="H188" t="s">
        <v>11922</v>
      </c>
    </row>
    <row r="189" spans="1:8" x14ac:dyDescent="0.35">
      <c r="A189" t="s">
        <v>5732</v>
      </c>
      <c r="B189" t="s">
        <v>5733</v>
      </c>
      <c r="C189" t="s">
        <v>8710</v>
      </c>
      <c r="E189" t="s">
        <v>8996</v>
      </c>
      <c r="F189" t="s">
        <v>8992</v>
      </c>
      <c r="G189" t="s">
        <v>9005</v>
      </c>
      <c r="H189" t="s">
        <v>9006</v>
      </c>
    </row>
    <row r="190" spans="1:8" x14ac:dyDescent="0.35">
      <c r="A190" t="s">
        <v>5732</v>
      </c>
      <c r="B190" t="s">
        <v>5733</v>
      </c>
      <c r="C190" t="s">
        <v>8710</v>
      </c>
      <c r="E190" t="s">
        <v>8996</v>
      </c>
      <c r="F190" t="s">
        <v>8997</v>
      </c>
      <c r="G190" t="s">
        <v>9003</v>
      </c>
      <c r="H190" t="s">
        <v>9004</v>
      </c>
    </row>
    <row r="191" spans="1:8" x14ac:dyDescent="0.35">
      <c r="A191" t="s">
        <v>5732</v>
      </c>
      <c r="B191" t="s">
        <v>5733</v>
      </c>
      <c r="C191" t="s">
        <v>8710</v>
      </c>
      <c r="E191" t="s">
        <v>8996</v>
      </c>
      <c r="F191" t="s">
        <v>8998</v>
      </c>
      <c r="G191" t="s">
        <v>9001</v>
      </c>
      <c r="H191" t="s">
        <v>9002</v>
      </c>
    </row>
    <row r="192" spans="1:8" x14ac:dyDescent="0.35">
      <c r="A192" t="s">
        <v>5625</v>
      </c>
      <c r="B192" t="s">
        <v>5626</v>
      </c>
      <c r="C192" t="s">
        <v>8703</v>
      </c>
      <c r="E192" t="s">
        <v>9007</v>
      </c>
      <c r="F192" t="s">
        <v>9009</v>
      </c>
      <c r="G192" t="s">
        <v>9008</v>
      </c>
      <c r="H192" t="s">
        <v>9017</v>
      </c>
    </row>
    <row r="193" spans="1:8" x14ac:dyDescent="0.35">
      <c r="A193" t="s">
        <v>5625</v>
      </c>
      <c r="B193" t="s">
        <v>5626</v>
      </c>
      <c r="C193" t="s">
        <v>8703</v>
      </c>
      <c r="E193" t="s">
        <v>9007</v>
      </c>
      <c r="F193" t="s">
        <v>9010</v>
      </c>
      <c r="G193" t="s">
        <v>9015</v>
      </c>
      <c r="H193" t="s">
        <v>9016</v>
      </c>
    </row>
    <row r="194" spans="1:8" x14ac:dyDescent="0.35">
      <c r="A194" t="s">
        <v>5625</v>
      </c>
      <c r="B194" t="s">
        <v>5626</v>
      </c>
      <c r="C194" t="s">
        <v>8703</v>
      </c>
      <c r="E194" t="s">
        <v>9007</v>
      </c>
      <c r="F194" t="s">
        <v>9011</v>
      </c>
      <c r="G194" t="s">
        <v>9018</v>
      </c>
      <c r="H194" t="s">
        <v>9019</v>
      </c>
    </row>
    <row r="195" spans="1:8" x14ac:dyDescent="0.35">
      <c r="A195" t="s">
        <v>5625</v>
      </c>
      <c r="B195" t="s">
        <v>5626</v>
      </c>
      <c r="C195" t="s">
        <v>8703</v>
      </c>
      <c r="E195" t="s">
        <v>9007</v>
      </c>
      <c r="F195" t="s">
        <v>9012</v>
      </c>
      <c r="G195" t="s">
        <v>9020</v>
      </c>
      <c r="H195" t="s">
        <v>9021</v>
      </c>
    </row>
    <row r="196" spans="1:8" x14ac:dyDescent="0.35">
      <c r="A196" t="s">
        <v>5625</v>
      </c>
      <c r="B196" t="s">
        <v>5626</v>
      </c>
      <c r="C196" t="s">
        <v>8703</v>
      </c>
      <c r="E196" t="s">
        <v>9007</v>
      </c>
      <c r="F196" t="s">
        <v>9013</v>
      </c>
      <c r="G196" t="s">
        <v>9022</v>
      </c>
      <c r="H196" t="s">
        <v>9023</v>
      </c>
    </row>
    <row r="197" spans="1:8" x14ac:dyDescent="0.35">
      <c r="A197" t="s">
        <v>5625</v>
      </c>
      <c r="B197" t="s">
        <v>5626</v>
      </c>
      <c r="C197" t="s">
        <v>8703</v>
      </c>
      <c r="E197" t="s">
        <v>9007</v>
      </c>
      <c r="F197" t="s">
        <v>9014</v>
      </c>
      <c r="G197" t="s">
        <v>9024</v>
      </c>
      <c r="H197" t="s">
        <v>9025</v>
      </c>
    </row>
    <row r="198" spans="1:8" x14ac:dyDescent="0.35">
      <c r="A198" t="s">
        <v>1206</v>
      </c>
      <c r="B198" t="s">
        <v>1207</v>
      </c>
      <c r="C198" t="s">
        <v>8468</v>
      </c>
      <c r="E198" t="s">
        <v>9026</v>
      </c>
      <c r="F198" t="s">
        <v>9027</v>
      </c>
      <c r="G198" t="s">
        <v>9028</v>
      </c>
      <c r="H198" t="s">
        <v>9029</v>
      </c>
    </row>
    <row r="199" spans="1:8" x14ac:dyDescent="0.35">
      <c r="A199" t="s">
        <v>1206</v>
      </c>
      <c r="B199" t="s">
        <v>1207</v>
      </c>
      <c r="C199" t="s">
        <v>8468</v>
      </c>
      <c r="E199" t="s">
        <v>9026</v>
      </c>
      <c r="F199" t="s">
        <v>9030</v>
      </c>
      <c r="G199" t="s">
        <v>9031</v>
      </c>
      <c r="H199" t="s">
        <v>9032</v>
      </c>
    </row>
    <row r="200" spans="1:8" x14ac:dyDescent="0.35">
      <c r="A200" t="s">
        <v>1206</v>
      </c>
      <c r="B200" t="s">
        <v>1207</v>
      </c>
      <c r="C200" t="s">
        <v>8468</v>
      </c>
      <c r="E200" t="s">
        <v>9026</v>
      </c>
      <c r="F200" t="s">
        <v>9033</v>
      </c>
      <c r="G200" t="s">
        <v>9034</v>
      </c>
      <c r="H200" t="s">
        <v>9035</v>
      </c>
    </row>
    <row r="201" spans="1:8" x14ac:dyDescent="0.35">
      <c r="A201" t="s">
        <v>1206</v>
      </c>
      <c r="B201" t="s">
        <v>1207</v>
      </c>
      <c r="C201" t="s">
        <v>8468</v>
      </c>
      <c r="E201" t="s">
        <v>9026</v>
      </c>
      <c r="F201" t="s">
        <v>9036</v>
      </c>
      <c r="G201" t="s">
        <v>9037</v>
      </c>
      <c r="H201" t="s">
        <v>9038</v>
      </c>
    </row>
    <row r="202" spans="1:8" x14ac:dyDescent="0.35">
      <c r="A202" t="s">
        <v>5991</v>
      </c>
      <c r="B202" t="s">
        <v>5992</v>
      </c>
      <c r="C202" t="s">
        <v>8731</v>
      </c>
      <c r="E202" t="s">
        <v>9039</v>
      </c>
      <c r="F202" t="s">
        <v>9040</v>
      </c>
      <c r="G202" t="s">
        <v>9041</v>
      </c>
      <c r="H202" t="s">
        <v>9042</v>
      </c>
    </row>
    <row r="203" spans="1:8" x14ac:dyDescent="0.35">
      <c r="A203" t="s">
        <v>5991</v>
      </c>
      <c r="B203" t="s">
        <v>5992</v>
      </c>
      <c r="C203" t="s">
        <v>8731</v>
      </c>
      <c r="E203" t="s">
        <v>9039</v>
      </c>
      <c r="F203" t="s">
        <v>9043</v>
      </c>
      <c r="G203" t="s">
        <v>9044</v>
      </c>
      <c r="H203" t="s">
        <v>9045</v>
      </c>
    </row>
    <row r="204" spans="1:8" x14ac:dyDescent="0.35">
      <c r="A204" t="s">
        <v>2083</v>
      </c>
      <c r="B204" t="s">
        <v>2084</v>
      </c>
      <c r="C204" t="s">
        <v>8511</v>
      </c>
      <c r="E204" t="s">
        <v>9046</v>
      </c>
      <c r="F204" t="s">
        <v>9047</v>
      </c>
      <c r="G204" t="s">
        <v>9048</v>
      </c>
      <c r="H204" t="s">
        <v>9049</v>
      </c>
    </row>
    <row r="205" spans="1:8" x14ac:dyDescent="0.35">
      <c r="A205" t="s">
        <v>2083</v>
      </c>
      <c r="B205" t="s">
        <v>2084</v>
      </c>
      <c r="C205" t="s">
        <v>8511</v>
      </c>
      <c r="E205" t="s">
        <v>9046</v>
      </c>
      <c r="F205" t="s">
        <v>9050</v>
      </c>
      <c r="G205" t="s">
        <v>9051</v>
      </c>
      <c r="H205" t="s">
        <v>9052</v>
      </c>
    </row>
    <row r="206" spans="1:8" x14ac:dyDescent="0.35">
      <c r="A206" t="s">
        <v>2083</v>
      </c>
      <c r="B206" t="s">
        <v>2084</v>
      </c>
      <c r="C206" t="s">
        <v>8511</v>
      </c>
      <c r="E206" t="s">
        <v>9046</v>
      </c>
      <c r="F206" t="s">
        <v>9053</v>
      </c>
      <c r="G206" t="s">
        <v>13875</v>
      </c>
      <c r="H206" t="s">
        <v>9054</v>
      </c>
    </row>
    <row r="207" spans="1:8" x14ac:dyDescent="0.35">
      <c r="A207" t="s">
        <v>2083</v>
      </c>
      <c r="B207" t="s">
        <v>2084</v>
      </c>
      <c r="C207" t="s">
        <v>8511</v>
      </c>
      <c r="E207" t="s">
        <v>9046</v>
      </c>
      <c r="F207" t="s">
        <v>9055</v>
      </c>
      <c r="G207" t="s">
        <v>13876</v>
      </c>
      <c r="H207" t="s">
        <v>9056</v>
      </c>
    </row>
    <row r="208" spans="1:8" x14ac:dyDescent="0.35">
      <c r="A208" t="s">
        <v>2083</v>
      </c>
      <c r="B208" t="s">
        <v>2084</v>
      </c>
      <c r="C208" t="s">
        <v>8511</v>
      </c>
      <c r="E208" t="s">
        <v>9046</v>
      </c>
      <c r="F208" t="s">
        <v>9057</v>
      </c>
      <c r="G208" t="s">
        <v>9058</v>
      </c>
      <c r="H208" t="s">
        <v>9059</v>
      </c>
    </row>
    <row r="209" spans="1:8" x14ac:dyDescent="0.35">
      <c r="A209" t="s">
        <v>2083</v>
      </c>
      <c r="B209" t="s">
        <v>2084</v>
      </c>
      <c r="C209" t="s">
        <v>8511</v>
      </c>
      <c r="E209" t="s">
        <v>9046</v>
      </c>
      <c r="F209" t="s">
        <v>9060</v>
      </c>
      <c r="G209" t="s">
        <v>9061</v>
      </c>
      <c r="H209" t="s">
        <v>9062</v>
      </c>
    </row>
    <row r="210" spans="1:8" x14ac:dyDescent="0.35">
      <c r="A210" t="s">
        <v>2083</v>
      </c>
      <c r="B210" t="s">
        <v>2084</v>
      </c>
      <c r="C210" t="s">
        <v>8511</v>
      </c>
      <c r="E210" t="s">
        <v>9046</v>
      </c>
      <c r="F210" t="s">
        <v>9063</v>
      </c>
      <c r="G210" t="s">
        <v>9064</v>
      </c>
      <c r="H210" t="s">
        <v>9065</v>
      </c>
    </row>
    <row r="211" spans="1:8" x14ac:dyDescent="0.35">
      <c r="A211" t="s">
        <v>2439</v>
      </c>
      <c r="B211" t="s">
        <v>2440</v>
      </c>
      <c r="C211" t="s">
        <v>8511</v>
      </c>
      <c r="E211" t="s">
        <v>9046</v>
      </c>
      <c r="F211" t="s">
        <v>9047</v>
      </c>
      <c r="G211" t="s">
        <v>9048</v>
      </c>
      <c r="H211" t="s">
        <v>9049</v>
      </c>
    </row>
    <row r="212" spans="1:8" x14ac:dyDescent="0.35">
      <c r="A212" t="s">
        <v>2439</v>
      </c>
      <c r="B212" t="s">
        <v>2440</v>
      </c>
      <c r="C212" t="s">
        <v>8511</v>
      </c>
      <c r="E212" t="s">
        <v>9046</v>
      </c>
      <c r="F212" t="s">
        <v>9050</v>
      </c>
      <c r="G212" t="s">
        <v>9051</v>
      </c>
      <c r="H212" t="s">
        <v>9052</v>
      </c>
    </row>
    <row r="213" spans="1:8" x14ac:dyDescent="0.35">
      <c r="A213" t="s">
        <v>2439</v>
      </c>
      <c r="B213" t="s">
        <v>2440</v>
      </c>
      <c r="C213" t="s">
        <v>8511</v>
      </c>
      <c r="E213" t="s">
        <v>9046</v>
      </c>
      <c r="F213" t="s">
        <v>9053</v>
      </c>
      <c r="G213" t="s">
        <v>13875</v>
      </c>
      <c r="H213" t="s">
        <v>9054</v>
      </c>
    </row>
    <row r="214" spans="1:8" x14ac:dyDescent="0.35">
      <c r="A214" t="s">
        <v>2439</v>
      </c>
      <c r="B214" t="s">
        <v>2440</v>
      </c>
      <c r="C214" t="s">
        <v>8511</v>
      </c>
      <c r="E214" t="s">
        <v>9046</v>
      </c>
      <c r="F214" t="s">
        <v>9055</v>
      </c>
      <c r="G214" t="s">
        <v>13876</v>
      </c>
      <c r="H214" t="s">
        <v>9056</v>
      </c>
    </row>
    <row r="215" spans="1:8" x14ac:dyDescent="0.35">
      <c r="A215" t="s">
        <v>2439</v>
      </c>
      <c r="B215" t="s">
        <v>2440</v>
      </c>
      <c r="C215" t="s">
        <v>8511</v>
      </c>
      <c r="E215" t="s">
        <v>9046</v>
      </c>
      <c r="F215" t="s">
        <v>9057</v>
      </c>
      <c r="G215" t="s">
        <v>9058</v>
      </c>
      <c r="H215" t="s">
        <v>9059</v>
      </c>
    </row>
    <row r="216" spans="1:8" x14ac:dyDescent="0.35">
      <c r="A216" t="s">
        <v>2439</v>
      </c>
      <c r="B216" t="s">
        <v>2440</v>
      </c>
      <c r="C216" t="s">
        <v>8511</v>
      </c>
      <c r="E216" t="s">
        <v>9046</v>
      </c>
      <c r="F216" t="s">
        <v>9060</v>
      </c>
      <c r="G216" t="s">
        <v>9061</v>
      </c>
      <c r="H216" t="s">
        <v>9062</v>
      </c>
    </row>
    <row r="217" spans="1:8" x14ac:dyDescent="0.35">
      <c r="A217" t="s">
        <v>2439</v>
      </c>
      <c r="B217" t="s">
        <v>2440</v>
      </c>
      <c r="C217" t="s">
        <v>8511</v>
      </c>
      <c r="E217" t="s">
        <v>9046</v>
      </c>
      <c r="F217" t="s">
        <v>9063</v>
      </c>
      <c r="G217" t="s">
        <v>9064</v>
      </c>
      <c r="H217" t="s">
        <v>9065</v>
      </c>
    </row>
    <row r="218" spans="1:8" x14ac:dyDescent="0.35">
      <c r="A218" t="s">
        <v>3869</v>
      </c>
      <c r="B218" t="s">
        <v>3870</v>
      </c>
      <c r="C218" t="s">
        <v>8604</v>
      </c>
      <c r="E218" t="s">
        <v>9066</v>
      </c>
      <c r="F218" t="s">
        <v>9067</v>
      </c>
      <c r="G218" t="s">
        <v>9068</v>
      </c>
      <c r="H218" t="s">
        <v>9069</v>
      </c>
    </row>
    <row r="219" spans="1:8" x14ac:dyDescent="0.35">
      <c r="A219" t="s">
        <v>3869</v>
      </c>
      <c r="B219" t="s">
        <v>3870</v>
      </c>
      <c r="C219" t="s">
        <v>8604</v>
      </c>
      <c r="E219" t="s">
        <v>9066</v>
      </c>
      <c r="F219" t="s">
        <v>9070</v>
      </c>
      <c r="G219" t="s">
        <v>9074</v>
      </c>
      <c r="H219" t="s">
        <v>9075</v>
      </c>
    </row>
    <row r="220" spans="1:8" x14ac:dyDescent="0.35">
      <c r="A220" t="s">
        <v>3869</v>
      </c>
      <c r="B220" t="s">
        <v>3870</v>
      </c>
      <c r="C220" t="s">
        <v>8604</v>
      </c>
      <c r="E220" t="s">
        <v>9066</v>
      </c>
      <c r="F220" t="s">
        <v>9071</v>
      </c>
      <c r="G220" t="s">
        <v>9076</v>
      </c>
      <c r="H220" t="s">
        <v>9077</v>
      </c>
    </row>
    <row r="221" spans="1:8" x14ac:dyDescent="0.35">
      <c r="A221" t="s">
        <v>3869</v>
      </c>
      <c r="B221" t="s">
        <v>3870</v>
      </c>
      <c r="C221" t="s">
        <v>8604</v>
      </c>
      <c r="E221" t="s">
        <v>9066</v>
      </c>
      <c r="F221" t="s">
        <v>9072</v>
      </c>
      <c r="G221" t="s">
        <v>9078</v>
      </c>
      <c r="H221" t="s">
        <v>9079</v>
      </c>
    </row>
    <row r="222" spans="1:8" x14ac:dyDescent="0.35">
      <c r="A222" t="s">
        <v>3869</v>
      </c>
      <c r="B222" t="s">
        <v>3870</v>
      </c>
      <c r="C222" t="s">
        <v>8604</v>
      </c>
      <c r="E222" t="s">
        <v>9066</v>
      </c>
      <c r="F222" t="s">
        <v>9073</v>
      </c>
      <c r="G222" t="s">
        <v>9080</v>
      </c>
      <c r="H222" t="s">
        <v>9081</v>
      </c>
    </row>
    <row r="223" spans="1:8" x14ac:dyDescent="0.35">
      <c r="A223" t="s">
        <v>618</v>
      </c>
      <c r="B223" t="s">
        <v>619</v>
      </c>
      <c r="C223" t="s">
        <v>8440</v>
      </c>
      <c r="E223" t="s">
        <v>9082</v>
      </c>
      <c r="F223" t="s">
        <v>9083</v>
      </c>
      <c r="G223" t="s">
        <v>13877</v>
      </c>
      <c r="H223" t="s">
        <v>9084</v>
      </c>
    </row>
    <row r="224" spans="1:8" x14ac:dyDescent="0.35">
      <c r="A224" t="s">
        <v>5525</v>
      </c>
      <c r="B224" t="s">
        <v>5526</v>
      </c>
      <c r="C224" t="s">
        <v>8694</v>
      </c>
      <c r="E224" t="s">
        <v>9085</v>
      </c>
      <c r="F224" t="s">
        <v>9086</v>
      </c>
      <c r="G224" t="s">
        <v>13878</v>
      </c>
      <c r="H224" t="s">
        <v>9089</v>
      </c>
    </row>
    <row r="225" spans="1:8" x14ac:dyDescent="0.35">
      <c r="A225" t="s">
        <v>5525</v>
      </c>
      <c r="B225" t="s">
        <v>5526</v>
      </c>
      <c r="C225" t="s">
        <v>8694</v>
      </c>
      <c r="E225" t="s">
        <v>9085</v>
      </c>
      <c r="F225" t="s">
        <v>9087</v>
      </c>
      <c r="G225" t="s">
        <v>13879</v>
      </c>
      <c r="H225" t="s">
        <v>9088</v>
      </c>
    </row>
    <row r="226" spans="1:8" x14ac:dyDescent="0.35">
      <c r="A226" t="s">
        <v>1088</v>
      </c>
      <c r="B226" t="s">
        <v>1089</v>
      </c>
      <c r="C226" t="s">
        <v>8462</v>
      </c>
      <c r="E226" t="s">
        <v>9090</v>
      </c>
      <c r="F226" t="s">
        <v>9091</v>
      </c>
      <c r="G226" t="s">
        <v>9092</v>
      </c>
      <c r="H226" t="s">
        <v>9093</v>
      </c>
    </row>
    <row r="227" spans="1:8" x14ac:dyDescent="0.35">
      <c r="A227" t="s">
        <v>1088</v>
      </c>
      <c r="B227" t="s">
        <v>1089</v>
      </c>
      <c r="C227" t="s">
        <v>8462</v>
      </c>
      <c r="E227" t="s">
        <v>9090</v>
      </c>
      <c r="F227" t="s">
        <v>9094</v>
      </c>
      <c r="G227" t="s">
        <v>9095</v>
      </c>
      <c r="H227" t="s">
        <v>9096</v>
      </c>
    </row>
    <row r="228" spans="1:8" x14ac:dyDescent="0.35">
      <c r="A228" t="s">
        <v>1088</v>
      </c>
      <c r="B228" t="s">
        <v>1089</v>
      </c>
      <c r="C228" t="s">
        <v>8462</v>
      </c>
      <c r="E228" t="s">
        <v>9090</v>
      </c>
      <c r="F228" t="s">
        <v>9097</v>
      </c>
      <c r="G228" t="s">
        <v>9098</v>
      </c>
      <c r="H228" t="s">
        <v>9099</v>
      </c>
    </row>
    <row r="229" spans="1:8" x14ac:dyDescent="0.35">
      <c r="A229" t="s">
        <v>1088</v>
      </c>
      <c r="B229" t="s">
        <v>1089</v>
      </c>
      <c r="C229" t="s">
        <v>8462</v>
      </c>
      <c r="E229" t="s">
        <v>9090</v>
      </c>
      <c r="F229" t="s">
        <v>9100</v>
      </c>
      <c r="G229" t="s">
        <v>9101</v>
      </c>
      <c r="H229" t="s">
        <v>9102</v>
      </c>
    </row>
    <row r="230" spans="1:8" x14ac:dyDescent="0.35">
      <c r="A230" t="s">
        <v>8383</v>
      </c>
      <c r="B230" t="s">
        <v>8384</v>
      </c>
      <c r="C230" t="s">
        <v>8855</v>
      </c>
      <c r="E230" t="s">
        <v>9103</v>
      </c>
      <c r="F230" t="s">
        <v>9104</v>
      </c>
      <c r="G230" t="s">
        <v>9105</v>
      </c>
      <c r="H230" t="s">
        <v>9106</v>
      </c>
    </row>
    <row r="231" spans="1:8" x14ac:dyDescent="0.35">
      <c r="A231" t="s">
        <v>8383</v>
      </c>
      <c r="B231" t="s">
        <v>8384</v>
      </c>
      <c r="C231" t="s">
        <v>8855</v>
      </c>
      <c r="E231" t="s">
        <v>9103</v>
      </c>
      <c r="F231" t="s">
        <v>9107</v>
      </c>
      <c r="G231" t="s">
        <v>9108</v>
      </c>
      <c r="H231" t="s">
        <v>9109</v>
      </c>
    </row>
    <row r="232" spans="1:8" x14ac:dyDescent="0.35">
      <c r="A232" t="s">
        <v>8383</v>
      </c>
      <c r="B232" t="s">
        <v>8384</v>
      </c>
      <c r="C232" t="s">
        <v>8855</v>
      </c>
      <c r="E232" t="s">
        <v>9103</v>
      </c>
      <c r="F232" t="s">
        <v>9110</v>
      </c>
      <c r="G232" t="s">
        <v>13880</v>
      </c>
      <c r="H232" t="s">
        <v>9111</v>
      </c>
    </row>
    <row r="233" spans="1:8" x14ac:dyDescent="0.35">
      <c r="A233" t="s">
        <v>8383</v>
      </c>
      <c r="B233" t="s">
        <v>8384</v>
      </c>
      <c r="C233" t="s">
        <v>8855</v>
      </c>
      <c r="E233" t="s">
        <v>9103</v>
      </c>
      <c r="F233" t="s">
        <v>9112</v>
      </c>
      <c r="G233" t="s">
        <v>13881</v>
      </c>
      <c r="H233" t="s">
        <v>9113</v>
      </c>
    </row>
    <row r="234" spans="1:8" x14ac:dyDescent="0.35">
      <c r="A234" t="s">
        <v>7963</v>
      </c>
      <c r="B234" t="s">
        <v>7964</v>
      </c>
      <c r="C234" t="s">
        <v>8839</v>
      </c>
      <c r="E234" t="s">
        <v>9114</v>
      </c>
      <c r="F234" t="s">
        <v>9115</v>
      </c>
      <c r="G234" t="s">
        <v>9116</v>
      </c>
      <c r="H234" t="s">
        <v>9117</v>
      </c>
    </row>
    <row r="235" spans="1:8" x14ac:dyDescent="0.35">
      <c r="A235" t="s">
        <v>7963</v>
      </c>
      <c r="B235" t="s">
        <v>7964</v>
      </c>
      <c r="C235" t="s">
        <v>8839</v>
      </c>
      <c r="E235" t="s">
        <v>9114</v>
      </c>
      <c r="F235" t="s">
        <v>9118</v>
      </c>
      <c r="G235" t="s">
        <v>9119</v>
      </c>
      <c r="H235" t="s">
        <v>9120</v>
      </c>
    </row>
    <row r="236" spans="1:8" x14ac:dyDescent="0.35">
      <c r="A236" t="s">
        <v>5210</v>
      </c>
      <c r="B236" t="s">
        <v>5211</v>
      </c>
      <c r="C236" t="s">
        <v>8670</v>
      </c>
      <c r="E236" s="19" t="s">
        <v>9121</v>
      </c>
      <c r="F236" t="s">
        <v>9122</v>
      </c>
      <c r="G236" t="s">
        <v>9116</v>
      </c>
      <c r="H236" t="s">
        <v>9123</v>
      </c>
    </row>
    <row r="237" spans="1:8" x14ac:dyDescent="0.35">
      <c r="A237" t="s">
        <v>7703</v>
      </c>
      <c r="B237" t="s">
        <v>7704</v>
      </c>
      <c r="C237" t="s">
        <v>8829</v>
      </c>
      <c r="E237" t="s">
        <v>9124</v>
      </c>
      <c r="F237" t="s">
        <v>9125</v>
      </c>
      <c r="G237" t="s">
        <v>9126</v>
      </c>
      <c r="H237" t="s">
        <v>9127</v>
      </c>
    </row>
    <row r="238" spans="1:8" x14ac:dyDescent="0.35">
      <c r="A238" t="s">
        <v>4179</v>
      </c>
      <c r="B238" t="s">
        <v>4180</v>
      </c>
      <c r="C238" t="s">
        <v>8620</v>
      </c>
      <c r="E238" t="s">
        <v>9128</v>
      </c>
      <c r="F238" t="s">
        <v>9129</v>
      </c>
      <c r="G238" t="s">
        <v>13882</v>
      </c>
      <c r="H238" t="s">
        <v>9130</v>
      </c>
    </row>
    <row r="239" spans="1:8" x14ac:dyDescent="0.35">
      <c r="A239" t="s">
        <v>4179</v>
      </c>
      <c r="B239" t="s">
        <v>4180</v>
      </c>
      <c r="C239" t="s">
        <v>8620</v>
      </c>
      <c r="E239" t="s">
        <v>9128</v>
      </c>
      <c r="F239" t="s">
        <v>9131</v>
      </c>
      <c r="G239" t="s">
        <v>13884</v>
      </c>
      <c r="H239" t="s">
        <v>9132</v>
      </c>
    </row>
    <row r="240" spans="1:8" x14ac:dyDescent="0.35">
      <c r="A240" t="s">
        <v>1253</v>
      </c>
      <c r="B240" t="s">
        <v>1254</v>
      </c>
      <c r="C240" t="s">
        <v>8473</v>
      </c>
      <c r="E240" t="s">
        <v>9133</v>
      </c>
      <c r="F240" t="s">
        <v>9134</v>
      </c>
      <c r="G240" t="s">
        <v>13885</v>
      </c>
      <c r="H240" t="s">
        <v>9135</v>
      </c>
    </row>
    <row r="241" spans="1:8" x14ac:dyDescent="0.35">
      <c r="A241" t="s">
        <v>1253</v>
      </c>
      <c r="B241" t="s">
        <v>1254</v>
      </c>
      <c r="C241" t="s">
        <v>8473</v>
      </c>
      <c r="E241" t="s">
        <v>9133</v>
      </c>
      <c r="F241" t="s">
        <v>9136</v>
      </c>
      <c r="G241" t="s">
        <v>9137</v>
      </c>
      <c r="H241" t="s">
        <v>9138</v>
      </c>
    </row>
    <row r="242" spans="1:8" x14ac:dyDescent="0.35">
      <c r="A242" t="s">
        <v>1253</v>
      </c>
      <c r="B242" t="s">
        <v>1254</v>
      </c>
      <c r="C242" t="s">
        <v>8473</v>
      </c>
      <c r="E242" t="s">
        <v>9133</v>
      </c>
      <c r="F242" t="s">
        <v>9139</v>
      </c>
      <c r="G242" t="s">
        <v>9140</v>
      </c>
      <c r="H242" t="s">
        <v>9141</v>
      </c>
    </row>
    <row r="243" spans="1:8" x14ac:dyDescent="0.35">
      <c r="A243" t="s">
        <v>1253</v>
      </c>
      <c r="B243" t="s">
        <v>1254</v>
      </c>
      <c r="C243" t="s">
        <v>8473</v>
      </c>
      <c r="E243" t="s">
        <v>9133</v>
      </c>
      <c r="F243" t="s">
        <v>9142</v>
      </c>
      <c r="G243" t="s">
        <v>13886</v>
      </c>
      <c r="H243" t="s">
        <v>9143</v>
      </c>
    </row>
    <row r="244" spans="1:8" x14ac:dyDescent="0.35">
      <c r="A244" t="s">
        <v>5510</v>
      </c>
      <c r="B244" t="s">
        <v>5511</v>
      </c>
      <c r="C244" t="s">
        <v>8473</v>
      </c>
      <c r="E244" t="s">
        <v>9133</v>
      </c>
      <c r="F244" t="s">
        <v>9134</v>
      </c>
      <c r="G244" t="s">
        <v>9137</v>
      </c>
      <c r="H244" t="s">
        <v>9135</v>
      </c>
    </row>
    <row r="245" spans="1:8" x14ac:dyDescent="0.35">
      <c r="A245" t="s">
        <v>5510</v>
      </c>
      <c r="B245" t="s">
        <v>5511</v>
      </c>
      <c r="C245" t="s">
        <v>8473</v>
      </c>
      <c r="E245" t="s">
        <v>9133</v>
      </c>
      <c r="F245" t="s">
        <v>9136</v>
      </c>
      <c r="G245" t="s">
        <v>9137</v>
      </c>
      <c r="H245" t="s">
        <v>9138</v>
      </c>
    </row>
    <row r="246" spans="1:8" x14ac:dyDescent="0.35">
      <c r="A246" t="s">
        <v>5510</v>
      </c>
      <c r="B246" t="s">
        <v>5511</v>
      </c>
      <c r="C246" t="s">
        <v>8473</v>
      </c>
      <c r="E246" t="s">
        <v>9133</v>
      </c>
      <c r="F246" t="s">
        <v>9139</v>
      </c>
      <c r="G246" t="s">
        <v>9140</v>
      </c>
      <c r="H246" t="s">
        <v>9141</v>
      </c>
    </row>
    <row r="247" spans="1:8" x14ac:dyDescent="0.35">
      <c r="A247" t="s">
        <v>5510</v>
      </c>
      <c r="B247" t="s">
        <v>5511</v>
      </c>
      <c r="C247" t="s">
        <v>8473</v>
      </c>
      <c r="E247" t="s">
        <v>9133</v>
      </c>
      <c r="F247" t="s">
        <v>9142</v>
      </c>
      <c r="G247" t="s">
        <v>13887</v>
      </c>
      <c r="H247" t="s">
        <v>9143</v>
      </c>
    </row>
    <row r="248" spans="1:8" x14ac:dyDescent="0.35">
      <c r="A248" t="s">
        <v>4252</v>
      </c>
      <c r="B248" t="s">
        <v>4253</v>
      </c>
      <c r="C248" t="s">
        <v>8627</v>
      </c>
      <c r="E248" t="s">
        <v>9144</v>
      </c>
      <c r="F248" t="s">
        <v>9145</v>
      </c>
      <c r="G248" t="s">
        <v>9149</v>
      </c>
      <c r="H248" t="s">
        <v>9150</v>
      </c>
    </row>
    <row r="249" spans="1:8" x14ac:dyDescent="0.35">
      <c r="A249" t="s">
        <v>4252</v>
      </c>
      <c r="B249" t="s">
        <v>4253</v>
      </c>
      <c r="C249" t="s">
        <v>8627</v>
      </c>
      <c r="E249" t="s">
        <v>9144</v>
      </c>
      <c r="F249" t="s">
        <v>9146</v>
      </c>
      <c r="G249" t="s">
        <v>9147</v>
      </c>
      <c r="H249" t="s">
        <v>9148</v>
      </c>
    </row>
    <row r="250" spans="1:8" x14ac:dyDescent="0.35">
      <c r="A250" t="s">
        <v>3252</v>
      </c>
      <c r="B250" t="s">
        <v>3253</v>
      </c>
      <c r="C250" t="s">
        <v>8567</v>
      </c>
      <c r="E250" t="s">
        <v>9151</v>
      </c>
      <c r="F250" t="s">
        <v>9152</v>
      </c>
      <c r="G250" t="s">
        <v>9153</v>
      </c>
      <c r="H250" t="s">
        <v>9154</v>
      </c>
    </row>
    <row r="251" spans="1:8" x14ac:dyDescent="0.35">
      <c r="A251" t="s">
        <v>3252</v>
      </c>
      <c r="B251" t="s">
        <v>3253</v>
      </c>
      <c r="C251" t="s">
        <v>8567</v>
      </c>
      <c r="E251" t="s">
        <v>9151</v>
      </c>
      <c r="F251" t="s">
        <v>9146</v>
      </c>
      <c r="G251" t="s">
        <v>9147</v>
      </c>
      <c r="H251" t="s">
        <v>9155</v>
      </c>
    </row>
    <row r="252" spans="1:8" x14ac:dyDescent="0.35">
      <c r="A252" t="s">
        <v>5432</v>
      </c>
      <c r="B252" t="s">
        <v>5433</v>
      </c>
      <c r="C252" t="s">
        <v>8686</v>
      </c>
      <c r="E252" t="s">
        <v>9156</v>
      </c>
      <c r="F252" t="s">
        <v>9157</v>
      </c>
      <c r="G252" t="s">
        <v>9158</v>
      </c>
      <c r="H252" t="s">
        <v>9159</v>
      </c>
    </row>
    <row r="253" spans="1:8" x14ac:dyDescent="0.35">
      <c r="A253" t="s">
        <v>1370</v>
      </c>
      <c r="B253" t="s">
        <v>1371</v>
      </c>
      <c r="C253" t="s">
        <v>8484</v>
      </c>
      <c r="E253" t="s">
        <v>9160</v>
      </c>
      <c r="F253" t="s">
        <v>9161</v>
      </c>
      <c r="G253" t="s">
        <v>9162</v>
      </c>
      <c r="H253" t="s">
        <v>9163</v>
      </c>
    </row>
    <row r="254" spans="1:8" x14ac:dyDescent="0.35">
      <c r="A254" t="s">
        <v>8399</v>
      </c>
      <c r="B254" t="s">
        <v>8400</v>
      </c>
      <c r="C254" t="s">
        <v>8856</v>
      </c>
      <c r="E254" t="s">
        <v>9164</v>
      </c>
      <c r="G254" t="s">
        <v>9165</v>
      </c>
      <c r="H254" t="s">
        <v>9166</v>
      </c>
    </row>
    <row r="255" spans="1:8" x14ac:dyDescent="0.35">
      <c r="A255" t="s">
        <v>3758</v>
      </c>
      <c r="B255" t="s">
        <v>3759</v>
      </c>
      <c r="C255" t="s">
        <v>8601</v>
      </c>
      <c r="E255" t="s">
        <v>9167</v>
      </c>
      <c r="F255" t="s">
        <v>9168</v>
      </c>
      <c r="G255" t="s">
        <v>9169</v>
      </c>
      <c r="H255" t="s">
        <v>9170</v>
      </c>
    </row>
    <row r="256" spans="1:8" x14ac:dyDescent="0.35">
      <c r="A256" t="s">
        <v>2630</v>
      </c>
      <c r="B256" t="s">
        <v>2631</v>
      </c>
      <c r="C256" t="s">
        <v>8533</v>
      </c>
      <c r="E256" t="s">
        <v>9171</v>
      </c>
      <c r="F256" t="s">
        <v>9172</v>
      </c>
      <c r="G256" t="s">
        <v>13888</v>
      </c>
      <c r="H256" t="s">
        <v>9173</v>
      </c>
    </row>
    <row r="257" spans="1:8" x14ac:dyDescent="0.35">
      <c r="A257" t="s">
        <v>5565</v>
      </c>
      <c r="B257" t="s">
        <v>5566</v>
      </c>
      <c r="C257" t="s">
        <v>8697</v>
      </c>
      <c r="E257" t="s">
        <v>9174</v>
      </c>
      <c r="G257" t="s">
        <v>13889</v>
      </c>
      <c r="H257" t="s">
        <v>9175</v>
      </c>
    </row>
    <row r="258" spans="1:8" x14ac:dyDescent="0.35">
      <c r="A258" t="s">
        <v>6306</v>
      </c>
      <c r="B258" t="s">
        <v>6307</v>
      </c>
      <c r="C258" t="s">
        <v>8749</v>
      </c>
      <c r="E258" t="s">
        <v>9176</v>
      </c>
      <c r="G258" t="s">
        <v>9165</v>
      </c>
      <c r="H258" t="s">
        <v>9177</v>
      </c>
    </row>
    <row r="259" spans="1:8" x14ac:dyDescent="0.35">
      <c r="A259" t="s">
        <v>2582</v>
      </c>
      <c r="B259" t="s">
        <v>2583</v>
      </c>
      <c r="C259" t="s">
        <v>8530</v>
      </c>
      <c r="E259" t="s">
        <v>9178</v>
      </c>
      <c r="G259" t="s">
        <v>9165</v>
      </c>
      <c r="H259" t="s">
        <v>9177</v>
      </c>
    </row>
    <row r="260" spans="1:8" x14ac:dyDescent="0.35">
      <c r="A260" t="s">
        <v>5977</v>
      </c>
      <c r="B260" t="s">
        <v>5978</v>
      </c>
      <c r="C260" t="s">
        <v>8730</v>
      </c>
      <c r="E260" t="s">
        <v>9179</v>
      </c>
      <c r="G260" t="s">
        <v>9165</v>
      </c>
      <c r="H260" t="s">
        <v>9177</v>
      </c>
    </row>
    <row r="261" spans="1:8" x14ac:dyDescent="0.35">
      <c r="A261" t="s">
        <v>1889</v>
      </c>
      <c r="B261" t="s">
        <v>1890</v>
      </c>
      <c r="C261" t="s">
        <v>8498</v>
      </c>
      <c r="E261" t="s">
        <v>9180</v>
      </c>
      <c r="G261" t="s">
        <v>9165</v>
      </c>
      <c r="H261" t="s">
        <v>9177</v>
      </c>
    </row>
    <row r="262" spans="1:8" x14ac:dyDescent="0.35">
      <c r="A262" t="s">
        <v>5653</v>
      </c>
      <c r="B262" t="s">
        <v>5654</v>
      </c>
      <c r="C262" t="s">
        <v>8706</v>
      </c>
      <c r="E262" t="s">
        <v>9184</v>
      </c>
      <c r="F262" t="s">
        <v>9181</v>
      </c>
      <c r="G262" t="s">
        <v>9182</v>
      </c>
      <c r="H262" t="s">
        <v>9183</v>
      </c>
    </row>
    <row r="263" spans="1:8" x14ac:dyDescent="0.35">
      <c r="A263" t="s">
        <v>3422</v>
      </c>
      <c r="B263" t="s">
        <v>3423</v>
      </c>
      <c r="C263" t="s">
        <v>8578</v>
      </c>
      <c r="E263" t="s">
        <v>9185</v>
      </c>
      <c r="F263" t="s">
        <v>9186</v>
      </c>
      <c r="G263" t="s">
        <v>9187</v>
      </c>
      <c r="H263" t="s">
        <v>9188</v>
      </c>
    </row>
    <row r="264" spans="1:8" x14ac:dyDescent="0.35">
      <c r="A264" t="s">
        <v>7824</v>
      </c>
      <c r="B264" t="s">
        <v>7825</v>
      </c>
      <c r="C264" t="s">
        <v>8832</v>
      </c>
      <c r="E264" t="s">
        <v>9189</v>
      </c>
      <c r="F264" t="s">
        <v>9190</v>
      </c>
      <c r="G264" t="s">
        <v>9191</v>
      </c>
      <c r="H264" t="s">
        <v>9192</v>
      </c>
    </row>
    <row r="265" spans="1:8" x14ac:dyDescent="0.35">
      <c r="A265" t="s">
        <v>4963</v>
      </c>
      <c r="B265" t="s">
        <v>4964</v>
      </c>
      <c r="C265" t="s">
        <v>8668</v>
      </c>
      <c r="E265" t="s">
        <v>9193</v>
      </c>
      <c r="F265" t="s">
        <v>9194</v>
      </c>
      <c r="G265" t="s">
        <v>9195</v>
      </c>
      <c r="H265" t="s">
        <v>9196</v>
      </c>
    </row>
    <row r="266" spans="1:8" x14ac:dyDescent="0.35">
      <c r="A266" t="s">
        <v>4963</v>
      </c>
      <c r="B266" t="s">
        <v>4964</v>
      </c>
      <c r="C266" t="s">
        <v>8668</v>
      </c>
      <c r="E266" t="s">
        <v>9193</v>
      </c>
      <c r="F266" t="s">
        <v>9197</v>
      </c>
      <c r="G266" t="s">
        <v>9198</v>
      </c>
      <c r="H266" t="s">
        <v>9199</v>
      </c>
    </row>
    <row r="267" spans="1:8" x14ac:dyDescent="0.35">
      <c r="A267" t="s">
        <v>2442</v>
      </c>
      <c r="B267" t="s">
        <v>2443</v>
      </c>
      <c r="C267" t="s">
        <v>8522</v>
      </c>
      <c r="E267" t="s">
        <v>9200</v>
      </c>
      <c r="F267" t="s">
        <v>9201</v>
      </c>
      <c r="G267" t="s">
        <v>9202</v>
      </c>
      <c r="H267" t="s">
        <v>9203</v>
      </c>
    </row>
    <row r="268" spans="1:8" ht="29" x14ac:dyDescent="0.35">
      <c r="A268" t="s">
        <v>472</v>
      </c>
      <c r="B268" t="s">
        <v>473</v>
      </c>
      <c r="C268" t="s">
        <v>8433</v>
      </c>
      <c r="E268" t="s">
        <v>9204</v>
      </c>
      <c r="F268" t="s">
        <v>9205</v>
      </c>
      <c r="G268" s="1" t="s">
        <v>9206</v>
      </c>
      <c r="H268" t="s">
        <v>9207</v>
      </c>
    </row>
    <row r="269" spans="1:8" x14ac:dyDescent="0.35">
      <c r="A269" t="s">
        <v>8167</v>
      </c>
      <c r="B269" t="s">
        <v>8168</v>
      </c>
      <c r="C269" t="s">
        <v>8433</v>
      </c>
      <c r="E269" t="s">
        <v>9204</v>
      </c>
      <c r="F269" t="s">
        <v>9205</v>
      </c>
      <c r="G269" t="s">
        <v>9206</v>
      </c>
      <c r="H269" t="s">
        <v>9207</v>
      </c>
    </row>
    <row r="270" spans="1:8" x14ac:dyDescent="0.35">
      <c r="A270" t="s">
        <v>8337</v>
      </c>
      <c r="B270" t="s">
        <v>8338</v>
      </c>
      <c r="C270" t="s">
        <v>8433</v>
      </c>
      <c r="E270" t="s">
        <v>9204</v>
      </c>
      <c r="F270" t="s">
        <v>9205</v>
      </c>
      <c r="G270" t="s">
        <v>9206</v>
      </c>
      <c r="H270" t="s">
        <v>9207</v>
      </c>
    </row>
    <row r="271" spans="1:8" ht="29" x14ac:dyDescent="0.35">
      <c r="A271" t="s">
        <v>2864</v>
      </c>
      <c r="B271" t="s">
        <v>2865</v>
      </c>
      <c r="C271" t="s">
        <v>8546</v>
      </c>
      <c r="E271" t="s">
        <v>9208</v>
      </c>
      <c r="F271" t="s">
        <v>9209</v>
      </c>
      <c r="G271" s="1" t="s">
        <v>9210</v>
      </c>
      <c r="H271" t="s">
        <v>9211</v>
      </c>
    </row>
    <row r="272" spans="1:8" x14ac:dyDescent="0.35">
      <c r="A272" t="s">
        <v>2864</v>
      </c>
      <c r="B272" t="s">
        <v>2865</v>
      </c>
      <c r="C272" t="s">
        <v>8546</v>
      </c>
      <c r="E272" t="s">
        <v>9208</v>
      </c>
      <c r="F272" t="s">
        <v>9212</v>
      </c>
      <c r="G272" t="s">
        <v>9213</v>
      </c>
      <c r="H272" t="s">
        <v>9214</v>
      </c>
    </row>
    <row r="273" spans="1:8" x14ac:dyDescent="0.35">
      <c r="A273" t="s">
        <v>380</v>
      </c>
      <c r="B273" t="s">
        <v>381</v>
      </c>
      <c r="C273" t="s">
        <v>8429</v>
      </c>
      <c r="E273" t="s">
        <v>9215</v>
      </c>
      <c r="F273" t="s">
        <v>9216</v>
      </c>
      <c r="G273" t="s">
        <v>9217</v>
      </c>
      <c r="H273" t="s">
        <v>9218</v>
      </c>
    </row>
    <row r="274" spans="1:8" ht="29" x14ac:dyDescent="0.35">
      <c r="A274" t="s">
        <v>380</v>
      </c>
      <c r="B274" t="s">
        <v>381</v>
      </c>
      <c r="C274" t="s">
        <v>8429</v>
      </c>
      <c r="E274" t="s">
        <v>9215</v>
      </c>
      <c r="F274" t="s">
        <v>9219</v>
      </c>
      <c r="G274" s="1" t="s">
        <v>9220</v>
      </c>
      <c r="H274" t="s">
        <v>9221</v>
      </c>
    </row>
    <row r="275" spans="1:8" x14ac:dyDescent="0.35">
      <c r="A275" t="s">
        <v>2490</v>
      </c>
      <c r="B275" t="s">
        <v>2491</v>
      </c>
      <c r="C275" t="s">
        <v>8527</v>
      </c>
      <c r="E275" t="s">
        <v>9222</v>
      </c>
      <c r="F275" t="s">
        <v>9223</v>
      </c>
      <c r="G275" t="s">
        <v>9224</v>
      </c>
      <c r="H275" t="s">
        <v>9225</v>
      </c>
    </row>
    <row r="276" spans="1:8" x14ac:dyDescent="0.35">
      <c r="A276" t="s">
        <v>2490</v>
      </c>
      <c r="B276" t="s">
        <v>2491</v>
      </c>
      <c r="C276" t="s">
        <v>8527</v>
      </c>
      <c r="E276" t="s">
        <v>9222</v>
      </c>
      <c r="F276" t="s">
        <v>9226</v>
      </c>
      <c r="G276" t="s">
        <v>9227</v>
      </c>
      <c r="H276" t="s">
        <v>9228</v>
      </c>
    </row>
    <row r="277" spans="1:8" x14ac:dyDescent="0.35">
      <c r="A277" t="s">
        <v>2494</v>
      </c>
      <c r="B277" t="s">
        <v>2495</v>
      </c>
      <c r="C277" t="s">
        <v>9235</v>
      </c>
      <c r="E277" t="s">
        <v>9229</v>
      </c>
      <c r="F277" t="s">
        <v>9232</v>
      </c>
      <c r="G277" t="s">
        <v>9230</v>
      </c>
      <c r="H277" t="s">
        <v>9231</v>
      </c>
    </row>
    <row r="278" spans="1:8" x14ac:dyDescent="0.35">
      <c r="A278" t="s">
        <v>2494</v>
      </c>
      <c r="B278" t="s">
        <v>2495</v>
      </c>
      <c r="C278" t="s">
        <v>9234</v>
      </c>
      <c r="E278" t="s">
        <v>9233</v>
      </c>
      <c r="F278" t="s">
        <v>9236</v>
      </c>
      <c r="G278" t="s">
        <v>9237</v>
      </c>
      <c r="H278" t="s">
        <v>9238</v>
      </c>
    </row>
    <row r="279" spans="1:8" x14ac:dyDescent="0.35">
      <c r="A279" t="s">
        <v>4521</v>
      </c>
      <c r="B279" t="s">
        <v>4522</v>
      </c>
      <c r="C279" t="s">
        <v>8647</v>
      </c>
      <c r="E279" t="s">
        <v>9239</v>
      </c>
      <c r="F279" t="s">
        <v>9240</v>
      </c>
      <c r="G279" t="s">
        <v>9241</v>
      </c>
      <c r="H279" t="s">
        <v>9242</v>
      </c>
    </row>
    <row r="280" spans="1:8" x14ac:dyDescent="0.35">
      <c r="A280" t="s">
        <v>2409</v>
      </c>
      <c r="B280" t="s">
        <v>2410</v>
      </c>
      <c r="C280" t="s">
        <v>8520</v>
      </c>
      <c r="E280" t="s">
        <v>9243</v>
      </c>
      <c r="F280" t="s">
        <v>9244</v>
      </c>
      <c r="G280" t="s">
        <v>9245</v>
      </c>
      <c r="H280" t="s">
        <v>9246</v>
      </c>
    </row>
    <row r="281" spans="1:8" x14ac:dyDescent="0.35">
      <c r="A281" t="s">
        <v>4566</v>
      </c>
      <c r="B281" t="s">
        <v>4567</v>
      </c>
      <c r="C281" t="s">
        <v>8654</v>
      </c>
      <c r="E281" t="s">
        <v>9247</v>
      </c>
      <c r="F281" t="s">
        <v>9248</v>
      </c>
      <c r="G281" t="s">
        <v>9249</v>
      </c>
      <c r="H281" t="s">
        <v>9250</v>
      </c>
    </row>
    <row r="282" spans="1:8" x14ac:dyDescent="0.35">
      <c r="A282" t="s">
        <v>2965</v>
      </c>
      <c r="B282" t="s">
        <v>2966</v>
      </c>
      <c r="C282" t="s">
        <v>8553</v>
      </c>
      <c r="E282" t="s">
        <v>9251</v>
      </c>
      <c r="F282" t="s">
        <v>9252</v>
      </c>
      <c r="G282" t="s">
        <v>9253</v>
      </c>
      <c r="H282" t="s">
        <v>9254</v>
      </c>
    </row>
    <row r="283" spans="1:8" x14ac:dyDescent="0.35">
      <c r="A283" t="s">
        <v>3945</v>
      </c>
      <c r="B283" t="s">
        <v>3946</v>
      </c>
      <c r="C283" t="s">
        <v>8553</v>
      </c>
      <c r="E283" t="s">
        <v>9251</v>
      </c>
      <c r="F283" t="s">
        <v>9252</v>
      </c>
      <c r="G283" t="s">
        <v>9253</v>
      </c>
      <c r="H283" t="s">
        <v>9254</v>
      </c>
    </row>
    <row r="284" spans="1:8" x14ac:dyDescent="0.35">
      <c r="A284" t="s">
        <v>4432</v>
      </c>
      <c r="B284" t="s">
        <v>4433</v>
      </c>
      <c r="C284" t="s">
        <v>8637</v>
      </c>
      <c r="E284" t="s">
        <v>9255</v>
      </c>
      <c r="F284" t="s">
        <v>9256</v>
      </c>
      <c r="G284" t="s">
        <v>9257</v>
      </c>
      <c r="H284" t="s">
        <v>9258</v>
      </c>
    </row>
    <row r="285" spans="1:8" x14ac:dyDescent="0.35">
      <c r="A285" t="s">
        <v>4432</v>
      </c>
      <c r="B285" t="s">
        <v>4433</v>
      </c>
      <c r="C285" t="s">
        <v>8637</v>
      </c>
      <c r="E285" t="s">
        <v>9255</v>
      </c>
      <c r="F285" t="s">
        <v>9259</v>
      </c>
      <c r="G285" t="s">
        <v>9260</v>
      </c>
      <c r="H285" t="s">
        <v>9261</v>
      </c>
    </row>
    <row r="286" spans="1:8" x14ac:dyDescent="0.35">
      <c r="A286" t="s">
        <v>4432</v>
      </c>
      <c r="B286" t="s">
        <v>4433</v>
      </c>
      <c r="C286" t="s">
        <v>8637</v>
      </c>
      <c r="E286" t="s">
        <v>9255</v>
      </c>
      <c r="F286" t="s">
        <v>9262</v>
      </c>
      <c r="G286" t="s">
        <v>9263</v>
      </c>
      <c r="H286" t="s">
        <v>9261</v>
      </c>
    </row>
    <row r="287" spans="1:8" x14ac:dyDescent="0.35">
      <c r="A287" t="s">
        <v>4432</v>
      </c>
      <c r="B287" t="s">
        <v>4433</v>
      </c>
      <c r="C287" t="s">
        <v>8637</v>
      </c>
      <c r="E287" t="s">
        <v>9255</v>
      </c>
      <c r="F287" t="s">
        <v>9264</v>
      </c>
      <c r="G287" t="s">
        <v>9265</v>
      </c>
      <c r="H287" t="s">
        <v>9266</v>
      </c>
    </row>
    <row r="288" spans="1:8" x14ac:dyDescent="0.35">
      <c r="A288" t="s">
        <v>4432</v>
      </c>
      <c r="B288" t="s">
        <v>4433</v>
      </c>
      <c r="C288" t="s">
        <v>8637</v>
      </c>
      <c r="E288" t="s">
        <v>9255</v>
      </c>
      <c r="F288" t="s">
        <v>9267</v>
      </c>
      <c r="G288" t="s">
        <v>9268</v>
      </c>
      <c r="H288" t="s">
        <v>9269</v>
      </c>
    </row>
    <row r="289" spans="1:8" x14ac:dyDescent="0.35">
      <c r="A289" t="s">
        <v>4432</v>
      </c>
      <c r="B289" t="s">
        <v>4433</v>
      </c>
      <c r="C289" t="s">
        <v>8637</v>
      </c>
      <c r="E289" t="s">
        <v>9255</v>
      </c>
      <c r="F289" t="s">
        <v>9270</v>
      </c>
      <c r="G289" t="s">
        <v>9271</v>
      </c>
      <c r="H289" t="s">
        <v>9272</v>
      </c>
    </row>
    <row r="290" spans="1:8" x14ac:dyDescent="0.35">
      <c r="A290" t="s">
        <v>4436</v>
      </c>
      <c r="B290" t="s">
        <v>4437</v>
      </c>
      <c r="C290" t="s">
        <v>8638</v>
      </c>
      <c r="E290" t="s">
        <v>9273</v>
      </c>
      <c r="F290" t="s">
        <v>9274</v>
      </c>
      <c r="G290" t="s">
        <v>9275</v>
      </c>
      <c r="H290" t="s">
        <v>9276</v>
      </c>
    </row>
    <row r="291" spans="1:8" x14ac:dyDescent="0.35">
      <c r="A291" t="s">
        <v>4436</v>
      </c>
      <c r="B291" t="s">
        <v>4437</v>
      </c>
      <c r="C291" t="s">
        <v>8638</v>
      </c>
      <c r="E291" t="s">
        <v>9273</v>
      </c>
      <c r="F291" t="s">
        <v>9277</v>
      </c>
      <c r="G291" t="s">
        <v>9257</v>
      </c>
      <c r="H291" t="s">
        <v>9278</v>
      </c>
    </row>
    <row r="292" spans="1:8" x14ac:dyDescent="0.35">
      <c r="A292" t="s">
        <v>3615</v>
      </c>
      <c r="B292" t="s">
        <v>3616</v>
      </c>
      <c r="C292" t="s">
        <v>8590</v>
      </c>
      <c r="E292" t="s">
        <v>9279</v>
      </c>
      <c r="F292" t="s">
        <v>9280</v>
      </c>
      <c r="G292" t="s">
        <v>9281</v>
      </c>
      <c r="H292" t="s">
        <v>9282</v>
      </c>
    </row>
    <row r="293" spans="1:8" ht="29" x14ac:dyDescent="0.35">
      <c r="A293" t="s">
        <v>3615</v>
      </c>
      <c r="B293" t="s">
        <v>3616</v>
      </c>
      <c r="C293" t="s">
        <v>8590</v>
      </c>
      <c r="E293" t="s">
        <v>9279</v>
      </c>
      <c r="F293" t="s">
        <v>9284</v>
      </c>
      <c r="G293" s="1" t="s">
        <v>9283</v>
      </c>
      <c r="H293" t="s">
        <v>9282</v>
      </c>
    </row>
    <row r="294" spans="1:8" x14ac:dyDescent="0.35">
      <c r="A294" t="s">
        <v>3615</v>
      </c>
      <c r="B294" t="s">
        <v>3616</v>
      </c>
      <c r="C294" t="s">
        <v>8590</v>
      </c>
      <c r="E294" t="s">
        <v>9279</v>
      </c>
      <c r="F294" t="s">
        <v>8954</v>
      </c>
      <c r="G294" t="s">
        <v>9285</v>
      </c>
      <c r="H294" t="s">
        <v>9286</v>
      </c>
    </row>
    <row r="295" spans="1:8" ht="29" x14ac:dyDescent="0.35">
      <c r="A295" t="s">
        <v>3615</v>
      </c>
      <c r="B295" t="s">
        <v>3616</v>
      </c>
      <c r="C295" t="s">
        <v>8590</v>
      </c>
      <c r="E295" t="s">
        <v>9279</v>
      </c>
      <c r="F295" t="s">
        <v>9287</v>
      </c>
      <c r="G295" s="1" t="s">
        <v>9288</v>
      </c>
      <c r="H295" t="s">
        <v>9289</v>
      </c>
    </row>
    <row r="296" spans="1:8" ht="29" x14ac:dyDescent="0.35">
      <c r="A296" t="s">
        <v>3615</v>
      </c>
      <c r="B296" t="s">
        <v>3616</v>
      </c>
      <c r="C296" t="s">
        <v>8590</v>
      </c>
      <c r="E296" t="s">
        <v>9279</v>
      </c>
      <c r="F296" t="s">
        <v>9290</v>
      </c>
      <c r="G296" s="1" t="s">
        <v>9291</v>
      </c>
      <c r="H296" t="s">
        <v>9292</v>
      </c>
    </row>
    <row r="297" spans="1:8" ht="29" x14ac:dyDescent="0.35">
      <c r="A297" t="s">
        <v>3615</v>
      </c>
      <c r="B297" t="s">
        <v>3616</v>
      </c>
      <c r="C297" t="s">
        <v>8590</v>
      </c>
      <c r="E297" t="s">
        <v>9279</v>
      </c>
      <c r="F297" t="s">
        <v>9293</v>
      </c>
      <c r="G297" s="1" t="s">
        <v>9294</v>
      </c>
      <c r="H297" t="s">
        <v>9295</v>
      </c>
    </row>
    <row r="298" spans="1:8" x14ac:dyDescent="0.35">
      <c r="A298" t="s">
        <v>3615</v>
      </c>
      <c r="B298" t="s">
        <v>3616</v>
      </c>
      <c r="C298" t="s">
        <v>8590</v>
      </c>
      <c r="E298" t="s">
        <v>9279</v>
      </c>
      <c r="F298" t="s">
        <v>9296</v>
      </c>
      <c r="G298" t="s">
        <v>9297</v>
      </c>
      <c r="H298" t="s">
        <v>9298</v>
      </c>
    </row>
    <row r="299" spans="1:8" x14ac:dyDescent="0.35">
      <c r="A299" t="s">
        <v>5224</v>
      </c>
      <c r="B299" t="s">
        <v>5225</v>
      </c>
      <c r="C299" t="s">
        <v>8673</v>
      </c>
      <c r="E299" t="s">
        <v>9299</v>
      </c>
      <c r="F299" t="s">
        <v>9300</v>
      </c>
      <c r="G299" t="s">
        <v>9301</v>
      </c>
      <c r="H299" t="s">
        <v>9302</v>
      </c>
    </row>
    <row r="300" spans="1:8" x14ac:dyDescent="0.35">
      <c r="A300" t="s">
        <v>1358</v>
      </c>
      <c r="B300" t="s">
        <v>1359</v>
      </c>
      <c r="C300" t="s">
        <v>8483</v>
      </c>
      <c r="E300" t="s">
        <v>9303</v>
      </c>
      <c r="F300" t="s">
        <v>9304</v>
      </c>
      <c r="G300" t="s">
        <v>9305</v>
      </c>
      <c r="H300" t="s">
        <v>9306</v>
      </c>
    </row>
    <row r="301" spans="1:8" x14ac:dyDescent="0.35">
      <c r="A301" t="s">
        <v>7519</v>
      </c>
      <c r="B301" t="s">
        <v>7520</v>
      </c>
      <c r="C301" t="s">
        <v>8822</v>
      </c>
      <c r="E301" t="s">
        <v>9307</v>
      </c>
      <c r="F301" t="s">
        <v>9308</v>
      </c>
      <c r="G301" t="s">
        <v>9309</v>
      </c>
      <c r="H301" t="s">
        <v>9310</v>
      </c>
    </row>
    <row r="302" spans="1:8" x14ac:dyDescent="0.35">
      <c r="A302" t="s">
        <v>3935</v>
      </c>
      <c r="B302" t="s">
        <v>3936</v>
      </c>
      <c r="C302" t="s">
        <v>9312</v>
      </c>
      <c r="E302" t="s">
        <v>9307</v>
      </c>
      <c r="F302" t="s">
        <v>9308</v>
      </c>
      <c r="G302" t="s">
        <v>9309</v>
      </c>
      <c r="H302" t="s">
        <v>9310</v>
      </c>
    </row>
    <row r="303" spans="1:8" x14ac:dyDescent="0.35">
      <c r="A303" t="s">
        <v>3935</v>
      </c>
      <c r="B303" t="s">
        <v>3936</v>
      </c>
      <c r="C303" t="s">
        <v>9311</v>
      </c>
      <c r="E303" t="s">
        <v>9313</v>
      </c>
      <c r="F303" t="s">
        <v>9314</v>
      </c>
      <c r="G303" t="s">
        <v>9315</v>
      </c>
      <c r="H303" t="s">
        <v>9316</v>
      </c>
    </row>
    <row r="304" spans="1:8" x14ac:dyDescent="0.35">
      <c r="A304" t="s">
        <v>3154</v>
      </c>
      <c r="B304" t="s">
        <v>3155</v>
      </c>
      <c r="C304" t="s">
        <v>8560</v>
      </c>
      <c r="E304" t="s">
        <v>9317</v>
      </c>
      <c r="F304" t="s">
        <v>9318</v>
      </c>
      <c r="G304" t="s">
        <v>9319</v>
      </c>
      <c r="H304" t="s">
        <v>9320</v>
      </c>
    </row>
    <row r="305" spans="1:8" x14ac:dyDescent="0.35">
      <c r="A305" t="s">
        <v>6098</v>
      </c>
      <c r="B305" t="s">
        <v>6099</v>
      </c>
      <c r="C305" t="s">
        <v>8740</v>
      </c>
      <c r="E305" t="s">
        <v>9321</v>
      </c>
      <c r="F305" t="s">
        <v>9322</v>
      </c>
      <c r="G305" t="s">
        <v>9323</v>
      </c>
      <c r="H305" t="s">
        <v>9324</v>
      </c>
    </row>
    <row r="306" spans="1:8" x14ac:dyDescent="0.35">
      <c r="A306" t="s">
        <v>6098</v>
      </c>
      <c r="B306" t="s">
        <v>6099</v>
      </c>
      <c r="C306" t="s">
        <v>8740</v>
      </c>
      <c r="E306" t="s">
        <v>9321</v>
      </c>
      <c r="F306" t="s">
        <v>9325</v>
      </c>
      <c r="G306" t="s">
        <v>9326</v>
      </c>
      <c r="H306" t="s">
        <v>9327</v>
      </c>
    </row>
    <row r="307" spans="1:8" x14ac:dyDescent="0.35">
      <c r="A307" t="s">
        <v>6098</v>
      </c>
      <c r="B307" t="s">
        <v>6099</v>
      </c>
      <c r="C307" t="s">
        <v>8740</v>
      </c>
      <c r="E307" t="s">
        <v>9321</v>
      </c>
      <c r="F307" t="s">
        <v>9328</v>
      </c>
      <c r="G307" t="s">
        <v>9329</v>
      </c>
      <c r="H307" t="s">
        <v>9330</v>
      </c>
    </row>
    <row r="308" spans="1:8" x14ac:dyDescent="0.35">
      <c r="A308" t="s">
        <v>6098</v>
      </c>
      <c r="B308" t="s">
        <v>6099</v>
      </c>
      <c r="C308" t="s">
        <v>8740</v>
      </c>
      <c r="E308" t="s">
        <v>9321</v>
      </c>
      <c r="F308" t="s">
        <v>9331</v>
      </c>
      <c r="G308" t="s">
        <v>9332</v>
      </c>
      <c r="H308" t="s">
        <v>9333</v>
      </c>
    </row>
    <row r="309" spans="1:8" x14ac:dyDescent="0.35">
      <c r="A309" t="s">
        <v>7092</v>
      </c>
      <c r="B309" t="s">
        <v>7093</v>
      </c>
      <c r="C309" t="s">
        <v>8790</v>
      </c>
      <c r="E309" t="s">
        <v>9334</v>
      </c>
      <c r="F309" t="s">
        <v>9335</v>
      </c>
      <c r="G309" t="s">
        <v>9336</v>
      </c>
      <c r="H309" t="s">
        <v>9337</v>
      </c>
    </row>
    <row r="310" spans="1:8" x14ac:dyDescent="0.35">
      <c r="A310" t="s">
        <v>1735</v>
      </c>
      <c r="B310" t="s">
        <v>1736</v>
      </c>
      <c r="C310" t="s">
        <v>8493</v>
      </c>
      <c r="E310" t="s">
        <v>9338</v>
      </c>
      <c r="F310" t="s">
        <v>9339</v>
      </c>
      <c r="G310" t="s">
        <v>9340</v>
      </c>
      <c r="H310" t="s">
        <v>9341</v>
      </c>
    </row>
    <row r="311" spans="1:8" x14ac:dyDescent="0.35">
      <c r="A311" t="s">
        <v>1743</v>
      </c>
      <c r="B311" t="s">
        <v>1744</v>
      </c>
      <c r="C311" t="s">
        <v>8493</v>
      </c>
      <c r="E311" t="s">
        <v>9338</v>
      </c>
      <c r="F311" t="s">
        <v>9339</v>
      </c>
      <c r="G311" t="s">
        <v>9340</v>
      </c>
      <c r="H311" t="s">
        <v>9341</v>
      </c>
    </row>
    <row r="312" spans="1:8" x14ac:dyDescent="0.35">
      <c r="A312" t="s">
        <v>1739</v>
      </c>
      <c r="B312" t="s">
        <v>1740</v>
      </c>
      <c r="C312" t="s">
        <v>8494</v>
      </c>
      <c r="E312" t="s">
        <v>9342</v>
      </c>
      <c r="F312" t="s">
        <v>9343</v>
      </c>
      <c r="G312" t="s">
        <v>9344</v>
      </c>
      <c r="H312" t="s">
        <v>9345</v>
      </c>
    </row>
    <row r="313" spans="1:8" x14ac:dyDescent="0.35">
      <c r="A313" t="s">
        <v>4170</v>
      </c>
      <c r="B313" t="s">
        <v>4171</v>
      </c>
      <c r="C313" t="s">
        <v>8619</v>
      </c>
      <c r="E313" t="s">
        <v>9346</v>
      </c>
    </row>
    <row r="314" spans="1:8" x14ac:dyDescent="0.35">
      <c r="A314" t="s">
        <v>276</v>
      </c>
      <c r="B314" t="s">
        <v>277</v>
      </c>
      <c r="C314" t="s">
        <v>8424</v>
      </c>
      <c r="E314" t="s">
        <v>9347</v>
      </c>
      <c r="F314" t="s">
        <v>9348</v>
      </c>
      <c r="G314" t="s">
        <v>9349</v>
      </c>
      <c r="H314" t="s">
        <v>9350</v>
      </c>
    </row>
    <row r="315" spans="1:8" x14ac:dyDescent="0.35">
      <c r="A315" t="s">
        <v>276</v>
      </c>
      <c r="B315" t="s">
        <v>277</v>
      </c>
      <c r="C315" t="s">
        <v>8424</v>
      </c>
      <c r="E315" t="s">
        <v>9347</v>
      </c>
      <c r="F315" t="s">
        <v>9351</v>
      </c>
      <c r="G315" t="s">
        <v>9352</v>
      </c>
      <c r="H315" t="s">
        <v>9353</v>
      </c>
    </row>
    <row r="316" spans="1:8" x14ac:dyDescent="0.35">
      <c r="A316" t="s">
        <v>1904</v>
      </c>
      <c r="B316" t="s">
        <v>1905</v>
      </c>
      <c r="C316" t="s">
        <v>8499</v>
      </c>
      <c r="E316" t="s">
        <v>9354</v>
      </c>
      <c r="F316" t="s">
        <v>9355</v>
      </c>
      <c r="G316" t="s">
        <v>9356</v>
      </c>
      <c r="H316" t="s">
        <v>9357</v>
      </c>
    </row>
    <row r="317" spans="1:8" x14ac:dyDescent="0.35">
      <c r="A317" t="s">
        <v>7555</v>
      </c>
      <c r="B317" t="s">
        <v>7556</v>
      </c>
      <c r="C317" t="s">
        <v>8824</v>
      </c>
      <c r="E317" t="s">
        <v>9358</v>
      </c>
      <c r="F317" t="s">
        <v>9359</v>
      </c>
      <c r="G317" t="s">
        <v>9360</v>
      </c>
      <c r="H317" t="s">
        <v>9361</v>
      </c>
    </row>
    <row r="318" spans="1:8" x14ac:dyDescent="0.35">
      <c r="A318" t="s">
        <v>7555</v>
      </c>
      <c r="B318" t="s">
        <v>7556</v>
      </c>
      <c r="C318" t="s">
        <v>8824</v>
      </c>
      <c r="E318" t="s">
        <v>9358</v>
      </c>
      <c r="F318" t="s">
        <v>9362</v>
      </c>
      <c r="G318" t="s">
        <v>9363</v>
      </c>
      <c r="H318" t="s">
        <v>9364</v>
      </c>
    </row>
    <row r="319" spans="1:8" x14ac:dyDescent="0.35">
      <c r="A319" t="s">
        <v>2423</v>
      </c>
      <c r="B319" t="s">
        <v>2424</v>
      </c>
      <c r="C319" t="s">
        <v>8521</v>
      </c>
      <c r="E319" t="s">
        <v>9365</v>
      </c>
      <c r="F319" t="s">
        <v>9366</v>
      </c>
      <c r="G319" t="s">
        <v>13890</v>
      </c>
      <c r="H319" t="s">
        <v>9367</v>
      </c>
    </row>
    <row r="320" spans="1:8" x14ac:dyDescent="0.35">
      <c r="A320" t="s">
        <v>2423</v>
      </c>
      <c r="B320" t="s">
        <v>2424</v>
      </c>
      <c r="C320" t="s">
        <v>8521</v>
      </c>
      <c r="E320" t="s">
        <v>9365</v>
      </c>
      <c r="F320" t="s">
        <v>9368</v>
      </c>
      <c r="G320" t="s">
        <v>9369</v>
      </c>
      <c r="H320" t="s">
        <v>9370</v>
      </c>
    </row>
    <row r="321" spans="1:8" x14ac:dyDescent="0.35">
      <c r="A321" t="s">
        <v>2423</v>
      </c>
      <c r="B321" t="s">
        <v>2424</v>
      </c>
      <c r="C321" t="s">
        <v>8521</v>
      </c>
      <c r="E321" t="s">
        <v>9365</v>
      </c>
      <c r="F321" t="s">
        <v>9371</v>
      </c>
      <c r="G321" t="s">
        <v>9372</v>
      </c>
      <c r="H321" t="s">
        <v>9373</v>
      </c>
    </row>
    <row r="322" spans="1:8" x14ac:dyDescent="0.35">
      <c r="A322" t="s">
        <v>2423</v>
      </c>
      <c r="B322" t="s">
        <v>2424</v>
      </c>
      <c r="C322" t="s">
        <v>8521</v>
      </c>
      <c r="E322" t="s">
        <v>9365</v>
      </c>
      <c r="F322" t="s">
        <v>9374</v>
      </c>
      <c r="G322" t="s">
        <v>9375</v>
      </c>
      <c r="H322" t="s">
        <v>9376</v>
      </c>
    </row>
    <row r="323" spans="1:8" x14ac:dyDescent="0.35">
      <c r="A323" t="s">
        <v>2423</v>
      </c>
      <c r="B323" t="s">
        <v>2424</v>
      </c>
      <c r="C323" t="s">
        <v>8521</v>
      </c>
      <c r="E323" t="s">
        <v>9365</v>
      </c>
      <c r="F323" t="s">
        <v>9377</v>
      </c>
      <c r="G323" t="s">
        <v>9378</v>
      </c>
      <c r="H323" t="s">
        <v>9379</v>
      </c>
    </row>
    <row r="324" spans="1:8" ht="29" x14ac:dyDescent="0.35">
      <c r="A324" t="s">
        <v>2423</v>
      </c>
      <c r="B324" t="s">
        <v>2424</v>
      </c>
      <c r="C324" t="s">
        <v>8521</v>
      </c>
      <c r="E324" t="s">
        <v>9365</v>
      </c>
      <c r="F324" t="s">
        <v>9380</v>
      </c>
      <c r="G324" s="1" t="s">
        <v>9381</v>
      </c>
      <c r="H324" t="s">
        <v>9382</v>
      </c>
    </row>
    <row r="325" spans="1:8" x14ac:dyDescent="0.35">
      <c r="A325" t="s">
        <v>2423</v>
      </c>
      <c r="B325" t="s">
        <v>2424</v>
      </c>
      <c r="C325" t="s">
        <v>8521</v>
      </c>
      <c r="E325" t="s">
        <v>9365</v>
      </c>
      <c r="F325" t="s">
        <v>9383</v>
      </c>
      <c r="G325" t="s">
        <v>9384</v>
      </c>
      <c r="H325" t="s">
        <v>9385</v>
      </c>
    </row>
    <row r="326" spans="1:8" x14ac:dyDescent="0.35">
      <c r="A326" t="s">
        <v>2423</v>
      </c>
      <c r="B326" t="s">
        <v>2424</v>
      </c>
      <c r="C326" t="s">
        <v>8521</v>
      </c>
      <c r="E326" t="s">
        <v>9365</v>
      </c>
      <c r="F326" t="s">
        <v>9386</v>
      </c>
      <c r="G326" t="s">
        <v>8869</v>
      </c>
      <c r="H326" t="s">
        <v>9387</v>
      </c>
    </row>
    <row r="327" spans="1:8" ht="29" x14ac:dyDescent="0.35">
      <c r="A327" t="s">
        <v>2423</v>
      </c>
      <c r="B327" t="s">
        <v>2424</v>
      </c>
      <c r="C327" t="s">
        <v>8521</v>
      </c>
      <c r="E327" t="s">
        <v>9365</v>
      </c>
      <c r="F327" t="s">
        <v>9388</v>
      </c>
      <c r="G327" s="1" t="s">
        <v>9389</v>
      </c>
      <c r="H327" t="s">
        <v>8870</v>
      </c>
    </row>
    <row r="328" spans="1:8" ht="29" x14ac:dyDescent="0.35">
      <c r="A328" t="s">
        <v>2423</v>
      </c>
      <c r="B328" t="s">
        <v>2424</v>
      </c>
      <c r="C328" t="s">
        <v>8521</v>
      </c>
      <c r="E328" t="s">
        <v>9365</v>
      </c>
      <c r="F328" t="s">
        <v>9390</v>
      </c>
      <c r="G328" s="1" t="s">
        <v>9391</v>
      </c>
      <c r="H328" t="s">
        <v>9392</v>
      </c>
    </row>
    <row r="329" spans="1:8" ht="29" x14ac:dyDescent="0.35">
      <c r="A329" t="s">
        <v>2423</v>
      </c>
      <c r="B329" t="s">
        <v>2424</v>
      </c>
      <c r="C329" t="s">
        <v>8521</v>
      </c>
      <c r="E329" t="s">
        <v>9365</v>
      </c>
      <c r="F329" t="s">
        <v>9393</v>
      </c>
      <c r="G329" s="1" t="s">
        <v>9394</v>
      </c>
      <c r="H329" t="s">
        <v>9395</v>
      </c>
    </row>
    <row r="330" spans="1:8" ht="29" x14ac:dyDescent="0.35">
      <c r="A330" t="s">
        <v>2423</v>
      </c>
      <c r="B330" t="s">
        <v>2424</v>
      </c>
      <c r="C330" t="s">
        <v>8521</v>
      </c>
      <c r="E330" t="s">
        <v>9365</v>
      </c>
      <c r="F330" t="s">
        <v>9396</v>
      </c>
      <c r="G330" s="1" t="s">
        <v>9397</v>
      </c>
      <c r="H330" t="s">
        <v>9398</v>
      </c>
    </row>
    <row r="331" spans="1:8" x14ac:dyDescent="0.35">
      <c r="A331" t="s">
        <v>2423</v>
      </c>
      <c r="B331" t="s">
        <v>2424</v>
      </c>
      <c r="C331" t="s">
        <v>8521</v>
      </c>
      <c r="E331" t="s">
        <v>9365</v>
      </c>
      <c r="F331" t="s">
        <v>9399</v>
      </c>
      <c r="G331" t="s">
        <v>8872</v>
      </c>
      <c r="H331" t="s">
        <v>8873</v>
      </c>
    </row>
    <row r="332" spans="1:8" x14ac:dyDescent="0.35">
      <c r="A332" t="s">
        <v>2423</v>
      </c>
      <c r="B332" t="s">
        <v>2424</v>
      </c>
      <c r="C332" t="s">
        <v>8521</v>
      </c>
      <c r="E332" t="s">
        <v>9365</v>
      </c>
      <c r="F332" t="s">
        <v>9400</v>
      </c>
      <c r="G332" s="1" t="s">
        <v>9401</v>
      </c>
      <c r="H332" t="s">
        <v>9402</v>
      </c>
    </row>
    <row r="333" spans="1:8" ht="29" x14ac:dyDescent="0.35">
      <c r="A333" t="s">
        <v>2423</v>
      </c>
      <c r="B333" t="s">
        <v>2424</v>
      </c>
      <c r="C333" t="s">
        <v>8521</v>
      </c>
      <c r="E333" t="s">
        <v>9365</v>
      </c>
      <c r="F333" t="s">
        <v>9403</v>
      </c>
      <c r="G333" s="1" t="s">
        <v>9404</v>
      </c>
      <c r="H333" t="s">
        <v>9405</v>
      </c>
    </row>
    <row r="334" spans="1:8" x14ac:dyDescent="0.35">
      <c r="A334" t="s">
        <v>2423</v>
      </c>
      <c r="B334" t="s">
        <v>2424</v>
      </c>
      <c r="C334" t="s">
        <v>8521</v>
      </c>
      <c r="E334" t="s">
        <v>9365</v>
      </c>
      <c r="F334" t="s">
        <v>9406</v>
      </c>
      <c r="G334" t="s">
        <v>9407</v>
      </c>
      <c r="H334" t="s">
        <v>9408</v>
      </c>
    </row>
    <row r="335" spans="1:8" x14ac:dyDescent="0.35">
      <c r="A335" t="s">
        <v>2423</v>
      </c>
      <c r="B335" t="s">
        <v>2424</v>
      </c>
      <c r="C335" t="s">
        <v>8521</v>
      </c>
      <c r="E335" t="s">
        <v>9365</v>
      </c>
      <c r="F335" t="s">
        <v>9409</v>
      </c>
      <c r="G335" s="1" t="s">
        <v>9410</v>
      </c>
      <c r="H335" t="s">
        <v>9411</v>
      </c>
    </row>
    <row r="336" spans="1:8" ht="29" x14ac:dyDescent="0.35">
      <c r="A336" t="s">
        <v>2423</v>
      </c>
      <c r="B336" t="s">
        <v>2424</v>
      </c>
      <c r="C336" t="s">
        <v>8521</v>
      </c>
      <c r="E336" t="s">
        <v>9365</v>
      </c>
      <c r="F336" t="s">
        <v>9412</v>
      </c>
      <c r="G336" s="1" t="s">
        <v>9413</v>
      </c>
      <c r="H336" t="s">
        <v>9414</v>
      </c>
    </row>
    <row r="337" spans="1:8" x14ac:dyDescent="0.35">
      <c r="A337" t="s">
        <v>2423</v>
      </c>
      <c r="B337" t="s">
        <v>2424</v>
      </c>
      <c r="C337" t="s">
        <v>8521</v>
      </c>
      <c r="E337" t="s">
        <v>9365</v>
      </c>
      <c r="F337" t="s">
        <v>9415</v>
      </c>
      <c r="G337" s="1" t="s">
        <v>9416</v>
      </c>
      <c r="H337" t="s">
        <v>9417</v>
      </c>
    </row>
    <row r="338" spans="1:8" ht="29" x14ac:dyDescent="0.35">
      <c r="A338" t="s">
        <v>2423</v>
      </c>
      <c r="B338" t="s">
        <v>2424</v>
      </c>
      <c r="C338" t="s">
        <v>8521</v>
      </c>
      <c r="E338" t="s">
        <v>9365</v>
      </c>
      <c r="F338" t="s">
        <v>9418</v>
      </c>
      <c r="G338" s="1" t="s">
        <v>9419</v>
      </c>
      <c r="H338" t="s">
        <v>8874</v>
      </c>
    </row>
    <row r="339" spans="1:8" x14ac:dyDescent="0.35">
      <c r="A339" t="s">
        <v>2423</v>
      </c>
      <c r="B339" t="s">
        <v>2424</v>
      </c>
      <c r="C339" t="s">
        <v>8521</v>
      </c>
      <c r="E339" t="s">
        <v>9365</v>
      </c>
      <c r="F339" t="s">
        <v>9420</v>
      </c>
      <c r="G339" s="1" t="s">
        <v>9421</v>
      </c>
      <c r="H339" t="s">
        <v>9422</v>
      </c>
    </row>
    <row r="340" spans="1:8" x14ac:dyDescent="0.35">
      <c r="A340" t="s">
        <v>2423</v>
      </c>
      <c r="B340" t="s">
        <v>2424</v>
      </c>
      <c r="C340" t="s">
        <v>8521</v>
      </c>
      <c r="E340" t="s">
        <v>9365</v>
      </c>
      <c r="F340" t="s">
        <v>9423</v>
      </c>
      <c r="G340" s="1" t="s">
        <v>9424</v>
      </c>
      <c r="H340" t="s">
        <v>9425</v>
      </c>
    </row>
    <row r="341" spans="1:8" x14ac:dyDescent="0.35">
      <c r="A341" t="s">
        <v>2423</v>
      </c>
      <c r="B341" t="s">
        <v>2424</v>
      </c>
      <c r="C341" t="s">
        <v>8521</v>
      </c>
      <c r="E341" t="s">
        <v>9365</v>
      </c>
      <c r="F341" t="s">
        <v>9426</v>
      </c>
      <c r="G341" t="s">
        <v>9427</v>
      </c>
      <c r="H341" t="s">
        <v>9428</v>
      </c>
    </row>
    <row r="342" spans="1:8" x14ac:dyDescent="0.35">
      <c r="A342" t="s">
        <v>2423</v>
      </c>
      <c r="B342" t="s">
        <v>2424</v>
      </c>
      <c r="C342" t="s">
        <v>8521</v>
      </c>
      <c r="E342" t="s">
        <v>9365</v>
      </c>
      <c r="F342" t="s">
        <v>9429</v>
      </c>
      <c r="G342" t="s">
        <v>9430</v>
      </c>
      <c r="H342" t="s">
        <v>9431</v>
      </c>
    </row>
    <row r="343" spans="1:8" ht="29" x14ac:dyDescent="0.35">
      <c r="A343" t="s">
        <v>2423</v>
      </c>
      <c r="B343" t="s">
        <v>2424</v>
      </c>
      <c r="C343" t="s">
        <v>8521</v>
      </c>
      <c r="E343" t="s">
        <v>9365</v>
      </c>
      <c r="F343" t="s">
        <v>9432</v>
      </c>
      <c r="G343" s="1" t="s">
        <v>9433</v>
      </c>
      <c r="H343" t="s">
        <v>9434</v>
      </c>
    </row>
    <row r="344" spans="1:8" ht="29" x14ac:dyDescent="0.35">
      <c r="A344" t="s">
        <v>2423</v>
      </c>
      <c r="B344" t="s">
        <v>2424</v>
      </c>
      <c r="C344" t="s">
        <v>8521</v>
      </c>
      <c r="E344" t="s">
        <v>9365</v>
      </c>
      <c r="F344" t="s">
        <v>9435</v>
      </c>
      <c r="G344" s="1" t="s">
        <v>9436</v>
      </c>
      <c r="H344" t="s">
        <v>9437</v>
      </c>
    </row>
    <row r="345" spans="1:8" x14ac:dyDescent="0.35">
      <c r="A345" t="s">
        <v>2423</v>
      </c>
      <c r="B345" t="s">
        <v>2424</v>
      </c>
      <c r="C345" t="s">
        <v>8521</v>
      </c>
      <c r="E345" t="s">
        <v>9365</v>
      </c>
      <c r="F345" t="s">
        <v>9438</v>
      </c>
      <c r="G345" s="1" t="s">
        <v>9439</v>
      </c>
      <c r="H345" t="s">
        <v>9440</v>
      </c>
    </row>
    <row r="346" spans="1:8" x14ac:dyDescent="0.35">
      <c r="A346" t="s">
        <v>2423</v>
      </c>
      <c r="B346" t="s">
        <v>2424</v>
      </c>
      <c r="C346" t="s">
        <v>8521</v>
      </c>
      <c r="E346" t="s">
        <v>9365</v>
      </c>
      <c r="F346" t="s">
        <v>9441</v>
      </c>
      <c r="G346" t="s">
        <v>8875</v>
      </c>
      <c r="H346" t="s">
        <v>9442</v>
      </c>
    </row>
    <row r="347" spans="1:8" ht="29" x14ac:dyDescent="0.35">
      <c r="A347" t="s">
        <v>2423</v>
      </c>
      <c r="B347" t="s">
        <v>2424</v>
      </c>
      <c r="C347" t="s">
        <v>8521</v>
      </c>
      <c r="E347" t="s">
        <v>9365</v>
      </c>
      <c r="F347" t="s">
        <v>9443</v>
      </c>
      <c r="G347" s="1" t="s">
        <v>9444</v>
      </c>
      <c r="H347" t="s">
        <v>9445</v>
      </c>
    </row>
    <row r="348" spans="1:8" ht="29" x14ac:dyDescent="0.35">
      <c r="A348" t="s">
        <v>2423</v>
      </c>
      <c r="B348" t="s">
        <v>2424</v>
      </c>
      <c r="C348" t="s">
        <v>8521</v>
      </c>
      <c r="E348" t="s">
        <v>9365</v>
      </c>
      <c r="F348" t="s">
        <v>9446</v>
      </c>
      <c r="G348" s="1" t="s">
        <v>9447</v>
      </c>
      <c r="H348" t="s">
        <v>9448</v>
      </c>
    </row>
    <row r="349" spans="1:8" x14ac:dyDescent="0.35">
      <c r="A349" t="s">
        <v>2423</v>
      </c>
      <c r="B349" t="s">
        <v>2424</v>
      </c>
      <c r="C349" t="s">
        <v>8521</v>
      </c>
      <c r="E349" t="s">
        <v>9365</v>
      </c>
      <c r="F349" t="s">
        <v>9449</v>
      </c>
      <c r="G349" s="1" t="s">
        <v>9450</v>
      </c>
      <c r="H349" t="s">
        <v>9451</v>
      </c>
    </row>
    <row r="350" spans="1:8" x14ac:dyDescent="0.35">
      <c r="A350" t="s">
        <v>2423</v>
      </c>
      <c r="B350" t="s">
        <v>2424</v>
      </c>
      <c r="C350" t="s">
        <v>8521</v>
      </c>
      <c r="E350" t="s">
        <v>9365</v>
      </c>
      <c r="F350" t="s">
        <v>9452</v>
      </c>
      <c r="G350" s="1" t="s">
        <v>9453</v>
      </c>
      <c r="H350" t="s">
        <v>9454</v>
      </c>
    </row>
    <row r="351" spans="1:8" x14ac:dyDescent="0.35">
      <c r="A351" t="s">
        <v>6857</v>
      </c>
      <c r="B351" t="s">
        <v>6858</v>
      </c>
      <c r="C351" t="s">
        <v>8521</v>
      </c>
      <c r="E351" t="s">
        <v>9365</v>
      </c>
      <c r="F351" t="s">
        <v>9366</v>
      </c>
      <c r="G351" t="s">
        <v>13891</v>
      </c>
      <c r="H351" t="s">
        <v>9367</v>
      </c>
    </row>
    <row r="352" spans="1:8" x14ac:dyDescent="0.35">
      <c r="A352" t="s">
        <v>6857</v>
      </c>
      <c r="B352" t="s">
        <v>6858</v>
      </c>
      <c r="C352" t="s">
        <v>8521</v>
      </c>
      <c r="E352" t="s">
        <v>9365</v>
      </c>
      <c r="F352" t="s">
        <v>9368</v>
      </c>
      <c r="G352" t="s">
        <v>9369</v>
      </c>
      <c r="H352" t="s">
        <v>9370</v>
      </c>
    </row>
    <row r="353" spans="1:8" x14ac:dyDescent="0.35">
      <c r="A353" t="s">
        <v>6857</v>
      </c>
      <c r="B353" t="s">
        <v>6858</v>
      </c>
      <c r="C353" t="s">
        <v>8521</v>
      </c>
      <c r="E353" t="s">
        <v>9365</v>
      </c>
      <c r="F353" t="s">
        <v>9371</v>
      </c>
      <c r="G353" t="s">
        <v>9372</v>
      </c>
      <c r="H353" t="s">
        <v>9373</v>
      </c>
    </row>
    <row r="354" spans="1:8" x14ac:dyDescent="0.35">
      <c r="A354" t="s">
        <v>6857</v>
      </c>
      <c r="B354" t="s">
        <v>6858</v>
      </c>
      <c r="C354" t="s">
        <v>8521</v>
      </c>
      <c r="E354" t="s">
        <v>9365</v>
      </c>
      <c r="F354" t="s">
        <v>9374</v>
      </c>
      <c r="G354" t="s">
        <v>9375</v>
      </c>
      <c r="H354" t="s">
        <v>9376</v>
      </c>
    </row>
    <row r="355" spans="1:8" x14ac:dyDescent="0.35">
      <c r="A355" t="s">
        <v>6857</v>
      </c>
      <c r="B355" t="s">
        <v>6858</v>
      </c>
      <c r="C355" t="s">
        <v>8521</v>
      </c>
      <c r="E355" t="s">
        <v>9365</v>
      </c>
      <c r="F355" t="s">
        <v>9377</v>
      </c>
      <c r="G355" t="s">
        <v>9378</v>
      </c>
      <c r="H355" t="s">
        <v>9379</v>
      </c>
    </row>
    <row r="356" spans="1:8" ht="29" x14ac:dyDescent="0.35">
      <c r="A356" t="s">
        <v>6857</v>
      </c>
      <c r="B356" t="s">
        <v>6858</v>
      </c>
      <c r="C356" t="s">
        <v>8521</v>
      </c>
      <c r="E356" t="s">
        <v>9365</v>
      </c>
      <c r="F356" t="s">
        <v>9380</v>
      </c>
      <c r="G356" s="1" t="s">
        <v>9381</v>
      </c>
      <c r="H356" t="s">
        <v>9382</v>
      </c>
    </row>
    <row r="357" spans="1:8" x14ac:dyDescent="0.35">
      <c r="A357" t="s">
        <v>6857</v>
      </c>
      <c r="B357" t="s">
        <v>6858</v>
      </c>
      <c r="C357" t="s">
        <v>8521</v>
      </c>
      <c r="E357" t="s">
        <v>9365</v>
      </c>
      <c r="F357" t="s">
        <v>9383</v>
      </c>
      <c r="G357" t="s">
        <v>9384</v>
      </c>
      <c r="H357" t="s">
        <v>9385</v>
      </c>
    </row>
    <row r="358" spans="1:8" x14ac:dyDescent="0.35">
      <c r="A358" t="s">
        <v>6857</v>
      </c>
      <c r="B358" t="s">
        <v>6858</v>
      </c>
      <c r="C358" t="s">
        <v>8521</v>
      </c>
      <c r="E358" t="s">
        <v>9365</v>
      </c>
      <c r="F358" t="s">
        <v>9386</v>
      </c>
      <c r="G358" t="s">
        <v>8869</v>
      </c>
      <c r="H358" t="s">
        <v>9387</v>
      </c>
    </row>
    <row r="359" spans="1:8" ht="29" x14ac:dyDescent="0.35">
      <c r="A359" t="s">
        <v>6857</v>
      </c>
      <c r="B359" t="s">
        <v>6858</v>
      </c>
      <c r="C359" t="s">
        <v>8521</v>
      </c>
      <c r="E359" t="s">
        <v>9365</v>
      </c>
      <c r="F359" t="s">
        <v>9388</v>
      </c>
      <c r="G359" s="1" t="s">
        <v>9389</v>
      </c>
      <c r="H359" t="s">
        <v>8870</v>
      </c>
    </row>
    <row r="360" spans="1:8" ht="29" x14ac:dyDescent="0.35">
      <c r="A360" t="s">
        <v>6857</v>
      </c>
      <c r="B360" t="s">
        <v>6858</v>
      </c>
      <c r="C360" t="s">
        <v>8521</v>
      </c>
      <c r="E360" t="s">
        <v>9365</v>
      </c>
      <c r="F360" t="s">
        <v>9390</v>
      </c>
      <c r="G360" s="1" t="s">
        <v>9391</v>
      </c>
      <c r="H360" t="s">
        <v>9392</v>
      </c>
    </row>
    <row r="361" spans="1:8" ht="29" x14ac:dyDescent="0.35">
      <c r="A361" t="s">
        <v>6857</v>
      </c>
      <c r="B361" t="s">
        <v>6858</v>
      </c>
      <c r="C361" t="s">
        <v>8521</v>
      </c>
      <c r="E361" t="s">
        <v>9365</v>
      </c>
      <c r="F361" t="s">
        <v>9393</v>
      </c>
      <c r="G361" s="1" t="s">
        <v>9394</v>
      </c>
      <c r="H361" t="s">
        <v>9395</v>
      </c>
    </row>
    <row r="362" spans="1:8" ht="29" x14ac:dyDescent="0.35">
      <c r="A362" t="s">
        <v>6857</v>
      </c>
      <c r="B362" t="s">
        <v>6858</v>
      </c>
      <c r="C362" t="s">
        <v>8521</v>
      </c>
      <c r="E362" t="s">
        <v>9365</v>
      </c>
      <c r="F362" t="s">
        <v>9396</v>
      </c>
      <c r="G362" s="1" t="s">
        <v>9397</v>
      </c>
      <c r="H362" t="s">
        <v>9398</v>
      </c>
    </row>
    <row r="363" spans="1:8" x14ac:dyDescent="0.35">
      <c r="A363" t="s">
        <v>6857</v>
      </c>
      <c r="B363" t="s">
        <v>6858</v>
      </c>
      <c r="C363" t="s">
        <v>8521</v>
      </c>
      <c r="E363" t="s">
        <v>9365</v>
      </c>
      <c r="F363" t="s">
        <v>9399</v>
      </c>
      <c r="G363" t="s">
        <v>8872</v>
      </c>
      <c r="H363" t="s">
        <v>8873</v>
      </c>
    </row>
    <row r="364" spans="1:8" x14ac:dyDescent="0.35">
      <c r="A364" t="s">
        <v>6857</v>
      </c>
      <c r="B364" t="s">
        <v>6858</v>
      </c>
      <c r="C364" t="s">
        <v>8521</v>
      </c>
      <c r="E364" t="s">
        <v>9365</v>
      </c>
      <c r="F364" t="s">
        <v>9400</v>
      </c>
      <c r="G364" s="1" t="s">
        <v>9401</v>
      </c>
      <c r="H364" t="s">
        <v>9402</v>
      </c>
    </row>
    <row r="365" spans="1:8" ht="29" x14ac:dyDescent="0.35">
      <c r="A365" t="s">
        <v>6857</v>
      </c>
      <c r="B365" t="s">
        <v>6858</v>
      </c>
      <c r="C365" t="s">
        <v>8521</v>
      </c>
      <c r="E365" t="s">
        <v>9365</v>
      </c>
      <c r="F365" t="s">
        <v>9403</v>
      </c>
      <c r="G365" s="1" t="s">
        <v>9404</v>
      </c>
      <c r="H365" t="s">
        <v>9405</v>
      </c>
    </row>
    <row r="366" spans="1:8" x14ac:dyDescent="0.35">
      <c r="A366" t="s">
        <v>6857</v>
      </c>
      <c r="B366" t="s">
        <v>6858</v>
      </c>
      <c r="C366" t="s">
        <v>8521</v>
      </c>
      <c r="E366" t="s">
        <v>9365</v>
      </c>
      <c r="F366" t="s">
        <v>9406</v>
      </c>
      <c r="G366" t="s">
        <v>9407</v>
      </c>
      <c r="H366" t="s">
        <v>9408</v>
      </c>
    </row>
    <row r="367" spans="1:8" x14ac:dyDescent="0.35">
      <c r="A367" t="s">
        <v>6857</v>
      </c>
      <c r="B367" t="s">
        <v>6858</v>
      </c>
      <c r="C367" t="s">
        <v>8521</v>
      </c>
      <c r="E367" t="s">
        <v>9365</v>
      </c>
      <c r="F367" t="s">
        <v>9409</v>
      </c>
      <c r="G367" s="1" t="s">
        <v>9410</v>
      </c>
      <c r="H367" t="s">
        <v>9411</v>
      </c>
    </row>
    <row r="368" spans="1:8" ht="29" x14ac:dyDescent="0.35">
      <c r="A368" t="s">
        <v>6857</v>
      </c>
      <c r="B368" t="s">
        <v>6858</v>
      </c>
      <c r="C368" t="s">
        <v>8521</v>
      </c>
      <c r="E368" t="s">
        <v>9365</v>
      </c>
      <c r="F368" t="s">
        <v>9412</v>
      </c>
      <c r="G368" s="1" t="s">
        <v>9413</v>
      </c>
      <c r="H368" t="s">
        <v>9414</v>
      </c>
    </row>
    <row r="369" spans="1:8" x14ac:dyDescent="0.35">
      <c r="A369" t="s">
        <v>6857</v>
      </c>
      <c r="B369" t="s">
        <v>6858</v>
      </c>
      <c r="C369" t="s">
        <v>8521</v>
      </c>
      <c r="E369" t="s">
        <v>9365</v>
      </c>
      <c r="F369" t="s">
        <v>9415</v>
      </c>
      <c r="G369" s="1" t="s">
        <v>9416</v>
      </c>
      <c r="H369" t="s">
        <v>9417</v>
      </c>
    </row>
    <row r="370" spans="1:8" ht="29" x14ac:dyDescent="0.35">
      <c r="A370" t="s">
        <v>6857</v>
      </c>
      <c r="B370" t="s">
        <v>6858</v>
      </c>
      <c r="C370" t="s">
        <v>8521</v>
      </c>
      <c r="E370" t="s">
        <v>9365</v>
      </c>
      <c r="F370" t="s">
        <v>9418</v>
      </c>
      <c r="G370" s="1" t="s">
        <v>9419</v>
      </c>
      <c r="H370" t="s">
        <v>8874</v>
      </c>
    </row>
    <row r="371" spans="1:8" x14ac:dyDescent="0.35">
      <c r="A371" t="s">
        <v>6857</v>
      </c>
      <c r="B371" t="s">
        <v>6858</v>
      </c>
      <c r="C371" t="s">
        <v>8521</v>
      </c>
      <c r="E371" t="s">
        <v>9365</v>
      </c>
      <c r="F371" t="s">
        <v>9420</v>
      </c>
      <c r="G371" s="1" t="s">
        <v>9421</v>
      </c>
      <c r="H371" t="s">
        <v>9422</v>
      </c>
    </row>
    <row r="372" spans="1:8" x14ac:dyDescent="0.35">
      <c r="A372" t="s">
        <v>6857</v>
      </c>
      <c r="B372" t="s">
        <v>6858</v>
      </c>
      <c r="C372" t="s">
        <v>8521</v>
      </c>
      <c r="E372" t="s">
        <v>9365</v>
      </c>
      <c r="F372" t="s">
        <v>9423</v>
      </c>
      <c r="G372" s="1" t="s">
        <v>9424</v>
      </c>
      <c r="H372" t="s">
        <v>9425</v>
      </c>
    </row>
    <row r="373" spans="1:8" x14ac:dyDescent="0.35">
      <c r="A373" t="s">
        <v>6857</v>
      </c>
      <c r="B373" t="s">
        <v>6858</v>
      </c>
      <c r="C373" t="s">
        <v>8521</v>
      </c>
      <c r="E373" t="s">
        <v>9365</v>
      </c>
      <c r="F373" t="s">
        <v>9426</v>
      </c>
      <c r="G373" t="s">
        <v>9427</v>
      </c>
      <c r="H373" t="s">
        <v>9428</v>
      </c>
    </row>
    <row r="374" spans="1:8" x14ac:dyDescent="0.35">
      <c r="A374" t="s">
        <v>6857</v>
      </c>
      <c r="B374" t="s">
        <v>6858</v>
      </c>
      <c r="C374" t="s">
        <v>8521</v>
      </c>
      <c r="E374" t="s">
        <v>9365</v>
      </c>
      <c r="F374" t="s">
        <v>9429</v>
      </c>
      <c r="G374" t="s">
        <v>9430</v>
      </c>
      <c r="H374" t="s">
        <v>9431</v>
      </c>
    </row>
    <row r="375" spans="1:8" ht="29" x14ac:dyDescent="0.35">
      <c r="A375" t="s">
        <v>6857</v>
      </c>
      <c r="B375" t="s">
        <v>6858</v>
      </c>
      <c r="C375" t="s">
        <v>8521</v>
      </c>
      <c r="E375" t="s">
        <v>9365</v>
      </c>
      <c r="F375" t="s">
        <v>9432</v>
      </c>
      <c r="G375" s="1" t="s">
        <v>9433</v>
      </c>
      <c r="H375" t="s">
        <v>9434</v>
      </c>
    </row>
    <row r="376" spans="1:8" ht="29" x14ac:dyDescent="0.35">
      <c r="A376" t="s">
        <v>6857</v>
      </c>
      <c r="B376" t="s">
        <v>6858</v>
      </c>
      <c r="C376" t="s">
        <v>8521</v>
      </c>
      <c r="E376" t="s">
        <v>9365</v>
      </c>
      <c r="F376" t="s">
        <v>9435</v>
      </c>
      <c r="G376" s="1" t="s">
        <v>9436</v>
      </c>
      <c r="H376" t="s">
        <v>9437</v>
      </c>
    </row>
    <row r="377" spans="1:8" x14ac:dyDescent="0.35">
      <c r="A377" t="s">
        <v>6857</v>
      </c>
      <c r="B377" t="s">
        <v>6858</v>
      </c>
      <c r="C377" t="s">
        <v>8521</v>
      </c>
      <c r="E377" t="s">
        <v>9365</v>
      </c>
      <c r="F377" t="s">
        <v>9438</v>
      </c>
      <c r="G377" s="1" t="s">
        <v>9439</v>
      </c>
      <c r="H377" t="s">
        <v>9440</v>
      </c>
    </row>
    <row r="378" spans="1:8" x14ac:dyDescent="0.35">
      <c r="A378" t="s">
        <v>6857</v>
      </c>
      <c r="B378" t="s">
        <v>6858</v>
      </c>
      <c r="C378" t="s">
        <v>8521</v>
      </c>
      <c r="E378" t="s">
        <v>9365</v>
      </c>
      <c r="F378" t="s">
        <v>9441</v>
      </c>
      <c r="G378" t="s">
        <v>8875</v>
      </c>
      <c r="H378" t="s">
        <v>9442</v>
      </c>
    </row>
    <row r="379" spans="1:8" ht="29" x14ac:dyDescent="0.35">
      <c r="A379" t="s">
        <v>6857</v>
      </c>
      <c r="B379" t="s">
        <v>6858</v>
      </c>
      <c r="C379" t="s">
        <v>8521</v>
      </c>
      <c r="E379" t="s">
        <v>9365</v>
      </c>
      <c r="F379" t="s">
        <v>9443</v>
      </c>
      <c r="G379" s="1" t="s">
        <v>9444</v>
      </c>
      <c r="H379" t="s">
        <v>9445</v>
      </c>
    </row>
    <row r="380" spans="1:8" ht="29" x14ac:dyDescent="0.35">
      <c r="A380" t="s">
        <v>6857</v>
      </c>
      <c r="B380" t="s">
        <v>6858</v>
      </c>
      <c r="C380" t="s">
        <v>8521</v>
      </c>
      <c r="E380" t="s">
        <v>9365</v>
      </c>
      <c r="F380" t="s">
        <v>9446</v>
      </c>
      <c r="G380" s="1" t="s">
        <v>9447</v>
      </c>
      <c r="H380" t="s">
        <v>9448</v>
      </c>
    </row>
    <row r="381" spans="1:8" x14ac:dyDescent="0.35">
      <c r="A381" t="s">
        <v>6857</v>
      </c>
      <c r="B381" t="s">
        <v>6858</v>
      </c>
      <c r="C381" t="s">
        <v>8521</v>
      </c>
      <c r="E381" t="s">
        <v>9365</v>
      </c>
      <c r="F381" t="s">
        <v>9449</v>
      </c>
      <c r="G381" s="1" t="s">
        <v>9450</v>
      </c>
      <c r="H381" t="s">
        <v>9451</v>
      </c>
    </row>
    <row r="382" spans="1:8" x14ac:dyDescent="0.35">
      <c r="A382" t="s">
        <v>6857</v>
      </c>
      <c r="B382" t="s">
        <v>6858</v>
      </c>
      <c r="C382" t="s">
        <v>8521</v>
      </c>
      <c r="E382" t="s">
        <v>9365</v>
      </c>
      <c r="F382" t="s">
        <v>9452</v>
      </c>
      <c r="G382" s="1" t="s">
        <v>9453</v>
      </c>
      <c r="H382" t="s">
        <v>9454</v>
      </c>
    </row>
    <row r="383" spans="1:8" x14ac:dyDescent="0.35">
      <c r="A383" t="s">
        <v>6593</v>
      </c>
      <c r="B383" t="s">
        <v>6594</v>
      </c>
      <c r="C383" t="s">
        <v>8764</v>
      </c>
      <c r="E383" t="s">
        <v>9455</v>
      </c>
      <c r="F383" t="s">
        <v>9456</v>
      </c>
      <c r="G383" t="s">
        <v>13892</v>
      </c>
      <c r="H383" t="s">
        <v>9457</v>
      </c>
    </row>
    <row r="384" spans="1:8" x14ac:dyDescent="0.35">
      <c r="A384" t="s">
        <v>6593</v>
      </c>
      <c r="B384" t="s">
        <v>6594</v>
      </c>
      <c r="C384" t="s">
        <v>8764</v>
      </c>
      <c r="E384" t="s">
        <v>9455</v>
      </c>
      <c r="F384" t="s">
        <v>9458</v>
      </c>
      <c r="G384" t="s">
        <v>9459</v>
      </c>
      <c r="H384" t="s">
        <v>9460</v>
      </c>
    </row>
    <row r="385" spans="1:8" ht="29" x14ac:dyDescent="0.35">
      <c r="A385" t="s">
        <v>6593</v>
      </c>
      <c r="B385" t="s">
        <v>6594</v>
      </c>
      <c r="C385" t="s">
        <v>8764</v>
      </c>
      <c r="E385" t="s">
        <v>9455</v>
      </c>
      <c r="F385" t="s">
        <v>9461</v>
      </c>
      <c r="G385" s="1" t="s">
        <v>9462</v>
      </c>
      <c r="H385" t="s">
        <v>9463</v>
      </c>
    </row>
    <row r="386" spans="1:8" x14ac:dyDescent="0.35">
      <c r="A386" t="s">
        <v>2756</v>
      </c>
      <c r="B386" t="s">
        <v>2757</v>
      </c>
      <c r="C386" t="s">
        <v>8542</v>
      </c>
      <c r="E386" t="s">
        <v>9464</v>
      </c>
      <c r="F386" t="s">
        <v>9465</v>
      </c>
      <c r="G386" t="s">
        <v>9466</v>
      </c>
      <c r="H386" t="s">
        <v>9467</v>
      </c>
    </row>
    <row r="387" spans="1:8" ht="29" x14ac:dyDescent="0.35">
      <c r="A387" t="s">
        <v>2756</v>
      </c>
      <c r="B387" t="s">
        <v>2757</v>
      </c>
      <c r="C387" t="s">
        <v>8542</v>
      </c>
      <c r="E387" t="s">
        <v>9464</v>
      </c>
      <c r="F387" t="s">
        <v>9468</v>
      </c>
      <c r="G387" s="1" t="s">
        <v>9469</v>
      </c>
      <c r="H387" t="s">
        <v>9470</v>
      </c>
    </row>
    <row r="388" spans="1:8" ht="29" x14ac:dyDescent="0.35">
      <c r="A388" t="s">
        <v>2756</v>
      </c>
      <c r="B388" t="s">
        <v>2757</v>
      </c>
      <c r="C388" t="s">
        <v>8542</v>
      </c>
      <c r="E388" t="s">
        <v>9464</v>
      </c>
      <c r="F388" t="s">
        <v>9471</v>
      </c>
      <c r="G388" s="1" t="s">
        <v>9472</v>
      </c>
      <c r="H388" t="s">
        <v>9473</v>
      </c>
    </row>
    <row r="389" spans="1:8" x14ac:dyDescent="0.35">
      <c r="A389" t="s">
        <v>2756</v>
      </c>
      <c r="B389" t="s">
        <v>2757</v>
      </c>
      <c r="C389" t="s">
        <v>8542</v>
      </c>
      <c r="E389" t="s">
        <v>9464</v>
      </c>
      <c r="F389" t="s">
        <v>9474</v>
      </c>
      <c r="G389" s="1" t="s">
        <v>9475</v>
      </c>
      <c r="H389" t="s">
        <v>9476</v>
      </c>
    </row>
    <row r="390" spans="1:8" ht="29" x14ac:dyDescent="0.35">
      <c r="A390" t="s">
        <v>2756</v>
      </c>
      <c r="B390" t="s">
        <v>2757</v>
      </c>
      <c r="C390" t="s">
        <v>8542</v>
      </c>
      <c r="E390" t="s">
        <v>9464</v>
      </c>
      <c r="F390" t="s">
        <v>9477</v>
      </c>
      <c r="G390" s="1" t="s">
        <v>9478</v>
      </c>
      <c r="H390" t="s">
        <v>9479</v>
      </c>
    </row>
    <row r="391" spans="1:8" ht="29" x14ac:dyDescent="0.35">
      <c r="A391" t="s">
        <v>2756</v>
      </c>
      <c r="B391" t="s">
        <v>2757</v>
      </c>
      <c r="C391" t="s">
        <v>8542</v>
      </c>
      <c r="E391" t="s">
        <v>9464</v>
      </c>
      <c r="F391" t="s">
        <v>9480</v>
      </c>
      <c r="G391" s="1" t="s">
        <v>9481</v>
      </c>
      <c r="H391" t="s">
        <v>9482</v>
      </c>
    </row>
    <row r="392" spans="1:8" ht="29" x14ac:dyDescent="0.35">
      <c r="A392" t="s">
        <v>2756</v>
      </c>
      <c r="B392" t="s">
        <v>2757</v>
      </c>
      <c r="C392" t="s">
        <v>8542</v>
      </c>
      <c r="E392" t="s">
        <v>9464</v>
      </c>
      <c r="F392" t="s">
        <v>9483</v>
      </c>
      <c r="G392" s="1" t="s">
        <v>9484</v>
      </c>
      <c r="H392" t="s">
        <v>9485</v>
      </c>
    </row>
    <row r="393" spans="1:8" ht="29" x14ac:dyDescent="0.35">
      <c r="A393" t="s">
        <v>2756</v>
      </c>
      <c r="B393" t="s">
        <v>2757</v>
      </c>
      <c r="C393" t="s">
        <v>8542</v>
      </c>
      <c r="E393" t="s">
        <v>9464</v>
      </c>
      <c r="F393" t="s">
        <v>9486</v>
      </c>
      <c r="G393" s="1" t="s">
        <v>9487</v>
      </c>
      <c r="H393" t="s">
        <v>9488</v>
      </c>
    </row>
    <row r="394" spans="1:8" x14ac:dyDescent="0.35">
      <c r="A394" t="s">
        <v>767</v>
      </c>
      <c r="B394" t="s">
        <v>768</v>
      </c>
      <c r="C394" t="s">
        <v>8448</v>
      </c>
      <c r="E394" t="s">
        <v>9489</v>
      </c>
      <c r="F394" t="s">
        <v>9490</v>
      </c>
      <c r="G394" t="s">
        <v>9491</v>
      </c>
      <c r="H394" t="s">
        <v>9492</v>
      </c>
    </row>
    <row r="395" spans="1:8" ht="29" x14ac:dyDescent="0.35">
      <c r="A395" t="s">
        <v>2402</v>
      </c>
      <c r="B395" t="s">
        <v>2403</v>
      </c>
      <c r="C395" t="s">
        <v>8519</v>
      </c>
      <c r="E395" t="s">
        <v>9493</v>
      </c>
      <c r="F395" t="s">
        <v>9494</v>
      </c>
      <c r="G395" s="1" t="s">
        <v>9495</v>
      </c>
      <c r="H395" t="s">
        <v>9496</v>
      </c>
    </row>
    <row r="396" spans="1:8" ht="29" x14ac:dyDescent="0.35">
      <c r="A396" t="s">
        <v>1922</v>
      </c>
      <c r="B396" t="s">
        <v>1923</v>
      </c>
      <c r="C396" t="s">
        <v>9498</v>
      </c>
      <c r="E396" t="s">
        <v>9493</v>
      </c>
      <c r="F396" t="s">
        <v>9494</v>
      </c>
      <c r="G396" s="1" t="s">
        <v>9495</v>
      </c>
      <c r="H396" t="s">
        <v>9496</v>
      </c>
    </row>
    <row r="397" spans="1:8" ht="29" x14ac:dyDescent="0.35">
      <c r="A397" t="s">
        <v>1922</v>
      </c>
      <c r="B397" t="s">
        <v>1923</v>
      </c>
      <c r="C397" t="s">
        <v>9497</v>
      </c>
      <c r="E397" t="s">
        <v>9499</v>
      </c>
      <c r="F397" t="s">
        <v>9500</v>
      </c>
      <c r="G397" s="1" t="s">
        <v>9501</v>
      </c>
      <c r="H397" t="s">
        <v>9502</v>
      </c>
    </row>
    <row r="398" spans="1:8" x14ac:dyDescent="0.35">
      <c r="A398" t="s">
        <v>1922</v>
      </c>
      <c r="B398" t="s">
        <v>1923</v>
      </c>
      <c r="C398" t="s">
        <v>9497</v>
      </c>
      <c r="E398" t="s">
        <v>9499</v>
      </c>
      <c r="F398" t="s">
        <v>9494</v>
      </c>
      <c r="G398" t="s">
        <v>9503</v>
      </c>
      <c r="H398" t="s">
        <v>9504</v>
      </c>
    </row>
    <row r="399" spans="1:8" ht="29" x14ac:dyDescent="0.35">
      <c r="A399" t="s">
        <v>2016</v>
      </c>
      <c r="B399" t="s">
        <v>2017</v>
      </c>
      <c r="C399" t="s">
        <v>9498</v>
      </c>
      <c r="E399" t="s">
        <v>9493</v>
      </c>
      <c r="F399" t="s">
        <v>9494</v>
      </c>
      <c r="G399" s="1" t="s">
        <v>9495</v>
      </c>
      <c r="H399" t="s">
        <v>9496</v>
      </c>
    </row>
    <row r="400" spans="1:8" ht="29" x14ac:dyDescent="0.35">
      <c r="A400" t="s">
        <v>2016</v>
      </c>
      <c r="B400" t="s">
        <v>2017</v>
      </c>
      <c r="C400" t="s">
        <v>9497</v>
      </c>
      <c r="E400" t="s">
        <v>9499</v>
      </c>
      <c r="F400" t="s">
        <v>9500</v>
      </c>
      <c r="G400" s="1" t="s">
        <v>9501</v>
      </c>
      <c r="H400" t="s">
        <v>9502</v>
      </c>
    </row>
    <row r="401" spans="1:8" x14ac:dyDescent="0.35">
      <c r="A401" t="s">
        <v>2016</v>
      </c>
      <c r="B401" t="s">
        <v>2017</v>
      </c>
      <c r="C401" t="s">
        <v>9497</v>
      </c>
      <c r="E401" t="s">
        <v>9499</v>
      </c>
      <c r="F401" t="s">
        <v>9494</v>
      </c>
      <c r="G401" t="s">
        <v>9503</v>
      </c>
      <c r="H401" t="s">
        <v>9504</v>
      </c>
    </row>
    <row r="402" spans="1:8" ht="29" x14ac:dyDescent="0.35">
      <c r="A402" t="s">
        <v>6417</v>
      </c>
      <c r="B402" t="s">
        <v>6418</v>
      </c>
      <c r="C402" t="s">
        <v>8755</v>
      </c>
      <c r="E402" t="s">
        <v>9505</v>
      </c>
      <c r="F402" t="s">
        <v>9506</v>
      </c>
      <c r="G402" s="1" t="s">
        <v>9507</v>
      </c>
      <c r="H402" t="s">
        <v>9508</v>
      </c>
    </row>
    <row r="403" spans="1:8" x14ac:dyDescent="0.35">
      <c r="A403" t="s">
        <v>2578</v>
      </c>
      <c r="B403" t="s">
        <v>2579</v>
      </c>
      <c r="C403" t="s">
        <v>8529</v>
      </c>
      <c r="E403" t="s">
        <v>9512</v>
      </c>
      <c r="F403" t="s">
        <v>9509</v>
      </c>
      <c r="G403" t="s">
        <v>9510</v>
      </c>
      <c r="H403" t="s">
        <v>9511</v>
      </c>
    </row>
    <row r="404" spans="1:8" ht="29" x14ac:dyDescent="0.35">
      <c r="A404" t="s">
        <v>2578</v>
      </c>
      <c r="B404" t="s">
        <v>2579</v>
      </c>
      <c r="C404" t="s">
        <v>8529</v>
      </c>
      <c r="E404" t="s">
        <v>9512</v>
      </c>
      <c r="F404" t="s">
        <v>9513</v>
      </c>
      <c r="G404" s="1" t="s">
        <v>9514</v>
      </c>
      <c r="H404" t="s">
        <v>9515</v>
      </c>
    </row>
    <row r="405" spans="1:8" x14ac:dyDescent="0.35">
      <c r="A405" t="s">
        <v>2578</v>
      </c>
      <c r="B405" t="s">
        <v>2579</v>
      </c>
      <c r="C405" t="s">
        <v>8529</v>
      </c>
      <c r="E405" t="s">
        <v>9512</v>
      </c>
      <c r="F405" t="s">
        <v>9531</v>
      </c>
      <c r="G405" s="1" t="s">
        <v>9532</v>
      </c>
      <c r="H405" t="s">
        <v>9533</v>
      </c>
    </row>
    <row r="406" spans="1:8" ht="29" x14ac:dyDescent="0.35">
      <c r="A406" t="s">
        <v>7226</v>
      </c>
      <c r="B406" t="s">
        <v>7227</v>
      </c>
      <c r="C406" t="s">
        <v>8801</v>
      </c>
      <c r="E406" t="s">
        <v>9519</v>
      </c>
      <c r="F406" t="s">
        <v>9516</v>
      </c>
      <c r="G406" s="1" t="s">
        <v>9517</v>
      </c>
      <c r="H406" t="s">
        <v>9518</v>
      </c>
    </row>
    <row r="407" spans="1:8" ht="29" x14ac:dyDescent="0.35">
      <c r="A407" t="s">
        <v>7226</v>
      </c>
      <c r="B407" t="s">
        <v>7227</v>
      </c>
      <c r="C407" t="s">
        <v>8801</v>
      </c>
      <c r="E407" t="s">
        <v>9519</v>
      </c>
      <c r="F407" t="s">
        <v>9534</v>
      </c>
      <c r="G407" s="1" t="s">
        <v>9535</v>
      </c>
      <c r="H407" t="s">
        <v>9536</v>
      </c>
    </row>
    <row r="408" spans="1:8" ht="29" x14ac:dyDescent="0.35">
      <c r="A408" t="s">
        <v>7226</v>
      </c>
      <c r="B408" t="s">
        <v>7227</v>
      </c>
      <c r="C408" t="s">
        <v>8801</v>
      </c>
      <c r="E408" t="s">
        <v>9519</v>
      </c>
      <c r="F408" t="s">
        <v>9520</v>
      </c>
      <c r="G408" s="1" t="s">
        <v>9521</v>
      </c>
      <c r="H408" t="s">
        <v>9522</v>
      </c>
    </row>
    <row r="409" spans="1:8" x14ac:dyDescent="0.35">
      <c r="A409" t="s">
        <v>7226</v>
      </c>
      <c r="B409" t="s">
        <v>7227</v>
      </c>
      <c r="C409" t="s">
        <v>8801</v>
      </c>
      <c r="E409" t="s">
        <v>9519</v>
      </c>
      <c r="F409" t="s">
        <v>9537</v>
      </c>
      <c r="G409" s="1" t="s">
        <v>9538</v>
      </c>
      <c r="H409" t="s">
        <v>9539</v>
      </c>
    </row>
    <row r="410" spans="1:8" ht="29" x14ac:dyDescent="0.35">
      <c r="A410" t="s">
        <v>3488</v>
      </c>
      <c r="B410" t="s">
        <v>3489</v>
      </c>
      <c r="C410" t="s">
        <v>8582</v>
      </c>
      <c r="E410" t="s">
        <v>9523</v>
      </c>
      <c r="F410" t="s">
        <v>9524</v>
      </c>
      <c r="G410" s="1" t="s">
        <v>9525</v>
      </c>
      <c r="H410" t="s">
        <v>9526</v>
      </c>
    </row>
    <row r="411" spans="1:8" ht="29" x14ac:dyDescent="0.35">
      <c r="A411" t="s">
        <v>3488</v>
      </c>
      <c r="B411" t="s">
        <v>3489</v>
      </c>
      <c r="C411" t="s">
        <v>8582</v>
      </c>
      <c r="E411" t="s">
        <v>9523</v>
      </c>
      <c r="F411" t="s">
        <v>9540</v>
      </c>
      <c r="G411" s="1" t="s">
        <v>9541</v>
      </c>
      <c r="H411" t="s">
        <v>9542</v>
      </c>
    </row>
    <row r="412" spans="1:8" ht="29" x14ac:dyDescent="0.35">
      <c r="A412" t="s">
        <v>3190</v>
      </c>
      <c r="B412" t="s">
        <v>3191</v>
      </c>
      <c r="C412" t="s">
        <v>8564</v>
      </c>
      <c r="E412" t="s">
        <v>9527</v>
      </c>
      <c r="F412" t="s">
        <v>9528</v>
      </c>
      <c r="G412" s="1" t="s">
        <v>9529</v>
      </c>
      <c r="H412" t="s">
        <v>9530</v>
      </c>
    </row>
    <row r="413" spans="1:8" ht="29" x14ac:dyDescent="0.35">
      <c r="A413" t="s">
        <v>3190</v>
      </c>
      <c r="B413" t="s">
        <v>3191</v>
      </c>
      <c r="C413" t="s">
        <v>8564</v>
      </c>
      <c r="E413" t="s">
        <v>9527</v>
      </c>
      <c r="F413" t="s">
        <v>9543</v>
      </c>
      <c r="G413" s="1" t="s">
        <v>13893</v>
      </c>
      <c r="H413" t="s">
        <v>9544</v>
      </c>
    </row>
    <row r="414" spans="1:8" ht="29" x14ac:dyDescent="0.35">
      <c r="A414" t="s">
        <v>5950</v>
      </c>
      <c r="B414" t="s">
        <v>5951</v>
      </c>
      <c r="C414" t="s">
        <v>8725</v>
      </c>
      <c r="E414" t="s">
        <v>9545</v>
      </c>
      <c r="F414" t="s">
        <v>9546</v>
      </c>
      <c r="G414" s="1" t="s">
        <v>9547</v>
      </c>
      <c r="H414" t="s">
        <v>9548</v>
      </c>
    </row>
    <row r="415" spans="1:8" x14ac:dyDescent="0.35">
      <c r="A415" t="s">
        <v>5950</v>
      </c>
      <c r="B415" t="s">
        <v>5951</v>
      </c>
      <c r="C415" t="s">
        <v>8725</v>
      </c>
      <c r="E415" t="s">
        <v>9545</v>
      </c>
      <c r="F415" t="s">
        <v>9549</v>
      </c>
      <c r="G415" s="1" t="s">
        <v>9550</v>
      </c>
      <c r="H415" t="s">
        <v>9551</v>
      </c>
    </row>
    <row r="416" spans="1:8" ht="29" x14ac:dyDescent="0.35">
      <c r="A416" t="s">
        <v>5950</v>
      </c>
      <c r="B416" t="s">
        <v>5951</v>
      </c>
      <c r="C416" t="s">
        <v>8725</v>
      </c>
      <c r="E416" t="s">
        <v>9545</v>
      </c>
      <c r="F416" t="s">
        <v>9552</v>
      </c>
      <c r="G416" s="1" t="s">
        <v>9553</v>
      </c>
      <c r="H416" t="s">
        <v>9554</v>
      </c>
    </row>
    <row r="417" spans="1:8" ht="29" x14ac:dyDescent="0.35">
      <c r="A417" t="s">
        <v>5950</v>
      </c>
      <c r="B417" t="s">
        <v>5951</v>
      </c>
      <c r="C417" t="s">
        <v>8725</v>
      </c>
      <c r="E417" t="s">
        <v>9545</v>
      </c>
      <c r="F417" t="s">
        <v>9555</v>
      </c>
      <c r="G417" s="1" t="s">
        <v>9556</v>
      </c>
      <c r="H417" t="s">
        <v>9557</v>
      </c>
    </row>
    <row r="418" spans="1:8" x14ac:dyDescent="0.35">
      <c r="A418" t="s">
        <v>5950</v>
      </c>
      <c r="B418" t="s">
        <v>5951</v>
      </c>
      <c r="C418" t="s">
        <v>8725</v>
      </c>
      <c r="E418" t="s">
        <v>9545</v>
      </c>
      <c r="F418" t="s">
        <v>9558</v>
      </c>
      <c r="G418" s="1" t="s">
        <v>9559</v>
      </c>
      <c r="H418" t="s">
        <v>9560</v>
      </c>
    </row>
    <row r="419" spans="1:8" ht="29" x14ac:dyDescent="0.35">
      <c r="A419" t="s">
        <v>6331</v>
      </c>
      <c r="B419" t="s">
        <v>6332</v>
      </c>
      <c r="C419" t="s">
        <v>8750</v>
      </c>
      <c r="E419" t="s">
        <v>9561</v>
      </c>
      <c r="F419" t="s">
        <v>9562</v>
      </c>
      <c r="G419" s="1" t="s">
        <v>13894</v>
      </c>
      <c r="H419" t="s">
        <v>9563</v>
      </c>
    </row>
    <row r="420" spans="1:8" x14ac:dyDescent="0.35">
      <c r="A420" t="s">
        <v>6331</v>
      </c>
      <c r="B420" t="s">
        <v>6332</v>
      </c>
      <c r="C420" t="s">
        <v>8750</v>
      </c>
      <c r="E420" t="s">
        <v>9561</v>
      </c>
      <c r="F420" t="s">
        <v>9564</v>
      </c>
      <c r="G420" t="s">
        <v>13895</v>
      </c>
      <c r="H420" t="s">
        <v>9565</v>
      </c>
    </row>
    <row r="421" spans="1:8" ht="29" x14ac:dyDescent="0.35">
      <c r="A421" t="s">
        <v>1184</v>
      </c>
      <c r="B421" t="s">
        <v>1185</v>
      </c>
      <c r="C421" t="s">
        <v>8466</v>
      </c>
      <c r="E421" t="s">
        <v>9566</v>
      </c>
      <c r="F421" t="s">
        <v>9567</v>
      </c>
      <c r="G421" s="1" t="s">
        <v>9568</v>
      </c>
      <c r="H421" t="s">
        <v>9569</v>
      </c>
    </row>
    <row r="422" spans="1:8" ht="29" x14ac:dyDescent="0.35">
      <c r="A422" t="s">
        <v>3175</v>
      </c>
      <c r="B422" t="s">
        <v>3176</v>
      </c>
      <c r="C422" t="s">
        <v>8563</v>
      </c>
      <c r="E422" t="s">
        <v>9570</v>
      </c>
      <c r="F422" t="s">
        <v>9571</v>
      </c>
      <c r="G422" s="1" t="s">
        <v>9572</v>
      </c>
      <c r="H422" t="s">
        <v>9573</v>
      </c>
    </row>
    <row r="423" spans="1:8" ht="29" x14ac:dyDescent="0.35">
      <c r="A423" t="s">
        <v>604</v>
      </c>
      <c r="B423" t="s">
        <v>605</v>
      </c>
      <c r="C423" t="s">
        <v>8439</v>
      </c>
      <c r="E423" t="s">
        <v>9574</v>
      </c>
      <c r="F423" t="s">
        <v>9575</v>
      </c>
      <c r="G423" s="1" t="s">
        <v>9576</v>
      </c>
      <c r="H423" t="s">
        <v>9577</v>
      </c>
    </row>
    <row r="424" spans="1:8" ht="29" x14ac:dyDescent="0.35">
      <c r="A424" t="s">
        <v>604</v>
      </c>
      <c r="B424" t="s">
        <v>605</v>
      </c>
      <c r="C424" t="s">
        <v>8439</v>
      </c>
      <c r="E424" t="s">
        <v>9574</v>
      </c>
      <c r="F424" t="s">
        <v>9578</v>
      </c>
      <c r="G424" s="1" t="s">
        <v>9579</v>
      </c>
      <c r="H424" t="s">
        <v>9580</v>
      </c>
    </row>
    <row r="425" spans="1:8" ht="29" x14ac:dyDescent="0.35">
      <c r="A425" t="s">
        <v>6036</v>
      </c>
      <c r="B425" t="s">
        <v>6037</v>
      </c>
      <c r="C425" t="s">
        <v>8733</v>
      </c>
      <c r="E425" t="s">
        <v>9581</v>
      </c>
      <c r="F425" t="s">
        <v>9582</v>
      </c>
      <c r="G425" s="1" t="s">
        <v>9583</v>
      </c>
      <c r="H425" t="s">
        <v>9584</v>
      </c>
    </row>
    <row r="426" spans="1:8" x14ac:dyDescent="0.35">
      <c r="A426" t="s">
        <v>6036</v>
      </c>
      <c r="B426" t="s">
        <v>6037</v>
      </c>
      <c r="C426" t="s">
        <v>8733</v>
      </c>
      <c r="E426" t="s">
        <v>9581</v>
      </c>
      <c r="F426" t="s">
        <v>9585</v>
      </c>
      <c r="G426" t="s">
        <v>9586</v>
      </c>
      <c r="H426" t="s">
        <v>9587</v>
      </c>
    </row>
    <row r="427" spans="1:8" ht="29" x14ac:dyDescent="0.35">
      <c r="A427" t="s">
        <v>6036</v>
      </c>
      <c r="B427" t="s">
        <v>6037</v>
      </c>
      <c r="C427" t="s">
        <v>8733</v>
      </c>
      <c r="E427" t="s">
        <v>9581</v>
      </c>
      <c r="F427" t="s">
        <v>9588</v>
      </c>
      <c r="G427" s="1" t="s">
        <v>9589</v>
      </c>
      <c r="H427" t="s">
        <v>9590</v>
      </c>
    </row>
    <row r="428" spans="1:8" ht="29" x14ac:dyDescent="0.35">
      <c r="A428" t="s">
        <v>6036</v>
      </c>
      <c r="B428" t="s">
        <v>6037</v>
      </c>
      <c r="C428" t="s">
        <v>8733</v>
      </c>
      <c r="E428" t="s">
        <v>9581</v>
      </c>
      <c r="F428" t="s">
        <v>9591</v>
      </c>
      <c r="G428" s="1" t="s">
        <v>9592</v>
      </c>
      <c r="H428" t="s">
        <v>9593</v>
      </c>
    </row>
    <row r="429" spans="1:8" ht="29" x14ac:dyDescent="0.35">
      <c r="A429" t="s">
        <v>7601</v>
      </c>
      <c r="B429" t="s">
        <v>7602</v>
      </c>
      <c r="C429" t="s">
        <v>8827</v>
      </c>
      <c r="E429" t="s">
        <v>9594</v>
      </c>
      <c r="F429" t="s">
        <v>9595</v>
      </c>
      <c r="G429" s="1" t="s">
        <v>9596</v>
      </c>
      <c r="H429" t="s">
        <v>9597</v>
      </c>
    </row>
    <row r="430" spans="1:8" x14ac:dyDescent="0.35">
      <c r="A430" t="s">
        <v>7601</v>
      </c>
      <c r="B430" t="s">
        <v>7602</v>
      </c>
      <c r="C430" t="s">
        <v>8827</v>
      </c>
      <c r="E430" t="s">
        <v>9594</v>
      </c>
      <c r="F430" t="s">
        <v>9598</v>
      </c>
      <c r="G430" t="s">
        <v>9599</v>
      </c>
      <c r="H430" t="s">
        <v>9600</v>
      </c>
    </row>
    <row r="431" spans="1:8" ht="29" x14ac:dyDescent="0.35">
      <c r="A431" t="s">
        <v>7117</v>
      </c>
      <c r="B431" t="s">
        <v>7118</v>
      </c>
      <c r="C431" t="s">
        <v>8793</v>
      </c>
      <c r="E431" t="s">
        <v>9601</v>
      </c>
      <c r="F431" t="s">
        <v>9602</v>
      </c>
      <c r="G431" s="1" t="s">
        <v>9603</v>
      </c>
      <c r="H431" t="s">
        <v>9604</v>
      </c>
    </row>
    <row r="432" spans="1:8" ht="29" x14ac:dyDescent="0.35">
      <c r="A432" t="s">
        <v>4243</v>
      </c>
      <c r="B432" t="s">
        <v>4244</v>
      </c>
      <c r="C432" t="s">
        <v>8625</v>
      </c>
      <c r="E432" t="s">
        <v>9605</v>
      </c>
      <c r="F432" t="s">
        <v>9606</v>
      </c>
      <c r="G432" s="1" t="s">
        <v>9607</v>
      </c>
      <c r="H432" t="s">
        <v>9608</v>
      </c>
    </row>
    <row r="433" spans="1:8" x14ac:dyDescent="0.35">
      <c r="A433" t="s">
        <v>8240</v>
      </c>
      <c r="B433" t="s">
        <v>8241</v>
      </c>
      <c r="C433" t="s">
        <v>8851</v>
      </c>
      <c r="E433" t="s">
        <v>9609</v>
      </c>
      <c r="F433" t="s">
        <v>9610</v>
      </c>
      <c r="G433" s="1" t="s">
        <v>9611</v>
      </c>
      <c r="H433" t="s">
        <v>9612</v>
      </c>
    </row>
    <row r="434" spans="1:8" ht="29" x14ac:dyDescent="0.35">
      <c r="A434" t="s">
        <v>3046</v>
      </c>
      <c r="B434" t="s">
        <v>3047</v>
      </c>
      <c r="C434" t="s">
        <v>8554</v>
      </c>
      <c r="E434" t="s">
        <v>9613</v>
      </c>
      <c r="F434" t="s">
        <v>9614</v>
      </c>
      <c r="G434" s="1" t="s">
        <v>9615</v>
      </c>
      <c r="H434" t="s">
        <v>9616</v>
      </c>
    </row>
    <row r="435" spans="1:8" x14ac:dyDescent="0.35">
      <c r="A435" t="s">
        <v>6077</v>
      </c>
      <c r="B435" t="s">
        <v>6078</v>
      </c>
      <c r="C435" t="s">
        <v>8736</v>
      </c>
      <c r="E435" t="s">
        <v>9617</v>
      </c>
      <c r="F435" t="s">
        <v>9618</v>
      </c>
      <c r="G435" s="1" t="s">
        <v>9619</v>
      </c>
      <c r="H435" t="s">
        <v>9620</v>
      </c>
    </row>
    <row r="436" spans="1:8" ht="29" x14ac:dyDescent="0.35">
      <c r="A436" t="s">
        <v>713</v>
      </c>
      <c r="B436" t="s">
        <v>714</v>
      </c>
      <c r="C436" t="s">
        <v>8446</v>
      </c>
      <c r="E436" t="s">
        <v>9621</v>
      </c>
      <c r="F436" t="s">
        <v>9622</v>
      </c>
      <c r="G436" s="1" t="s">
        <v>9623</v>
      </c>
      <c r="H436" t="s">
        <v>9624</v>
      </c>
    </row>
    <row r="437" spans="1:8" x14ac:dyDescent="0.35">
      <c r="A437" t="s">
        <v>7862</v>
      </c>
      <c r="B437" t="s">
        <v>7863</v>
      </c>
      <c r="C437" t="s">
        <v>8833</v>
      </c>
      <c r="E437" t="s">
        <v>9625</v>
      </c>
      <c r="F437" t="s">
        <v>9626</v>
      </c>
      <c r="G437" t="s">
        <v>9627</v>
      </c>
      <c r="H437" t="s">
        <v>9628</v>
      </c>
    </row>
    <row r="438" spans="1:8" x14ac:dyDescent="0.35">
      <c r="A438" t="s">
        <v>5206</v>
      </c>
      <c r="B438" t="s">
        <v>5207</v>
      </c>
      <c r="C438" t="s">
        <v>8669</v>
      </c>
      <c r="E438" t="s">
        <v>9629</v>
      </c>
    </row>
    <row r="439" spans="1:8" ht="29" x14ac:dyDescent="0.35">
      <c r="A439" t="s">
        <v>4679</v>
      </c>
      <c r="B439" t="s">
        <v>4680</v>
      </c>
      <c r="C439" t="s">
        <v>8666</v>
      </c>
      <c r="E439" t="s">
        <v>9630</v>
      </c>
      <c r="F439" t="s">
        <v>9631</v>
      </c>
      <c r="G439" s="1" t="s">
        <v>9632</v>
      </c>
      <c r="H439" t="s">
        <v>9633</v>
      </c>
    </row>
    <row r="440" spans="1:8" ht="29" x14ac:dyDescent="0.35">
      <c r="A440" t="s">
        <v>4679</v>
      </c>
      <c r="B440" t="s">
        <v>4680</v>
      </c>
      <c r="C440" t="s">
        <v>8666</v>
      </c>
      <c r="E440" t="s">
        <v>9630</v>
      </c>
      <c r="F440" t="s">
        <v>9634</v>
      </c>
      <c r="G440" s="1" t="s">
        <v>9635</v>
      </c>
      <c r="H440" t="s">
        <v>9636</v>
      </c>
    </row>
    <row r="441" spans="1:8" x14ac:dyDescent="0.35">
      <c r="A441" t="s">
        <v>7410</v>
      </c>
      <c r="B441" t="s">
        <v>7411</v>
      </c>
      <c r="C441" t="s">
        <v>8817</v>
      </c>
      <c r="E441" t="s">
        <v>9638</v>
      </c>
      <c r="F441" t="s">
        <v>9637</v>
      </c>
      <c r="G441" t="s">
        <v>9639</v>
      </c>
      <c r="H441" t="s">
        <v>9640</v>
      </c>
    </row>
    <row r="442" spans="1:8" ht="29" x14ac:dyDescent="0.35">
      <c r="A442" t="s">
        <v>7410</v>
      </c>
      <c r="B442" t="s">
        <v>7411</v>
      </c>
      <c r="C442" t="s">
        <v>8817</v>
      </c>
      <c r="E442" t="s">
        <v>9638</v>
      </c>
      <c r="F442" t="s">
        <v>9641</v>
      </c>
      <c r="G442" s="1" t="s">
        <v>9642</v>
      </c>
      <c r="H442" t="s">
        <v>9643</v>
      </c>
    </row>
    <row r="443" spans="1:8" ht="29" x14ac:dyDescent="0.35">
      <c r="A443" t="s">
        <v>7410</v>
      </c>
      <c r="B443" t="s">
        <v>7411</v>
      </c>
      <c r="C443" t="s">
        <v>8817</v>
      </c>
      <c r="E443" t="s">
        <v>9638</v>
      </c>
      <c r="F443" t="s">
        <v>9644</v>
      </c>
      <c r="G443" s="1" t="s">
        <v>9645</v>
      </c>
      <c r="H443" t="s">
        <v>9646</v>
      </c>
    </row>
    <row r="444" spans="1:8" x14ac:dyDescent="0.35">
      <c r="A444" t="s">
        <v>7410</v>
      </c>
      <c r="B444" t="s">
        <v>7411</v>
      </c>
      <c r="C444" t="s">
        <v>8817</v>
      </c>
      <c r="E444" t="s">
        <v>9638</v>
      </c>
      <c r="F444" t="s">
        <v>9647</v>
      </c>
      <c r="G444" t="s">
        <v>9648</v>
      </c>
      <c r="H444" t="s">
        <v>9649</v>
      </c>
    </row>
    <row r="445" spans="1:8" x14ac:dyDescent="0.35">
      <c r="A445" t="s">
        <v>7410</v>
      </c>
      <c r="B445" t="s">
        <v>7411</v>
      </c>
      <c r="C445" t="s">
        <v>8817</v>
      </c>
      <c r="E445" t="s">
        <v>9638</v>
      </c>
      <c r="F445" t="s">
        <v>9650</v>
      </c>
      <c r="G445" t="s">
        <v>9651</v>
      </c>
      <c r="H445" t="s">
        <v>9652</v>
      </c>
    </row>
    <row r="446" spans="1:8" ht="29" x14ac:dyDescent="0.35">
      <c r="A446" t="s">
        <v>7410</v>
      </c>
      <c r="B446" t="s">
        <v>7411</v>
      </c>
      <c r="C446" t="s">
        <v>8817</v>
      </c>
      <c r="E446" t="s">
        <v>9638</v>
      </c>
      <c r="F446" t="s">
        <v>9653</v>
      </c>
      <c r="G446" s="1" t="s">
        <v>9654</v>
      </c>
      <c r="H446" t="s">
        <v>9655</v>
      </c>
    </row>
    <row r="447" spans="1:8" ht="29" x14ac:dyDescent="0.35">
      <c r="A447" t="s">
        <v>1985</v>
      </c>
      <c r="B447" t="s">
        <v>1986</v>
      </c>
      <c r="C447" t="s">
        <v>8505</v>
      </c>
      <c r="E447" t="s">
        <v>9656</v>
      </c>
      <c r="F447" t="s">
        <v>9657</v>
      </c>
      <c r="G447" s="1" t="s">
        <v>9658</v>
      </c>
      <c r="H447" t="s">
        <v>9659</v>
      </c>
    </row>
    <row r="448" spans="1:8" ht="29" x14ac:dyDescent="0.35">
      <c r="A448" t="s">
        <v>4570</v>
      </c>
      <c r="B448" t="s">
        <v>4571</v>
      </c>
      <c r="C448" t="s">
        <v>8505</v>
      </c>
      <c r="E448" t="s">
        <v>9656</v>
      </c>
      <c r="F448" t="s">
        <v>9657</v>
      </c>
      <c r="G448" s="1" t="s">
        <v>9658</v>
      </c>
      <c r="H448" t="s">
        <v>9659</v>
      </c>
    </row>
    <row r="449" spans="1:8" ht="29" x14ac:dyDescent="0.35">
      <c r="A449" t="s">
        <v>3491</v>
      </c>
      <c r="B449" t="s">
        <v>3492</v>
      </c>
      <c r="C449" t="s">
        <v>8583</v>
      </c>
      <c r="E449" t="s">
        <v>9660</v>
      </c>
      <c r="F449" t="s">
        <v>9661</v>
      </c>
      <c r="G449" s="1" t="s">
        <v>13896</v>
      </c>
      <c r="H449" t="s">
        <v>9662</v>
      </c>
    </row>
    <row r="450" spans="1:8" ht="29" x14ac:dyDescent="0.35">
      <c r="A450" t="s">
        <v>168</v>
      </c>
      <c r="B450" t="s">
        <v>169</v>
      </c>
      <c r="C450" t="s">
        <v>8420</v>
      </c>
      <c r="E450" t="s">
        <v>9663</v>
      </c>
      <c r="F450" t="s">
        <v>9664</v>
      </c>
      <c r="G450" s="1" t="s">
        <v>9665</v>
      </c>
      <c r="H450" t="s">
        <v>9666</v>
      </c>
    </row>
    <row r="451" spans="1:8" x14ac:dyDescent="0.35">
      <c r="A451" t="s">
        <v>168</v>
      </c>
      <c r="B451" t="s">
        <v>169</v>
      </c>
      <c r="C451" t="s">
        <v>8420</v>
      </c>
      <c r="E451" t="s">
        <v>9663</v>
      </c>
      <c r="F451" t="s">
        <v>9667</v>
      </c>
      <c r="G451" t="s">
        <v>13897</v>
      </c>
      <c r="H451" t="s">
        <v>9668</v>
      </c>
    </row>
    <row r="452" spans="1:8" ht="29" x14ac:dyDescent="0.35">
      <c r="A452" t="s">
        <v>168</v>
      </c>
      <c r="B452" t="s">
        <v>169</v>
      </c>
      <c r="C452" t="s">
        <v>8420</v>
      </c>
      <c r="E452" t="s">
        <v>9663</v>
      </c>
      <c r="F452" t="s">
        <v>9669</v>
      </c>
      <c r="G452" s="1" t="s">
        <v>9670</v>
      </c>
      <c r="H452" t="s">
        <v>9671</v>
      </c>
    </row>
    <row r="453" spans="1:8" ht="29" x14ac:dyDescent="0.35">
      <c r="A453" t="s">
        <v>168</v>
      </c>
      <c r="B453" t="s">
        <v>169</v>
      </c>
      <c r="C453" t="s">
        <v>8420</v>
      </c>
      <c r="E453" t="s">
        <v>9663</v>
      </c>
      <c r="F453" t="s">
        <v>9672</v>
      </c>
      <c r="G453" s="1" t="s">
        <v>13898</v>
      </c>
      <c r="H453" t="s">
        <v>9673</v>
      </c>
    </row>
    <row r="454" spans="1:8" ht="29" x14ac:dyDescent="0.35">
      <c r="A454" t="s">
        <v>4428</v>
      </c>
      <c r="B454" t="s">
        <v>4429</v>
      </c>
      <c r="C454" t="s">
        <v>8636</v>
      </c>
      <c r="E454" t="s">
        <v>9674</v>
      </c>
      <c r="F454" t="s">
        <v>9675</v>
      </c>
      <c r="G454" s="1" t="s">
        <v>9676</v>
      </c>
      <c r="H454" t="s">
        <v>9677</v>
      </c>
    </row>
    <row r="455" spans="1:8" x14ac:dyDescent="0.35">
      <c r="A455" t="s">
        <v>5760</v>
      </c>
      <c r="B455" t="s">
        <v>5761</v>
      </c>
      <c r="C455" t="s">
        <v>8713</v>
      </c>
      <c r="E455" t="s">
        <v>9678</v>
      </c>
      <c r="H455" t="s">
        <v>9679</v>
      </c>
    </row>
    <row r="456" spans="1:8" ht="29" x14ac:dyDescent="0.35">
      <c r="A456" t="s">
        <v>3172</v>
      </c>
      <c r="B456" t="s">
        <v>3173</v>
      </c>
      <c r="C456" t="s">
        <v>8562</v>
      </c>
      <c r="E456" t="s">
        <v>9680</v>
      </c>
      <c r="F456" t="s">
        <v>9681</v>
      </c>
      <c r="G456" s="1" t="s">
        <v>9682</v>
      </c>
      <c r="H456" t="s">
        <v>9683</v>
      </c>
    </row>
    <row r="457" spans="1:8" ht="29" x14ac:dyDescent="0.35">
      <c r="A457" t="s">
        <v>3172</v>
      </c>
      <c r="B457" t="s">
        <v>3173</v>
      </c>
      <c r="C457" t="s">
        <v>8562</v>
      </c>
      <c r="E457" t="s">
        <v>9680</v>
      </c>
      <c r="F457" t="s">
        <v>9684</v>
      </c>
      <c r="G457" s="1" t="s">
        <v>9685</v>
      </c>
      <c r="H457" t="s">
        <v>9686</v>
      </c>
    </row>
    <row r="458" spans="1:8" ht="29" x14ac:dyDescent="0.35">
      <c r="A458" t="s">
        <v>7398</v>
      </c>
      <c r="B458" t="s">
        <v>7399</v>
      </c>
      <c r="C458" t="s">
        <v>8562</v>
      </c>
      <c r="E458" t="s">
        <v>9680</v>
      </c>
      <c r="F458" t="s">
        <v>9681</v>
      </c>
      <c r="G458" s="1" t="s">
        <v>9682</v>
      </c>
      <c r="H458" t="s">
        <v>9683</v>
      </c>
    </row>
    <row r="459" spans="1:8" ht="29" x14ac:dyDescent="0.35">
      <c r="A459" t="s">
        <v>7398</v>
      </c>
      <c r="B459" t="s">
        <v>7399</v>
      </c>
      <c r="C459" t="s">
        <v>8562</v>
      </c>
      <c r="E459" t="s">
        <v>9680</v>
      </c>
      <c r="F459" t="s">
        <v>9684</v>
      </c>
      <c r="G459" s="1" t="s">
        <v>9685</v>
      </c>
      <c r="H459" t="s">
        <v>9686</v>
      </c>
    </row>
    <row r="460" spans="1:8" ht="29" x14ac:dyDescent="0.35">
      <c r="A460" t="s">
        <v>3518</v>
      </c>
      <c r="B460" t="s">
        <v>3519</v>
      </c>
      <c r="C460" t="s">
        <v>8585</v>
      </c>
      <c r="E460" t="s">
        <v>9687</v>
      </c>
      <c r="F460" t="s">
        <v>9688</v>
      </c>
      <c r="G460" s="1" t="s">
        <v>9689</v>
      </c>
      <c r="H460" t="s">
        <v>9690</v>
      </c>
    </row>
    <row r="461" spans="1:8" ht="29" x14ac:dyDescent="0.35">
      <c r="A461" t="s">
        <v>3518</v>
      </c>
      <c r="B461" t="s">
        <v>3519</v>
      </c>
      <c r="C461" t="s">
        <v>8585</v>
      </c>
      <c r="E461" t="s">
        <v>9687</v>
      </c>
      <c r="F461" t="s">
        <v>9691</v>
      </c>
      <c r="G461" s="1" t="s">
        <v>9692</v>
      </c>
      <c r="H461" t="s">
        <v>9693</v>
      </c>
    </row>
    <row r="462" spans="1:8" ht="29" x14ac:dyDescent="0.35">
      <c r="A462" t="s">
        <v>7424</v>
      </c>
      <c r="B462" t="s">
        <v>7425</v>
      </c>
      <c r="C462" t="s">
        <v>8585</v>
      </c>
      <c r="E462" t="s">
        <v>9687</v>
      </c>
      <c r="F462" t="s">
        <v>9688</v>
      </c>
      <c r="G462" s="1" t="s">
        <v>9689</v>
      </c>
      <c r="H462" t="s">
        <v>9690</v>
      </c>
    </row>
    <row r="463" spans="1:8" ht="29" x14ac:dyDescent="0.35">
      <c r="A463" t="s">
        <v>7424</v>
      </c>
      <c r="B463" t="s">
        <v>7425</v>
      </c>
      <c r="C463" t="s">
        <v>8585</v>
      </c>
      <c r="E463" t="s">
        <v>9687</v>
      </c>
      <c r="F463" t="s">
        <v>9691</v>
      </c>
      <c r="G463" s="1" t="s">
        <v>9692</v>
      </c>
      <c r="H463" t="s">
        <v>9693</v>
      </c>
    </row>
    <row r="464" spans="1:8" ht="29" x14ac:dyDescent="0.35">
      <c r="A464" t="s">
        <v>7027</v>
      </c>
      <c r="B464" t="s">
        <v>7028</v>
      </c>
      <c r="C464" t="s">
        <v>8787</v>
      </c>
      <c r="E464" t="s">
        <v>9694</v>
      </c>
      <c r="F464" t="s">
        <v>9695</v>
      </c>
      <c r="G464" s="1" t="s">
        <v>13899</v>
      </c>
      <c r="H464" t="s">
        <v>9696</v>
      </c>
    </row>
    <row r="465" spans="1:8" ht="29" x14ac:dyDescent="0.35">
      <c r="A465" t="s">
        <v>7027</v>
      </c>
      <c r="B465" t="s">
        <v>7028</v>
      </c>
      <c r="C465" t="s">
        <v>8787</v>
      </c>
      <c r="E465" t="s">
        <v>9694</v>
      </c>
      <c r="F465" t="s">
        <v>9697</v>
      </c>
      <c r="G465" s="1" t="s">
        <v>13900</v>
      </c>
      <c r="H465" t="s">
        <v>9698</v>
      </c>
    </row>
    <row r="466" spans="1:8" ht="29" x14ac:dyDescent="0.35">
      <c r="A466" t="s">
        <v>7027</v>
      </c>
      <c r="B466" t="s">
        <v>7028</v>
      </c>
      <c r="C466" t="s">
        <v>8787</v>
      </c>
      <c r="E466" t="s">
        <v>9694</v>
      </c>
      <c r="F466" t="s">
        <v>9699</v>
      </c>
      <c r="G466" s="1" t="s">
        <v>9700</v>
      </c>
      <c r="H466" t="s">
        <v>9701</v>
      </c>
    </row>
    <row r="467" spans="1:8" ht="29" x14ac:dyDescent="0.35">
      <c r="A467" t="s">
        <v>7027</v>
      </c>
      <c r="B467" t="s">
        <v>7028</v>
      </c>
      <c r="C467" t="s">
        <v>8787</v>
      </c>
      <c r="E467" t="s">
        <v>9694</v>
      </c>
      <c r="F467" t="s">
        <v>9702</v>
      </c>
      <c r="G467" s="1" t="s">
        <v>9703</v>
      </c>
      <c r="H467" t="s">
        <v>9704</v>
      </c>
    </row>
    <row r="468" spans="1:8" ht="29" x14ac:dyDescent="0.35">
      <c r="A468" t="s">
        <v>7027</v>
      </c>
      <c r="B468" t="s">
        <v>7028</v>
      </c>
      <c r="C468" t="s">
        <v>8787</v>
      </c>
      <c r="E468" t="s">
        <v>9694</v>
      </c>
      <c r="F468" t="s">
        <v>9705</v>
      </c>
      <c r="G468" s="1" t="s">
        <v>9706</v>
      </c>
      <c r="H468" t="s">
        <v>9707</v>
      </c>
    </row>
    <row r="469" spans="1:8" ht="29" x14ac:dyDescent="0.35">
      <c r="A469" t="s">
        <v>2200</v>
      </c>
      <c r="B469" t="s">
        <v>2201</v>
      </c>
      <c r="C469" t="s">
        <v>8515</v>
      </c>
      <c r="E469" t="s">
        <v>9708</v>
      </c>
      <c r="F469" t="s">
        <v>9709</v>
      </c>
      <c r="G469" s="1" t="s">
        <v>9710</v>
      </c>
      <c r="H469" t="s">
        <v>9711</v>
      </c>
    </row>
    <row r="470" spans="1:8" ht="29" x14ac:dyDescent="0.35">
      <c r="A470" t="s">
        <v>5621</v>
      </c>
      <c r="B470" t="s">
        <v>5622</v>
      </c>
      <c r="C470" t="s">
        <v>8702</v>
      </c>
      <c r="E470" t="s">
        <v>9712</v>
      </c>
      <c r="F470" t="s">
        <v>9713</v>
      </c>
      <c r="G470" s="1" t="s">
        <v>9714</v>
      </c>
      <c r="H470" t="s">
        <v>9715</v>
      </c>
    </row>
    <row r="471" spans="1:8" x14ac:dyDescent="0.35">
      <c r="A471" t="s">
        <v>5621</v>
      </c>
      <c r="B471" t="s">
        <v>5622</v>
      </c>
      <c r="C471" t="s">
        <v>8702</v>
      </c>
      <c r="E471" t="s">
        <v>9712</v>
      </c>
      <c r="F471" t="s">
        <v>9716</v>
      </c>
      <c r="G471" s="1" t="s">
        <v>9717</v>
      </c>
      <c r="H471" t="s">
        <v>9718</v>
      </c>
    </row>
    <row r="472" spans="1:8" x14ac:dyDescent="0.35">
      <c r="A472" t="s">
        <v>5621</v>
      </c>
      <c r="B472" t="s">
        <v>5622</v>
      </c>
      <c r="C472" t="s">
        <v>8702</v>
      </c>
      <c r="E472" t="s">
        <v>9712</v>
      </c>
      <c r="F472" t="s">
        <v>9719</v>
      </c>
      <c r="G472" s="1" t="s">
        <v>9720</v>
      </c>
      <c r="H472" t="s">
        <v>9721</v>
      </c>
    </row>
    <row r="473" spans="1:8" x14ac:dyDescent="0.35">
      <c r="A473" t="s">
        <v>1907</v>
      </c>
      <c r="B473" t="s">
        <v>1908</v>
      </c>
      <c r="C473" t="s">
        <v>8500</v>
      </c>
      <c r="E473" t="s">
        <v>9722</v>
      </c>
      <c r="F473" t="s">
        <v>9723</v>
      </c>
      <c r="G473" s="1" t="s">
        <v>9724</v>
      </c>
      <c r="H473" t="s">
        <v>9725</v>
      </c>
    </row>
    <row r="474" spans="1:8" x14ac:dyDescent="0.35">
      <c r="A474" t="s">
        <v>1907</v>
      </c>
      <c r="B474" t="s">
        <v>1908</v>
      </c>
      <c r="C474" t="s">
        <v>8500</v>
      </c>
      <c r="E474" t="s">
        <v>9722</v>
      </c>
      <c r="F474" t="s">
        <v>9726</v>
      </c>
      <c r="G474" t="s">
        <v>9727</v>
      </c>
      <c r="H474" t="s">
        <v>9728</v>
      </c>
    </row>
    <row r="475" spans="1:8" x14ac:dyDescent="0.35">
      <c r="A475" t="s">
        <v>1907</v>
      </c>
      <c r="B475" t="s">
        <v>1908</v>
      </c>
      <c r="C475" t="s">
        <v>8500</v>
      </c>
      <c r="E475" t="s">
        <v>9722</v>
      </c>
      <c r="F475" t="s">
        <v>9729</v>
      </c>
      <c r="G475" t="s">
        <v>9730</v>
      </c>
      <c r="H475" t="s">
        <v>9731</v>
      </c>
    </row>
    <row r="476" spans="1:8" x14ac:dyDescent="0.35">
      <c r="A476" t="s">
        <v>1907</v>
      </c>
      <c r="B476" t="s">
        <v>1908</v>
      </c>
      <c r="C476" t="s">
        <v>8500</v>
      </c>
      <c r="E476" t="s">
        <v>9722</v>
      </c>
      <c r="F476" t="s">
        <v>9732</v>
      </c>
      <c r="G476" t="s">
        <v>9733</v>
      </c>
      <c r="H476" t="s">
        <v>9734</v>
      </c>
    </row>
    <row r="477" spans="1:8" x14ac:dyDescent="0.35">
      <c r="A477" t="s">
        <v>7035</v>
      </c>
      <c r="B477" t="s">
        <v>7036</v>
      </c>
      <c r="C477" t="s">
        <v>8500</v>
      </c>
      <c r="E477" t="s">
        <v>9722</v>
      </c>
      <c r="F477" t="s">
        <v>9723</v>
      </c>
      <c r="G477" t="s">
        <v>9724</v>
      </c>
      <c r="H477" t="s">
        <v>9725</v>
      </c>
    </row>
    <row r="478" spans="1:8" x14ac:dyDescent="0.35">
      <c r="A478" t="s">
        <v>7035</v>
      </c>
      <c r="B478" t="s">
        <v>7036</v>
      </c>
      <c r="C478" t="s">
        <v>8500</v>
      </c>
      <c r="E478" t="s">
        <v>9722</v>
      </c>
      <c r="F478" t="s">
        <v>9726</v>
      </c>
      <c r="G478" t="s">
        <v>9727</v>
      </c>
      <c r="H478" t="s">
        <v>9728</v>
      </c>
    </row>
    <row r="479" spans="1:8" x14ac:dyDescent="0.35">
      <c r="A479" t="s">
        <v>7035</v>
      </c>
      <c r="B479" t="s">
        <v>7036</v>
      </c>
      <c r="C479" t="s">
        <v>8500</v>
      </c>
      <c r="E479" t="s">
        <v>9722</v>
      </c>
      <c r="F479" t="s">
        <v>9729</v>
      </c>
      <c r="G479" t="s">
        <v>9730</v>
      </c>
      <c r="H479" t="s">
        <v>9731</v>
      </c>
    </row>
    <row r="480" spans="1:8" x14ac:dyDescent="0.35">
      <c r="A480" t="s">
        <v>7035</v>
      </c>
      <c r="B480" t="s">
        <v>7036</v>
      </c>
      <c r="C480" t="s">
        <v>8500</v>
      </c>
      <c r="E480" t="s">
        <v>9722</v>
      </c>
      <c r="F480" t="s">
        <v>9732</v>
      </c>
      <c r="G480" t="s">
        <v>9733</v>
      </c>
      <c r="H480" t="s">
        <v>9734</v>
      </c>
    </row>
    <row r="481" spans="1:8" ht="29" x14ac:dyDescent="0.35">
      <c r="A481" t="s">
        <v>6726</v>
      </c>
      <c r="B481" t="s">
        <v>6727</v>
      </c>
      <c r="C481" t="s">
        <v>8774</v>
      </c>
      <c r="E481" t="s">
        <v>9735</v>
      </c>
      <c r="F481" t="s">
        <v>9736</v>
      </c>
      <c r="G481" s="1" t="s">
        <v>9738</v>
      </c>
      <c r="H481" t="s">
        <v>9739</v>
      </c>
    </row>
    <row r="482" spans="1:8" x14ac:dyDescent="0.35">
      <c r="A482" t="s">
        <v>6726</v>
      </c>
      <c r="B482" t="s">
        <v>6727</v>
      </c>
      <c r="C482" t="s">
        <v>8774</v>
      </c>
      <c r="E482" t="s">
        <v>9735</v>
      </c>
      <c r="F482" t="s">
        <v>9740</v>
      </c>
      <c r="G482" t="s">
        <v>9741</v>
      </c>
      <c r="H482" t="s">
        <v>9742</v>
      </c>
    </row>
    <row r="483" spans="1:8" ht="29" x14ac:dyDescent="0.35">
      <c r="A483" t="s">
        <v>6726</v>
      </c>
      <c r="B483" t="s">
        <v>6727</v>
      </c>
      <c r="C483" t="s">
        <v>8774</v>
      </c>
      <c r="E483" t="s">
        <v>9735</v>
      </c>
      <c r="F483" t="s">
        <v>9743</v>
      </c>
      <c r="G483" s="1" t="s">
        <v>9744</v>
      </c>
      <c r="H483" t="s">
        <v>9745</v>
      </c>
    </row>
    <row r="484" spans="1:8" x14ac:dyDescent="0.35">
      <c r="A484" t="s">
        <v>6726</v>
      </c>
      <c r="B484" t="s">
        <v>6727</v>
      </c>
      <c r="C484" t="s">
        <v>8774</v>
      </c>
      <c r="E484" t="s">
        <v>9735</v>
      </c>
      <c r="F484" t="s">
        <v>9746</v>
      </c>
      <c r="G484" t="s">
        <v>9747</v>
      </c>
      <c r="H484" t="s">
        <v>9737</v>
      </c>
    </row>
    <row r="485" spans="1:8" x14ac:dyDescent="0.35">
      <c r="A485" t="s">
        <v>6726</v>
      </c>
      <c r="B485" t="s">
        <v>6727</v>
      </c>
      <c r="C485" t="s">
        <v>8774</v>
      </c>
      <c r="E485" t="s">
        <v>9735</v>
      </c>
      <c r="F485" t="s">
        <v>9748</v>
      </c>
      <c r="G485" t="s">
        <v>9749</v>
      </c>
      <c r="H485" t="s">
        <v>9750</v>
      </c>
    </row>
    <row r="486" spans="1:8" ht="29" x14ac:dyDescent="0.35">
      <c r="A486" t="s">
        <v>6726</v>
      </c>
      <c r="B486" t="s">
        <v>6727</v>
      </c>
      <c r="C486" t="s">
        <v>8774</v>
      </c>
      <c r="E486" t="s">
        <v>9735</v>
      </c>
      <c r="F486" t="s">
        <v>9751</v>
      </c>
      <c r="G486" s="1" t="s">
        <v>9752</v>
      </c>
      <c r="H486" t="s">
        <v>9753</v>
      </c>
    </row>
    <row r="487" spans="1:8" x14ac:dyDescent="0.35">
      <c r="A487" t="s">
        <v>6726</v>
      </c>
      <c r="B487" t="s">
        <v>6727</v>
      </c>
      <c r="C487" t="s">
        <v>8774</v>
      </c>
      <c r="E487" t="s">
        <v>9735</v>
      </c>
      <c r="F487" t="s">
        <v>9754</v>
      </c>
      <c r="G487" t="s">
        <v>9755</v>
      </c>
      <c r="H487" t="s">
        <v>9756</v>
      </c>
    </row>
    <row r="488" spans="1:8" ht="29" x14ac:dyDescent="0.35">
      <c r="A488" t="s">
        <v>6726</v>
      </c>
      <c r="B488" t="s">
        <v>6727</v>
      </c>
      <c r="C488" t="s">
        <v>8774</v>
      </c>
      <c r="E488" t="s">
        <v>9735</v>
      </c>
      <c r="F488" t="s">
        <v>9757</v>
      </c>
      <c r="G488" s="1" t="s">
        <v>9758</v>
      </c>
      <c r="H488" t="s">
        <v>9759</v>
      </c>
    </row>
    <row r="489" spans="1:8" x14ac:dyDescent="0.35">
      <c r="A489" t="s">
        <v>2850</v>
      </c>
      <c r="B489" t="s">
        <v>2851</v>
      </c>
      <c r="C489" t="s">
        <v>8544</v>
      </c>
      <c r="E489" t="s">
        <v>9760</v>
      </c>
      <c r="F489" t="s">
        <v>9761</v>
      </c>
      <c r="G489" t="s">
        <v>9762</v>
      </c>
      <c r="H489" t="s">
        <v>9763</v>
      </c>
    </row>
    <row r="490" spans="1:8" x14ac:dyDescent="0.35">
      <c r="A490" t="s">
        <v>6013</v>
      </c>
      <c r="B490" t="s">
        <v>6014</v>
      </c>
      <c r="C490" t="s">
        <v>8544</v>
      </c>
      <c r="E490" t="s">
        <v>9760</v>
      </c>
      <c r="F490" t="s">
        <v>9761</v>
      </c>
      <c r="G490" t="s">
        <v>9762</v>
      </c>
      <c r="H490" t="s">
        <v>9763</v>
      </c>
    </row>
    <row r="491" spans="1:8" ht="29" x14ac:dyDescent="0.35">
      <c r="A491" t="s">
        <v>4532</v>
      </c>
      <c r="B491" t="s">
        <v>4533</v>
      </c>
      <c r="C491" t="s">
        <v>8649</v>
      </c>
      <c r="E491" t="s">
        <v>9764</v>
      </c>
      <c r="F491" t="s">
        <v>9765</v>
      </c>
      <c r="G491" s="1" t="s">
        <v>9766</v>
      </c>
      <c r="H491" t="s">
        <v>9767</v>
      </c>
    </row>
    <row r="492" spans="1:8" ht="29" x14ac:dyDescent="0.35">
      <c r="A492" t="s">
        <v>4532</v>
      </c>
      <c r="B492" t="s">
        <v>4533</v>
      </c>
      <c r="C492" t="s">
        <v>8649</v>
      </c>
      <c r="E492" t="s">
        <v>9764</v>
      </c>
      <c r="F492" t="s">
        <v>9768</v>
      </c>
      <c r="G492" s="1" t="s">
        <v>9769</v>
      </c>
      <c r="H492" t="s">
        <v>9770</v>
      </c>
    </row>
    <row r="493" spans="1:8" x14ac:dyDescent="0.35">
      <c r="A493" t="s">
        <v>1224</v>
      </c>
      <c r="B493" t="s">
        <v>1225</v>
      </c>
      <c r="C493" t="s">
        <v>8470</v>
      </c>
      <c r="E493" t="s">
        <v>9771</v>
      </c>
      <c r="F493" t="s">
        <v>9772</v>
      </c>
      <c r="G493" t="s">
        <v>13901</v>
      </c>
      <c r="H493" t="s">
        <v>9773</v>
      </c>
    </row>
    <row r="494" spans="1:8" ht="29" x14ac:dyDescent="0.35">
      <c r="A494" t="s">
        <v>1053</v>
      </c>
      <c r="B494" t="s">
        <v>1054</v>
      </c>
      <c r="C494" t="s">
        <v>8460</v>
      </c>
      <c r="E494" t="s">
        <v>9774</v>
      </c>
      <c r="F494" t="s">
        <v>9775</v>
      </c>
      <c r="G494" s="1" t="s">
        <v>9777</v>
      </c>
      <c r="H494" t="s">
        <v>9778</v>
      </c>
    </row>
    <row r="495" spans="1:8" x14ac:dyDescent="0.35">
      <c r="A495" t="s">
        <v>7024</v>
      </c>
      <c r="B495" t="s">
        <v>7025</v>
      </c>
      <c r="C495" t="s">
        <v>8460</v>
      </c>
      <c r="E495" t="s">
        <v>9774</v>
      </c>
      <c r="F495" t="s">
        <v>9775</v>
      </c>
      <c r="G495" t="s">
        <v>9776</v>
      </c>
      <c r="H495" t="s">
        <v>9778</v>
      </c>
    </row>
    <row r="496" spans="1:8" x14ac:dyDescent="0.35">
      <c r="A496" t="s">
        <v>3050</v>
      </c>
      <c r="B496" t="s">
        <v>3051</v>
      </c>
      <c r="C496" t="s">
        <v>8555</v>
      </c>
      <c r="E496" t="s">
        <v>9779</v>
      </c>
      <c r="F496" t="s">
        <v>9780</v>
      </c>
      <c r="G496" t="s">
        <v>13902</v>
      </c>
      <c r="H496" t="s">
        <v>9781</v>
      </c>
    </row>
    <row r="497" spans="1:8" ht="29" x14ac:dyDescent="0.35">
      <c r="A497" t="s">
        <v>1307</v>
      </c>
      <c r="B497" t="s">
        <v>1308</v>
      </c>
      <c r="C497" t="s">
        <v>8478</v>
      </c>
      <c r="E497" t="s">
        <v>9782</v>
      </c>
      <c r="F497" t="s">
        <v>9783</v>
      </c>
      <c r="G497" s="1" t="s">
        <v>9784</v>
      </c>
      <c r="H497" t="s">
        <v>9785</v>
      </c>
    </row>
    <row r="498" spans="1:8" ht="29" x14ac:dyDescent="0.35">
      <c r="A498" t="s">
        <v>5348</v>
      </c>
      <c r="B498" t="s">
        <v>5349</v>
      </c>
      <c r="C498" t="s">
        <v>8682</v>
      </c>
      <c r="E498" t="s">
        <v>9786</v>
      </c>
      <c r="F498" t="s">
        <v>9787</v>
      </c>
      <c r="G498" s="1" t="s">
        <v>9788</v>
      </c>
      <c r="H498" t="s">
        <v>9789</v>
      </c>
    </row>
    <row r="499" spans="1:8" x14ac:dyDescent="0.35">
      <c r="A499" t="s">
        <v>4500</v>
      </c>
      <c r="B499" t="s">
        <v>4501</v>
      </c>
      <c r="C499" t="s">
        <v>8644</v>
      </c>
      <c r="E499" t="s">
        <v>9790</v>
      </c>
      <c r="F499" t="s">
        <v>9791</v>
      </c>
      <c r="G499" t="s">
        <v>9792</v>
      </c>
      <c r="H499" t="s">
        <v>9793</v>
      </c>
    </row>
    <row r="500" spans="1:8" ht="29" x14ac:dyDescent="0.35">
      <c r="A500" t="s">
        <v>4506</v>
      </c>
      <c r="B500" t="s">
        <v>4507</v>
      </c>
      <c r="C500" t="s">
        <v>8645</v>
      </c>
      <c r="E500" t="s">
        <v>9794</v>
      </c>
      <c r="F500" t="s">
        <v>9795</v>
      </c>
      <c r="G500" s="1" t="s">
        <v>13903</v>
      </c>
      <c r="H500" t="s">
        <v>9796</v>
      </c>
    </row>
    <row r="501" spans="1:8" x14ac:dyDescent="0.35">
      <c r="A501" t="s">
        <v>3942</v>
      </c>
      <c r="B501" t="s">
        <v>3943</v>
      </c>
      <c r="C501" t="s">
        <v>8608</v>
      </c>
      <c r="E501" t="s">
        <v>9797</v>
      </c>
      <c r="F501" t="s">
        <v>9798</v>
      </c>
      <c r="G501" s="1" t="s">
        <v>9799</v>
      </c>
      <c r="H501" t="s">
        <v>9800</v>
      </c>
    </row>
    <row r="502" spans="1:8" ht="29" x14ac:dyDescent="0.35">
      <c r="A502" t="s">
        <v>6260</v>
      </c>
      <c r="B502" t="s">
        <v>6261</v>
      </c>
      <c r="C502" t="s">
        <v>8747</v>
      </c>
      <c r="E502" t="s">
        <v>9801</v>
      </c>
      <c r="F502" t="s">
        <v>9802</v>
      </c>
      <c r="G502" s="1" t="s">
        <v>9803</v>
      </c>
      <c r="H502" t="s">
        <v>9804</v>
      </c>
    </row>
    <row r="503" spans="1:8" ht="29" x14ac:dyDescent="0.35">
      <c r="A503" t="s">
        <v>3146</v>
      </c>
      <c r="B503" t="s">
        <v>3147</v>
      </c>
      <c r="C503" t="s">
        <v>8559</v>
      </c>
      <c r="E503" t="s">
        <v>9805</v>
      </c>
      <c r="F503" t="s">
        <v>9806</v>
      </c>
      <c r="G503" s="1" t="s">
        <v>9807</v>
      </c>
      <c r="H503" t="s">
        <v>9808</v>
      </c>
    </row>
    <row r="504" spans="1:8" x14ac:dyDescent="0.35">
      <c r="A504" t="s">
        <v>1407</v>
      </c>
      <c r="B504" t="s">
        <v>1408</v>
      </c>
      <c r="C504" t="s">
        <v>8486</v>
      </c>
      <c r="E504" t="s">
        <v>9809</v>
      </c>
      <c r="F504" t="s">
        <v>9810</v>
      </c>
      <c r="G504" s="1" t="s">
        <v>9811</v>
      </c>
      <c r="H504" t="s">
        <v>9812</v>
      </c>
    </row>
    <row r="505" spans="1:8" x14ac:dyDescent="0.35">
      <c r="A505" t="s">
        <v>1407</v>
      </c>
      <c r="B505" t="s">
        <v>1408</v>
      </c>
      <c r="C505" t="s">
        <v>8486</v>
      </c>
      <c r="E505" t="s">
        <v>9809</v>
      </c>
      <c r="F505" t="s">
        <v>9813</v>
      </c>
      <c r="G505" t="s">
        <v>9814</v>
      </c>
      <c r="H505" t="s">
        <v>9815</v>
      </c>
    </row>
    <row r="506" spans="1:8" x14ac:dyDescent="0.35">
      <c r="A506" t="s">
        <v>6085</v>
      </c>
      <c r="B506" t="s">
        <v>6086</v>
      </c>
      <c r="C506" t="s">
        <v>8738</v>
      </c>
      <c r="E506" t="s">
        <v>9816</v>
      </c>
      <c r="F506" t="s">
        <v>9817</v>
      </c>
      <c r="G506" t="s">
        <v>9818</v>
      </c>
      <c r="H506" t="s">
        <v>9819</v>
      </c>
    </row>
    <row r="507" spans="1:8" x14ac:dyDescent="0.35">
      <c r="A507" t="s">
        <v>6085</v>
      </c>
      <c r="B507" t="s">
        <v>6086</v>
      </c>
      <c r="C507" t="s">
        <v>8738</v>
      </c>
      <c r="E507" t="s">
        <v>9816</v>
      </c>
      <c r="F507" t="s">
        <v>9820</v>
      </c>
      <c r="G507" t="s">
        <v>9821</v>
      </c>
      <c r="H507" t="s">
        <v>9822</v>
      </c>
    </row>
    <row r="508" spans="1:8" ht="29" x14ac:dyDescent="0.35">
      <c r="A508" t="s">
        <v>6085</v>
      </c>
      <c r="B508" t="s">
        <v>6086</v>
      </c>
      <c r="C508" t="s">
        <v>8738</v>
      </c>
      <c r="E508" t="s">
        <v>9816</v>
      </c>
      <c r="F508" t="s">
        <v>9823</v>
      </c>
      <c r="G508" s="1" t="s">
        <v>9824</v>
      </c>
      <c r="H508" t="s">
        <v>9825</v>
      </c>
    </row>
    <row r="509" spans="1:8" ht="29" x14ac:dyDescent="0.35">
      <c r="A509" t="s">
        <v>6085</v>
      </c>
      <c r="B509" t="s">
        <v>6086</v>
      </c>
      <c r="C509" t="s">
        <v>8738</v>
      </c>
      <c r="E509" t="s">
        <v>9816</v>
      </c>
      <c r="F509" t="s">
        <v>9826</v>
      </c>
      <c r="G509" s="1" t="s">
        <v>9827</v>
      </c>
      <c r="H509" t="s">
        <v>9828</v>
      </c>
    </row>
    <row r="510" spans="1:8" x14ac:dyDescent="0.35">
      <c r="A510" t="s">
        <v>2399</v>
      </c>
      <c r="B510" t="s">
        <v>2400</v>
      </c>
      <c r="C510" t="s">
        <v>8518</v>
      </c>
      <c r="E510" t="s">
        <v>9829</v>
      </c>
      <c r="F510" t="s">
        <v>9830</v>
      </c>
      <c r="G510" t="s">
        <v>9831</v>
      </c>
      <c r="H510" t="s">
        <v>9832</v>
      </c>
    </row>
    <row r="511" spans="1:8" x14ac:dyDescent="0.35">
      <c r="A511" t="s">
        <v>2399</v>
      </c>
      <c r="B511" t="s">
        <v>2400</v>
      </c>
      <c r="C511" t="s">
        <v>8518</v>
      </c>
      <c r="E511" t="s">
        <v>9829</v>
      </c>
      <c r="F511" t="s">
        <v>9833</v>
      </c>
      <c r="G511" t="s">
        <v>9834</v>
      </c>
      <c r="H511" t="s">
        <v>9835</v>
      </c>
    </row>
    <row r="512" spans="1:8" ht="29" x14ac:dyDescent="0.35">
      <c r="A512" t="s">
        <v>7174</v>
      </c>
      <c r="B512" t="s">
        <v>7175</v>
      </c>
      <c r="C512" t="s">
        <v>8798</v>
      </c>
      <c r="E512" t="s">
        <v>9836</v>
      </c>
      <c r="F512" t="s">
        <v>9837</v>
      </c>
      <c r="G512" s="1" t="s">
        <v>9838</v>
      </c>
      <c r="H512" t="s">
        <v>9839</v>
      </c>
    </row>
    <row r="513" spans="1:8" ht="29" x14ac:dyDescent="0.35">
      <c r="A513" t="s">
        <v>2868</v>
      </c>
      <c r="B513" t="s">
        <v>2869</v>
      </c>
      <c r="C513" t="s">
        <v>8547</v>
      </c>
      <c r="E513" t="s">
        <v>9840</v>
      </c>
      <c r="F513" t="s">
        <v>8993</v>
      </c>
      <c r="G513" s="1" t="s">
        <v>9841</v>
      </c>
      <c r="H513" t="s">
        <v>9842</v>
      </c>
    </row>
    <row r="514" spans="1:8" x14ac:dyDescent="0.35">
      <c r="A514" t="s">
        <v>2868</v>
      </c>
      <c r="B514" t="s">
        <v>2869</v>
      </c>
      <c r="C514" t="s">
        <v>8547</v>
      </c>
      <c r="E514" t="s">
        <v>9840</v>
      </c>
      <c r="F514" t="s">
        <v>9843</v>
      </c>
      <c r="G514" t="s">
        <v>9844</v>
      </c>
      <c r="H514" t="s">
        <v>9845</v>
      </c>
    </row>
    <row r="515" spans="1:8" ht="29" x14ac:dyDescent="0.35">
      <c r="A515" t="s">
        <v>2868</v>
      </c>
      <c r="B515" t="s">
        <v>2869</v>
      </c>
      <c r="C515" t="s">
        <v>8547</v>
      </c>
      <c r="E515" t="s">
        <v>9840</v>
      </c>
      <c r="F515" t="s">
        <v>9846</v>
      </c>
      <c r="G515" s="1" t="s">
        <v>9847</v>
      </c>
      <c r="H515" t="s">
        <v>9848</v>
      </c>
    </row>
    <row r="516" spans="1:8" x14ac:dyDescent="0.35">
      <c r="A516" t="s">
        <v>666</v>
      </c>
      <c r="B516" t="s">
        <v>667</v>
      </c>
      <c r="C516" t="s">
        <v>8443</v>
      </c>
      <c r="E516" t="s">
        <v>9849</v>
      </c>
      <c r="F516" t="s">
        <v>9850</v>
      </c>
      <c r="G516" t="s">
        <v>9851</v>
      </c>
      <c r="H516" t="s">
        <v>9852</v>
      </c>
    </row>
    <row r="517" spans="1:8" ht="29" x14ac:dyDescent="0.35">
      <c r="A517" t="s">
        <v>666</v>
      </c>
      <c r="B517" t="s">
        <v>667</v>
      </c>
      <c r="C517" t="s">
        <v>8443</v>
      </c>
      <c r="E517" t="s">
        <v>9849</v>
      </c>
      <c r="F517" t="s">
        <v>9853</v>
      </c>
      <c r="G517" s="1" t="s">
        <v>9854</v>
      </c>
      <c r="H517" t="s">
        <v>9855</v>
      </c>
    </row>
    <row r="518" spans="1:8" ht="29" x14ac:dyDescent="0.35">
      <c r="A518" t="s">
        <v>666</v>
      </c>
      <c r="B518" t="s">
        <v>667</v>
      </c>
      <c r="C518" t="s">
        <v>8443</v>
      </c>
      <c r="E518" t="s">
        <v>9849</v>
      </c>
      <c r="F518" t="s">
        <v>9856</v>
      </c>
      <c r="G518" s="1" t="s">
        <v>9857</v>
      </c>
      <c r="H518" t="s">
        <v>9858</v>
      </c>
    </row>
    <row r="519" spans="1:8" x14ac:dyDescent="0.35">
      <c r="A519" t="s">
        <v>5795</v>
      </c>
      <c r="B519" t="s">
        <v>5796</v>
      </c>
      <c r="C519" t="s">
        <v>8443</v>
      </c>
      <c r="E519" t="s">
        <v>9849</v>
      </c>
      <c r="F519" t="s">
        <v>9850</v>
      </c>
      <c r="G519" t="s">
        <v>9851</v>
      </c>
      <c r="H519" t="s">
        <v>9852</v>
      </c>
    </row>
    <row r="520" spans="1:8" ht="29" x14ac:dyDescent="0.35">
      <c r="A520" t="s">
        <v>5795</v>
      </c>
      <c r="B520" t="s">
        <v>5796</v>
      </c>
      <c r="C520" t="s">
        <v>8443</v>
      </c>
      <c r="E520" t="s">
        <v>9849</v>
      </c>
      <c r="F520" t="s">
        <v>9853</v>
      </c>
      <c r="G520" s="1" t="s">
        <v>9854</v>
      </c>
      <c r="H520" t="s">
        <v>9855</v>
      </c>
    </row>
    <row r="521" spans="1:8" ht="29" x14ac:dyDescent="0.35">
      <c r="A521" t="s">
        <v>5795</v>
      </c>
      <c r="B521" t="s">
        <v>5796</v>
      </c>
      <c r="C521" t="s">
        <v>8443</v>
      </c>
      <c r="E521" t="s">
        <v>9849</v>
      </c>
      <c r="F521" t="s">
        <v>9856</v>
      </c>
      <c r="G521" s="1" t="s">
        <v>9857</v>
      </c>
      <c r="H521" t="s">
        <v>9858</v>
      </c>
    </row>
    <row r="522" spans="1:8" x14ac:dyDescent="0.35">
      <c r="A522" t="s">
        <v>8177</v>
      </c>
      <c r="B522" t="s">
        <v>8178</v>
      </c>
      <c r="C522" t="s">
        <v>8845</v>
      </c>
      <c r="E522" t="s">
        <v>9859</v>
      </c>
      <c r="F522" t="s">
        <v>9860</v>
      </c>
      <c r="G522" t="s">
        <v>9861</v>
      </c>
      <c r="H522" t="s">
        <v>9862</v>
      </c>
    </row>
    <row r="523" spans="1:8" ht="29" x14ac:dyDescent="0.35">
      <c r="A523" t="s">
        <v>8177</v>
      </c>
      <c r="B523" t="s">
        <v>8178</v>
      </c>
      <c r="C523" t="s">
        <v>8845</v>
      </c>
      <c r="E523" t="s">
        <v>9859</v>
      </c>
      <c r="F523" t="s">
        <v>9863</v>
      </c>
      <c r="G523" s="1" t="s">
        <v>9864</v>
      </c>
      <c r="H523" t="s">
        <v>9865</v>
      </c>
    </row>
    <row r="524" spans="1:8" x14ac:dyDescent="0.35">
      <c r="A524" t="s">
        <v>8177</v>
      </c>
      <c r="B524" t="s">
        <v>8178</v>
      </c>
      <c r="C524" t="s">
        <v>8845</v>
      </c>
      <c r="E524" t="s">
        <v>9859</v>
      </c>
      <c r="F524" t="s">
        <v>9866</v>
      </c>
      <c r="G524" t="s">
        <v>9867</v>
      </c>
      <c r="H524" t="s">
        <v>9868</v>
      </c>
    </row>
    <row r="525" spans="1:8" ht="29" x14ac:dyDescent="0.35">
      <c r="A525" t="s">
        <v>2633</v>
      </c>
      <c r="B525" t="s">
        <v>2634</v>
      </c>
      <c r="C525" t="s">
        <v>8534</v>
      </c>
      <c r="E525" t="s">
        <v>9869</v>
      </c>
      <c r="F525" t="s">
        <v>9870</v>
      </c>
      <c r="G525" s="1" t="s">
        <v>9871</v>
      </c>
      <c r="H525" t="s">
        <v>9872</v>
      </c>
    </row>
    <row r="526" spans="1:8" x14ac:dyDescent="0.35">
      <c r="A526" t="s">
        <v>6073</v>
      </c>
      <c r="B526" t="s">
        <v>6074</v>
      </c>
      <c r="C526" t="s">
        <v>9882</v>
      </c>
      <c r="E526" t="s">
        <v>9874</v>
      </c>
      <c r="F526" t="s">
        <v>9875</v>
      </c>
      <c r="G526" t="s">
        <v>9876</v>
      </c>
      <c r="H526" t="s">
        <v>9877</v>
      </c>
    </row>
    <row r="527" spans="1:8" ht="29" x14ac:dyDescent="0.35">
      <c r="A527" t="s">
        <v>6073</v>
      </c>
      <c r="B527" t="s">
        <v>6074</v>
      </c>
      <c r="C527" t="s">
        <v>9873</v>
      </c>
      <c r="E527" t="s">
        <v>9874</v>
      </c>
      <c r="F527" t="s">
        <v>9878</v>
      </c>
      <c r="G527" s="1" t="s">
        <v>9879</v>
      </c>
      <c r="H527" t="s">
        <v>9880</v>
      </c>
    </row>
    <row r="528" spans="1:8" x14ac:dyDescent="0.35">
      <c r="A528" t="s">
        <v>6073</v>
      </c>
      <c r="B528" t="s">
        <v>6074</v>
      </c>
      <c r="C528" t="s">
        <v>9881</v>
      </c>
      <c r="E528" t="s">
        <v>9883</v>
      </c>
      <c r="F528" t="s">
        <v>9884</v>
      </c>
      <c r="G528" s="1" t="s">
        <v>9885</v>
      </c>
      <c r="H528" t="s">
        <v>9886</v>
      </c>
    </row>
    <row r="529" spans="1:8" x14ac:dyDescent="0.35">
      <c r="A529" t="s">
        <v>372</v>
      </c>
      <c r="B529" t="s">
        <v>373</v>
      </c>
      <c r="C529" t="s">
        <v>8427</v>
      </c>
      <c r="E529" t="s">
        <v>9887</v>
      </c>
      <c r="F529" t="s">
        <v>9888</v>
      </c>
      <c r="G529" t="s">
        <v>9889</v>
      </c>
      <c r="H529" t="s">
        <v>9890</v>
      </c>
    </row>
    <row r="530" spans="1:8" x14ac:dyDescent="0.35">
      <c r="A530" t="s">
        <v>6032</v>
      </c>
      <c r="B530" t="s">
        <v>6033</v>
      </c>
      <c r="C530" t="s">
        <v>8732</v>
      </c>
      <c r="E530" t="s">
        <v>9859</v>
      </c>
      <c r="F530" t="s">
        <v>9860</v>
      </c>
      <c r="G530" t="s">
        <v>9861</v>
      </c>
      <c r="H530" t="s">
        <v>9891</v>
      </c>
    </row>
    <row r="531" spans="1:8" x14ac:dyDescent="0.35">
      <c r="A531" t="s">
        <v>6032</v>
      </c>
      <c r="B531" t="s">
        <v>6033</v>
      </c>
      <c r="C531" t="s">
        <v>8732</v>
      </c>
      <c r="E531" t="s">
        <v>9859</v>
      </c>
      <c r="F531" t="s">
        <v>9863</v>
      </c>
      <c r="G531" t="s">
        <v>9892</v>
      </c>
      <c r="H531" t="s">
        <v>9865</v>
      </c>
    </row>
    <row r="532" spans="1:8" ht="29" x14ac:dyDescent="0.35">
      <c r="A532" t="s">
        <v>6032</v>
      </c>
      <c r="B532" t="s">
        <v>6033</v>
      </c>
      <c r="C532" t="s">
        <v>8732</v>
      </c>
      <c r="E532" t="s">
        <v>9859</v>
      </c>
      <c r="F532" t="s">
        <v>9866</v>
      </c>
      <c r="G532" s="1" t="s">
        <v>9893</v>
      </c>
      <c r="H532" t="s">
        <v>9868</v>
      </c>
    </row>
    <row r="533" spans="1:8" ht="29" x14ac:dyDescent="0.35">
      <c r="A533" t="s">
        <v>7265</v>
      </c>
      <c r="B533" t="s">
        <v>7266</v>
      </c>
      <c r="C533" t="s">
        <v>8804</v>
      </c>
      <c r="E533" t="s">
        <v>9894</v>
      </c>
      <c r="F533" t="s">
        <v>9895</v>
      </c>
      <c r="G533" s="1" t="s">
        <v>9896</v>
      </c>
      <c r="H533" t="s">
        <v>9897</v>
      </c>
    </row>
    <row r="534" spans="1:8" ht="29" x14ac:dyDescent="0.35">
      <c r="A534" t="s">
        <v>3987</v>
      </c>
      <c r="B534" t="s">
        <v>3988</v>
      </c>
      <c r="C534" t="s">
        <v>8613</v>
      </c>
      <c r="E534" t="s">
        <v>9898</v>
      </c>
      <c r="F534" t="s">
        <v>9899</v>
      </c>
      <c r="G534" s="1" t="s">
        <v>9900</v>
      </c>
      <c r="H534" t="s">
        <v>9901</v>
      </c>
    </row>
    <row r="535" spans="1:8" ht="29" x14ac:dyDescent="0.35">
      <c r="A535" t="s">
        <v>3837</v>
      </c>
      <c r="B535" t="s">
        <v>3838</v>
      </c>
      <c r="C535" t="s">
        <v>8603</v>
      </c>
      <c r="E535" t="s">
        <v>9902</v>
      </c>
      <c r="F535" t="s">
        <v>9903</v>
      </c>
      <c r="G535" s="1" t="s">
        <v>9904</v>
      </c>
      <c r="H535" t="s">
        <v>9905</v>
      </c>
    </row>
    <row r="536" spans="1:8" ht="29" x14ac:dyDescent="0.35">
      <c r="A536" t="s">
        <v>5450</v>
      </c>
      <c r="B536" t="s">
        <v>5451</v>
      </c>
      <c r="C536" t="s">
        <v>9911</v>
      </c>
      <c r="E536" t="s">
        <v>9906</v>
      </c>
      <c r="F536" t="s">
        <v>9907</v>
      </c>
      <c r="G536" s="1" t="s">
        <v>9908</v>
      </c>
      <c r="H536" t="s">
        <v>9909</v>
      </c>
    </row>
    <row r="537" spans="1:8" ht="29" x14ac:dyDescent="0.35">
      <c r="A537" t="s">
        <v>5450</v>
      </c>
      <c r="B537" t="s">
        <v>5451</v>
      </c>
      <c r="C537" t="s">
        <v>9910</v>
      </c>
      <c r="E537" t="s">
        <v>9912</v>
      </c>
      <c r="F537" t="s">
        <v>9913</v>
      </c>
      <c r="G537" s="1" t="s">
        <v>9914</v>
      </c>
      <c r="H537" t="s">
        <v>9915</v>
      </c>
    </row>
    <row r="538" spans="1:8" x14ac:dyDescent="0.35">
      <c r="A538" t="s">
        <v>7886</v>
      </c>
      <c r="B538" t="s">
        <v>7887</v>
      </c>
      <c r="C538" t="s">
        <v>8835</v>
      </c>
      <c r="E538" t="s">
        <v>9916</v>
      </c>
      <c r="F538" t="s">
        <v>9917</v>
      </c>
      <c r="G538" s="1" t="s">
        <v>9918</v>
      </c>
      <c r="H538" t="s">
        <v>9919</v>
      </c>
    </row>
    <row r="539" spans="1:8" ht="29" x14ac:dyDescent="0.35">
      <c r="A539" t="s">
        <v>5734</v>
      </c>
      <c r="B539" t="s">
        <v>5735</v>
      </c>
      <c r="C539" t="s">
        <v>8711</v>
      </c>
      <c r="E539" t="s">
        <v>9920</v>
      </c>
      <c r="F539" t="s">
        <v>9921</v>
      </c>
      <c r="G539" s="1" t="s">
        <v>9922</v>
      </c>
      <c r="H539" t="s">
        <v>9923</v>
      </c>
    </row>
    <row r="540" spans="1:8" ht="29" x14ac:dyDescent="0.35">
      <c r="A540" t="s">
        <v>2860</v>
      </c>
      <c r="B540" t="s">
        <v>2861</v>
      </c>
      <c r="C540" t="s">
        <v>8545</v>
      </c>
      <c r="E540" t="s">
        <v>9924</v>
      </c>
      <c r="F540" t="s">
        <v>9925</v>
      </c>
      <c r="G540" s="1" t="s">
        <v>9926</v>
      </c>
      <c r="H540" t="s">
        <v>9927</v>
      </c>
    </row>
    <row r="541" spans="1:8" ht="29" x14ac:dyDescent="0.35">
      <c r="A541" t="s">
        <v>2860</v>
      </c>
      <c r="B541" t="s">
        <v>2861</v>
      </c>
      <c r="C541" t="s">
        <v>8545</v>
      </c>
      <c r="E541" t="s">
        <v>9924</v>
      </c>
      <c r="F541" t="s">
        <v>9928</v>
      </c>
      <c r="G541" s="1" t="s">
        <v>9929</v>
      </c>
      <c r="H541" t="s">
        <v>9930</v>
      </c>
    </row>
    <row r="542" spans="1:8" ht="29" x14ac:dyDescent="0.35">
      <c r="A542" t="s">
        <v>2860</v>
      </c>
      <c r="B542" t="s">
        <v>2861</v>
      </c>
      <c r="C542" t="s">
        <v>8545</v>
      </c>
      <c r="E542" t="s">
        <v>9924</v>
      </c>
      <c r="F542" t="s">
        <v>9931</v>
      </c>
      <c r="G542" s="1" t="s">
        <v>9932</v>
      </c>
      <c r="H542" t="s">
        <v>9933</v>
      </c>
    </row>
    <row r="543" spans="1:8" ht="29" x14ac:dyDescent="0.35">
      <c r="A543" t="s">
        <v>2639</v>
      </c>
      <c r="B543" t="s">
        <v>2640</v>
      </c>
      <c r="C543" t="s">
        <v>8535</v>
      </c>
      <c r="E543" t="s">
        <v>9934</v>
      </c>
      <c r="F543" t="s">
        <v>9935</v>
      </c>
      <c r="G543" s="1" t="s">
        <v>9936</v>
      </c>
      <c r="H543" t="s">
        <v>9937</v>
      </c>
    </row>
    <row r="544" spans="1:8" x14ac:dyDescent="0.35">
      <c r="A544" t="s">
        <v>2639</v>
      </c>
      <c r="B544" t="s">
        <v>2640</v>
      </c>
      <c r="C544" t="s">
        <v>8535</v>
      </c>
      <c r="E544" t="s">
        <v>9934</v>
      </c>
      <c r="F544" t="s">
        <v>9938</v>
      </c>
      <c r="G544" s="1" t="s">
        <v>9939</v>
      </c>
      <c r="H544" t="s">
        <v>9940</v>
      </c>
    </row>
    <row r="545" spans="1:8" x14ac:dyDescent="0.35">
      <c r="A545" t="s">
        <v>2639</v>
      </c>
      <c r="B545" t="s">
        <v>2640</v>
      </c>
      <c r="C545" t="s">
        <v>8535</v>
      </c>
      <c r="E545" t="s">
        <v>9934</v>
      </c>
      <c r="F545" t="s">
        <v>9941</v>
      </c>
      <c r="G545" t="s">
        <v>9942</v>
      </c>
      <c r="H545" t="s">
        <v>9943</v>
      </c>
    </row>
    <row r="546" spans="1:8" ht="29" x14ac:dyDescent="0.35">
      <c r="A546" t="s">
        <v>3366</v>
      </c>
      <c r="B546" t="s">
        <v>3367</v>
      </c>
      <c r="C546" t="s">
        <v>8574</v>
      </c>
      <c r="E546" t="s">
        <v>9944</v>
      </c>
      <c r="F546" t="s">
        <v>9945</v>
      </c>
      <c r="G546" s="1" t="s">
        <v>9946</v>
      </c>
      <c r="H546" t="s">
        <v>9947</v>
      </c>
    </row>
    <row r="547" spans="1:8" ht="29" x14ac:dyDescent="0.35">
      <c r="A547" t="s">
        <v>5756</v>
      </c>
      <c r="B547" t="s">
        <v>5757</v>
      </c>
      <c r="C547" t="s">
        <v>8712</v>
      </c>
      <c r="E547" t="s">
        <v>9948</v>
      </c>
      <c r="F547" t="s">
        <v>9949</v>
      </c>
      <c r="G547" s="1" t="s">
        <v>9950</v>
      </c>
      <c r="H547" t="s">
        <v>9951</v>
      </c>
    </row>
    <row r="548" spans="1:8" x14ac:dyDescent="0.35">
      <c r="A548" t="s">
        <v>5756</v>
      </c>
      <c r="B548" t="s">
        <v>5757</v>
      </c>
      <c r="C548" t="s">
        <v>8712</v>
      </c>
      <c r="E548" t="s">
        <v>9948</v>
      </c>
      <c r="F548" t="s">
        <v>9952</v>
      </c>
      <c r="G548" t="s">
        <v>9953</v>
      </c>
      <c r="H548" t="s">
        <v>9954</v>
      </c>
    </row>
    <row r="549" spans="1:8" ht="29" x14ac:dyDescent="0.35">
      <c r="A549" t="s">
        <v>5756</v>
      </c>
      <c r="B549" t="s">
        <v>5757</v>
      </c>
      <c r="C549" t="s">
        <v>8712</v>
      </c>
      <c r="E549" t="s">
        <v>9948</v>
      </c>
      <c r="F549" t="s">
        <v>9955</v>
      </c>
      <c r="G549" s="1" t="s">
        <v>9956</v>
      </c>
      <c r="H549" t="s">
        <v>9957</v>
      </c>
    </row>
    <row r="550" spans="1:8" x14ac:dyDescent="0.35">
      <c r="A550" t="s">
        <v>5756</v>
      </c>
      <c r="B550" t="s">
        <v>5757</v>
      </c>
      <c r="C550" t="s">
        <v>8712</v>
      </c>
      <c r="E550" t="s">
        <v>9948</v>
      </c>
      <c r="F550" t="s">
        <v>9958</v>
      </c>
      <c r="G550" s="1" t="s">
        <v>9959</v>
      </c>
      <c r="H550" t="s">
        <v>9960</v>
      </c>
    </row>
    <row r="551" spans="1:8" ht="29" x14ac:dyDescent="0.35">
      <c r="A551" t="s">
        <v>5756</v>
      </c>
      <c r="B551" t="s">
        <v>5757</v>
      </c>
      <c r="C551" t="s">
        <v>8712</v>
      </c>
      <c r="E551" t="s">
        <v>9948</v>
      </c>
      <c r="F551" t="s">
        <v>9961</v>
      </c>
      <c r="G551" s="1" t="s">
        <v>9962</v>
      </c>
      <c r="H551" t="s">
        <v>9963</v>
      </c>
    </row>
    <row r="552" spans="1:8" ht="29" x14ac:dyDescent="0.35">
      <c r="A552" t="s">
        <v>5756</v>
      </c>
      <c r="B552" t="s">
        <v>5757</v>
      </c>
      <c r="C552" t="s">
        <v>8712</v>
      </c>
      <c r="E552" t="s">
        <v>9948</v>
      </c>
      <c r="F552" t="s">
        <v>9964</v>
      </c>
      <c r="G552" s="1" t="s">
        <v>9965</v>
      </c>
      <c r="H552" t="s">
        <v>9966</v>
      </c>
    </row>
    <row r="553" spans="1:8" ht="29" x14ac:dyDescent="0.35">
      <c r="A553" t="s">
        <v>5756</v>
      </c>
      <c r="B553" t="s">
        <v>5757</v>
      </c>
      <c r="C553" t="s">
        <v>8712</v>
      </c>
      <c r="E553" t="s">
        <v>9948</v>
      </c>
      <c r="F553" t="s">
        <v>9967</v>
      </c>
      <c r="G553" s="1" t="s">
        <v>9968</v>
      </c>
      <c r="H553" t="s">
        <v>9969</v>
      </c>
    </row>
    <row r="554" spans="1:8" x14ac:dyDescent="0.35">
      <c r="A554" t="s">
        <v>5756</v>
      </c>
      <c r="B554" t="s">
        <v>5757</v>
      </c>
      <c r="C554" t="s">
        <v>8712</v>
      </c>
      <c r="E554" t="s">
        <v>9948</v>
      </c>
      <c r="F554" t="s">
        <v>9970</v>
      </c>
      <c r="G554" t="s">
        <v>9971</v>
      </c>
      <c r="H554" t="s">
        <v>9972</v>
      </c>
    </row>
    <row r="555" spans="1:8" ht="29" x14ac:dyDescent="0.35">
      <c r="A555" t="s">
        <v>4127</v>
      </c>
      <c r="B555" t="s">
        <v>4128</v>
      </c>
      <c r="C555" t="s">
        <v>9975</v>
      </c>
      <c r="E555" t="s">
        <v>9973</v>
      </c>
      <c r="F555" t="s">
        <v>9976</v>
      </c>
      <c r="G555" s="1" t="s">
        <v>9977</v>
      </c>
      <c r="H555" t="s">
        <v>9978</v>
      </c>
    </row>
    <row r="556" spans="1:8" x14ac:dyDescent="0.35">
      <c r="A556" t="s">
        <v>4127</v>
      </c>
      <c r="B556" t="s">
        <v>4128</v>
      </c>
      <c r="C556" t="s">
        <v>9974</v>
      </c>
      <c r="E556" t="s">
        <v>9979</v>
      </c>
      <c r="F556" t="s">
        <v>9980</v>
      </c>
      <c r="G556" s="1" t="s">
        <v>9981</v>
      </c>
      <c r="H556" t="s">
        <v>9982</v>
      </c>
    </row>
    <row r="557" spans="1:8" ht="29" x14ac:dyDescent="0.35">
      <c r="A557" t="s">
        <v>8354</v>
      </c>
      <c r="B557" t="s">
        <v>8355</v>
      </c>
      <c r="C557" t="s">
        <v>9975</v>
      </c>
      <c r="E557" t="s">
        <v>9973</v>
      </c>
      <c r="F557" t="s">
        <v>9976</v>
      </c>
      <c r="G557" s="1" t="s">
        <v>9977</v>
      </c>
      <c r="H557" t="s">
        <v>9978</v>
      </c>
    </row>
    <row r="558" spans="1:8" x14ac:dyDescent="0.35">
      <c r="A558" t="s">
        <v>8354</v>
      </c>
      <c r="B558" t="s">
        <v>8355</v>
      </c>
      <c r="C558" t="s">
        <v>9974</v>
      </c>
      <c r="E558" t="s">
        <v>9979</v>
      </c>
      <c r="F558" t="s">
        <v>9980</v>
      </c>
      <c r="G558" s="1" t="s">
        <v>9981</v>
      </c>
      <c r="H558" t="s">
        <v>9982</v>
      </c>
    </row>
    <row r="559" spans="1:8" ht="29" x14ac:dyDescent="0.35">
      <c r="A559" t="s">
        <v>4131</v>
      </c>
      <c r="B559" t="s">
        <v>4132</v>
      </c>
      <c r="C559" t="s">
        <v>8618</v>
      </c>
      <c r="E559" t="s">
        <v>9983</v>
      </c>
      <c r="F559" t="s">
        <v>9984</v>
      </c>
      <c r="G559" s="1" t="s">
        <v>9985</v>
      </c>
      <c r="H559" t="s">
        <v>9986</v>
      </c>
    </row>
    <row r="560" spans="1:8" ht="29" x14ac:dyDescent="0.35">
      <c r="A560" t="s">
        <v>5321</v>
      </c>
      <c r="B560" t="s">
        <v>5322</v>
      </c>
      <c r="C560" t="s">
        <v>8680</v>
      </c>
      <c r="E560" t="s">
        <v>9987</v>
      </c>
      <c r="F560" t="s">
        <v>9988</v>
      </c>
      <c r="G560" s="1" t="s">
        <v>9989</v>
      </c>
      <c r="H560" t="s">
        <v>9990</v>
      </c>
    </row>
    <row r="561" spans="1:8" x14ac:dyDescent="0.35">
      <c r="A561" t="s">
        <v>5321</v>
      </c>
      <c r="B561" t="s">
        <v>5322</v>
      </c>
      <c r="C561" t="s">
        <v>8680</v>
      </c>
      <c r="E561" t="s">
        <v>9987</v>
      </c>
      <c r="F561" t="s">
        <v>9991</v>
      </c>
      <c r="G561" s="1" t="s">
        <v>9992</v>
      </c>
      <c r="H561" t="s">
        <v>9993</v>
      </c>
    </row>
    <row r="562" spans="1:8" ht="29" x14ac:dyDescent="0.35">
      <c r="A562" t="s">
        <v>5321</v>
      </c>
      <c r="B562" t="s">
        <v>5322</v>
      </c>
      <c r="C562" t="s">
        <v>8680</v>
      </c>
      <c r="E562" t="s">
        <v>9987</v>
      </c>
      <c r="F562" t="s">
        <v>9994</v>
      </c>
      <c r="G562" s="1" t="s">
        <v>9995</v>
      </c>
      <c r="H562" t="s">
        <v>9996</v>
      </c>
    </row>
    <row r="563" spans="1:8" ht="29" x14ac:dyDescent="0.35">
      <c r="A563" t="s">
        <v>5248</v>
      </c>
      <c r="B563" t="s">
        <v>5249</v>
      </c>
      <c r="C563" t="s">
        <v>8675</v>
      </c>
      <c r="E563" t="s">
        <v>9997</v>
      </c>
      <c r="F563" t="s">
        <v>9998</v>
      </c>
      <c r="G563" s="1" t="s">
        <v>9999</v>
      </c>
      <c r="H563" t="s">
        <v>10000</v>
      </c>
    </row>
    <row r="564" spans="1:8" ht="29" x14ac:dyDescent="0.35">
      <c r="A564" t="s">
        <v>5248</v>
      </c>
      <c r="B564" t="s">
        <v>5249</v>
      </c>
      <c r="C564" t="s">
        <v>8675</v>
      </c>
      <c r="E564" t="s">
        <v>9997</v>
      </c>
      <c r="F564" t="s">
        <v>10001</v>
      </c>
      <c r="G564" s="1" t="s">
        <v>10002</v>
      </c>
      <c r="H564" t="s">
        <v>10003</v>
      </c>
    </row>
    <row r="565" spans="1:8" x14ac:dyDescent="0.35">
      <c r="A565" t="s">
        <v>5248</v>
      </c>
      <c r="B565" t="s">
        <v>5249</v>
      </c>
      <c r="C565" t="s">
        <v>8675</v>
      </c>
      <c r="E565" t="s">
        <v>9997</v>
      </c>
      <c r="F565" t="s">
        <v>10004</v>
      </c>
      <c r="G565" t="s">
        <v>10005</v>
      </c>
      <c r="H565" t="s">
        <v>10006</v>
      </c>
    </row>
    <row r="566" spans="1:8" x14ac:dyDescent="0.35">
      <c r="A566" t="s">
        <v>4597</v>
      </c>
      <c r="B566" t="s">
        <v>4598</v>
      </c>
      <c r="C566" t="s">
        <v>8657</v>
      </c>
      <c r="E566" t="s">
        <v>10007</v>
      </c>
      <c r="F566" t="s">
        <v>10008</v>
      </c>
      <c r="G566" t="s">
        <v>10009</v>
      </c>
      <c r="H566" t="s">
        <v>10010</v>
      </c>
    </row>
    <row r="567" spans="1:8" x14ac:dyDescent="0.35">
      <c r="A567" t="s">
        <v>498</v>
      </c>
      <c r="B567" t="s">
        <v>499</v>
      </c>
      <c r="C567" t="s">
        <v>8434</v>
      </c>
      <c r="E567" t="s">
        <v>10011</v>
      </c>
      <c r="F567" t="s">
        <v>10012</v>
      </c>
      <c r="G567" t="s">
        <v>10013</v>
      </c>
      <c r="H567" t="s">
        <v>10014</v>
      </c>
    </row>
    <row r="568" spans="1:8" ht="29" x14ac:dyDescent="0.35">
      <c r="A568" t="s">
        <v>1030</v>
      </c>
      <c r="B568" t="s">
        <v>1031</v>
      </c>
      <c r="C568" t="s">
        <v>8459</v>
      </c>
      <c r="E568" t="s">
        <v>10015</v>
      </c>
      <c r="F568" t="s">
        <v>10016</v>
      </c>
      <c r="G568" s="1" t="s">
        <v>10017</v>
      </c>
      <c r="H568" t="s">
        <v>10018</v>
      </c>
    </row>
    <row r="570" spans="1:8" ht="29" x14ac:dyDescent="0.35">
      <c r="A570" t="s">
        <v>3511</v>
      </c>
      <c r="B570" t="s">
        <v>3512</v>
      </c>
      <c r="C570" t="s">
        <v>8584</v>
      </c>
      <c r="E570" t="s">
        <v>10019</v>
      </c>
      <c r="F570" t="s">
        <v>10020</v>
      </c>
      <c r="G570" s="1" t="s">
        <v>10021</v>
      </c>
      <c r="H570" t="s">
        <v>10022</v>
      </c>
    </row>
    <row r="571" spans="1:8" x14ac:dyDescent="0.35">
      <c r="A571" t="s">
        <v>3511</v>
      </c>
      <c r="B571" t="s">
        <v>3512</v>
      </c>
      <c r="C571" t="s">
        <v>8584</v>
      </c>
      <c r="E571" t="s">
        <v>10019</v>
      </c>
      <c r="F571" t="s">
        <v>10023</v>
      </c>
      <c r="G571" t="s">
        <v>10024</v>
      </c>
      <c r="H571" t="s">
        <v>10025</v>
      </c>
    </row>
    <row r="572" spans="1:8" ht="29" x14ac:dyDescent="0.35">
      <c r="A572" t="s">
        <v>7548</v>
      </c>
      <c r="B572" t="s">
        <v>7549</v>
      </c>
      <c r="C572" t="s">
        <v>8584</v>
      </c>
      <c r="E572" t="s">
        <v>10019</v>
      </c>
      <c r="F572" t="s">
        <v>10020</v>
      </c>
      <c r="G572" s="1" t="s">
        <v>10021</v>
      </c>
      <c r="H572" t="s">
        <v>10022</v>
      </c>
    </row>
    <row r="573" spans="1:8" x14ac:dyDescent="0.35">
      <c r="A573" t="s">
        <v>7548</v>
      </c>
      <c r="B573" t="s">
        <v>7549</v>
      </c>
      <c r="C573" t="s">
        <v>8584</v>
      </c>
      <c r="E573" t="s">
        <v>10019</v>
      </c>
      <c r="F573" t="s">
        <v>10023</v>
      </c>
      <c r="G573" t="s">
        <v>10024</v>
      </c>
      <c r="H573" t="s">
        <v>10025</v>
      </c>
    </row>
    <row r="574" spans="1:8" x14ac:dyDescent="0.35">
      <c r="A574" t="s">
        <v>238</v>
      </c>
      <c r="B574" t="s">
        <v>239</v>
      </c>
      <c r="C574" t="s">
        <v>8422</v>
      </c>
      <c r="E574" t="s">
        <v>10026</v>
      </c>
      <c r="G574" t="s">
        <v>10027</v>
      </c>
      <c r="H574" t="s">
        <v>10028</v>
      </c>
    </row>
    <row r="575" spans="1:8" x14ac:dyDescent="0.35">
      <c r="A575" t="s">
        <v>838</v>
      </c>
      <c r="B575" t="s">
        <v>839</v>
      </c>
      <c r="C575" t="s">
        <v>8422</v>
      </c>
      <c r="E575" t="s">
        <v>10026</v>
      </c>
      <c r="G575" t="s">
        <v>10027</v>
      </c>
      <c r="H575" t="s">
        <v>10028</v>
      </c>
    </row>
    <row r="576" spans="1:8" x14ac:dyDescent="0.35">
      <c r="A576" t="s">
        <v>1189</v>
      </c>
      <c r="B576" t="s">
        <v>1190</v>
      </c>
      <c r="C576" t="s">
        <v>8422</v>
      </c>
      <c r="E576" t="s">
        <v>10026</v>
      </c>
      <c r="G576" t="s">
        <v>10027</v>
      </c>
      <c r="H576" t="s">
        <v>10028</v>
      </c>
    </row>
    <row r="577" spans="1:8" x14ac:dyDescent="0.35">
      <c r="A577" t="s">
        <v>2536</v>
      </c>
      <c r="B577" t="s">
        <v>2537</v>
      </c>
      <c r="C577" t="s">
        <v>8422</v>
      </c>
      <c r="E577" t="s">
        <v>10026</v>
      </c>
      <c r="G577" t="s">
        <v>10027</v>
      </c>
      <c r="H577" t="s">
        <v>10028</v>
      </c>
    </row>
    <row r="578" spans="1:8" x14ac:dyDescent="0.35">
      <c r="A578" t="s">
        <v>2740</v>
      </c>
      <c r="B578" t="s">
        <v>2741</v>
      </c>
      <c r="C578" t="s">
        <v>8422</v>
      </c>
      <c r="E578" t="s">
        <v>10026</v>
      </c>
      <c r="G578" t="s">
        <v>10027</v>
      </c>
      <c r="H578" t="s">
        <v>10028</v>
      </c>
    </row>
    <row r="579" spans="1:8" x14ac:dyDescent="0.35">
      <c r="A579" t="s">
        <v>5539</v>
      </c>
      <c r="B579" t="s">
        <v>5540</v>
      </c>
      <c r="C579" t="s">
        <v>8422</v>
      </c>
      <c r="E579" t="s">
        <v>10026</v>
      </c>
      <c r="G579" t="s">
        <v>10027</v>
      </c>
      <c r="H579" t="s">
        <v>10028</v>
      </c>
    </row>
    <row r="580" spans="1:8" x14ac:dyDescent="0.35">
      <c r="A580" t="s">
        <v>7180</v>
      </c>
      <c r="B580" t="s">
        <v>7181</v>
      </c>
      <c r="C580" t="s">
        <v>8422</v>
      </c>
      <c r="E580" t="s">
        <v>10026</v>
      </c>
      <c r="G580" t="s">
        <v>10027</v>
      </c>
      <c r="H580" t="s">
        <v>10028</v>
      </c>
    </row>
    <row r="581" spans="1:8" x14ac:dyDescent="0.35">
      <c r="A581" t="s">
        <v>7319</v>
      </c>
      <c r="B581" t="s">
        <v>7320</v>
      </c>
      <c r="C581" t="s">
        <v>8422</v>
      </c>
      <c r="E581" t="s">
        <v>10026</v>
      </c>
      <c r="G581" t="s">
        <v>10027</v>
      </c>
      <c r="H581" t="s">
        <v>10028</v>
      </c>
    </row>
    <row r="582" spans="1:8" x14ac:dyDescent="0.35">
      <c r="A582" t="s">
        <v>7577</v>
      </c>
      <c r="B582" t="s">
        <v>7578</v>
      </c>
      <c r="C582" t="s">
        <v>8422</v>
      </c>
      <c r="E582" t="s">
        <v>10026</v>
      </c>
      <c r="G582" t="s">
        <v>10027</v>
      </c>
      <c r="H582" t="s">
        <v>10028</v>
      </c>
    </row>
    <row r="583" spans="1:8" x14ac:dyDescent="0.35">
      <c r="A583" t="s">
        <v>7988</v>
      </c>
      <c r="B583" t="s">
        <v>7989</v>
      </c>
      <c r="C583" t="s">
        <v>8422</v>
      </c>
      <c r="E583" t="s">
        <v>10026</v>
      </c>
      <c r="G583" t="s">
        <v>10027</v>
      </c>
      <c r="H583" t="s">
        <v>10028</v>
      </c>
    </row>
    <row r="584" spans="1:8" x14ac:dyDescent="0.35">
      <c r="A584" t="s">
        <v>8067</v>
      </c>
      <c r="B584" t="s">
        <v>8068</v>
      </c>
      <c r="C584" t="s">
        <v>8422</v>
      </c>
      <c r="E584" t="s">
        <v>10026</v>
      </c>
      <c r="G584" t="s">
        <v>10027</v>
      </c>
      <c r="H584" t="s">
        <v>10028</v>
      </c>
    </row>
    <row r="585" spans="1:8" x14ac:dyDescent="0.35">
      <c r="A585" t="s">
        <v>7551</v>
      </c>
      <c r="B585" t="s">
        <v>7552</v>
      </c>
      <c r="C585" t="s">
        <v>8823</v>
      </c>
      <c r="E585" t="s">
        <v>10029</v>
      </c>
      <c r="F585" t="s">
        <v>10030</v>
      </c>
      <c r="G585" t="s">
        <v>10031</v>
      </c>
      <c r="H585" t="s">
        <v>10032</v>
      </c>
    </row>
    <row r="586" spans="1:8" ht="29" x14ac:dyDescent="0.35">
      <c r="A586" t="s">
        <v>7551</v>
      </c>
      <c r="B586" t="s">
        <v>7552</v>
      </c>
      <c r="C586" t="s">
        <v>8823</v>
      </c>
      <c r="E586" t="s">
        <v>10029</v>
      </c>
      <c r="F586" t="s">
        <v>10033</v>
      </c>
      <c r="G586" s="1" t="s">
        <v>10034</v>
      </c>
      <c r="H586" t="s">
        <v>10035</v>
      </c>
    </row>
    <row r="587" spans="1:8" ht="29" x14ac:dyDescent="0.35">
      <c r="A587" t="s">
        <v>6499</v>
      </c>
      <c r="B587" t="s">
        <v>6500</v>
      </c>
      <c r="C587" t="s">
        <v>8760</v>
      </c>
      <c r="E587" t="s">
        <v>10036</v>
      </c>
      <c r="F587" t="s">
        <v>10037</v>
      </c>
      <c r="G587" s="1" t="s">
        <v>10038</v>
      </c>
      <c r="H587" t="s">
        <v>10039</v>
      </c>
    </row>
    <row r="588" spans="1:8" ht="29" x14ac:dyDescent="0.35">
      <c r="A588" t="s">
        <v>4474</v>
      </c>
      <c r="B588" t="s">
        <v>4475</v>
      </c>
      <c r="C588" t="s">
        <v>8643</v>
      </c>
      <c r="E588" t="s">
        <v>10040</v>
      </c>
      <c r="F588" t="s">
        <v>10041</v>
      </c>
      <c r="G588" s="1" t="s">
        <v>10042</v>
      </c>
      <c r="H588" t="s">
        <v>10043</v>
      </c>
    </row>
    <row r="589" spans="1:8" ht="29" x14ac:dyDescent="0.35">
      <c r="A589" t="s">
        <v>773</v>
      </c>
      <c r="B589" t="s">
        <v>774</v>
      </c>
      <c r="C589" t="s">
        <v>8449</v>
      </c>
      <c r="E589" t="s">
        <v>10044</v>
      </c>
      <c r="F589" t="s">
        <v>10045</v>
      </c>
      <c r="G589" s="1" t="s">
        <v>10046</v>
      </c>
      <c r="H589" t="s">
        <v>10047</v>
      </c>
    </row>
    <row r="590" spans="1:8" ht="29" x14ac:dyDescent="0.35">
      <c r="A590" t="s">
        <v>3939</v>
      </c>
      <c r="B590" t="s">
        <v>3940</v>
      </c>
      <c r="C590" t="s">
        <v>8607</v>
      </c>
      <c r="E590" t="s">
        <v>10048</v>
      </c>
      <c r="F590" t="s">
        <v>10049</v>
      </c>
      <c r="G590" s="1" t="s">
        <v>10050</v>
      </c>
      <c r="H590" t="s">
        <v>10051</v>
      </c>
    </row>
    <row r="591" spans="1:8" x14ac:dyDescent="0.35">
      <c r="A591" t="s">
        <v>5316</v>
      </c>
      <c r="B591" t="s">
        <v>5317</v>
      </c>
      <c r="C591" t="s">
        <v>8679</v>
      </c>
      <c r="E591" t="s">
        <v>10052</v>
      </c>
      <c r="F591" t="s">
        <v>10053</v>
      </c>
      <c r="G591" s="1" t="s">
        <v>10054</v>
      </c>
      <c r="H591" t="s">
        <v>10055</v>
      </c>
    </row>
    <row r="592" spans="1:8" ht="29" x14ac:dyDescent="0.35">
      <c r="A592" t="s">
        <v>2651</v>
      </c>
      <c r="B592" t="s">
        <v>2652</v>
      </c>
      <c r="C592" t="s">
        <v>8536</v>
      </c>
      <c r="E592" t="s">
        <v>10056</v>
      </c>
      <c r="F592" t="s">
        <v>10057</v>
      </c>
      <c r="G592" s="1" t="s">
        <v>10058</v>
      </c>
      <c r="H592" t="s">
        <v>10059</v>
      </c>
    </row>
    <row r="593" spans="1:8" ht="29" x14ac:dyDescent="0.35">
      <c r="A593" t="s">
        <v>7452</v>
      </c>
      <c r="B593" t="s">
        <v>7453</v>
      </c>
      <c r="C593" t="s">
        <v>8536</v>
      </c>
      <c r="E593" t="s">
        <v>10056</v>
      </c>
      <c r="F593" t="s">
        <v>10057</v>
      </c>
      <c r="G593" s="1" t="s">
        <v>10058</v>
      </c>
      <c r="H593" t="s">
        <v>10059</v>
      </c>
    </row>
    <row r="594" spans="1:8" ht="29" x14ac:dyDescent="0.35">
      <c r="A594" t="s">
        <v>3742</v>
      </c>
      <c r="B594" t="s">
        <v>3743</v>
      </c>
      <c r="C594" t="s">
        <v>8599</v>
      </c>
      <c r="E594" t="s">
        <v>10060</v>
      </c>
      <c r="F594" t="s">
        <v>10061</v>
      </c>
      <c r="G594" s="1" t="s">
        <v>10062</v>
      </c>
      <c r="H594" t="s">
        <v>10063</v>
      </c>
    </row>
    <row r="595" spans="1:8" ht="29" x14ac:dyDescent="0.35">
      <c r="A595" t="s">
        <v>5579</v>
      </c>
      <c r="B595" t="s">
        <v>5580</v>
      </c>
      <c r="C595" t="s">
        <v>8699</v>
      </c>
      <c r="E595" t="s">
        <v>10064</v>
      </c>
      <c r="F595" t="s">
        <v>10065</v>
      </c>
      <c r="G595" s="1" t="s">
        <v>10066</v>
      </c>
      <c r="H595" t="s">
        <v>10067</v>
      </c>
    </row>
    <row r="596" spans="1:8" x14ac:dyDescent="0.35">
      <c r="A596" t="s">
        <v>4030</v>
      </c>
      <c r="B596" t="s">
        <v>4031</v>
      </c>
      <c r="C596" t="s">
        <v>8615</v>
      </c>
      <c r="E596" t="s">
        <v>10068</v>
      </c>
      <c r="F596" t="s">
        <v>10069</v>
      </c>
      <c r="G596" s="1" t="s">
        <v>10070</v>
      </c>
      <c r="H596" t="s">
        <v>10071</v>
      </c>
    </row>
    <row r="597" spans="1:8" x14ac:dyDescent="0.35">
      <c r="A597" t="s">
        <v>4030</v>
      </c>
      <c r="B597" t="s">
        <v>4031</v>
      </c>
      <c r="C597" t="s">
        <v>8615</v>
      </c>
      <c r="E597" t="s">
        <v>10068</v>
      </c>
      <c r="F597" t="s">
        <v>10072</v>
      </c>
      <c r="G597" s="1" t="s">
        <v>10073</v>
      </c>
      <c r="H597" t="s">
        <v>10074</v>
      </c>
    </row>
    <row r="598" spans="1:8" ht="29" x14ac:dyDescent="0.35">
      <c r="A598" t="s">
        <v>1625</v>
      </c>
      <c r="B598" t="s">
        <v>1626</v>
      </c>
      <c r="C598" t="s">
        <v>8488</v>
      </c>
      <c r="E598" t="s">
        <v>10075</v>
      </c>
      <c r="F598" t="s">
        <v>10076</v>
      </c>
      <c r="G598" s="1" t="s">
        <v>10077</v>
      </c>
      <c r="H598" t="s">
        <v>10078</v>
      </c>
    </row>
    <row r="599" spans="1:8" ht="29" x14ac:dyDescent="0.35">
      <c r="A599" t="s">
        <v>1625</v>
      </c>
      <c r="B599" t="s">
        <v>1626</v>
      </c>
      <c r="C599" t="s">
        <v>8488</v>
      </c>
      <c r="E599" t="s">
        <v>10075</v>
      </c>
      <c r="F599" t="s">
        <v>10079</v>
      </c>
      <c r="G599" s="1" t="s">
        <v>10080</v>
      </c>
      <c r="H599" t="s">
        <v>10081</v>
      </c>
    </row>
    <row r="600" spans="1:8" x14ac:dyDescent="0.35">
      <c r="A600" t="s">
        <v>1625</v>
      </c>
      <c r="B600" t="s">
        <v>1626</v>
      </c>
      <c r="C600" t="s">
        <v>8488</v>
      </c>
      <c r="E600" t="s">
        <v>10075</v>
      </c>
      <c r="F600" t="s">
        <v>10082</v>
      </c>
      <c r="G600" t="s">
        <v>10083</v>
      </c>
      <c r="H600" t="s">
        <v>10084</v>
      </c>
    </row>
    <row r="601" spans="1:8" ht="29" x14ac:dyDescent="0.35">
      <c r="A601" t="s">
        <v>6535</v>
      </c>
      <c r="B601" t="s">
        <v>6536</v>
      </c>
      <c r="C601" t="s">
        <v>8761</v>
      </c>
      <c r="E601" t="s">
        <v>10085</v>
      </c>
      <c r="F601" t="s">
        <v>10086</v>
      </c>
      <c r="G601" s="1" t="s">
        <v>10087</v>
      </c>
      <c r="H601" t="s">
        <v>10088</v>
      </c>
    </row>
    <row r="602" spans="1:8" ht="29" x14ac:dyDescent="0.35">
      <c r="A602" t="s">
        <v>6535</v>
      </c>
      <c r="B602" t="s">
        <v>6536</v>
      </c>
      <c r="C602" t="s">
        <v>8761</v>
      </c>
      <c r="E602" t="s">
        <v>10085</v>
      </c>
      <c r="F602" t="s">
        <v>10089</v>
      </c>
      <c r="G602" s="1" t="s">
        <v>10090</v>
      </c>
      <c r="H602" t="s">
        <v>10091</v>
      </c>
    </row>
    <row r="603" spans="1:8" x14ac:dyDescent="0.35">
      <c r="A603" t="s">
        <v>6535</v>
      </c>
      <c r="B603" t="s">
        <v>6536</v>
      </c>
      <c r="C603" t="s">
        <v>8761</v>
      </c>
      <c r="E603" t="s">
        <v>10085</v>
      </c>
      <c r="F603" t="s">
        <v>10092</v>
      </c>
      <c r="G603" s="1" t="s">
        <v>10093</v>
      </c>
      <c r="H603" t="s">
        <v>10094</v>
      </c>
    </row>
    <row r="604" spans="1:8" ht="29" x14ac:dyDescent="0.35">
      <c r="A604" t="s">
        <v>6535</v>
      </c>
      <c r="B604" t="s">
        <v>6536</v>
      </c>
      <c r="C604" t="s">
        <v>8761</v>
      </c>
      <c r="E604" t="s">
        <v>10085</v>
      </c>
      <c r="F604" t="s">
        <v>10095</v>
      </c>
      <c r="G604" s="1" t="s">
        <v>10096</v>
      </c>
      <c r="H604" t="s">
        <v>10097</v>
      </c>
    </row>
    <row r="605" spans="1:8" ht="29" x14ac:dyDescent="0.35">
      <c r="A605" t="s">
        <v>6535</v>
      </c>
      <c r="B605" t="s">
        <v>6536</v>
      </c>
      <c r="C605" t="s">
        <v>8761</v>
      </c>
      <c r="E605" t="s">
        <v>10085</v>
      </c>
      <c r="F605" t="s">
        <v>10098</v>
      </c>
      <c r="G605" s="1" t="s">
        <v>10099</v>
      </c>
      <c r="H605" t="s">
        <v>10100</v>
      </c>
    </row>
    <row r="606" spans="1:8" ht="29" x14ac:dyDescent="0.35">
      <c r="A606" t="s">
        <v>6535</v>
      </c>
      <c r="B606" t="s">
        <v>6536</v>
      </c>
      <c r="C606" t="s">
        <v>8761</v>
      </c>
      <c r="E606" t="s">
        <v>10085</v>
      </c>
      <c r="F606" t="s">
        <v>10101</v>
      </c>
      <c r="G606" s="1" t="s">
        <v>10102</v>
      </c>
      <c r="H606" t="s">
        <v>10103</v>
      </c>
    </row>
    <row r="607" spans="1:8" ht="29" x14ac:dyDescent="0.35">
      <c r="A607" t="s">
        <v>6535</v>
      </c>
      <c r="B607" t="s">
        <v>6536</v>
      </c>
      <c r="C607" t="s">
        <v>8761</v>
      </c>
      <c r="E607" t="s">
        <v>10085</v>
      </c>
      <c r="F607" t="s">
        <v>10104</v>
      </c>
      <c r="G607" s="1" t="s">
        <v>10105</v>
      </c>
      <c r="H607" t="s">
        <v>10106</v>
      </c>
    </row>
    <row r="608" spans="1:8" x14ac:dyDescent="0.35">
      <c r="A608" t="s">
        <v>6535</v>
      </c>
      <c r="B608" t="s">
        <v>6536</v>
      </c>
      <c r="C608" t="s">
        <v>8761</v>
      </c>
      <c r="E608" t="s">
        <v>10085</v>
      </c>
      <c r="F608" t="s">
        <v>10107</v>
      </c>
      <c r="G608" s="1" t="s">
        <v>10108</v>
      </c>
      <c r="H608" t="s">
        <v>10109</v>
      </c>
    </row>
    <row r="609" spans="1:8" ht="29" x14ac:dyDescent="0.35">
      <c r="A609" t="s">
        <v>6535</v>
      </c>
      <c r="B609" t="s">
        <v>6536</v>
      </c>
      <c r="C609" t="s">
        <v>8761</v>
      </c>
      <c r="E609" t="s">
        <v>10085</v>
      </c>
      <c r="F609" t="s">
        <v>10110</v>
      </c>
      <c r="G609" s="1" t="s">
        <v>10111</v>
      </c>
      <c r="H609" t="s">
        <v>10112</v>
      </c>
    </row>
    <row r="610" spans="1:8" ht="29" x14ac:dyDescent="0.35">
      <c r="A610" t="s">
        <v>6535</v>
      </c>
      <c r="B610" t="s">
        <v>6536</v>
      </c>
      <c r="C610" t="s">
        <v>8761</v>
      </c>
      <c r="E610" t="s">
        <v>10085</v>
      </c>
      <c r="F610" t="s">
        <v>10113</v>
      </c>
      <c r="G610" s="1" t="s">
        <v>10114</v>
      </c>
      <c r="H610" t="s">
        <v>10115</v>
      </c>
    </row>
    <row r="611" spans="1:8" ht="29" x14ac:dyDescent="0.35">
      <c r="A611" t="s">
        <v>6535</v>
      </c>
      <c r="B611" t="s">
        <v>6536</v>
      </c>
      <c r="C611" t="s">
        <v>8761</v>
      </c>
      <c r="E611" t="s">
        <v>10085</v>
      </c>
      <c r="F611" t="s">
        <v>10116</v>
      </c>
      <c r="G611" s="1" t="s">
        <v>10117</v>
      </c>
      <c r="H611" t="s">
        <v>10118</v>
      </c>
    </row>
    <row r="612" spans="1:8" ht="29" x14ac:dyDescent="0.35">
      <c r="A612" t="s">
        <v>6535</v>
      </c>
      <c r="B612" t="s">
        <v>6536</v>
      </c>
      <c r="C612" t="s">
        <v>8761</v>
      </c>
      <c r="E612" t="s">
        <v>10085</v>
      </c>
      <c r="F612" t="s">
        <v>10119</v>
      </c>
      <c r="G612" s="1" t="s">
        <v>10120</v>
      </c>
      <c r="H612" t="s">
        <v>10121</v>
      </c>
    </row>
    <row r="613" spans="1:8" ht="29" x14ac:dyDescent="0.35">
      <c r="A613" t="s">
        <v>6535</v>
      </c>
      <c r="B613" t="s">
        <v>6536</v>
      </c>
      <c r="C613" t="s">
        <v>8761</v>
      </c>
      <c r="E613" t="s">
        <v>10085</v>
      </c>
      <c r="F613" t="s">
        <v>10122</v>
      </c>
      <c r="G613" s="1" t="s">
        <v>10123</v>
      </c>
      <c r="H613" t="s">
        <v>10124</v>
      </c>
    </row>
    <row r="614" spans="1:8" ht="29" x14ac:dyDescent="0.35">
      <c r="A614" t="s">
        <v>6535</v>
      </c>
      <c r="B614" t="s">
        <v>6536</v>
      </c>
      <c r="C614" t="s">
        <v>8761</v>
      </c>
      <c r="E614" t="s">
        <v>10085</v>
      </c>
      <c r="F614" t="s">
        <v>10125</v>
      </c>
      <c r="G614" s="1" t="s">
        <v>10126</v>
      </c>
      <c r="H614" t="s">
        <v>10127</v>
      </c>
    </row>
    <row r="615" spans="1:8" ht="29" x14ac:dyDescent="0.35">
      <c r="A615" t="s">
        <v>6535</v>
      </c>
      <c r="B615" t="s">
        <v>6536</v>
      </c>
      <c r="C615" t="s">
        <v>8761</v>
      </c>
      <c r="E615" t="s">
        <v>10085</v>
      </c>
      <c r="F615" t="s">
        <v>10128</v>
      </c>
      <c r="G615" s="1" t="s">
        <v>10129</v>
      </c>
      <c r="H615" t="s">
        <v>10130</v>
      </c>
    </row>
    <row r="616" spans="1:8" ht="29" x14ac:dyDescent="0.35">
      <c r="A616" t="s">
        <v>6535</v>
      </c>
      <c r="B616" t="s">
        <v>6536</v>
      </c>
      <c r="C616" t="s">
        <v>8761</v>
      </c>
      <c r="E616" t="s">
        <v>10085</v>
      </c>
      <c r="F616" t="s">
        <v>10131</v>
      </c>
      <c r="G616" s="1" t="s">
        <v>10132</v>
      </c>
      <c r="H616" t="s">
        <v>10133</v>
      </c>
    </row>
    <row r="617" spans="1:8" x14ac:dyDescent="0.35">
      <c r="A617" t="s">
        <v>4544</v>
      </c>
      <c r="B617" t="s">
        <v>4545</v>
      </c>
      <c r="C617" t="s">
        <v>8650</v>
      </c>
      <c r="E617" t="s">
        <v>10134</v>
      </c>
      <c r="F617" t="s">
        <v>10135</v>
      </c>
      <c r="G617" s="1" t="s">
        <v>10136</v>
      </c>
      <c r="H617" t="s">
        <v>10137</v>
      </c>
    </row>
    <row r="618" spans="1:8" ht="29" x14ac:dyDescent="0.35">
      <c r="A618" t="s">
        <v>4544</v>
      </c>
      <c r="B618" t="s">
        <v>4545</v>
      </c>
      <c r="C618" t="s">
        <v>8650</v>
      </c>
      <c r="E618" t="s">
        <v>10134</v>
      </c>
      <c r="F618" t="s">
        <v>10138</v>
      </c>
      <c r="G618" s="1" t="s">
        <v>10139</v>
      </c>
      <c r="H618" t="s">
        <v>10140</v>
      </c>
    </row>
    <row r="619" spans="1:8" ht="29" x14ac:dyDescent="0.35">
      <c r="A619" t="s">
        <v>4544</v>
      </c>
      <c r="B619" t="s">
        <v>4545</v>
      </c>
      <c r="C619" t="s">
        <v>8650</v>
      </c>
      <c r="E619" t="s">
        <v>10134</v>
      </c>
      <c r="F619" t="s">
        <v>10141</v>
      </c>
      <c r="G619" s="1" t="s">
        <v>10142</v>
      </c>
      <c r="H619" t="s">
        <v>10143</v>
      </c>
    </row>
    <row r="620" spans="1:8" ht="29" x14ac:dyDescent="0.35">
      <c r="A620" t="s">
        <v>2160</v>
      </c>
      <c r="B620" t="s">
        <v>2161</v>
      </c>
      <c r="C620" t="s">
        <v>8514</v>
      </c>
      <c r="E620" t="s">
        <v>10144</v>
      </c>
      <c r="F620" t="s">
        <v>10145</v>
      </c>
      <c r="G620" s="1" t="s">
        <v>10146</v>
      </c>
      <c r="H620" t="s">
        <v>10147</v>
      </c>
    </row>
    <row r="621" spans="1:8" ht="29" x14ac:dyDescent="0.35">
      <c r="A621" t="s">
        <v>2160</v>
      </c>
      <c r="B621" t="s">
        <v>2161</v>
      </c>
      <c r="C621" t="s">
        <v>8514</v>
      </c>
      <c r="E621" t="s">
        <v>10144</v>
      </c>
      <c r="F621" t="s">
        <v>10148</v>
      </c>
      <c r="G621" s="1" t="s">
        <v>10149</v>
      </c>
      <c r="H621" t="s">
        <v>10150</v>
      </c>
    </row>
    <row r="622" spans="1:8" ht="29" x14ac:dyDescent="0.35">
      <c r="A622" t="s">
        <v>2725</v>
      </c>
      <c r="B622" t="s">
        <v>2726</v>
      </c>
      <c r="C622" t="s">
        <v>8540</v>
      </c>
      <c r="E622" t="s">
        <v>10151</v>
      </c>
      <c r="F622" t="s">
        <v>10152</v>
      </c>
      <c r="G622" s="1" t="s">
        <v>10153</v>
      </c>
      <c r="H622" t="s">
        <v>10154</v>
      </c>
    </row>
    <row r="623" spans="1:8" ht="29" x14ac:dyDescent="0.35">
      <c r="A623" t="s">
        <v>7392</v>
      </c>
      <c r="B623" t="s">
        <v>7393</v>
      </c>
      <c r="C623" t="s">
        <v>8814</v>
      </c>
      <c r="E623" t="s">
        <v>10155</v>
      </c>
      <c r="F623" t="s">
        <v>10156</v>
      </c>
      <c r="G623" s="1" t="s">
        <v>10157</v>
      </c>
      <c r="H623" t="s">
        <v>10158</v>
      </c>
    </row>
    <row r="624" spans="1:8" ht="29" x14ac:dyDescent="0.35">
      <c r="A624" t="s">
        <v>3346</v>
      </c>
      <c r="B624" t="s">
        <v>3347</v>
      </c>
      <c r="C624" t="s">
        <v>8570</v>
      </c>
      <c r="E624" t="s">
        <v>10159</v>
      </c>
      <c r="F624" t="s">
        <v>10160</v>
      </c>
      <c r="G624" s="1" t="s">
        <v>10161</v>
      </c>
      <c r="H624" t="s">
        <v>10162</v>
      </c>
    </row>
    <row r="625" spans="1:8" ht="29" x14ac:dyDescent="0.35">
      <c r="A625" t="s">
        <v>4676</v>
      </c>
      <c r="B625" t="s">
        <v>4677</v>
      </c>
      <c r="C625" t="s">
        <v>8570</v>
      </c>
      <c r="E625" t="s">
        <v>10159</v>
      </c>
      <c r="F625" t="s">
        <v>10160</v>
      </c>
      <c r="G625" s="1" t="s">
        <v>10161</v>
      </c>
      <c r="H625" t="s">
        <v>10162</v>
      </c>
    </row>
    <row r="626" spans="1:8" ht="29" x14ac:dyDescent="0.35">
      <c r="A626" t="s">
        <v>5838</v>
      </c>
      <c r="B626" t="s">
        <v>5839</v>
      </c>
      <c r="C626" t="s">
        <v>8570</v>
      </c>
      <c r="E626" t="s">
        <v>10159</v>
      </c>
      <c r="F626" t="s">
        <v>10160</v>
      </c>
      <c r="G626" s="1" t="s">
        <v>10161</v>
      </c>
      <c r="H626" t="s">
        <v>10162</v>
      </c>
    </row>
    <row r="627" spans="1:8" x14ac:dyDescent="0.35">
      <c r="A627" t="s">
        <v>5513</v>
      </c>
      <c r="B627" t="s">
        <v>5514</v>
      </c>
      <c r="C627" t="s">
        <v>8692</v>
      </c>
      <c r="E627" t="s">
        <v>10163</v>
      </c>
      <c r="G627" t="s">
        <v>10164</v>
      </c>
      <c r="H627" t="s">
        <v>10167</v>
      </c>
    </row>
    <row r="628" spans="1:8" x14ac:dyDescent="0.35">
      <c r="A628" t="s">
        <v>5513</v>
      </c>
      <c r="B628" t="s">
        <v>5514</v>
      </c>
      <c r="C628" t="s">
        <v>8692</v>
      </c>
      <c r="E628" t="s">
        <v>10163</v>
      </c>
      <c r="G628" t="s">
        <v>10165</v>
      </c>
      <c r="H628" t="s">
        <v>10167</v>
      </c>
    </row>
    <row r="629" spans="1:8" x14ac:dyDescent="0.35">
      <c r="A629" t="s">
        <v>5513</v>
      </c>
      <c r="B629" t="s">
        <v>5514</v>
      </c>
      <c r="C629" t="s">
        <v>8692</v>
      </c>
      <c r="E629" t="s">
        <v>10163</v>
      </c>
      <c r="G629" t="s">
        <v>10166</v>
      </c>
      <c r="H629" t="s">
        <v>10167</v>
      </c>
    </row>
    <row r="630" spans="1:8" ht="29" x14ac:dyDescent="0.35">
      <c r="A630" t="s">
        <v>6487</v>
      </c>
      <c r="B630" t="s">
        <v>6488</v>
      </c>
      <c r="C630" t="s">
        <v>8758</v>
      </c>
      <c r="E630" t="s">
        <v>10168</v>
      </c>
      <c r="F630" t="s">
        <v>10169</v>
      </c>
      <c r="G630" s="1" t="s">
        <v>10170</v>
      </c>
      <c r="H630" t="s">
        <v>10171</v>
      </c>
    </row>
    <row r="631" spans="1:8" ht="29" x14ac:dyDescent="0.35">
      <c r="A631" t="s">
        <v>6487</v>
      </c>
      <c r="B631" t="s">
        <v>6488</v>
      </c>
      <c r="C631" t="s">
        <v>8758</v>
      </c>
      <c r="E631" t="s">
        <v>10168</v>
      </c>
      <c r="F631" t="s">
        <v>10172</v>
      </c>
      <c r="G631" s="1" t="s">
        <v>10173</v>
      </c>
      <c r="H631" t="s">
        <v>10174</v>
      </c>
    </row>
    <row r="632" spans="1:8" ht="29" x14ac:dyDescent="0.35">
      <c r="A632" t="s">
        <v>2729</v>
      </c>
      <c r="B632" t="s">
        <v>2730</v>
      </c>
      <c r="C632" t="s">
        <v>8541</v>
      </c>
      <c r="E632" t="s">
        <v>10175</v>
      </c>
      <c r="F632" t="s">
        <v>10176</v>
      </c>
      <c r="G632" s="1" t="s">
        <v>10177</v>
      </c>
      <c r="H632" t="s">
        <v>10178</v>
      </c>
    </row>
    <row r="633" spans="1:8" ht="29" x14ac:dyDescent="0.35">
      <c r="A633" t="s">
        <v>996</v>
      </c>
      <c r="B633" t="s">
        <v>997</v>
      </c>
      <c r="C633" t="s">
        <v>8457</v>
      </c>
      <c r="E633" t="s">
        <v>10179</v>
      </c>
      <c r="F633" t="s">
        <v>10180</v>
      </c>
      <c r="G633" s="1" t="s">
        <v>10181</v>
      </c>
      <c r="H633" t="s">
        <v>10182</v>
      </c>
    </row>
    <row r="634" spans="1:8" x14ac:dyDescent="0.35">
      <c r="A634" t="s">
        <v>3194</v>
      </c>
      <c r="B634" t="s">
        <v>3195</v>
      </c>
      <c r="C634" t="s">
        <v>8565</v>
      </c>
      <c r="E634" t="s">
        <v>10183</v>
      </c>
      <c r="F634" s="19" t="s">
        <v>10184</v>
      </c>
      <c r="G634" s="1" t="s">
        <v>10185</v>
      </c>
      <c r="H634" t="s">
        <v>10186</v>
      </c>
    </row>
    <row r="635" spans="1:8" x14ac:dyDescent="0.35">
      <c r="A635" t="s">
        <v>3762</v>
      </c>
      <c r="B635" t="s">
        <v>3763</v>
      </c>
      <c r="C635" t="s">
        <v>8602</v>
      </c>
      <c r="E635" t="s">
        <v>10187</v>
      </c>
      <c r="F635" t="s">
        <v>10188</v>
      </c>
      <c r="G635" s="1" t="s">
        <v>10189</v>
      </c>
      <c r="H635" t="s">
        <v>10190</v>
      </c>
    </row>
    <row r="636" spans="1:8" ht="29" x14ac:dyDescent="0.35">
      <c r="A636" t="s">
        <v>7700</v>
      </c>
      <c r="B636" t="s">
        <v>7701</v>
      </c>
      <c r="C636" t="s">
        <v>8828</v>
      </c>
      <c r="E636" t="s">
        <v>10191</v>
      </c>
      <c r="F636" t="s">
        <v>10192</v>
      </c>
      <c r="G636" s="1" t="s">
        <v>10193</v>
      </c>
      <c r="H636" t="s">
        <v>10194</v>
      </c>
    </row>
    <row r="637" spans="1:8" ht="29" x14ac:dyDescent="0.35">
      <c r="A637" t="s">
        <v>7700</v>
      </c>
      <c r="B637" t="s">
        <v>7701</v>
      </c>
      <c r="C637" t="s">
        <v>8828</v>
      </c>
      <c r="E637" t="s">
        <v>10191</v>
      </c>
      <c r="F637" t="s">
        <v>10195</v>
      </c>
      <c r="G637" s="1" t="s">
        <v>10196</v>
      </c>
      <c r="H637" t="s">
        <v>10197</v>
      </c>
    </row>
    <row r="638" spans="1:8" ht="29" x14ac:dyDescent="0.35">
      <c r="A638" t="s">
        <v>5571</v>
      </c>
      <c r="B638" t="s">
        <v>5572</v>
      </c>
      <c r="C638" t="s">
        <v>8698</v>
      </c>
      <c r="E638" t="s">
        <v>10198</v>
      </c>
      <c r="F638" t="s">
        <v>10199</v>
      </c>
      <c r="G638" s="1" t="s">
        <v>10200</v>
      </c>
      <c r="H638" t="s">
        <v>10201</v>
      </c>
    </row>
    <row r="639" spans="1:8" ht="29" x14ac:dyDescent="0.35">
      <c r="A639" t="s">
        <v>6147</v>
      </c>
      <c r="B639" t="s">
        <v>6148</v>
      </c>
      <c r="C639" t="s">
        <v>10207</v>
      </c>
      <c r="E639" t="s">
        <v>10202</v>
      </c>
      <c r="F639" t="s">
        <v>10203</v>
      </c>
      <c r="G639" s="1" t="s">
        <v>10204</v>
      </c>
      <c r="H639" t="s">
        <v>10205</v>
      </c>
    </row>
    <row r="640" spans="1:8" x14ac:dyDescent="0.35">
      <c r="A640" t="s">
        <v>6147</v>
      </c>
      <c r="B640" t="s">
        <v>6148</v>
      </c>
      <c r="C640" t="s">
        <v>10206</v>
      </c>
      <c r="E640" t="s">
        <v>10208</v>
      </c>
      <c r="F640" t="s">
        <v>10209</v>
      </c>
      <c r="G640" s="1" t="s">
        <v>10210</v>
      </c>
      <c r="H640" t="s">
        <v>10211</v>
      </c>
    </row>
    <row r="641" spans="1:8" ht="29" x14ac:dyDescent="0.35">
      <c r="A641" t="s">
        <v>6876</v>
      </c>
      <c r="B641" t="s">
        <v>6877</v>
      </c>
      <c r="C641" t="s">
        <v>8780</v>
      </c>
      <c r="E641" t="s">
        <v>10212</v>
      </c>
      <c r="F641" t="s">
        <v>10213</v>
      </c>
      <c r="G641" s="1" t="s">
        <v>10214</v>
      </c>
      <c r="H641" t="s">
        <v>10215</v>
      </c>
    </row>
    <row r="642" spans="1:8" ht="29" x14ac:dyDescent="0.35">
      <c r="A642" t="s">
        <v>5679</v>
      </c>
      <c r="B642" t="s">
        <v>5680</v>
      </c>
      <c r="C642" t="s">
        <v>8707</v>
      </c>
      <c r="E642" t="s">
        <v>10216</v>
      </c>
      <c r="F642" t="s">
        <v>10217</v>
      </c>
      <c r="G642" s="1" t="s">
        <v>10218</v>
      </c>
      <c r="H642" t="s">
        <v>10219</v>
      </c>
    </row>
    <row r="643" spans="1:8" ht="29" x14ac:dyDescent="0.35">
      <c r="A643" t="s">
        <v>1434</v>
      </c>
      <c r="B643" t="s">
        <v>1435</v>
      </c>
      <c r="C643" t="s">
        <v>8487</v>
      </c>
      <c r="E643" t="s">
        <v>10220</v>
      </c>
      <c r="F643" t="s">
        <v>10221</v>
      </c>
      <c r="G643" s="1" t="s">
        <v>10222</v>
      </c>
      <c r="H643" t="s">
        <v>10223</v>
      </c>
    </row>
    <row r="644" spans="1:8" ht="29" x14ac:dyDescent="0.35">
      <c r="A644" t="s">
        <v>1434</v>
      </c>
      <c r="B644" t="s">
        <v>1435</v>
      </c>
      <c r="C644" t="s">
        <v>8487</v>
      </c>
      <c r="E644" t="s">
        <v>10220</v>
      </c>
      <c r="F644" t="s">
        <v>10224</v>
      </c>
      <c r="G644" s="1" t="s">
        <v>10225</v>
      </c>
      <c r="H644" t="s">
        <v>10226</v>
      </c>
    </row>
    <row r="645" spans="1:8" ht="29" x14ac:dyDescent="0.35">
      <c r="A645" t="s">
        <v>1434</v>
      </c>
      <c r="B645" t="s">
        <v>1435</v>
      </c>
      <c r="C645" t="s">
        <v>8487</v>
      </c>
      <c r="E645" t="s">
        <v>10220</v>
      </c>
      <c r="F645" t="s">
        <v>10227</v>
      </c>
      <c r="G645" s="1" t="s">
        <v>10228</v>
      </c>
      <c r="H645" t="s">
        <v>10226</v>
      </c>
    </row>
    <row r="646" spans="1:8" ht="29" x14ac:dyDescent="0.35">
      <c r="A646" t="s">
        <v>1434</v>
      </c>
      <c r="B646" t="s">
        <v>1435</v>
      </c>
      <c r="C646" t="s">
        <v>8487</v>
      </c>
      <c r="E646" t="s">
        <v>10220</v>
      </c>
      <c r="F646" t="s">
        <v>10229</v>
      </c>
      <c r="G646" s="1" t="s">
        <v>10230</v>
      </c>
      <c r="H646" t="s">
        <v>10226</v>
      </c>
    </row>
    <row r="647" spans="1:8" ht="29" x14ac:dyDescent="0.35">
      <c r="A647" t="s">
        <v>1434</v>
      </c>
      <c r="B647" t="s">
        <v>1435</v>
      </c>
      <c r="C647" t="s">
        <v>8487</v>
      </c>
      <c r="E647" t="s">
        <v>10220</v>
      </c>
      <c r="F647" t="s">
        <v>10231</v>
      </c>
      <c r="G647" s="1" t="s">
        <v>10232</v>
      </c>
      <c r="H647" t="s">
        <v>10226</v>
      </c>
    </row>
    <row r="648" spans="1:8" x14ac:dyDescent="0.35">
      <c r="A648" t="s">
        <v>1434</v>
      </c>
      <c r="B648" t="s">
        <v>1435</v>
      </c>
      <c r="C648" t="s">
        <v>8487</v>
      </c>
      <c r="E648" t="s">
        <v>10220</v>
      </c>
      <c r="F648" t="s">
        <v>10233</v>
      </c>
      <c r="G648" t="s">
        <v>13904</v>
      </c>
      <c r="H648" t="s">
        <v>10234</v>
      </c>
    </row>
    <row r="649" spans="1:8" ht="29" x14ac:dyDescent="0.35">
      <c r="A649" t="s">
        <v>1437</v>
      </c>
      <c r="B649" t="s">
        <v>1438</v>
      </c>
      <c r="C649" t="s">
        <v>8487</v>
      </c>
      <c r="E649" t="s">
        <v>10220</v>
      </c>
      <c r="F649" t="s">
        <v>10221</v>
      </c>
      <c r="G649" s="1" t="s">
        <v>10222</v>
      </c>
      <c r="H649" t="s">
        <v>10223</v>
      </c>
    </row>
    <row r="650" spans="1:8" ht="29" x14ac:dyDescent="0.35">
      <c r="A650" t="s">
        <v>1437</v>
      </c>
      <c r="B650" t="s">
        <v>1438</v>
      </c>
      <c r="C650" t="s">
        <v>8487</v>
      </c>
      <c r="E650" t="s">
        <v>10220</v>
      </c>
      <c r="F650" t="s">
        <v>10224</v>
      </c>
      <c r="G650" s="1" t="s">
        <v>10225</v>
      </c>
      <c r="H650" t="s">
        <v>10226</v>
      </c>
    </row>
    <row r="651" spans="1:8" ht="29" x14ac:dyDescent="0.35">
      <c r="A651" t="s">
        <v>1437</v>
      </c>
      <c r="B651" t="s">
        <v>1438</v>
      </c>
      <c r="C651" t="s">
        <v>8487</v>
      </c>
      <c r="E651" t="s">
        <v>10220</v>
      </c>
      <c r="F651" t="s">
        <v>10227</v>
      </c>
      <c r="G651" s="1" t="s">
        <v>10228</v>
      </c>
      <c r="H651" t="s">
        <v>10226</v>
      </c>
    </row>
    <row r="652" spans="1:8" ht="29" x14ac:dyDescent="0.35">
      <c r="A652" t="s">
        <v>1437</v>
      </c>
      <c r="B652" t="s">
        <v>1438</v>
      </c>
      <c r="C652" t="s">
        <v>8487</v>
      </c>
      <c r="E652" t="s">
        <v>10220</v>
      </c>
      <c r="F652" t="s">
        <v>10229</v>
      </c>
      <c r="G652" s="1" t="s">
        <v>10230</v>
      </c>
      <c r="H652" t="s">
        <v>10226</v>
      </c>
    </row>
    <row r="653" spans="1:8" ht="29" x14ac:dyDescent="0.35">
      <c r="A653" t="s">
        <v>1437</v>
      </c>
      <c r="B653" t="s">
        <v>1438</v>
      </c>
      <c r="C653" t="s">
        <v>8487</v>
      </c>
      <c r="E653" t="s">
        <v>10220</v>
      </c>
      <c r="F653" t="s">
        <v>10231</v>
      </c>
      <c r="G653" s="1" t="s">
        <v>10232</v>
      </c>
      <c r="H653" t="s">
        <v>10226</v>
      </c>
    </row>
    <row r="654" spans="1:8" x14ac:dyDescent="0.35">
      <c r="A654" t="s">
        <v>1437</v>
      </c>
      <c r="B654" t="s">
        <v>1438</v>
      </c>
      <c r="C654" t="s">
        <v>8487</v>
      </c>
      <c r="E654" t="s">
        <v>10220</v>
      </c>
      <c r="F654" t="s">
        <v>10233</v>
      </c>
      <c r="G654" s="1" t="s">
        <v>13905</v>
      </c>
      <c r="H654" t="s">
        <v>10234</v>
      </c>
    </row>
    <row r="655" spans="1:8" ht="29" x14ac:dyDescent="0.35">
      <c r="A655" t="s">
        <v>1651</v>
      </c>
      <c r="B655" t="s">
        <v>1652</v>
      </c>
      <c r="C655" t="s">
        <v>8487</v>
      </c>
      <c r="E655" t="s">
        <v>10220</v>
      </c>
      <c r="F655" t="s">
        <v>10221</v>
      </c>
      <c r="G655" s="1" t="s">
        <v>10222</v>
      </c>
      <c r="H655" t="s">
        <v>10223</v>
      </c>
    </row>
    <row r="656" spans="1:8" ht="29" x14ac:dyDescent="0.35">
      <c r="A656" t="s">
        <v>1651</v>
      </c>
      <c r="B656" t="s">
        <v>1652</v>
      </c>
      <c r="C656" t="s">
        <v>8487</v>
      </c>
      <c r="E656" t="s">
        <v>10220</v>
      </c>
      <c r="F656" t="s">
        <v>10224</v>
      </c>
      <c r="G656" s="1" t="s">
        <v>10225</v>
      </c>
      <c r="H656" t="s">
        <v>10226</v>
      </c>
    </row>
    <row r="657" spans="1:8" ht="29" x14ac:dyDescent="0.35">
      <c r="A657" t="s">
        <v>1651</v>
      </c>
      <c r="B657" t="s">
        <v>1652</v>
      </c>
      <c r="C657" t="s">
        <v>8487</v>
      </c>
      <c r="E657" t="s">
        <v>10220</v>
      </c>
      <c r="F657" t="s">
        <v>10227</v>
      </c>
      <c r="G657" s="1" t="s">
        <v>10228</v>
      </c>
      <c r="H657" t="s">
        <v>10226</v>
      </c>
    </row>
    <row r="658" spans="1:8" ht="29" x14ac:dyDescent="0.35">
      <c r="A658" t="s">
        <v>1651</v>
      </c>
      <c r="B658" t="s">
        <v>1652</v>
      </c>
      <c r="C658" t="s">
        <v>8487</v>
      </c>
      <c r="E658" t="s">
        <v>10220</v>
      </c>
      <c r="F658" t="s">
        <v>10229</v>
      </c>
      <c r="G658" s="1" t="s">
        <v>10230</v>
      </c>
      <c r="H658" t="s">
        <v>10226</v>
      </c>
    </row>
    <row r="659" spans="1:8" ht="29" x14ac:dyDescent="0.35">
      <c r="A659" t="s">
        <v>1651</v>
      </c>
      <c r="B659" t="s">
        <v>1652</v>
      </c>
      <c r="C659" t="s">
        <v>8487</v>
      </c>
      <c r="E659" t="s">
        <v>10220</v>
      </c>
      <c r="F659" t="s">
        <v>10231</v>
      </c>
      <c r="G659" s="1" t="s">
        <v>10232</v>
      </c>
      <c r="H659" t="s">
        <v>10226</v>
      </c>
    </row>
    <row r="660" spans="1:8" x14ac:dyDescent="0.35">
      <c r="A660" t="s">
        <v>1651</v>
      </c>
      <c r="B660" t="s">
        <v>1652</v>
      </c>
      <c r="C660" t="s">
        <v>8487</v>
      </c>
      <c r="E660" t="s">
        <v>10220</v>
      </c>
      <c r="F660" t="s">
        <v>10233</v>
      </c>
      <c r="G660" s="1" t="s">
        <v>13905</v>
      </c>
      <c r="H660" t="s">
        <v>10234</v>
      </c>
    </row>
    <row r="661" spans="1:8" ht="29" x14ac:dyDescent="0.35">
      <c r="A661" t="s">
        <v>4540</v>
      </c>
      <c r="B661" t="s">
        <v>4541</v>
      </c>
      <c r="C661" t="s">
        <v>8487</v>
      </c>
      <c r="E661" t="s">
        <v>10220</v>
      </c>
      <c r="F661" t="s">
        <v>10221</v>
      </c>
      <c r="G661" s="1" t="s">
        <v>10222</v>
      </c>
      <c r="H661" t="s">
        <v>10223</v>
      </c>
    </row>
    <row r="662" spans="1:8" ht="29" x14ac:dyDescent="0.35">
      <c r="A662" t="s">
        <v>4540</v>
      </c>
      <c r="B662" t="s">
        <v>4541</v>
      </c>
      <c r="C662" t="s">
        <v>8487</v>
      </c>
      <c r="E662" t="s">
        <v>10220</v>
      </c>
      <c r="F662" t="s">
        <v>10224</v>
      </c>
      <c r="G662" s="1" t="s">
        <v>10225</v>
      </c>
      <c r="H662" t="s">
        <v>10226</v>
      </c>
    </row>
    <row r="663" spans="1:8" ht="29" x14ac:dyDescent="0.35">
      <c r="A663" t="s">
        <v>4540</v>
      </c>
      <c r="B663" t="s">
        <v>4541</v>
      </c>
      <c r="C663" t="s">
        <v>8487</v>
      </c>
      <c r="E663" t="s">
        <v>10220</v>
      </c>
      <c r="F663" t="s">
        <v>10227</v>
      </c>
      <c r="G663" s="1" t="s">
        <v>10228</v>
      </c>
      <c r="H663" t="s">
        <v>10226</v>
      </c>
    </row>
    <row r="664" spans="1:8" ht="29" x14ac:dyDescent="0.35">
      <c r="A664" t="s">
        <v>4540</v>
      </c>
      <c r="B664" t="s">
        <v>4541</v>
      </c>
      <c r="C664" t="s">
        <v>8487</v>
      </c>
      <c r="E664" t="s">
        <v>10220</v>
      </c>
      <c r="F664" t="s">
        <v>10229</v>
      </c>
      <c r="G664" s="1" t="s">
        <v>10230</v>
      </c>
      <c r="H664" t="s">
        <v>10226</v>
      </c>
    </row>
    <row r="665" spans="1:8" ht="29" x14ac:dyDescent="0.35">
      <c r="A665" t="s">
        <v>4540</v>
      </c>
      <c r="B665" t="s">
        <v>4541</v>
      </c>
      <c r="C665" t="s">
        <v>8487</v>
      </c>
      <c r="E665" t="s">
        <v>10220</v>
      </c>
      <c r="F665" t="s">
        <v>10231</v>
      </c>
      <c r="G665" s="1" t="s">
        <v>10232</v>
      </c>
      <c r="H665" t="s">
        <v>10226</v>
      </c>
    </row>
    <row r="666" spans="1:8" x14ac:dyDescent="0.35">
      <c r="A666" t="s">
        <v>4540</v>
      </c>
      <c r="B666" t="s">
        <v>4541</v>
      </c>
      <c r="C666" t="s">
        <v>8487</v>
      </c>
      <c r="E666" t="s">
        <v>10220</v>
      </c>
      <c r="F666" t="s">
        <v>10233</v>
      </c>
      <c r="G666" t="s">
        <v>13905</v>
      </c>
      <c r="H666" t="s">
        <v>10234</v>
      </c>
    </row>
    <row r="667" spans="1:8" ht="29" x14ac:dyDescent="0.35">
      <c r="A667" t="s">
        <v>7312</v>
      </c>
      <c r="B667" t="s">
        <v>7313</v>
      </c>
      <c r="C667" t="s">
        <v>8809</v>
      </c>
      <c r="E667" s="19" t="s">
        <v>10235</v>
      </c>
      <c r="F667" t="s">
        <v>10236</v>
      </c>
      <c r="G667" s="1" t="s">
        <v>10237</v>
      </c>
      <c r="H667" t="s">
        <v>10238</v>
      </c>
    </row>
    <row r="668" spans="1:8" ht="29" x14ac:dyDescent="0.35">
      <c r="A668" t="s">
        <v>22</v>
      </c>
      <c r="B668" t="s">
        <v>23</v>
      </c>
      <c r="C668" t="s">
        <v>8416</v>
      </c>
      <c r="E668" t="s">
        <v>10239</v>
      </c>
      <c r="F668" t="s">
        <v>10240</v>
      </c>
      <c r="G668" s="1" t="s">
        <v>13907</v>
      </c>
      <c r="H668" t="s">
        <v>10241</v>
      </c>
    </row>
    <row r="669" spans="1:8" x14ac:dyDescent="0.35">
      <c r="A669" t="s">
        <v>22</v>
      </c>
      <c r="B669" t="s">
        <v>23</v>
      </c>
      <c r="C669" t="s">
        <v>8416</v>
      </c>
      <c r="E669" t="s">
        <v>10239</v>
      </c>
      <c r="F669" t="s">
        <v>10242</v>
      </c>
      <c r="G669" s="1" t="s">
        <v>10243</v>
      </c>
      <c r="H669" t="s">
        <v>10244</v>
      </c>
    </row>
    <row r="670" spans="1:8" ht="29" x14ac:dyDescent="0.35">
      <c r="A670" t="s">
        <v>22</v>
      </c>
      <c r="B670" t="s">
        <v>23</v>
      </c>
      <c r="C670" t="s">
        <v>8416</v>
      </c>
      <c r="E670" t="s">
        <v>10239</v>
      </c>
      <c r="F670" t="s">
        <v>10245</v>
      </c>
      <c r="G670" s="1" t="s">
        <v>10246</v>
      </c>
      <c r="H670" t="s">
        <v>10244</v>
      </c>
    </row>
    <row r="671" spans="1:8" ht="29" x14ac:dyDescent="0.35">
      <c r="A671" t="s">
        <v>22</v>
      </c>
      <c r="B671" t="s">
        <v>23</v>
      </c>
      <c r="C671" t="s">
        <v>8416</v>
      </c>
      <c r="E671" t="s">
        <v>10239</v>
      </c>
      <c r="F671" t="s">
        <v>10247</v>
      </c>
      <c r="G671" s="1" t="s">
        <v>10248</v>
      </c>
      <c r="H671" t="s">
        <v>10244</v>
      </c>
    </row>
    <row r="672" spans="1:8" ht="29" x14ac:dyDescent="0.35">
      <c r="A672" t="s">
        <v>22</v>
      </c>
      <c r="B672" t="s">
        <v>23</v>
      </c>
      <c r="C672" t="s">
        <v>8416</v>
      </c>
      <c r="E672" t="s">
        <v>10239</v>
      </c>
      <c r="F672" t="s">
        <v>10249</v>
      </c>
      <c r="G672" s="1" t="s">
        <v>10250</v>
      </c>
      <c r="H672" t="s">
        <v>10244</v>
      </c>
    </row>
    <row r="673" spans="1:8" ht="29" x14ac:dyDescent="0.35">
      <c r="A673" t="s">
        <v>22</v>
      </c>
      <c r="B673" t="s">
        <v>23</v>
      </c>
      <c r="C673" t="s">
        <v>8416</v>
      </c>
      <c r="E673" t="s">
        <v>10239</v>
      </c>
      <c r="F673" t="s">
        <v>10251</v>
      </c>
      <c r="G673" s="1" t="s">
        <v>10252</v>
      </c>
      <c r="H673" t="s">
        <v>10253</v>
      </c>
    </row>
    <row r="674" spans="1:8" ht="29" x14ac:dyDescent="0.35">
      <c r="A674" t="s">
        <v>748</v>
      </c>
      <c r="B674" t="s">
        <v>749</v>
      </c>
      <c r="C674" t="s">
        <v>8416</v>
      </c>
      <c r="E674" t="s">
        <v>10239</v>
      </c>
      <c r="F674" t="s">
        <v>10240</v>
      </c>
      <c r="G674" s="1" t="s">
        <v>13907</v>
      </c>
      <c r="H674" t="s">
        <v>10241</v>
      </c>
    </row>
    <row r="675" spans="1:8" x14ac:dyDescent="0.35">
      <c r="A675" t="s">
        <v>748</v>
      </c>
      <c r="B675" t="s">
        <v>749</v>
      </c>
      <c r="C675" t="s">
        <v>8416</v>
      </c>
      <c r="E675" t="s">
        <v>10239</v>
      </c>
      <c r="F675" t="s">
        <v>10242</v>
      </c>
      <c r="G675" t="s">
        <v>10243</v>
      </c>
      <c r="H675" t="s">
        <v>10244</v>
      </c>
    </row>
    <row r="676" spans="1:8" ht="29" x14ac:dyDescent="0.35">
      <c r="A676" t="s">
        <v>748</v>
      </c>
      <c r="B676" t="s">
        <v>749</v>
      </c>
      <c r="C676" t="s">
        <v>8416</v>
      </c>
      <c r="E676" t="s">
        <v>10239</v>
      </c>
      <c r="F676" t="s">
        <v>10245</v>
      </c>
      <c r="G676" s="1" t="s">
        <v>10246</v>
      </c>
      <c r="H676" t="s">
        <v>10244</v>
      </c>
    </row>
    <row r="677" spans="1:8" ht="29" x14ac:dyDescent="0.35">
      <c r="A677" t="s">
        <v>748</v>
      </c>
      <c r="B677" t="s">
        <v>749</v>
      </c>
      <c r="C677" t="s">
        <v>8416</v>
      </c>
      <c r="E677" t="s">
        <v>10239</v>
      </c>
      <c r="F677" t="s">
        <v>10247</v>
      </c>
      <c r="G677" s="1" t="s">
        <v>10248</v>
      </c>
      <c r="H677" t="s">
        <v>10244</v>
      </c>
    </row>
    <row r="678" spans="1:8" ht="29" x14ac:dyDescent="0.35">
      <c r="A678" t="s">
        <v>748</v>
      </c>
      <c r="B678" t="s">
        <v>749</v>
      </c>
      <c r="C678" t="s">
        <v>8416</v>
      </c>
      <c r="E678" t="s">
        <v>10239</v>
      </c>
      <c r="F678" t="s">
        <v>10249</v>
      </c>
      <c r="G678" s="1" t="s">
        <v>10250</v>
      </c>
      <c r="H678" t="s">
        <v>10244</v>
      </c>
    </row>
    <row r="679" spans="1:8" ht="29" x14ac:dyDescent="0.35">
      <c r="A679" t="s">
        <v>748</v>
      </c>
      <c r="B679" t="s">
        <v>749</v>
      </c>
      <c r="C679" t="s">
        <v>8416</v>
      </c>
      <c r="E679" t="s">
        <v>10239</v>
      </c>
      <c r="F679" t="s">
        <v>10251</v>
      </c>
      <c r="G679" s="1" t="s">
        <v>10252</v>
      </c>
      <c r="H679" t="s">
        <v>10253</v>
      </c>
    </row>
    <row r="680" spans="1:8" ht="29" x14ac:dyDescent="0.35">
      <c r="A680" t="s">
        <v>946</v>
      </c>
      <c r="B680" t="s">
        <v>947</v>
      </c>
      <c r="C680" t="s">
        <v>8416</v>
      </c>
      <c r="E680" t="s">
        <v>10239</v>
      </c>
      <c r="F680" t="s">
        <v>10240</v>
      </c>
      <c r="G680" s="1" t="s">
        <v>13907</v>
      </c>
      <c r="H680" t="s">
        <v>10241</v>
      </c>
    </row>
    <row r="681" spans="1:8" x14ac:dyDescent="0.35">
      <c r="A681" t="s">
        <v>946</v>
      </c>
      <c r="B681" t="s">
        <v>947</v>
      </c>
      <c r="C681" t="s">
        <v>8416</v>
      </c>
      <c r="E681" t="s">
        <v>10239</v>
      </c>
      <c r="F681" t="s">
        <v>10242</v>
      </c>
      <c r="G681" t="s">
        <v>10243</v>
      </c>
      <c r="H681" t="s">
        <v>10244</v>
      </c>
    </row>
    <row r="682" spans="1:8" ht="29" x14ac:dyDescent="0.35">
      <c r="A682" t="s">
        <v>946</v>
      </c>
      <c r="B682" t="s">
        <v>947</v>
      </c>
      <c r="C682" t="s">
        <v>8416</v>
      </c>
      <c r="E682" t="s">
        <v>10239</v>
      </c>
      <c r="F682" t="s">
        <v>10245</v>
      </c>
      <c r="G682" s="1" t="s">
        <v>10246</v>
      </c>
      <c r="H682" t="s">
        <v>10244</v>
      </c>
    </row>
    <row r="683" spans="1:8" ht="29" x14ac:dyDescent="0.35">
      <c r="A683" t="s">
        <v>946</v>
      </c>
      <c r="B683" t="s">
        <v>947</v>
      </c>
      <c r="C683" t="s">
        <v>8416</v>
      </c>
      <c r="E683" t="s">
        <v>10239</v>
      </c>
      <c r="F683" t="s">
        <v>10247</v>
      </c>
      <c r="G683" s="1" t="s">
        <v>10248</v>
      </c>
      <c r="H683" t="s">
        <v>10244</v>
      </c>
    </row>
    <row r="684" spans="1:8" ht="29" x14ac:dyDescent="0.35">
      <c r="A684" t="s">
        <v>946</v>
      </c>
      <c r="B684" t="s">
        <v>947</v>
      </c>
      <c r="C684" t="s">
        <v>8416</v>
      </c>
      <c r="E684" t="s">
        <v>10239</v>
      </c>
      <c r="F684" t="s">
        <v>10249</v>
      </c>
      <c r="G684" s="1" t="s">
        <v>10250</v>
      </c>
      <c r="H684" t="s">
        <v>10244</v>
      </c>
    </row>
    <row r="685" spans="1:8" ht="29" x14ac:dyDescent="0.35">
      <c r="A685" t="s">
        <v>946</v>
      </c>
      <c r="B685" t="s">
        <v>947</v>
      </c>
      <c r="C685" t="s">
        <v>8416</v>
      </c>
      <c r="E685" t="s">
        <v>10239</v>
      </c>
      <c r="F685" t="s">
        <v>10251</v>
      </c>
      <c r="G685" s="1" t="s">
        <v>10252</v>
      </c>
      <c r="H685" t="s">
        <v>10253</v>
      </c>
    </row>
    <row r="686" spans="1:8" ht="29" x14ac:dyDescent="0.35">
      <c r="A686" t="s">
        <v>1810</v>
      </c>
      <c r="B686" t="s">
        <v>1811</v>
      </c>
      <c r="C686" t="s">
        <v>8416</v>
      </c>
      <c r="E686" t="s">
        <v>10239</v>
      </c>
      <c r="F686" t="s">
        <v>10240</v>
      </c>
      <c r="G686" s="1" t="s">
        <v>13907</v>
      </c>
      <c r="H686" t="s">
        <v>10241</v>
      </c>
    </row>
    <row r="687" spans="1:8" x14ac:dyDescent="0.35">
      <c r="A687" t="s">
        <v>1810</v>
      </c>
      <c r="B687" t="s">
        <v>1811</v>
      </c>
      <c r="C687" t="s">
        <v>8416</v>
      </c>
      <c r="E687" t="s">
        <v>10239</v>
      </c>
      <c r="F687" t="s">
        <v>10242</v>
      </c>
      <c r="G687" t="s">
        <v>10243</v>
      </c>
      <c r="H687" t="s">
        <v>10244</v>
      </c>
    </row>
    <row r="688" spans="1:8" ht="29" x14ac:dyDescent="0.35">
      <c r="A688" t="s">
        <v>1810</v>
      </c>
      <c r="B688" t="s">
        <v>1811</v>
      </c>
      <c r="C688" t="s">
        <v>8416</v>
      </c>
      <c r="E688" t="s">
        <v>10239</v>
      </c>
      <c r="F688" t="s">
        <v>10245</v>
      </c>
      <c r="G688" s="1" t="s">
        <v>10246</v>
      </c>
      <c r="H688" t="s">
        <v>10244</v>
      </c>
    </row>
    <row r="689" spans="1:8" ht="29" x14ac:dyDescent="0.35">
      <c r="A689" t="s">
        <v>1810</v>
      </c>
      <c r="B689" t="s">
        <v>1811</v>
      </c>
      <c r="C689" t="s">
        <v>8416</v>
      </c>
      <c r="E689" t="s">
        <v>10239</v>
      </c>
      <c r="F689" t="s">
        <v>10247</v>
      </c>
      <c r="G689" s="1" t="s">
        <v>10248</v>
      </c>
      <c r="H689" t="s">
        <v>10244</v>
      </c>
    </row>
    <row r="690" spans="1:8" ht="29" x14ac:dyDescent="0.35">
      <c r="A690" t="s">
        <v>1810</v>
      </c>
      <c r="B690" t="s">
        <v>1811</v>
      </c>
      <c r="C690" t="s">
        <v>8416</v>
      </c>
      <c r="E690" t="s">
        <v>10239</v>
      </c>
      <c r="F690" t="s">
        <v>10249</v>
      </c>
      <c r="G690" s="1" t="s">
        <v>10250</v>
      </c>
      <c r="H690" t="s">
        <v>10244</v>
      </c>
    </row>
    <row r="691" spans="1:8" ht="29" x14ac:dyDescent="0.35">
      <c r="A691" t="s">
        <v>1810</v>
      </c>
      <c r="B691" t="s">
        <v>1811</v>
      </c>
      <c r="C691" t="s">
        <v>8416</v>
      </c>
      <c r="E691" t="s">
        <v>10239</v>
      </c>
      <c r="F691" t="s">
        <v>10251</v>
      </c>
      <c r="G691" s="1" t="s">
        <v>10252</v>
      </c>
      <c r="H691" t="s">
        <v>10253</v>
      </c>
    </row>
    <row r="692" spans="1:8" ht="29" x14ac:dyDescent="0.35">
      <c r="A692" t="s">
        <v>1866</v>
      </c>
      <c r="B692" t="s">
        <v>1867</v>
      </c>
      <c r="C692" t="s">
        <v>8416</v>
      </c>
      <c r="E692" t="s">
        <v>10239</v>
      </c>
      <c r="F692" t="s">
        <v>10240</v>
      </c>
      <c r="G692" s="1" t="s">
        <v>13907</v>
      </c>
      <c r="H692" t="s">
        <v>10241</v>
      </c>
    </row>
    <row r="693" spans="1:8" x14ac:dyDescent="0.35">
      <c r="A693" t="s">
        <v>1866</v>
      </c>
      <c r="B693" t="s">
        <v>1867</v>
      </c>
      <c r="C693" t="s">
        <v>8416</v>
      </c>
      <c r="E693" t="s">
        <v>10239</v>
      </c>
      <c r="F693" t="s">
        <v>10242</v>
      </c>
      <c r="G693" t="s">
        <v>10243</v>
      </c>
      <c r="H693" t="s">
        <v>10244</v>
      </c>
    </row>
    <row r="694" spans="1:8" ht="29" x14ac:dyDescent="0.35">
      <c r="A694" t="s">
        <v>1866</v>
      </c>
      <c r="B694" t="s">
        <v>1867</v>
      </c>
      <c r="C694" t="s">
        <v>8416</v>
      </c>
      <c r="E694" t="s">
        <v>10239</v>
      </c>
      <c r="F694" t="s">
        <v>10245</v>
      </c>
      <c r="G694" s="1" t="s">
        <v>10246</v>
      </c>
      <c r="H694" t="s">
        <v>10244</v>
      </c>
    </row>
    <row r="695" spans="1:8" ht="29" x14ac:dyDescent="0.35">
      <c r="A695" t="s">
        <v>1866</v>
      </c>
      <c r="B695" t="s">
        <v>1867</v>
      </c>
      <c r="C695" t="s">
        <v>8416</v>
      </c>
      <c r="E695" t="s">
        <v>10239</v>
      </c>
      <c r="F695" t="s">
        <v>10247</v>
      </c>
      <c r="G695" s="1" t="s">
        <v>10248</v>
      </c>
      <c r="H695" t="s">
        <v>10244</v>
      </c>
    </row>
    <row r="696" spans="1:8" ht="29" x14ac:dyDescent="0.35">
      <c r="A696" t="s">
        <v>1866</v>
      </c>
      <c r="B696" t="s">
        <v>1867</v>
      </c>
      <c r="C696" t="s">
        <v>8416</v>
      </c>
      <c r="E696" t="s">
        <v>10239</v>
      </c>
      <c r="F696" t="s">
        <v>10249</v>
      </c>
      <c r="G696" s="1" t="s">
        <v>10250</v>
      </c>
      <c r="H696" t="s">
        <v>10244</v>
      </c>
    </row>
    <row r="697" spans="1:8" ht="29" x14ac:dyDescent="0.35">
      <c r="A697" t="s">
        <v>1866</v>
      </c>
      <c r="B697" t="s">
        <v>1867</v>
      </c>
      <c r="C697" t="s">
        <v>8416</v>
      </c>
      <c r="E697" t="s">
        <v>10239</v>
      </c>
      <c r="F697" t="s">
        <v>10251</v>
      </c>
      <c r="G697" s="1" t="s">
        <v>10252</v>
      </c>
      <c r="H697" t="s">
        <v>10253</v>
      </c>
    </row>
    <row r="698" spans="1:8" ht="29" x14ac:dyDescent="0.35">
      <c r="A698" t="s">
        <v>3818</v>
      </c>
      <c r="B698" t="s">
        <v>3819</v>
      </c>
      <c r="C698" t="s">
        <v>8416</v>
      </c>
      <c r="E698" t="s">
        <v>10239</v>
      </c>
      <c r="F698" t="s">
        <v>10240</v>
      </c>
      <c r="G698" s="1" t="s">
        <v>13907</v>
      </c>
      <c r="H698" t="s">
        <v>10241</v>
      </c>
    </row>
    <row r="699" spans="1:8" x14ac:dyDescent="0.35">
      <c r="A699" t="s">
        <v>3818</v>
      </c>
      <c r="B699" t="s">
        <v>3819</v>
      </c>
      <c r="C699" t="s">
        <v>8416</v>
      </c>
      <c r="E699" t="s">
        <v>10239</v>
      </c>
      <c r="F699" t="s">
        <v>10242</v>
      </c>
      <c r="G699" t="s">
        <v>10243</v>
      </c>
      <c r="H699" t="s">
        <v>10244</v>
      </c>
    </row>
    <row r="700" spans="1:8" ht="29" x14ac:dyDescent="0.35">
      <c r="A700" t="s">
        <v>3818</v>
      </c>
      <c r="B700" t="s">
        <v>3819</v>
      </c>
      <c r="C700" t="s">
        <v>8416</v>
      </c>
      <c r="E700" t="s">
        <v>10239</v>
      </c>
      <c r="F700" t="s">
        <v>10245</v>
      </c>
      <c r="G700" s="1" t="s">
        <v>10246</v>
      </c>
      <c r="H700" t="s">
        <v>10244</v>
      </c>
    </row>
    <row r="701" spans="1:8" ht="29" x14ac:dyDescent="0.35">
      <c r="A701" t="s">
        <v>3818</v>
      </c>
      <c r="B701" t="s">
        <v>3819</v>
      </c>
      <c r="C701" t="s">
        <v>8416</v>
      </c>
      <c r="E701" t="s">
        <v>10239</v>
      </c>
      <c r="F701" t="s">
        <v>10247</v>
      </c>
      <c r="G701" s="1" t="s">
        <v>10248</v>
      </c>
      <c r="H701" t="s">
        <v>10244</v>
      </c>
    </row>
    <row r="702" spans="1:8" ht="29" x14ac:dyDescent="0.35">
      <c r="A702" t="s">
        <v>3818</v>
      </c>
      <c r="B702" t="s">
        <v>3819</v>
      </c>
      <c r="C702" t="s">
        <v>8416</v>
      </c>
      <c r="E702" t="s">
        <v>10239</v>
      </c>
      <c r="F702" t="s">
        <v>10249</v>
      </c>
      <c r="G702" s="1" t="s">
        <v>10250</v>
      </c>
      <c r="H702" t="s">
        <v>10244</v>
      </c>
    </row>
    <row r="703" spans="1:8" ht="29" x14ac:dyDescent="0.35">
      <c r="A703" t="s">
        <v>3818</v>
      </c>
      <c r="B703" t="s">
        <v>3819</v>
      </c>
      <c r="C703" t="s">
        <v>8416</v>
      </c>
      <c r="E703" t="s">
        <v>10239</v>
      </c>
      <c r="F703" t="s">
        <v>10251</v>
      </c>
      <c r="G703" s="1" t="s">
        <v>10252</v>
      </c>
      <c r="H703" t="s">
        <v>10253</v>
      </c>
    </row>
    <row r="704" spans="1:8" ht="29" x14ac:dyDescent="0.35">
      <c r="A704" t="s">
        <v>5870</v>
      </c>
      <c r="B704" t="s">
        <v>5871</v>
      </c>
      <c r="C704" t="s">
        <v>8416</v>
      </c>
      <c r="E704" t="s">
        <v>10239</v>
      </c>
      <c r="F704" t="s">
        <v>10240</v>
      </c>
      <c r="G704" s="1" t="s">
        <v>13907</v>
      </c>
      <c r="H704" t="s">
        <v>10241</v>
      </c>
    </row>
    <row r="705" spans="1:8" x14ac:dyDescent="0.35">
      <c r="A705" t="s">
        <v>5870</v>
      </c>
      <c r="B705" t="s">
        <v>5871</v>
      </c>
      <c r="C705" t="s">
        <v>8416</v>
      </c>
      <c r="E705" t="s">
        <v>10239</v>
      </c>
      <c r="F705" t="s">
        <v>10242</v>
      </c>
      <c r="G705" t="s">
        <v>10243</v>
      </c>
      <c r="H705" t="s">
        <v>10244</v>
      </c>
    </row>
    <row r="706" spans="1:8" ht="29" x14ac:dyDescent="0.35">
      <c r="A706" t="s">
        <v>5870</v>
      </c>
      <c r="B706" t="s">
        <v>5871</v>
      </c>
      <c r="C706" t="s">
        <v>8416</v>
      </c>
      <c r="E706" t="s">
        <v>10239</v>
      </c>
      <c r="F706" t="s">
        <v>10245</v>
      </c>
      <c r="G706" s="1" t="s">
        <v>10246</v>
      </c>
      <c r="H706" t="s">
        <v>10244</v>
      </c>
    </row>
    <row r="707" spans="1:8" ht="29" x14ac:dyDescent="0.35">
      <c r="A707" t="s">
        <v>5870</v>
      </c>
      <c r="B707" t="s">
        <v>5871</v>
      </c>
      <c r="C707" t="s">
        <v>8416</v>
      </c>
      <c r="E707" t="s">
        <v>10239</v>
      </c>
      <c r="F707" t="s">
        <v>10247</v>
      </c>
      <c r="G707" s="1" t="s">
        <v>10248</v>
      </c>
      <c r="H707" t="s">
        <v>10244</v>
      </c>
    </row>
    <row r="708" spans="1:8" ht="29" x14ac:dyDescent="0.35">
      <c r="A708" t="s">
        <v>5870</v>
      </c>
      <c r="B708" t="s">
        <v>5871</v>
      </c>
      <c r="C708" t="s">
        <v>8416</v>
      </c>
      <c r="E708" t="s">
        <v>10239</v>
      </c>
      <c r="F708" t="s">
        <v>10249</v>
      </c>
      <c r="G708" s="1" t="s">
        <v>10250</v>
      </c>
      <c r="H708" t="s">
        <v>10244</v>
      </c>
    </row>
    <row r="709" spans="1:8" ht="29" x14ac:dyDescent="0.35">
      <c r="A709" t="s">
        <v>5870</v>
      </c>
      <c r="B709" t="s">
        <v>5871</v>
      </c>
      <c r="C709" t="s">
        <v>8416</v>
      </c>
      <c r="E709" t="s">
        <v>10239</v>
      </c>
      <c r="F709" t="s">
        <v>10251</v>
      </c>
      <c r="G709" s="1" t="s">
        <v>10252</v>
      </c>
      <c r="H709" t="s">
        <v>10253</v>
      </c>
    </row>
    <row r="710" spans="1:8" ht="29" x14ac:dyDescent="0.35">
      <c r="A710" t="s">
        <v>5907</v>
      </c>
      <c r="B710" t="s">
        <v>5908</v>
      </c>
      <c r="C710" t="s">
        <v>8416</v>
      </c>
      <c r="E710" t="s">
        <v>10239</v>
      </c>
      <c r="F710" t="s">
        <v>10240</v>
      </c>
      <c r="G710" s="1" t="s">
        <v>13907</v>
      </c>
      <c r="H710" t="s">
        <v>10241</v>
      </c>
    </row>
    <row r="711" spans="1:8" x14ac:dyDescent="0.35">
      <c r="A711" t="s">
        <v>5907</v>
      </c>
      <c r="B711" t="s">
        <v>5908</v>
      </c>
      <c r="C711" t="s">
        <v>8416</v>
      </c>
      <c r="E711" t="s">
        <v>10239</v>
      </c>
      <c r="F711" t="s">
        <v>10242</v>
      </c>
      <c r="G711" t="s">
        <v>10243</v>
      </c>
      <c r="H711" t="s">
        <v>10244</v>
      </c>
    </row>
    <row r="712" spans="1:8" ht="29" x14ac:dyDescent="0.35">
      <c r="A712" t="s">
        <v>5907</v>
      </c>
      <c r="B712" t="s">
        <v>5908</v>
      </c>
      <c r="C712" t="s">
        <v>8416</v>
      </c>
      <c r="E712" t="s">
        <v>10239</v>
      </c>
      <c r="F712" t="s">
        <v>10245</v>
      </c>
      <c r="G712" s="1" t="s">
        <v>10246</v>
      </c>
      <c r="H712" t="s">
        <v>10244</v>
      </c>
    </row>
    <row r="713" spans="1:8" ht="29" x14ac:dyDescent="0.35">
      <c r="A713" t="s">
        <v>5907</v>
      </c>
      <c r="B713" t="s">
        <v>5908</v>
      </c>
      <c r="C713" t="s">
        <v>8416</v>
      </c>
      <c r="E713" t="s">
        <v>10239</v>
      </c>
      <c r="F713" t="s">
        <v>10247</v>
      </c>
      <c r="G713" s="1" t="s">
        <v>10248</v>
      </c>
      <c r="H713" t="s">
        <v>10244</v>
      </c>
    </row>
    <row r="714" spans="1:8" ht="29" x14ac:dyDescent="0.35">
      <c r="A714" t="s">
        <v>5907</v>
      </c>
      <c r="B714" t="s">
        <v>5908</v>
      </c>
      <c r="C714" t="s">
        <v>8416</v>
      </c>
      <c r="E714" t="s">
        <v>10239</v>
      </c>
      <c r="F714" t="s">
        <v>10249</v>
      </c>
      <c r="G714" s="1" t="s">
        <v>10250</v>
      </c>
      <c r="H714" t="s">
        <v>10244</v>
      </c>
    </row>
    <row r="715" spans="1:8" ht="29" x14ac:dyDescent="0.35">
      <c r="A715" t="s">
        <v>5907</v>
      </c>
      <c r="B715" t="s">
        <v>5908</v>
      </c>
      <c r="C715" t="s">
        <v>8416</v>
      </c>
      <c r="E715" t="s">
        <v>10239</v>
      </c>
      <c r="F715" t="s">
        <v>10251</v>
      </c>
      <c r="G715" s="1" t="s">
        <v>10252</v>
      </c>
      <c r="H715" t="s">
        <v>10253</v>
      </c>
    </row>
    <row r="716" spans="1:8" ht="29" x14ac:dyDescent="0.35">
      <c r="A716" t="s">
        <v>8370</v>
      </c>
      <c r="B716" t="s">
        <v>8371</v>
      </c>
      <c r="C716" t="s">
        <v>8854</v>
      </c>
      <c r="E716" t="s">
        <v>10254</v>
      </c>
      <c r="F716" t="s">
        <v>10255</v>
      </c>
      <c r="G716" s="1" t="s">
        <v>13908</v>
      </c>
      <c r="H716" t="s">
        <v>10256</v>
      </c>
    </row>
    <row r="717" spans="1:8" ht="29" x14ac:dyDescent="0.35">
      <c r="A717" t="s">
        <v>8370</v>
      </c>
      <c r="B717" t="s">
        <v>8371</v>
      </c>
      <c r="C717" t="s">
        <v>8854</v>
      </c>
      <c r="E717" t="s">
        <v>10254</v>
      </c>
      <c r="F717" t="s">
        <v>10257</v>
      </c>
      <c r="G717" s="1" t="s">
        <v>10258</v>
      </c>
      <c r="H717" t="s">
        <v>10259</v>
      </c>
    </row>
    <row r="718" spans="1:8" ht="29" x14ac:dyDescent="0.35">
      <c r="A718" t="s">
        <v>8370</v>
      </c>
      <c r="B718" t="s">
        <v>8371</v>
      </c>
      <c r="C718" t="s">
        <v>8854</v>
      </c>
      <c r="E718" t="s">
        <v>10254</v>
      </c>
      <c r="F718" t="s">
        <v>10260</v>
      </c>
      <c r="G718" s="1" t="s">
        <v>10261</v>
      </c>
      <c r="H718" t="s">
        <v>10262</v>
      </c>
    </row>
    <row r="719" spans="1:8" ht="29" x14ac:dyDescent="0.35">
      <c r="A719" t="s">
        <v>8370</v>
      </c>
      <c r="B719" t="s">
        <v>8371</v>
      </c>
      <c r="C719" t="s">
        <v>8854</v>
      </c>
      <c r="E719" t="s">
        <v>10254</v>
      </c>
      <c r="F719" t="s">
        <v>10263</v>
      </c>
      <c r="G719" s="1" t="s">
        <v>10264</v>
      </c>
      <c r="H719" t="s">
        <v>10265</v>
      </c>
    </row>
    <row r="720" spans="1:8" ht="29" x14ac:dyDescent="0.35">
      <c r="A720" t="s">
        <v>3401</v>
      </c>
      <c r="B720" t="s">
        <v>3402</v>
      </c>
      <c r="C720" t="s">
        <v>8576</v>
      </c>
      <c r="E720" t="s">
        <v>10266</v>
      </c>
      <c r="F720" t="s">
        <v>10267</v>
      </c>
      <c r="G720" s="1" t="s">
        <v>10268</v>
      </c>
      <c r="H720" t="s">
        <v>10269</v>
      </c>
    </row>
    <row r="721" spans="1:8" ht="29" x14ac:dyDescent="0.35">
      <c r="A721" t="s">
        <v>5441</v>
      </c>
      <c r="B721" t="s">
        <v>5442</v>
      </c>
      <c r="C721" t="s">
        <v>8688</v>
      </c>
      <c r="E721" t="s">
        <v>10270</v>
      </c>
      <c r="F721" t="s">
        <v>10271</v>
      </c>
      <c r="G721" s="1" t="s">
        <v>10272</v>
      </c>
      <c r="H721" t="s">
        <v>10273</v>
      </c>
    </row>
    <row r="722" spans="1:8" ht="29" x14ac:dyDescent="0.35">
      <c r="A722" t="s">
        <v>5441</v>
      </c>
      <c r="B722" t="s">
        <v>5442</v>
      </c>
      <c r="C722" t="s">
        <v>8688</v>
      </c>
      <c r="E722" t="s">
        <v>10270</v>
      </c>
      <c r="F722" t="s">
        <v>10274</v>
      </c>
      <c r="G722" s="1" t="s">
        <v>10275</v>
      </c>
      <c r="H722" t="s">
        <v>10276</v>
      </c>
    </row>
    <row r="723" spans="1:8" ht="29" x14ac:dyDescent="0.35">
      <c r="A723" t="s">
        <v>5441</v>
      </c>
      <c r="B723" t="s">
        <v>5442</v>
      </c>
      <c r="C723" t="s">
        <v>8688</v>
      </c>
      <c r="E723" t="s">
        <v>10270</v>
      </c>
      <c r="F723" t="s">
        <v>10277</v>
      </c>
      <c r="G723" s="1" t="s">
        <v>10275</v>
      </c>
      <c r="H723" t="s">
        <v>10278</v>
      </c>
    </row>
    <row r="724" spans="1:8" ht="29" x14ac:dyDescent="0.35">
      <c r="A724" t="s">
        <v>5441</v>
      </c>
      <c r="B724" t="s">
        <v>5442</v>
      </c>
      <c r="C724" t="s">
        <v>8688</v>
      </c>
      <c r="E724" t="s">
        <v>10270</v>
      </c>
      <c r="F724" t="s">
        <v>10279</v>
      </c>
      <c r="G724" s="1" t="s">
        <v>10275</v>
      </c>
      <c r="H724" t="s">
        <v>10280</v>
      </c>
    </row>
    <row r="725" spans="1:8" ht="29" x14ac:dyDescent="0.35">
      <c r="A725" t="s">
        <v>5441</v>
      </c>
      <c r="B725" t="s">
        <v>5442</v>
      </c>
      <c r="C725" t="s">
        <v>8688</v>
      </c>
      <c r="E725" t="s">
        <v>10270</v>
      </c>
      <c r="F725" t="s">
        <v>10281</v>
      </c>
      <c r="G725" s="1" t="s">
        <v>10275</v>
      </c>
      <c r="H725" t="s">
        <v>10282</v>
      </c>
    </row>
    <row r="726" spans="1:8" ht="29" x14ac:dyDescent="0.35">
      <c r="A726" t="s">
        <v>7329</v>
      </c>
      <c r="B726" t="s">
        <v>7330</v>
      </c>
      <c r="C726" t="s">
        <v>8810</v>
      </c>
      <c r="E726" t="s">
        <v>10283</v>
      </c>
      <c r="F726" t="s">
        <v>10284</v>
      </c>
      <c r="G726" s="1" t="s">
        <v>13909</v>
      </c>
      <c r="H726" t="s">
        <v>10285</v>
      </c>
    </row>
    <row r="727" spans="1:8" ht="29" x14ac:dyDescent="0.35">
      <c r="A727" t="s">
        <v>3425</v>
      </c>
      <c r="B727" t="s">
        <v>3426</v>
      </c>
      <c r="C727" t="s">
        <v>8579</v>
      </c>
      <c r="E727" t="s">
        <v>10286</v>
      </c>
      <c r="F727" t="s">
        <v>10287</v>
      </c>
      <c r="G727" s="1" t="s">
        <v>10288</v>
      </c>
      <c r="H727" t="s">
        <v>10289</v>
      </c>
    </row>
    <row r="728" spans="1:8" ht="29" x14ac:dyDescent="0.35">
      <c r="A728" t="s">
        <v>1091</v>
      </c>
      <c r="B728" t="s">
        <v>1092</v>
      </c>
      <c r="C728" t="s">
        <v>8463</v>
      </c>
      <c r="E728" t="s">
        <v>10290</v>
      </c>
      <c r="F728" t="s">
        <v>10291</v>
      </c>
      <c r="G728" s="1" t="s">
        <v>10292</v>
      </c>
      <c r="H728" t="s">
        <v>10293</v>
      </c>
    </row>
    <row r="729" spans="1:8" ht="29" x14ac:dyDescent="0.35">
      <c r="A729" t="s">
        <v>2555</v>
      </c>
      <c r="B729" t="s">
        <v>2556</v>
      </c>
      <c r="C729" t="s">
        <v>8463</v>
      </c>
      <c r="E729" t="s">
        <v>10290</v>
      </c>
      <c r="F729" t="s">
        <v>10291</v>
      </c>
      <c r="G729" s="1" t="s">
        <v>10292</v>
      </c>
      <c r="H729" t="s">
        <v>10293</v>
      </c>
    </row>
    <row r="730" spans="1:8" ht="29" x14ac:dyDescent="0.35">
      <c r="A730" t="s">
        <v>5961</v>
      </c>
      <c r="B730" t="s">
        <v>5962</v>
      </c>
      <c r="C730" t="s">
        <v>8727</v>
      </c>
      <c r="E730" t="s">
        <v>10294</v>
      </c>
      <c r="F730" t="s">
        <v>10295</v>
      </c>
      <c r="G730" s="1" t="s">
        <v>10296</v>
      </c>
      <c r="H730" t="s">
        <v>10297</v>
      </c>
    </row>
    <row r="731" spans="1:8" ht="29" x14ac:dyDescent="0.35">
      <c r="A731" t="s">
        <v>5961</v>
      </c>
      <c r="B731" t="s">
        <v>5962</v>
      </c>
      <c r="C731" t="s">
        <v>8727</v>
      </c>
      <c r="E731" t="s">
        <v>10294</v>
      </c>
      <c r="F731" t="s">
        <v>10298</v>
      </c>
      <c r="G731" s="1" t="s">
        <v>10299</v>
      </c>
      <c r="H731" t="s">
        <v>10300</v>
      </c>
    </row>
    <row r="732" spans="1:8" ht="29" x14ac:dyDescent="0.35">
      <c r="A732" t="s">
        <v>6080</v>
      </c>
      <c r="B732" t="s">
        <v>6081</v>
      </c>
      <c r="C732" t="s">
        <v>8737</v>
      </c>
      <c r="E732" t="s">
        <v>10301</v>
      </c>
      <c r="F732" t="s">
        <v>10302</v>
      </c>
      <c r="G732" s="1" t="s">
        <v>10303</v>
      </c>
      <c r="H732" t="s">
        <v>10304</v>
      </c>
    </row>
    <row r="733" spans="1:8" ht="29" x14ac:dyDescent="0.35">
      <c r="A733" t="s">
        <v>6080</v>
      </c>
      <c r="B733" t="s">
        <v>6081</v>
      </c>
      <c r="C733" t="s">
        <v>8737</v>
      </c>
      <c r="E733" t="s">
        <v>10301</v>
      </c>
      <c r="F733" t="s">
        <v>10305</v>
      </c>
      <c r="G733" s="1" t="s">
        <v>10306</v>
      </c>
      <c r="H733" t="s">
        <v>10307</v>
      </c>
    </row>
    <row r="734" spans="1:8" ht="29" x14ac:dyDescent="0.35">
      <c r="A734" t="s">
        <v>5409</v>
      </c>
      <c r="B734" t="s">
        <v>5410</v>
      </c>
      <c r="C734" t="s">
        <v>8684</v>
      </c>
      <c r="E734" t="s">
        <v>10308</v>
      </c>
      <c r="F734" t="s">
        <v>10309</v>
      </c>
      <c r="G734" s="1" t="s">
        <v>10310</v>
      </c>
      <c r="H734" t="s">
        <v>10311</v>
      </c>
    </row>
    <row r="735" spans="1:8" ht="29" x14ac:dyDescent="0.35">
      <c r="A735" t="s">
        <v>5457</v>
      </c>
      <c r="B735" t="s">
        <v>5458</v>
      </c>
      <c r="C735" t="s">
        <v>8690</v>
      </c>
      <c r="E735" s="19" t="s">
        <v>10312</v>
      </c>
      <c r="F735" t="s">
        <v>10313</v>
      </c>
      <c r="G735" s="1" t="s">
        <v>10314</v>
      </c>
      <c r="H735" t="s">
        <v>10315</v>
      </c>
    </row>
    <row r="736" spans="1:8" ht="29" x14ac:dyDescent="0.35">
      <c r="A736" t="s">
        <v>6851</v>
      </c>
      <c r="B736" t="s">
        <v>6852</v>
      </c>
      <c r="C736" t="s">
        <v>8690</v>
      </c>
      <c r="E736" s="19" t="s">
        <v>10312</v>
      </c>
      <c r="F736" t="s">
        <v>10313</v>
      </c>
      <c r="G736" s="1" t="s">
        <v>10314</v>
      </c>
      <c r="H736" t="s">
        <v>10315</v>
      </c>
    </row>
    <row r="737" spans="1:8" ht="29" x14ac:dyDescent="0.35">
      <c r="A737" t="s">
        <v>5632</v>
      </c>
      <c r="B737" t="s">
        <v>5633</v>
      </c>
      <c r="C737" t="s">
        <v>8704</v>
      </c>
      <c r="E737" t="s">
        <v>10316</v>
      </c>
      <c r="F737" t="s">
        <v>10317</v>
      </c>
      <c r="G737" s="1" t="s">
        <v>10318</v>
      </c>
      <c r="H737" t="s">
        <v>10319</v>
      </c>
    </row>
    <row r="738" spans="1:8" ht="29" x14ac:dyDescent="0.35">
      <c r="A738" t="s">
        <v>637</v>
      </c>
      <c r="B738" t="s">
        <v>638</v>
      </c>
      <c r="C738" t="s">
        <v>8441</v>
      </c>
      <c r="E738" t="s">
        <v>10320</v>
      </c>
      <c r="F738" t="s">
        <v>10321</v>
      </c>
      <c r="G738" s="1" t="s">
        <v>13910</v>
      </c>
      <c r="H738" t="s">
        <v>10322</v>
      </c>
    </row>
    <row r="739" spans="1:8" x14ac:dyDescent="0.35">
      <c r="A739" t="s">
        <v>3526</v>
      </c>
      <c r="B739" t="s">
        <v>3527</v>
      </c>
      <c r="C739" t="s">
        <v>8586</v>
      </c>
      <c r="E739" t="s">
        <v>10323</v>
      </c>
      <c r="F739" t="s">
        <v>10324</v>
      </c>
      <c r="G739" s="1" t="s">
        <v>10325</v>
      </c>
      <c r="H739" t="s">
        <v>10326</v>
      </c>
    </row>
    <row r="740" spans="1:8" ht="29" x14ac:dyDescent="0.35">
      <c r="A740" t="s">
        <v>250</v>
      </c>
      <c r="B740" t="s">
        <v>251</v>
      </c>
      <c r="C740" t="s">
        <v>8423</v>
      </c>
      <c r="E740" t="s">
        <v>10327</v>
      </c>
      <c r="F740" t="s">
        <v>10328</v>
      </c>
      <c r="G740" s="1" t="s">
        <v>13911</v>
      </c>
      <c r="H740" t="s">
        <v>10329</v>
      </c>
    </row>
    <row r="741" spans="1:8" x14ac:dyDescent="0.35">
      <c r="A741" t="s">
        <v>4395</v>
      </c>
      <c r="B741" t="s">
        <v>4396</v>
      </c>
      <c r="C741" t="s">
        <v>8634</v>
      </c>
      <c r="E741" t="s">
        <v>10330</v>
      </c>
      <c r="F741" t="s">
        <v>10331</v>
      </c>
      <c r="G741" s="1" t="s">
        <v>10332</v>
      </c>
      <c r="H741" t="s">
        <v>10333</v>
      </c>
    </row>
    <row r="742" spans="1:8" ht="29" x14ac:dyDescent="0.35">
      <c r="A742" t="s">
        <v>4395</v>
      </c>
      <c r="B742" t="s">
        <v>4396</v>
      </c>
      <c r="C742" t="s">
        <v>8634</v>
      </c>
      <c r="E742" t="s">
        <v>10330</v>
      </c>
      <c r="F742" t="s">
        <v>10334</v>
      </c>
      <c r="G742" s="1" t="s">
        <v>10335</v>
      </c>
      <c r="H742" t="s">
        <v>10336</v>
      </c>
    </row>
    <row r="743" spans="1:8" ht="29" x14ac:dyDescent="0.35">
      <c r="A743" t="s">
        <v>4395</v>
      </c>
      <c r="B743" t="s">
        <v>4396</v>
      </c>
      <c r="C743" t="s">
        <v>8634</v>
      </c>
      <c r="E743" t="s">
        <v>10330</v>
      </c>
      <c r="F743" t="s">
        <v>10337</v>
      </c>
      <c r="G743" s="1" t="s">
        <v>10338</v>
      </c>
      <c r="H743" t="s">
        <v>10339</v>
      </c>
    </row>
    <row r="744" spans="1:8" ht="29" x14ac:dyDescent="0.35">
      <c r="A744" t="s">
        <v>6102</v>
      </c>
      <c r="B744" t="s">
        <v>6103</v>
      </c>
      <c r="C744" t="s">
        <v>8741</v>
      </c>
      <c r="E744" t="s">
        <v>10340</v>
      </c>
      <c r="F744" t="s">
        <v>10341</v>
      </c>
      <c r="G744" s="1" t="s">
        <v>13912</v>
      </c>
      <c r="H744" t="s">
        <v>10342</v>
      </c>
    </row>
    <row r="745" spans="1:8" x14ac:dyDescent="0.35">
      <c r="A745" t="s">
        <v>6102</v>
      </c>
      <c r="B745" t="s">
        <v>6103</v>
      </c>
      <c r="C745" t="s">
        <v>8741</v>
      </c>
      <c r="E745" t="s">
        <v>10340</v>
      </c>
      <c r="F745" t="s">
        <v>10343</v>
      </c>
      <c r="G745" s="1" t="s">
        <v>13913</v>
      </c>
      <c r="H745" t="s">
        <v>10344</v>
      </c>
    </row>
    <row r="746" spans="1:8" ht="29" x14ac:dyDescent="0.35">
      <c r="A746" t="s">
        <v>6102</v>
      </c>
      <c r="B746" t="s">
        <v>6103</v>
      </c>
      <c r="C746" t="s">
        <v>8741</v>
      </c>
      <c r="E746" s="19" t="s">
        <v>10340</v>
      </c>
      <c r="F746" t="s">
        <v>10345</v>
      </c>
      <c r="G746" s="1" t="s">
        <v>13914</v>
      </c>
      <c r="H746" t="s">
        <v>10346</v>
      </c>
    </row>
    <row r="747" spans="1:8" x14ac:dyDescent="0.35">
      <c r="A747" t="s">
        <v>809</v>
      </c>
      <c r="B747" t="s">
        <v>810</v>
      </c>
      <c r="C747" t="s">
        <v>8452</v>
      </c>
      <c r="E747" s="19" t="s">
        <v>10347</v>
      </c>
      <c r="G747" s="1" t="s">
        <v>10348</v>
      </c>
      <c r="H747" t="s">
        <v>10349</v>
      </c>
    </row>
    <row r="748" spans="1:8" x14ac:dyDescent="0.35">
      <c r="A748" t="s">
        <v>4263</v>
      </c>
      <c r="B748" t="s">
        <v>4264</v>
      </c>
      <c r="C748" t="s">
        <v>8452</v>
      </c>
      <c r="E748" s="19" t="s">
        <v>10347</v>
      </c>
      <c r="G748" s="1" t="s">
        <v>10348</v>
      </c>
      <c r="H748" t="s">
        <v>10349</v>
      </c>
    </row>
    <row r="749" spans="1:8" ht="29" x14ac:dyDescent="0.35">
      <c r="A749" t="s">
        <v>5362</v>
      </c>
      <c r="B749" t="s">
        <v>5363</v>
      </c>
      <c r="C749" t="s">
        <v>8683</v>
      </c>
      <c r="E749" t="s">
        <v>10350</v>
      </c>
      <c r="F749" t="s">
        <v>10351</v>
      </c>
      <c r="G749" s="1" t="s">
        <v>10354</v>
      </c>
      <c r="H749" t="s">
        <v>10352</v>
      </c>
    </row>
    <row r="750" spans="1:8" ht="29" x14ac:dyDescent="0.35">
      <c r="A750" t="s">
        <v>5362</v>
      </c>
      <c r="B750" t="s">
        <v>5363</v>
      </c>
      <c r="C750" t="s">
        <v>8683</v>
      </c>
      <c r="E750" t="s">
        <v>10350</v>
      </c>
      <c r="F750" t="s">
        <v>10353</v>
      </c>
      <c r="G750" s="1" t="s">
        <v>10354</v>
      </c>
      <c r="H750" t="s">
        <v>10355</v>
      </c>
    </row>
    <row r="751" spans="1:8" x14ac:dyDescent="0.35">
      <c r="A751" t="s">
        <v>5362</v>
      </c>
      <c r="B751" t="s">
        <v>5363</v>
      </c>
      <c r="C751" t="s">
        <v>8683</v>
      </c>
      <c r="E751" t="s">
        <v>10350</v>
      </c>
      <c r="F751" t="s">
        <v>10356</v>
      </c>
      <c r="G751" s="1" t="s">
        <v>10357</v>
      </c>
      <c r="H751" t="s">
        <v>10358</v>
      </c>
    </row>
    <row r="752" spans="1:8" x14ac:dyDescent="0.35">
      <c r="A752" t="s">
        <v>986</v>
      </c>
      <c r="B752" t="s">
        <v>987</v>
      </c>
      <c r="C752" t="s">
        <v>10360</v>
      </c>
    </row>
    <row r="753" spans="1:8" ht="29" x14ac:dyDescent="0.35">
      <c r="A753" t="s">
        <v>986</v>
      </c>
      <c r="B753" t="s">
        <v>987</v>
      </c>
      <c r="C753" t="s">
        <v>10359</v>
      </c>
      <c r="E753" t="s">
        <v>10361</v>
      </c>
      <c r="F753" t="s">
        <v>10362</v>
      </c>
      <c r="G753" s="1" t="s">
        <v>10363</v>
      </c>
      <c r="H753" t="s">
        <v>10364</v>
      </c>
    </row>
    <row r="754" spans="1:8" ht="29" x14ac:dyDescent="0.35">
      <c r="A754" t="s">
        <v>986</v>
      </c>
      <c r="B754" t="s">
        <v>987</v>
      </c>
      <c r="C754" t="s">
        <v>10359</v>
      </c>
      <c r="E754" t="s">
        <v>10361</v>
      </c>
      <c r="F754" t="s">
        <v>10365</v>
      </c>
      <c r="G754" s="1" t="s">
        <v>10366</v>
      </c>
      <c r="H754" t="s">
        <v>10367</v>
      </c>
    </row>
    <row r="755" spans="1:8" ht="29" x14ac:dyDescent="0.35">
      <c r="A755" t="s">
        <v>986</v>
      </c>
      <c r="B755" t="s">
        <v>987</v>
      </c>
      <c r="C755" t="s">
        <v>10359</v>
      </c>
      <c r="E755" t="s">
        <v>10361</v>
      </c>
      <c r="F755" t="s">
        <v>10368</v>
      </c>
      <c r="G755" s="1" t="s">
        <v>10369</v>
      </c>
      <c r="H755" t="s">
        <v>10370</v>
      </c>
    </row>
    <row r="756" spans="1:8" ht="29" x14ac:dyDescent="0.35">
      <c r="A756" t="s">
        <v>986</v>
      </c>
      <c r="B756" t="s">
        <v>987</v>
      </c>
      <c r="C756" t="s">
        <v>10359</v>
      </c>
      <c r="E756" t="s">
        <v>10361</v>
      </c>
      <c r="F756" t="s">
        <v>10371</v>
      </c>
      <c r="G756" s="1" t="s">
        <v>10372</v>
      </c>
      <c r="H756" t="s">
        <v>10373</v>
      </c>
    </row>
    <row r="757" spans="1:8" ht="29" x14ac:dyDescent="0.35">
      <c r="A757" t="s">
        <v>986</v>
      </c>
      <c r="B757" t="s">
        <v>987</v>
      </c>
      <c r="C757" t="s">
        <v>10359</v>
      </c>
      <c r="E757" t="s">
        <v>10361</v>
      </c>
      <c r="F757" t="s">
        <v>10374</v>
      </c>
      <c r="G757" s="1" t="s">
        <v>10375</v>
      </c>
      <c r="H757" t="s">
        <v>10376</v>
      </c>
    </row>
    <row r="758" spans="1:8" ht="29" x14ac:dyDescent="0.35">
      <c r="A758" t="s">
        <v>986</v>
      </c>
      <c r="B758" t="s">
        <v>987</v>
      </c>
      <c r="C758" t="s">
        <v>10359</v>
      </c>
      <c r="E758" t="s">
        <v>10361</v>
      </c>
      <c r="F758" t="s">
        <v>10377</v>
      </c>
      <c r="G758" s="1" t="s">
        <v>10378</v>
      </c>
      <c r="H758" t="s">
        <v>10379</v>
      </c>
    </row>
    <row r="759" spans="1:8" ht="29" x14ac:dyDescent="0.35">
      <c r="A759" t="s">
        <v>986</v>
      </c>
      <c r="B759" t="s">
        <v>987</v>
      </c>
      <c r="C759" t="s">
        <v>10359</v>
      </c>
      <c r="E759" t="s">
        <v>10361</v>
      </c>
      <c r="F759" t="s">
        <v>10380</v>
      </c>
      <c r="G759" s="1" t="s">
        <v>10381</v>
      </c>
      <c r="H759" t="s">
        <v>10382</v>
      </c>
    </row>
    <row r="760" spans="1:8" ht="29" x14ac:dyDescent="0.35">
      <c r="A760" t="s">
        <v>986</v>
      </c>
      <c r="B760" t="s">
        <v>987</v>
      </c>
      <c r="C760" t="s">
        <v>10359</v>
      </c>
      <c r="E760" t="s">
        <v>10361</v>
      </c>
      <c r="F760" s="19" t="s">
        <v>10383</v>
      </c>
      <c r="G760" s="1" t="s">
        <v>10384</v>
      </c>
      <c r="H760" t="s">
        <v>10385</v>
      </c>
    </row>
    <row r="761" spans="1:8" ht="29" x14ac:dyDescent="0.35">
      <c r="A761" t="s">
        <v>986</v>
      </c>
      <c r="B761" t="s">
        <v>987</v>
      </c>
      <c r="C761" t="s">
        <v>10359</v>
      </c>
      <c r="E761" t="s">
        <v>10361</v>
      </c>
      <c r="F761" t="s">
        <v>10386</v>
      </c>
      <c r="G761" s="1" t="s">
        <v>10387</v>
      </c>
      <c r="H761" t="s">
        <v>10388</v>
      </c>
    </row>
    <row r="762" spans="1:8" ht="29" x14ac:dyDescent="0.35">
      <c r="A762" t="s">
        <v>986</v>
      </c>
      <c r="B762" t="s">
        <v>987</v>
      </c>
      <c r="C762" t="s">
        <v>10359</v>
      </c>
      <c r="E762" t="s">
        <v>10361</v>
      </c>
      <c r="F762" t="s">
        <v>10389</v>
      </c>
      <c r="G762" s="1" t="s">
        <v>10390</v>
      </c>
      <c r="H762" t="s">
        <v>10391</v>
      </c>
    </row>
    <row r="763" spans="1:8" ht="29" x14ac:dyDescent="0.35">
      <c r="A763" t="s">
        <v>986</v>
      </c>
      <c r="B763" t="s">
        <v>987</v>
      </c>
      <c r="C763" t="s">
        <v>10359</v>
      </c>
      <c r="E763" t="s">
        <v>10361</v>
      </c>
      <c r="F763" t="s">
        <v>10392</v>
      </c>
      <c r="G763" s="1" t="s">
        <v>10393</v>
      </c>
      <c r="H763" t="s">
        <v>10394</v>
      </c>
    </row>
    <row r="764" spans="1:8" ht="29" x14ac:dyDescent="0.35">
      <c r="A764" t="s">
        <v>986</v>
      </c>
      <c r="B764" t="s">
        <v>987</v>
      </c>
      <c r="C764" t="s">
        <v>10359</v>
      </c>
      <c r="E764" t="s">
        <v>10361</v>
      </c>
      <c r="F764" t="s">
        <v>10395</v>
      </c>
      <c r="G764" s="1" t="s">
        <v>10396</v>
      </c>
      <c r="H764" t="s">
        <v>10397</v>
      </c>
    </row>
    <row r="765" spans="1:8" ht="29" x14ac:dyDescent="0.35">
      <c r="A765" t="s">
        <v>986</v>
      </c>
      <c r="B765" t="s">
        <v>987</v>
      </c>
      <c r="C765" t="s">
        <v>10359</v>
      </c>
      <c r="E765" t="s">
        <v>10361</v>
      </c>
      <c r="F765" t="s">
        <v>10398</v>
      </c>
      <c r="G765" s="1" t="s">
        <v>10399</v>
      </c>
      <c r="H765" t="s">
        <v>10400</v>
      </c>
    </row>
    <row r="766" spans="1:8" x14ac:dyDescent="0.35">
      <c r="A766" t="s">
        <v>986</v>
      </c>
      <c r="B766" t="s">
        <v>987</v>
      </c>
      <c r="C766" t="s">
        <v>10359</v>
      </c>
      <c r="E766" t="s">
        <v>10361</v>
      </c>
      <c r="F766" t="s">
        <v>10401</v>
      </c>
      <c r="G766" t="s">
        <v>10402</v>
      </c>
      <c r="H766" t="s">
        <v>10403</v>
      </c>
    </row>
    <row r="767" spans="1:8" ht="29" x14ac:dyDescent="0.35">
      <c r="A767" t="s">
        <v>986</v>
      </c>
      <c r="B767" t="s">
        <v>987</v>
      </c>
      <c r="C767" t="s">
        <v>10359</v>
      </c>
      <c r="E767" t="s">
        <v>10361</v>
      </c>
      <c r="F767" t="s">
        <v>10404</v>
      </c>
      <c r="G767" s="1" t="s">
        <v>10405</v>
      </c>
      <c r="H767" t="s">
        <v>10406</v>
      </c>
    </row>
    <row r="768" spans="1:8" ht="29" x14ac:dyDescent="0.35">
      <c r="A768" t="s">
        <v>6597</v>
      </c>
      <c r="B768" t="s">
        <v>6598</v>
      </c>
      <c r="C768" t="s">
        <v>8765</v>
      </c>
      <c r="E768" t="s">
        <v>10407</v>
      </c>
      <c r="F768" t="s">
        <v>10408</v>
      </c>
      <c r="G768" s="1" t="s">
        <v>10409</v>
      </c>
      <c r="H768" t="s">
        <v>10410</v>
      </c>
    </row>
    <row r="769" spans="1:8" ht="29" x14ac:dyDescent="0.35">
      <c r="A769" t="s">
        <v>2704</v>
      </c>
      <c r="B769" t="s">
        <v>2705</v>
      </c>
      <c r="C769" t="s">
        <v>8537</v>
      </c>
      <c r="E769" t="s">
        <v>10411</v>
      </c>
      <c r="F769" t="s">
        <v>10412</v>
      </c>
      <c r="G769" s="1" t="s">
        <v>10413</v>
      </c>
      <c r="H769" t="s">
        <v>10414</v>
      </c>
    </row>
    <row r="770" spans="1:8" ht="29" x14ac:dyDescent="0.35">
      <c r="A770" t="s">
        <v>2714</v>
      </c>
      <c r="B770" t="s">
        <v>2715</v>
      </c>
      <c r="C770" t="s">
        <v>8537</v>
      </c>
      <c r="E770" t="s">
        <v>10411</v>
      </c>
      <c r="F770" t="s">
        <v>10412</v>
      </c>
      <c r="G770" s="1" t="s">
        <v>10413</v>
      </c>
      <c r="H770" t="s">
        <v>10414</v>
      </c>
    </row>
    <row r="771" spans="1:8" ht="29" x14ac:dyDescent="0.35">
      <c r="A771" t="s">
        <v>6922</v>
      </c>
      <c r="B771" t="s">
        <v>6923</v>
      </c>
      <c r="C771" t="s">
        <v>8537</v>
      </c>
      <c r="E771" t="s">
        <v>10411</v>
      </c>
      <c r="F771" t="s">
        <v>10412</v>
      </c>
      <c r="G771" s="1" t="s">
        <v>10413</v>
      </c>
      <c r="H771" t="s">
        <v>10414</v>
      </c>
    </row>
    <row r="772" spans="1:8" ht="29" x14ac:dyDescent="0.35">
      <c r="A772" t="s">
        <v>4447</v>
      </c>
      <c r="B772" t="s">
        <v>4448</v>
      </c>
      <c r="C772" t="s">
        <v>8640</v>
      </c>
      <c r="E772" t="s">
        <v>10415</v>
      </c>
      <c r="F772" t="s">
        <v>10416</v>
      </c>
      <c r="G772" s="1" t="s">
        <v>10417</v>
      </c>
      <c r="H772" t="s">
        <v>10418</v>
      </c>
    </row>
    <row r="773" spans="1:8" x14ac:dyDescent="0.35">
      <c r="A773" t="s">
        <v>5270</v>
      </c>
      <c r="B773" t="s">
        <v>5271</v>
      </c>
      <c r="C773" t="s">
        <v>8676</v>
      </c>
      <c r="E773" t="s">
        <v>10419</v>
      </c>
      <c r="G773" t="s">
        <v>10349</v>
      </c>
      <c r="H773" t="s">
        <v>10420</v>
      </c>
    </row>
    <row r="774" spans="1:8" x14ac:dyDescent="0.35">
      <c r="A774" t="s">
        <v>5270</v>
      </c>
      <c r="B774" t="s">
        <v>5271</v>
      </c>
      <c r="C774" t="s">
        <v>8676</v>
      </c>
      <c r="E774" t="s">
        <v>10419</v>
      </c>
      <c r="G774" t="s">
        <v>10349</v>
      </c>
      <c r="H774" t="s">
        <v>10421</v>
      </c>
    </row>
    <row r="775" spans="1:8" x14ac:dyDescent="0.35">
      <c r="A775" t="s">
        <v>1951</v>
      </c>
      <c r="B775" t="s">
        <v>1952</v>
      </c>
      <c r="C775" t="s">
        <v>8503</v>
      </c>
      <c r="E775" t="s">
        <v>10422</v>
      </c>
    </row>
    <row r="776" spans="1:8" x14ac:dyDescent="0.35">
      <c r="A776" t="s">
        <v>7521</v>
      </c>
      <c r="B776" t="s">
        <v>7522</v>
      </c>
      <c r="C776" t="s">
        <v>8503</v>
      </c>
      <c r="E776" t="s">
        <v>10422</v>
      </c>
    </row>
    <row r="777" spans="1:8" x14ac:dyDescent="0.35">
      <c r="A777" t="s">
        <v>2930</v>
      </c>
      <c r="B777" t="s">
        <v>2931</v>
      </c>
      <c r="C777" t="s">
        <v>8551</v>
      </c>
      <c r="E777" t="s">
        <v>10423</v>
      </c>
    </row>
    <row r="778" spans="1:8" x14ac:dyDescent="0.35">
      <c r="A778" t="s">
        <v>2934</v>
      </c>
      <c r="B778" t="s">
        <v>2935</v>
      </c>
      <c r="C778" t="s">
        <v>8551</v>
      </c>
      <c r="E778" t="s">
        <v>10423</v>
      </c>
    </row>
    <row r="779" spans="1:8" x14ac:dyDescent="0.35">
      <c r="A779" t="s">
        <v>5220</v>
      </c>
      <c r="B779" t="s">
        <v>5221</v>
      </c>
      <c r="C779" t="s">
        <v>8672</v>
      </c>
      <c r="E779" t="s">
        <v>10424</v>
      </c>
    </row>
    <row r="780" spans="1:8" x14ac:dyDescent="0.35">
      <c r="A780" t="s">
        <v>4623</v>
      </c>
      <c r="B780" t="s">
        <v>4624</v>
      </c>
      <c r="C780" t="s">
        <v>8661</v>
      </c>
      <c r="E780" t="s">
        <v>10425</v>
      </c>
    </row>
    <row r="781" spans="1:8" x14ac:dyDescent="0.35">
      <c r="A781" t="s">
        <v>4705</v>
      </c>
      <c r="B781" t="s">
        <v>4706</v>
      </c>
      <c r="C781" t="s">
        <v>8661</v>
      </c>
      <c r="E781" t="s">
        <v>10425</v>
      </c>
    </row>
    <row r="782" spans="1:8" x14ac:dyDescent="0.35">
      <c r="A782" t="s">
        <v>5717</v>
      </c>
      <c r="B782" t="s">
        <v>5718</v>
      </c>
      <c r="C782" t="s">
        <v>8709</v>
      </c>
      <c r="E782" t="s">
        <v>10426</v>
      </c>
    </row>
    <row r="783" spans="1:8" x14ac:dyDescent="0.35">
      <c r="A783" t="s">
        <v>5608</v>
      </c>
      <c r="B783" t="s">
        <v>5609</v>
      </c>
      <c r="C783" t="s">
        <v>8700</v>
      </c>
      <c r="E783" t="s">
        <v>10427</v>
      </c>
    </row>
    <row r="784" spans="1:8" x14ac:dyDescent="0.35">
      <c r="A784" t="s">
        <v>8409</v>
      </c>
      <c r="B784" t="s">
        <v>8410</v>
      </c>
      <c r="C784" t="s">
        <v>8857</v>
      </c>
      <c r="E784" t="s">
        <v>10428</v>
      </c>
    </row>
    <row r="785" spans="1:8" x14ac:dyDescent="0.35">
      <c r="A785" t="s">
        <v>6755</v>
      </c>
      <c r="B785" t="s">
        <v>6756</v>
      </c>
      <c r="C785" t="s">
        <v>8610</v>
      </c>
      <c r="E785" t="s">
        <v>10429</v>
      </c>
      <c r="F785" t="s">
        <v>10430</v>
      </c>
      <c r="G785" t="s">
        <v>10431</v>
      </c>
      <c r="H785" t="s">
        <v>10432</v>
      </c>
    </row>
    <row r="786" spans="1:8" x14ac:dyDescent="0.35">
      <c r="A786" t="s">
        <v>6755</v>
      </c>
      <c r="B786" t="s">
        <v>6756</v>
      </c>
      <c r="C786" t="s">
        <v>8610</v>
      </c>
      <c r="E786" t="s">
        <v>10429</v>
      </c>
      <c r="F786" s="19" t="s">
        <v>10433</v>
      </c>
      <c r="G786" t="s">
        <v>10434</v>
      </c>
      <c r="H786" t="s">
        <v>10435</v>
      </c>
    </row>
    <row r="787" spans="1:8" ht="29" x14ac:dyDescent="0.35">
      <c r="A787" t="s">
        <v>6755</v>
      </c>
      <c r="B787" t="s">
        <v>6756</v>
      </c>
      <c r="C787" t="s">
        <v>8610</v>
      </c>
      <c r="E787" t="s">
        <v>10429</v>
      </c>
      <c r="F787" t="s">
        <v>10436</v>
      </c>
      <c r="G787" s="1" t="s">
        <v>10437</v>
      </c>
      <c r="H787" t="s">
        <v>10438</v>
      </c>
    </row>
    <row r="788" spans="1:8" ht="29" x14ac:dyDescent="0.35">
      <c r="A788" t="s">
        <v>6755</v>
      </c>
      <c r="B788" t="s">
        <v>6756</v>
      </c>
      <c r="C788" t="s">
        <v>8610</v>
      </c>
      <c r="E788" t="s">
        <v>10429</v>
      </c>
      <c r="F788" t="s">
        <v>10439</v>
      </c>
      <c r="G788" s="1" t="s">
        <v>10440</v>
      </c>
      <c r="H788" t="s">
        <v>10441</v>
      </c>
    </row>
    <row r="789" spans="1:8" ht="29" x14ac:dyDescent="0.35">
      <c r="A789" t="s">
        <v>6755</v>
      </c>
      <c r="B789" t="s">
        <v>6756</v>
      </c>
      <c r="C789" t="s">
        <v>8610</v>
      </c>
      <c r="E789" t="s">
        <v>10429</v>
      </c>
      <c r="F789" t="s">
        <v>10442</v>
      </c>
      <c r="G789" s="1" t="s">
        <v>10627</v>
      </c>
      <c r="H789" t="s">
        <v>10443</v>
      </c>
    </row>
    <row r="790" spans="1:8" ht="29" x14ac:dyDescent="0.35">
      <c r="A790" t="s">
        <v>2919</v>
      </c>
      <c r="B790" t="s">
        <v>2920</v>
      </c>
      <c r="C790" t="s">
        <v>8550</v>
      </c>
      <c r="E790" t="s">
        <v>10444</v>
      </c>
      <c r="F790" t="s">
        <v>10445</v>
      </c>
      <c r="G790" s="1" t="s">
        <v>10446</v>
      </c>
      <c r="H790" t="s">
        <v>10447</v>
      </c>
    </row>
    <row r="791" spans="1:8" ht="29" x14ac:dyDescent="0.35">
      <c r="A791" t="s">
        <v>2919</v>
      </c>
      <c r="B791" t="s">
        <v>2920</v>
      </c>
      <c r="C791" t="s">
        <v>8550</v>
      </c>
      <c r="E791" t="s">
        <v>10444</v>
      </c>
      <c r="F791" t="s">
        <v>10448</v>
      </c>
      <c r="G791" s="1" t="s">
        <v>10449</v>
      </c>
      <c r="H791" t="s">
        <v>10450</v>
      </c>
    </row>
    <row r="792" spans="1:8" ht="29" x14ac:dyDescent="0.35">
      <c r="A792" t="s">
        <v>2919</v>
      </c>
      <c r="B792" t="s">
        <v>2920</v>
      </c>
      <c r="C792" t="s">
        <v>8550</v>
      </c>
      <c r="E792" t="s">
        <v>10444</v>
      </c>
      <c r="F792" t="s">
        <v>10451</v>
      </c>
      <c r="G792" s="1" t="s">
        <v>10452</v>
      </c>
      <c r="H792" t="s">
        <v>10453</v>
      </c>
    </row>
    <row r="793" spans="1:8" ht="29" x14ac:dyDescent="0.35">
      <c r="A793" t="s">
        <v>7232</v>
      </c>
      <c r="B793" t="s">
        <v>7233</v>
      </c>
      <c r="C793" t="s">
        <v>8802</v>
      </c>
      <c r="E793" t="s">
        <v>10454</v>
      </c>
      <c r="F793" t="s">
        <v>10455</v>
      </c>
      <c r="G793" s="1" t="s">
        <v>10456</v>
      </c>
      <c r="H793" t="s">
        <v>10457</v>
      </c>
    </row>
    <row r="794" spans="1:8" ht="29" x14ac:dyDescent="0.35">
      <c r="A794" t="s">
        <v>7232</v>
      </c>
      <c r="B794" t="s">
        <v>7233</v>
      </c>
      <c r="C794" t="s">
        <v>8802</v>
      </c>
      <c r="E794" t="s">
        <v>10454</v>
      </c>
      <c r="F794" t="s">
        <v>10458</v>
      </c>
      <c r="G794" s="1" t="s">
        <v>10459</v>
      </c>
      <c r="H794" t="s">
        <v>10460</v>
      </c>
    </row>
    <row r="795" spans="1:8" x14ac:dyDescent="0.35">
      <c r="A795" t="s">
        <v>2306</v>
      </c>
      <c r="B795" t="s">
        <v>2307</v>
      </c>
      <c r="C795" t="s">
        <v>8517</v>
      </c>
      <c r="E795" t="s">
        <v>10461</v>
      </c>
      <c r="F795" t="s">
        <v>10462</v>
      </c>
      <c r="G795" s="1" t="s">
        <v>10463</v>
      </c>
      <c r="H795" t="s">
        <v>10464</v>
      </c>
    </row>
    <row r="796" spans="1:8" ht="29" x14ac:dyDescent="0.35">
      <c r="A796" t="s">
        <v>171</v>
      </c>
      <c r="B796" t="s">
        <v>172</v>
      </c>
      <c r="C796" t="s">
        <v>8421</v>
      </c>
      <c r="E796" t="s">
        <v>10465</v>
      </c>
      <c r="F796" t="s">
        <v>10466</v>
      </c>
      <c r="G796" s="1" t="s">
        <v>10467</v>
      </c>
      <c r="H796" t="s">
        <v>10468</v>
      </c>
    </row>
    <row r="797" spans="1:8" ht="29" x14ac:dyDescent="0.35">
      <c r="A797" t="s">
        <v>4842</v>
      </c>
      <c r="B797" t="s">
        <v>4843</v>
      </c>
      <c r="C797" t="s">
        <v>10469</v>
      </c>
      <c r="E797" t="s">
        <v>10465</v>
      </c>
      <c r="F797" t="s">
        <v>10466</v>
      </c>
      <c r="G797" s="1" t="s">
        <v>10467</v>
      </c>
      <c r="H797" t="s">
        <v>10468</v>
      </c>
    </row>
    <row r="798" spans="1:8" ht="29" x14ac:dyDescent="0.35">
      <c r="A798" t="s">
        <v>4842</v>
      </c>
      <c r="B798" t="s">
        <v>4843</v>
      </c>
      <c r="C798" t="s">
        <v>8745</v>
      </c>
      <c r="E798" t="s">
        <v>10470</v>
      </c>
      <c r="F798" t="s">
        <v>10471</v>
      </c>
      <c r="G798" s="1" t="s">
        <v>10472</v>
      </c>
      <c r="H798" t="s">
        <v>10473</v>
      </c>
    </row>
    <row r="799" spans="1:8" ht="29" x14ac:dyDescent="0.35">
      <c r="A799" t="s">
        <v>3392</v>
      </c>
      <c r="B799" t="s">
        <v>3393</v>
      </c>
      <c r="C799" t="s">
        <v>8575</v>
      </c>
      <c r="E799" t="s">
        <v>10474</v>
      </c>
      <c r="F799" t="s">
        <v>10430</v>
      </c>
      <c r="G799" s="1" t="s">
        <v>10475</v>
      </c>
      <c r="H799" t="s">
        <v>10476</v>
      </c>
    </row>
    <row r="800" spans="1:8" x14ac:dyDescent="0.35">
      <c r="A800" t="s">
        <v>3392</v>
      </c>
      <c r="B800" t="s">
        <v>3393</v>
      </c>
      <c r="C800" t="s">
        <v>8575</v>
      </c>
      <c r="E800" t="s">
        <v>10474</v>
      </c>
      <c r="F800" t="s">
        <v>10477</v>
      </c>
      <c r="G800" t="s">
        <v>10478</v>
      </c>
      <c r="H800" t="s">
        <v>10479</v>
      </c>
    </row>
    <row r="801" spans="1:8" ht="29" x14ac:dyDescent="0.35">
      <c r="A801" t="s">
        <v>3392</v>
      </c>
      <c r="B801" t="s">
        <v>3393</v>
      </c>
      <c r="C801" t="s">
        <v>8575</v>
      </c>
      <c r="E801" t="s">
        <v>10474</v>
      </c>
      <c r="F801" t="s">
        <v>10433</v>
      </c>
      <c r="G801" s="1" t="s">
        <v>10480</v>
      </c>
      <c r="H801" t="s">
        <v>10435</v>
      </c>
    </row>
    <row r="802" spans="1:8" ht="29" x14ac:dyDescent="0.35">
      <c r="A802" t="s">
        <v>3392</v>
      </c>
      <c r="B802" t="s">
        <v>3393</v>
      </c>
      <c r="C802" t="s">
        <v>8575</v>
      </c>
      <c r="E802" t="s">
        <v>10474</v>
      </c>
      <c r="F802" t="s">
        <v>10436</v>
      </c>
      <c r="G802" s="1" t="s">
        <v>10437</v>
      </c>
      <c r="H802" t="s">
        <v>10481</v>
      </c>
    </row>
    <row r="803" spans="1:8" ht="29" x14ac:dyDescent="0.35">
      <c r="A803" t="s">
        <v>3392</v>
      </c>
      <c r="B803" t="s">
        <v>3393</v>
      </c>
      <c r="C803" t="s">
        <v>8575</v>
      </c>
      <c r="E803" t="s">
        <v>10474</v>
      </c>
      <c r="F803" t="s">
        <v>10482</v>
      </c>
      <c r="G803" s="1" t="s">
        <v>10483</v>
      </c>
      <c r="H803" t="s">
        <v>10484</v>
      </c>
    </row>
    <row r="804" spans="1:8" x14ac:dyDescent="0.35">
      <c r="A804" t="s">
        <v>3392</v>
      </c>
      <c r="B804" t="s">
        <v>3393</v>
      </c>
      <c r="C804" t="s">
        <v>8575</v>
      </c>
      <c r="E804" t="s">
        <v>10474</v>
      </c>
      <c r="F804" t="s">
        <v>10439</v>
      </c>
      <c r="G804" s="1" t="s">
        <v>10485</v>
      </c>
      <c r="H804" t="s">
        <v>10486</v>
      </c>
    </row>
    <row r="805" spans="1:8" ht="29" x14ac:dyDescent="0.35">
      <c r="A805" t="s">
        <v>7955</v>
      </c>
      <c r="B805" t="s">
        <v>7956</v>
      </c>
      <c r="C805" t="s">
        <v>8575</v>
      </c>
      <c r="E805" t="s">
        <v>10474</v>
      </c>
      <c r="F805" t="s">
        <v>10430</v>
      </c>
      <c r="G805" s="1" t="s">
        <v>10475</v>
      </c>
      <c r="H805" t="s">
        <v>10476</v>
      </c>
    </row>
    <row r="806" spans="1:8" x14ac:dyDescent="0.35">
      <c r="A806" t="s">
        <v>7955</v>
      </c>
      <c r="B806" t="s">
        <v>7956</v>
      </c>
      <c r="C806" t="s">
        <v>8575</v>
      </c>
      <c r="E806" t="s">
        <v>10474</v>
      </c>
      <c r="F806" t="s">
        <v>10477</v>
      </c>
      <c r="G806" t="s">
        <v>10478</v>
      </c>
      <c r="H806" t="s">
        <v>10479</v>
      </c>
    </row>
    <row r="807" spans="1:8" ht="29" x14ac:dyDescent="0.35">
      <c r="A807" t="s">
        <v>7955</v>
      </c>
      <c r="B807" t="s">
        <v>7956</v>
      </c>
      <c r="C807" t="s">
        <v>8575</v>
      </c>
      <c r="E807" t="s">
        <v>10474</v>
      </c>
      <c r="F807" t="s">
        <v>10433</v>
      </c>
      <c r="G807" s="1" t="s">
        <v>10480</v>
      </c>
      <c r="H807" t="s">
        <v>10435</v>
      </c>
    </row>
    <row r="808" spans="1:8" ht="29" x14ac:dyDescent="0.35">
      <c r="A808" t="s">
        <v>7955</v>
      </c>
      <c r="B808" t="s">
        <v>7956</v>
      </c>
      <c r="C808" t="s">
        <v>8575</v>
      </c>
      <c r="E808" t="s">
        <v>10474</v>
      </c>
      <c r="F808" t="s">
        <v>10436</v>
      </c>
      <c r="G808" s="1" t="s">
        <v>10437</v>
      </c>
      <c r="H808" t="s">
        <v>10481</v>
      </c>
    </row>
    <row r="809" spans="1:8" ht="29" x14ac:dyDescent="0.35">
      <c r="A809" t="s">
        <v>7955</v>
      </c>
      <c r="B809" t="s">
        <v>7956</v>
      </c>
      <c r="C809" t="s">
        <v>8575</v>
      </c>
      <c r="E809" t="s">
        <v>10474</v>
      </c>
      <c r="F809" t="s">
        <v>10482</v>
      </c>
      <c r="G809" s="1" t="s">
        <v>10483</v>
      </c>
      <c r="H809" t="s">
        <v>10484</v>
      </c>
    </row>
    <row r="810" spans="1:8" x14ac:dyDescent="0.35">
      <c r="A810" t="s">
        <v>7955</v>
      </c>
      <c r="B810" t="s">
        <v>7956</v>
      </c>
      <c r="C810" t="s">
        <v>8575</v>
      </c>
      <c r="E810" t="s">
        <v>10474</v>
      </c>
      <c r="F810" t="s">
        <v>10439</v>
      </c>
      <c r="G810" s="1" t="s">
        <v>10485</v>
      </c>
      <c r="H810" t="s">
        <v>10486</v>
      </c>
    </row>
    <row r="811" spans="1:8" ht="29" x14ac:dyDescent="0.35">
      <c r="A811" t="s">
        <v>6926</v>
      </c>
      <c r="B811" t="s">
        <v>6927</v>
      </c>
      <c r="C811" t="s">
        <v>8783</v>
      </c>
      <c r="E811" t="s">
        <v>10487</v>
      </c>
      <c r="F811" t="s">
        <v>10488</v>
      </c>
      <c r="G811" s="1" t="s">
        <v>10489</v>
      </c>
      <c r="H811" t="s">
        <v>10490</v>
      </c>
    </row>
    <row r="812" spans="1:8" x14ac:dyDescent="0.35">
      <c r="A812" t="s">
        <v>6926</v>
      </c>
      <c r="B812" t="s">
        <v>6927</v>
      </c>
      <c r="C812" t="s">
        <v>8783</v>
      </c>
      <c r="E812" t="s">
        <v>10487</v>
      </c>
      <c r="F812" t="s">
        <v>10491</v>
      </c>
      <c r="G812" t="s">
        <v>10492</v>
      </c>
      <c r="H812" t="s">
        <v>10493</v>
      </c>
    </row>
    <row r="813" spans="1:8" ht="29" x14ac:dyDescent="0.35">
      <c r="A813" t="s">
        <v>6182</v>
      </c>
      <c r="B813" t="s">
        <v>6183</v>
      </c>
      <c r="C813" t="s">
        <v>8745</v>
      </c>
      <c r="E813" t="s">
        <v>10470</v>
      </c>
      <c r="F813" t="s">
        <v>10471</v>
      </c>
      <c r="G813" s="1" t="s">
        <v>10472</v>
      </c>
      <c r="H813" t="s">
        <v>10473</v>
      </c>
    </row>
    <row r="814" spans="1:8" ht="29" x14ac:dyDescent="0.35">
      <c r="A814" t="s">
        <v>2445</v>
      </c>
      <c r="B814" t="s">
        <v>2446</v>
      </c>
      <c r="C814" t="s">
        <v>8523</v>
      </c>
      <c r="E814" t="s">
        <v>10494</v>
      </c>
      <c r="F814" t="s">
        <v>10495</v>
      </c>
      <c r="G814" s="1" t="s">
        <v>10496</v>
      </c>
      <c r="H814" t="s">
        <v>10497</v>
      </c>
    </row>
    <row r="815" spans="1:8" ht="29" x14ac:dyDescent="0.35">
      <c r="A815" t="s">
        <v>2445</v>
      </c>
      <c r="B815" t="s">
        <v>2446</v>
      </c>
      <c r="C815" t="s">
        <v>8523</v>
      </c>
      <c r="E815" t="s">
        <v>10494</v>
      </c>
      <c r="F815" t="s">
        <v>10498</v>
      </c>
      <c r="G815" s="1" t="s">
        <v>10499</v>
      </c>
      <c r="H815" t="s">
        <v>10500</v>
      </c>
    </row>
    <row r="816" spans="1:8" ht="29" x14ac:dyDescent="0.35">
      <c r="A816" t="s">
        <v>2157</v>
      </c>
      <c r="B816" t="s">
        <v>2158</v>
      </c>
      <c r="C816" t="s">
        <v>8513</v>
      </c>
      <c r="E816" t="s">
        <v>10501</v>
      </c>
      <c r="F816" t="s">
        <v>10502</v>
      </c>
      <c r="G816" s="1" t="s">
        <v>10503</v>
      </c>
      <c r="H816" t="s">
        <v>10504</v>
      </c>
    </row>
    <row r="817" spans="1:8" ht="29" x14ac:dyDescent="0.35">
      <c r="A817" t="s">
        <v>5857</v>
      </c>
      <c r="B817" t="s">
        <v>5858</v>
      </c>
      <c r="C817" t="s">
        <v>8720</v>
      </c>
      <c r="E817" t="s">
        <v>10505</v>
      </c>
      <c r="F817" t="s">
        <v>10506</v>
      </c>
      <c r="G817" s="1" t="s">
        <v>10507</v>
      </c>
      <c r="H817" t="s">
        <v>10508</v>
      </c>
    </row>
    <row r="818" spans="1:8" x14ac:dyDescent="0.35">
      <c r="A818" t="s">
        <v>5811</v>
      </c>
      <c r="B818" t="s">
        <v>5812</v>
      </c>
      <c r="C818" t="s">
        <v>8718</v>
      </c>
      <c r="E818" t="s">
        <v>10509</v>
      </c>
    </row>
    <row r="819" spans="1:8" x14ac:dyDescent="0.35">
      <c r="A819" t="s">
        <v>461</v>
      </c>
      <c r="B819" t="s">
        <v>462</v>
      </c>
      <c r="C819" t="s">
        <v>8432</v>
      </c>
      <c r="E819" t="s">
        <v>10510</v>
      </c>
    </row>
    <row r="820" spans="1:8" x14ac:dyDescent="0.35">
      <c r="A820" t="s">
        <v>7756</v>
      </c>
      <c r="B820" t="s">
        <v>7757</v>
      </c>
      <c r="C820" t="s">
        <v>8432</v>
      </c>
      <c r="E820" t="s">
        <v>10510</v>
      </c>
    </row>
    <row r="821" spans="1:8" x14ac:dyDescent="0.35">
      <c r="A821" t="s">
        <v>5713</v>
      </c>
      <c r="B821" t="s">
        <v>5714</v>
      </c>
      <c r="C821" t="s">
        <v>10512</v>
      </c>
      <c r="E821" t="s">
        <v>10511</v>
      </c>
    </row>
    <row r="822" spans="1:8" x14ac:dyDescent="0.35">
      <c r="A822" t="s">
        <v>5713</v>
      </c>
      <c r="B822" t="s">
        <v>5714</v>
      </c>
      <c r="C822" t="s">
        <v>8453</v>
      </c>
      <c r="E822" t="s">
        <v>10513</v>
      </c>
    </row>
    <row r="823" spans="1:8" x14ac:dyDescent="0.35">
      <c r="A823" t="s">
        <v>3745</v>
      </c>
      <c r="B823" t="s">
        <v>3746</v>
      </c>
      <c r="C823" t="s">
        <v>8600</v>
      </c>
      <c r="E823" t="s">
        <v>10514</v>
      </c>
    </row>
    <row r="824" spans="1:8" x14ac:dyDescent="0.35">
      <c r="A824" t="s">
        <v>7339</v>
      </c>
      <c r="B824" t="s">
        <v>7340</v>
      </c>
      <c r="C824" t="s">
        <v>8811</v>
      </c>
      <c r="E824" t="s">
        <v>10515</v>
      </c>
    </row>
    <row r="825" spans="1:8" ht="29" x14ac:dyDescent="0.35">
      <c r="A825" t="s">
        <v>323</v>
      </c>
      <c r="B825" t="s">
        <v>324</v>
      </c>
      <c r="C825" t="s">
        <v>8426</v>
      </c>
      <c r="E825" t="s">
        <v>10516</v>
      </c>
      <c r="F825" t="s">
        <v>10517</v>
      </c>
      <c r="G825" s="1" t="s">
        <v>10366</v>
      </c>
      <c r="H825" t="s">
        <v>10518</v>
      </c>
    </row>
    <row r="826" spans="1:8" ht="29" x14ac:dyDescent="0.35">
      <c r="A826" t="s">
        <v>6088</v>
      </c>
      <c r="B826" t="s">
        <v>6089</v>
      </c>
      <c r="C826" t="s">
        <v>8739</v>
      </c>
      <c r="E826" t="s">
        <v>10519</v>
      </c>
      <c r="F826" t="s">
        <v>10520</v>
      </c>
      <c r="G826" s="1" t="s">
        <v>10521</v>
      </c>
      <c r="H826" t="s">
        <v>10522</v>
      </c>
    </row>
    <row r="827" spans="1:8" ht="29" x14ac:dyDescent="0.35">
      <c r="A827" t="s">
        <v>6088</v>
      </c>
      <c r="B827" t="s">
        <v>6089</v>
      </c>
      <c r="C827" t="s">
        <v>8739</v>
      </c>
      <c r="E827" t="s">
        <v>10519</v>
      </c>
      <c r="F827" t="s">
        <v>10523</v>
      </c>
      <c r="G827" s="1" t="s">
        <v>10524</v>
      </c>
      <c r="H827" t="s">
        <v>10525</v>
      </c>
    </row>
    <row r="828" spans="1:8" x14ac:dyDescent="0.35">
      <c r="A828" t="s">
        <v>1629</v>
      </c>
      <c r="B828" t="s">
        <v>1630</v>
      </c>
      <c r="C828" t="s">
        <v>8489</v>
      </c>
      <c r="E828" t="s">
        <v>10526</v>
      </c>
    </row>
    <row r="829" spans="1:8" x14ac:dyDescent="0.35">
      <c r="A829" t="s">
        <v>5533</v>
      </c>
      <c r="B829" t="s">
        <v>5534</v>
      </c>
      <c r="C829" t="s">
        <v>8489</v>
      </c>
      <c r="E829" t="s">
        <v>10526</v>
      </c>
    </row>
    <row r="830" spans="1:8" x14ac:dyDescent="0.35">
      <c r="A830" t="s">
        <v>6683</v>
      </c>
      <c r="B830" t="s">
        <v>6684</v>
      </c>
      <c r="C830" t="s">
        <v>8773</v>
      </c>
      <c r="E830" t="s">
        <v>10527</v>
      </c>
      <c r="F830" t="s">
        <v>10520</v>
      </c>
      <c r="G830" t="s">
        <v>10528</v>
      </c>
      <c r="H830" t="s">
        <v>10522</v>
      </c>
    </row>
    <row r="831" spans="1:8" x14ac:dyDescent="0.35">
      <c r="A831" t="s">
        <v>6683</v>
      </c>
      <c r="B831" t="s">
        <v>6684</v>
      </c>
      <c r="C831" t="s">
        <v>8773</v>
      </c>
      <c r="E831" t="s">
        <v>10527</v>
      </c>
      <c r="F831" t="s">
        <v>10523</v>
      </c>
      <c r="G831" t="s">
        <v>10529</v>
      </c>
      <c r="H831" t="s">
        <v>10530</v>
      </c>
    </row>
    <row r="832" spans="1:8" x14ac:dyDescent="0.35">
      <c r="A832" t="s">
        <v>4590</v>
      </c>
      <c r="B832" t="s">
        <v>4591</v>
      </c>
      <c r="C832" t="s">
        <v>8655</v>
      </c>
      <c r="E832" t="s">
        <v>10531</v>
      </c>
    </row>
    <row r="833" spans="1:8" x14ac:dyDescent="0.35">
      <c r="A833" t="s">
        <v>5971</v>
      </c>
      <c r="B833" t="s">
        <v>5972</v>
      </c>
      <c r="C833" t="s">
        <v>8729</v>
      </c>
      <c r="E833" t="s">
        <v>10532</v>
      </c>
    </row>
    <row r="834" spans="1:8" x14ac:dyDescent="0.35">
      <c r="A834" t="s">
        <v>7418</v>
      </c>
      <c r="B834" t="s">
        <v>7419</v>
      </c>
      <c r="C834" t="s">
        <v>8729</v>
      </c>
      <c r="E834" t="s">
        <v>10532</v>
      </c>
    </row>
    <row r="835" spans="1:8" x14ac:dyDescent="0.35">
      <c r="A835" t="s">
        <v>136</v>
      </c>
      <c r="B835" t="s">
        <v>137</v>
      </c>
      <c r="C835" t="s">
        <v>10534</v>
      </c>
    </row>
    <row r="836" spans="1:8" x14ac:dyDescent="0.35">
      <c r="A836" t="s">
        <v>136</v>
      </c>
      <c r="B836" t="s">
        <v>137</v>
      </c>
      <c r="C836" t="s">
        <v>10533</v>
      </c>
      <c r="E836" t="s">
        <v>10535</v>
      </c>
    </row>
    <row r="837" spans="1:8" x14ac:dyDescent="0.35">
      <c r="A837" t="s">
        <v>6900</v>
      </c>
      <c r="B837" t="s">
        <v>6901</v>
      </c>
      <c r="C837" t="s">
        <v>10536</v>
      </c>
    </row>
    <row r="838" spans="1:8" x14ac:dyDescent="0.35">
      <c r="A838" t="s">
        <v>6900</v>
      </c>
      <c r="B838" t="s">
        <v>6901</v>
      </c>
      <c r="C838" t="s">
        <v>10533</v>
      </c>
      <c r="E838" t="s">
        <v>10535</v>
      </c>
    </row>
    <row r="839" spans="1:8" x14ac:dyDescent="0.35">
      <c r="A839" t="s">
        <v>5307</v>
      </c>
      <c r="B839" t="s">
        <v>5308</v>
      </c>
      <c r="C839" t="s">
        <v>8678</v>
      </c>
      <c r="E839" t="s">
        <v>10537</v>
      </c>
    </row>
    <row r="840" spans="1:8" x14ac:dyDescent="0.35">
      <c r="A840" t="s">
        <v>5612</v>
      </c>
      <c r="B840" t="s">
        <v>5613</v>
      </c>
      <c r="C840" t="s">
        <v>8701</v>
      </c>
      <c r="E840" t="s">
        <v>10538</v>
      </c>
    </row>
    <row r="841" spans="1:8" x14ac:dyDescent="0.35">
      <c r="A841" t="s">
        <v>5895</v>
      </c>
      <c r="B841" t="s">
        <v>5896</v>
      </c>
      <c r="C841" t="s">
        <v>8722</v>
      </c>
      <c r="E841" t="s">
        <v>10539</v>
      </c>
    </row>
    <row r="842" spans="1:8" x14ac:dyDescent="0.35">
      <c r="A842" t="s">
        <v>4604</v>
      </c>
      <c r="B842" t="s">
        <v>4605</v>
      </c>
      <c r="C842" t="s">
        <v>8659</v>
      </c>
      <c r="E842" t="s">
        <v>10540</v>
      </c>
    </row>
    <row r="843" spans="1:8" ht="29" x14ac:dyDescent="0.35">
      <c r="A843" t="s">
        <v>1136</v>
      </c>
      <c r="B843" t="s">
        <v>1137</v>
      </c>
      <c r="C843" t="s">
        <v>8464</v>
      </c>
      <c r="E843" t="s">
        <v>10541</v>
      </c>
      <c r="F843" t="s">
        <v>10542</v>
      </c>
      <c r="G843" s="1" t="s">
        <v>10543</v>
      </c>
      <c r="H843" t="s">
        <v>10544</v>
      </c>
    </row>
    <row r="844" spans="1:8" ht="29" x14ac:dyDescent="0.35">
      <c r="A844" t="s">
        <v>3136</v>
      </c>
      <c r="B844" t="s">
        <v>3137</v>
      </c>
      <c r="C844" t="s">
        <v>8558</v>
      </c>
      <c r="E844" t="s">
        <v>10545</v>
      </c>
      <c r="F844" t="s">
        <v>10546</v>
      </c>
      <c r="G844" s="1" t="s">
        <v>10547</v>
      </c>
      <c r="H844" t="s">
        <v>10548</v>
      </c>
    </row>
    <row r="845" spans="1:8" ht="29" x14ac:dyDescent="0.35">
      <c r="A845" t="s">
        <v>4218</v>
      </c>
      <c r="B845" t="s">
        <v>4219</v>
      </c>
      <c r="C845" t="s">
        <v>8622</v>
      </c>
      <c r="E845" t="s">
        <v>10549</v>
      </c>
      <c r="F845" t="s">
        <v>10550</v>
      </c>
      <c r="G845" s="1" t="s">
        <v>10551</v>
      </c>
      <c r="H845" t="s">
        <v>10552</v>
      </c>
    </row>
    <row r="846" spans="1:8" ht="29" x14ac:dyDescent="0.35">
      <c r="A846" t="s">
        <v>4218</v>
      </c>
      <c r="B846" t="s">
        <v>4219</v>
      </c>
      <c r="C846" t="s">
        <v>8622</v>
      </c>
      <c r="E846" t="s">
        <v>10549</v>
      </c>
      <c r="F846" t="s">
        <v>10553</v>
      </c>
      <c r="G846" s="1" t="s">
        <v>10554</v>
      </c>
      <c r="H846" t="s">
        <v>10555</v>
      </c>
    </row>
    <row r="847" spans="1:8" ht="29" x14ac:dyDescent="0.35">
      <c r="A847" t="s">
        <v>3165</v>
      </c>
      <c r="B847" t="s">
        <v>3166</v>
      </c>
      <c r="C847" t="s">
        <v>8561</v>
      </c>
      <c r="E847" t="s">
        <v>10556</v>
      </c>
      <c r="F847" t="s">
        <v>10557</v>
      </c>
      <c r="G847" s="1" t="s">
        <v>10558</v>
      </c>
      <c r="H847" t="s">
        <v>10559</v>
      </c>
    </row>
    <row r="848" spans="1:8" ht="29" x14ac:dyDescent="0.35">
      <c r="A848" t="s">
        <v>6821</v>
      </c>
      <c r="B848" t="s">
        <v>6822</v>
      </c>
      <c r="C848" t="s">
        <v>8776</v>
      </c>
      <c r="E848" t="s">
        <v>10562</v>
      </c>
      <c r="F848" t="s">
        <v>8993</v>
      </c>
      <c r="G848" s="1" t="s">
        <v>9841</v>
      </c>
      <c r="H848" t="s">
        <v>10563</v>
      </c>
    </row>
    <row r="849" spans="1:8" x14ac:dyDescent="0.35">
      <c r="A849" t="s">
        <v>6821</v>
      </c>
      <c r="B849" t="s">
        <v>6822</v>
      </c>
      <c r="C849" t="s">
        <v>8776</v>
      </c>
      <c r="E849" t="s">
        <v>10562</v>
      </c>
      <c r="F849" t="s">
        <v>10564</v>
      </c>
      <c r="G849" s="1" t="s">
        <v>10565</v>
      </c>
      <c r="H849" t="s">
        <v>10566</v>
      </c>
    </row>
    <row r="850" spans="1:8" ht="29" x14ac:dyDescent="0.35">
      <c r="A850" t="s">
        <v>6821</v>
      </c>
      <c r="B850" t="s">
        <v>6822</v>
      </c>
      <c r="C850" t="s">
        <v>8776</v>
      </c>
      <c r="E850" t="s">
        <v>10562</v>
      </c>
      <c r="F850" t="s">
        <v>10567</v>
      </c>
      <c r="G850" s="1" t="s">
        <v>10568</v>
      </c>
      <c r="H850" t="s">
        <v>10569</v>
      </c>
    </row>
    <row r="851" spans="1:8" ht="29" x14ac:dyDescent="0.35">
      <c r="A851" t="s">
        <v>2280</v>
      </c>
      <c r="B851" t="s">
        <v>2281</v>
      </c>
      <c r="C851" t="s">
        <v>8776</v>
      </c>
      <c r="E851" t="s">
        <v>10562</v>
      </c>
      <c r="F851" t="s">
        <v>8993</v>
      </c>
      <c r="G851" s="1" t="s">
        <v>9841</v>
      </c>
      <c r="H851" t="s">
        <v>10563</v>
      </c>
    </row>
    <row r="852" spans="1:8" x14ac:dyDescent="0.35">
      <c r="A852" t="s">
        <v>2280</v>
      </c>
      <c r="B852" t="s">
        <v>2281</v>
      </c>
      <c r="C852" t="s">
        <v>8776</v>
      </c>
      <c r="E852" t="s">
        <v>10562</v>
      </c>
      <c r="F852" t="s">
        <v>10564</v>
      </c>
      <c r="G852" s="1" t="s">
        <v>10565</v>
      </c>
      <c r="H852" t="s">
        <v>10566</v>
      </c>
    </row>
    <row r="853" spans="1:8" ht="29" x14ac:dyDescent="0.35">
      <c r="A853" t="s">
        <v>2280</v>
      </c>
      <c r="B853" t="s">
        <v>2281</v>
      </c>
      <c r="C853" t="s">
        <v>8776</v>
      </c>
      <c r="E853" t="s">
        <v>10562</v>
      </c>
      <c r="F853" t="s">
        <v>10567</v>
      </c>
      <c r="G853" s="1" t="s">
        <v>10568</v>
      </c>
      <c r="H853" t="s">
        <v>10569</v>
      </c>
    </row>
    <row r="854" spans="1:8" ht="29" x14ac:dyDescent="0.35">
      <c r="A854" t="s">
        <v>2280</v>
      </c>
      <c r="B854" t="s">
        <v>2281</v>
      </c>
      <c r="C854" t="s">
        <v>10560</v>
      </c>
      <c r="E854" t="s">
        <v>10570</v>
      </c>
      <c r="F854" t="s">
        <v>8993</v>
      </c>
      <c r="G854" s="1" t="s">
        <v>9841</v>
      </c>
      <c r="H854" t="s">
        <v>10563</v>
      </c>
    </row>
    <row r="855" spans="1:8" x14ac:dyDescent="0.35">
      <c r="A855" t="s">
        <v>2280</v>
      </c>
      <c r="B855" t="s">
        <v>2281</v>
      </c>
      <c r="C855" t="s">
        <v>10560</v>
      </c>
      <c r="E855" t="s">
        <v>10570</v>
      </c>
      <c r="F855" t="s">
        <v>10571</v>
      </c>
      <c r="G855" s="1" t="s">
        <v>10572</v>
      </c>
      <c r="H855" t="s">
        <v>10573</v>
      </c>
    </row>
    <row r="856" spans="1:8" ht="29" x14ac:dyDescent="0.35">
      <c r="A856" t="s">
        <v>2280</v>
      </c>
      <c r="B856" t="s">
        <v>2281</v>
      </c>
      <c r="C856" t="s">
        <v>10560</v>
      </c>
      <c r="E856" t="s">
        <v>10570</v>
      </c>
      <c r="F856" t="s">
        <v>10574</v>
      </c>
      <c r="G856" s="1" t="s">
        <v>10575</v>
      </c>
      <c r="H856" t="s">
        <v>10576</v>
      </c>
    </row>
    <row r="857" spans="1:8" ht="29" x14ac:dyDescent="0.35">
      <c r="A857" t="s">
        <v>2280</v>
      </c>
      <c r="B857" t="s">
        <v>2281</v>
      </c>
      <c r="C857" t="s">
        <v>10560</v>
      </c>
      <c r="E857" t="s">
        <v>10570</v>
      </c>
      <c r="F857" t="s">
        <v>10577</v>
      </c>
      <c r="G857" s="1" t="s">
        <v>10578</v>
      </c>
      <c r="H857" t="s">
        <v>10579</v>
      </c>
    </row>
    <row r="858" spans="1:8" ht="29" x14ac:dyDescent="0.35">
      <c r="A858" t="s">
        <v>7133</v>
      </c>
      <c r="B858" t="s">
        <v>7134</v>
      </c>
      <c r="C858" t="s">
        <v>10561</v>
      </c>
      <c r="E858" t="s">
        <v>10562</v>
      </c>
      <c r="F858" t="s">
        <v>8993</v>
      </c>
      <c r="G858" s="1" t="s">
        <v>9841</v>
      </c>
      <c r="H858" t="s">
        <v>10563</v>
      </c>
    </row>
    <row r="859" spans="1:8" x14ac:dyDescent="0.35">
      <c r="A859" t="s">
        <v>7133</v>
      </c>
      <c r="B859" t="s">
        <v>7134</v>
      </c>
      <c r="C859" t="s">
        <v>10561</v>
      </c>
      <c r="E859" t="s">
        <v>10562</v>
      </c>
      <c r="F859" t="s">
        <v>10564</v>
      </c>
      <c r="G859" s="1" t="s">
        <v>10565</v>
      </c>
      <c r="H859" t="s">
        <v>10566</v>
      </c>
    </row>
    <row r="860" spans="1:8" ht="29" x14ac:dyDescent="0.35">
      <c r="A860" t="s">
        <v>7133</v>
      </c>
      <c r="B860" t="s">
        <v>7134</v>
      </c>
      <c r="C860" t="s">
        <v>10561</v>
      </c>
      <c r="E860" t="s">
        <v>10562</v>
      </c>
      <c r="F860" t="s">
        <v>10567</v>
      </c>
      <c r="G860" s="1" t="s">
        <v>10568</v>
      </c>
      <c r="H860" t="s">
        <v>10569</v>
      </c>
    </row>
    <row r="861" spans="1:8" ht="29" x14ac:dyDescent="0.35">
      <c r="A861" t="s">
        <v>7133</v>
      </c>
      <c r="B861" t="s">
        <v>7134</v>
      </c>
      <c r="C861" t="s">
        <v>8794</v>
      </c>
      <c r="E861" t="s">
        <v>10580</v>
      </c>
      <c r="F861" t="s">
        <v>10581</v>
      </c>
      <c r="G861" s="1" t="s">
        <v>10582</v>
      </c>
      <c r="H861" t="s">
        <v>10583</v>
      </c>
    </row>
    <row r="862" spans="1:8" ht="29" x14ac:dyDescent="0.35">
      <c r="A862" t="s">
        <v>7276</v>
      </c>
      <c r="B862" t="s">
        <v>7277</v>
      </c>
      <c r="C862" t="s">
        <v>8806</v>
      </c>
      <c r="E862" t="s">
        <v>10584</v>
      </c>
      <c r="F862" t="s">
        <v>10585</v>
      </c>
      <c r="G862" s="1" t="s">
        <v>10586</v>
      </c>
      <c r="H862" t="s">
        <v>10587</v>
      </c>
    </row>
    <row r="863" spans="1:8" x14ac:dyDescent="0.35">
      <c r="A863" t="s">
        <v>289</v>
      </c>
      <c r="B863" t="s">
        <v>290</v>
      </c>
      <c r="C863" t="s">
        <v>8425</v>
      </c>
      <c r="E863" t="s">
        <v>10588</v>
      </c>
      <c r="F863" t="s">
        <v>10589</v>
      </c>
      <c r="G863" s="1" t="s">
        <v>10590</v>
      </c>
      <c r="H863" t="s">
        <v>10591</v>
      </c>
    </row>
    <row r="864" spans="1:8" x14ac:dyDescent="0.35">
      <c r="A864" t="s">
        <v>289</v>
      </c>
      <c r="B864" t="s">
        <v>290</v>
      </c>
      <c r="C864" t="s">
        <v>8425</v>
      </c>
      <c r="E864" t="s">
        <v>10588</v>
      </c>
      <c r="F864" t="s">
        <v>10592</v>
      </c>
      <c r="G864" s="1" t="s">
        <v>13915</v>
      </c>
      <c r="H864" t="s">
        <v>10593</v>
      </c>
    </row>
    <row r="865" spans="1:8" x14ac:dyDescent="0.35">
      <c r="A865" t="s">
        <v>289</v>
      </c>
      <c r="B865" t="s">
        <v>290</v>
      </c>
      <c r="C865" t="s">
        <v>8425</v>
      </c>
      <c r="E865" t="s">
        <v>10588</v>
      </c>
      <c r="F865" t="s">
        <v>10594</v>
      </c>
      <c r="G865" s="1" t="s">
        <v>10595</v>
      </c>
      <c r="H865" t="s">
        <v>10596</v>
      </c>
    </row>
    <row r="866" spans="1:8" x14ac:dyDescent="0.35">
      <c r="A866" t="s">
        <v>289</v>
      </c>
      <c r="B866" t="s">
        <v>290</v>
      </c>
      <c r="C866" t="s">
        <v>8425</v>
      </c>
      <c r="E866" t="s">
        <v>10588</v>
      </c>
      <c r="F866" t="s">
        <v>10597</v>
      </c>
      <c r="G866" s="1" t="s">
        <v>10598</v>
      </c>
      <c r="H866" t="s">
        <v>10599</v>
      </c>
    </row>
    <row r="867" spans="1:8" ht="29" x14ac:dyDescent="0.35">
      <c r="A867" t="s">
        <v>289</v>
      </c>
      <c r="B867" t="s">
        <v>290</v>
      </c>
      <c r="C867" t="s">
        <v>8425</v>
      </c>
      <c r="E867" t="s">
        <v>10588</v>
      </c>
      <c r="F867" t="s">
        <v>10567</v>
      </c>
      <c r="G867" s="1" t="s">
        <v>10568</v>
      </c>
      <c r="H867" t="s">
        <v>10569</v>
      </c>
    </row>
    <row r="868" spans="1:8" x14ac:dyDescent="0.35">
      <c r="A868" t="s">
        <v>292</v>
      </c>
      <c r="B868" t="s">
        <v>293</v>
      </c>
      <c r="C868" t="s">
        <v>8425</v>
      </c>
      <c r="E868" t="s">
        <v>10588</v>
      </c>
      <c r="F868" t="s">
        <v>10589</v>
      </c>
      <c r="G868" t="s">
        <v>10590</v>
      </c>
      <c r="H868" t="s">
        <v>10591</v>
      </c>
    </row>
    <row r="869" spans="1:8" x14ac:dyDescent="0.35">
      <c r="A869" t="s">
        <v>292</v>
      </c>
      <c r="B869" t="s">
        <v>293</v>
      </c>
      <c r="C869" t="s">
        <v>8425</v>
      </c>
      <c r="E869" t="s">
        <v>10588</v>
      </c>
      <c r="F869" t="s">
        <v>10592</v>
      </c>
      <c r="G869" t="s">
        <v>13915</v>
      </c>
      <c r="H869" t="s">
        <v>10593</v>
      </c>
    </row>
    <row r="870" spans="1:8" x14ac:dyDescent="0.35">
      <c r="A870" t="s">
        <v>292</v>
      </c>
      <c r="B870" t="s">
        <v>293</v>
      </c>
      <c r="C870" t="s">
        <v>8425</v>
      </c>
      <c r="E870" t="s">
        <v>10588</v>
      </c>
      <c r="F870" t="s">
        <v>10594</v>
      </c>
      <c r="G870" t="s">
        <v>10595</v>
      </c>
      <c r="H870" t="s">
        <v>10596</v>
      </c>
    </row>
    <row r="871" spans="1:8" x14ac:dyDescent="0.35">
      <c r="A871" t="s">
        <v>292</v>
      </c>
      <c r="B871" t="s">
        <v>293</v>
      </c>
      <c r="C871" t="s">
        <v>8425</v>
      </c>
      <c r="E871" t="s">
        <v>10588</v>
      </c>
      <c r="F871" t="s">
        <v>10597</v>
      </c>
      <c r="G871" t="s">
        <v>10598</v>
      </c>
      <c r="H871" t="s">
        <v>10600</v>
      </c>
    </row>
    <row r="872" spans="1:8" ht="29" x14ac:dyDescent="0.35">
      <c r="A872" t="s">
        <v>292</v>
      </c>
      <c r="B872" t="s">
        <v>293</v>
      </c>
      <c r="C872" t="s">
        <v>8425</v>
      </c>
      <c r="E872" t="s">
        <v>10588</v>
      </c>
      <c r="F872" t="s">
        <v>10567</v>
      </c>
      <c r="G872" s="1" t="s">
        <v>10568</v>
      </c>
      <c r="H872" t="s">
        <v>10569</v>
      </c>
    </row>
    <row r="873" spans="1:8" x14ac:dyDescent="0.35">
      <c r="A873" t="s">
        <v>296</v>
      </c>
      <c r="B873" t="s">
        <v>297</v>
      </c>
      <c r="C873" t="s">
        <v>8425</v>
      </c>
      <c r="E873" t="s">
        <v>10588</v>
      </c>
      <c r="F873" t="s">
        <v>10589</v>
      </c>
      <c r="G873" t="s">
        <v>10590</v>
      </c>
      <c r="H873" t="s">
        <v>10591</v>
      </c>
    </row>
    <row r="874" spans="1:8" x14ac:dyDescent="0.35">
      <c r="A874" t="s">
        <v>296</v>
      </c>
      <c r="B874" t="s">
        <v>297</v>
      </c>
      <c r="C874" t="s">
        <v>8425</v>
      </c>
      <c r="E874" t="s">
        <v>10588</v>
      </c>
      <c r="F874" t="s">
        <v>10592</v>
      </c>
      <c r="G874" t="s">
        <v>10595</v>
      </c>
      <c r="H874" t="s">
        <v>10593</v>
      </c>
    </row>
    <row r="875" spans="1:8" x14ac:dyDescent="0.35">
      <c r="A875" t="s">
        <v>296</v>
      </c>
      <c r="B875" t="s">
        <v>297</v>
      </c>
      <c r="C875" t="s">
        <v>8425</v>
      </c>
      <c r="E875" t="s">
        <v>10588</v>
      </c>
      <c r="F875" t="s">
        <v>10594</v>
      </c>
      <c r="G875" t="s">
        <v>10595</v>
      </c>
      <c r="H875" t="s">
        <v>10596</v>
      </c>
    </row>
    <row r="876" spans="1:8" x14ac:dyDescent="0.35">
      <c r="A876" t="s">
        <v>296</v>
      </c>
      <c r="B876" t="s">
        <v>297</v>
      </c>
      <c r="C876" t="s">
        <v>8425</v>
      </c>
      <c r="E876" t="s">
        <v>10588</v>
      </c>
      <c r="F876" t="s">
        <v>10597</v>
      </c>
      <c r="G876" t="s">
        <v>10598</v>
      </c>
      <c r="H876" t="s">
        <v>10600</v>
      </c>
    </row>
    <row r="877" spans="1:8" ht="29" x14ac:dyDescent="0.35">
      <c r="A877" t="s">
        <v>296</v>
      </c>
      <c r="B877" t="s">
        <v>297</v>
      </c>
      <c r="C877" t="s">
        <v>8425</v>
      </c>
      <c r="E877" t="s">
        <v>10588</v>
      </c>
      <c r="F877" t="s">
        <v>10567</v>
      </c>
      <c r="G877" s="1" t="s">
        <v>10568</v>
      </c>
      <c r="H877" t="s">
        <v>10569</v>
      </c>
    </row>
    <row r="878" spans="1:8" ht="29" x14ac:dyDescent="0.35">
      <c r="A878" t="s">
        <v>4525</v>
      </c>
      <c r="B878" t="s">
        <v>4526</v>
      </c>
      <c r="C878" t="s">
        <v>8648</v>
      </c>
      <c r="E878" t="s">
        <v>10601</v>
      </c>
      <c r="F878" t="s">
        <v>10602</v>
      </c>
      <c r="G878" s="1" t="s">
        <v>10603</v>
      </c>
      <c r="H878" t="s">
        <v>10604</v>
      </c>
    </row>
    <row r="879" spans="1:8" ht="29" x14ac:dyDescent="0.35">
      <c r="A879" t="s">
        <v>4525</v>
      </c>
      <c r="B879" t="s">
        <v>4526</v>
      </c>
      <c r="C879" t="s">
        <v>8648</v>
      </c>
      <c r="E879" t="s">
        <v>10601</v>
      </c>
      <c r="F879" t="s">
        <v>10605</v>
      </c>
      <c r="G879" s="1" t="s">
        <v>10606</v>
      </c>
      <c r="H879" t="s">
        <v>10607</v>
      </c>
    </row>
    <row r="880" spans="1:8" ht="29" x14ac:dyDescent="0.35">
      <c r="A880" t="s">
        <v>7516</v>
      </c>
      <c r="B880" t="s">
        <v>7517</v>
      </c>
      <c r="C880" t="s">
        <v>8648</v>
      </c>
      <c r="E880" t="s">
        <v>10601</v>
      </c>
      <c r="F880" t="s">
        <v>10602</v>
      </c>
      <c r="G880" s="1" t="s">
        <v>10603</v>
      </c>
      <c r="H880" t="s">
        <v>10604</v>
      </c>
    </row>
    <row r="881" spans="1:8" ht="29" x14ac:dyDescent="0.35">
      <c r="A881" t="s">
        <v>7516</v>
      </c>
      <c r="B881" t="s">
        <v>7517</v>
      </c>
      <c r="C881" t="s">
        <v>8648</v>
      </c>
      <c r="E881" t="s">
        <v>10601</v>
      </c>
      <c r="F881" t="s">
        <v>10605</v>
      </c>
      <c r="G881" s="1" t="s">
        <v>10606</v>
      </c>
      <c r="H881" t="s">
        <v>10607</v>
      </c>
    </row>
    <row r="882" spans="1:8" ht="29" x14ac:dyDescent="0.35">
      <c r="A882" t="s">
        <v>4563</v>
      </c>
      <c r="B882" t="s">
        <v>4564</v>
      </c>
      <c r="C882" t="s">
        <v>8653</v>
      </c>
      <c r="E882" t="s">
        <v>10608</v>
      </c>
      <c r="F882" t="s">
        <v>10609</v>
      </c>
      <c r="G882" s="1" t="s">
        <v>10610</v>
      </c>
      <c r="H882" t="s">
        <v>10611</v>
      </c>
    </row>
    <row r="883" spans="1:8" ht="29" x14ac:dyDescent="0.35">
      <c r="A883" t="s">
        <v>2887</v>
      </c>
      <c r="B883" t="s">
        <v>2888</v>
      </c>
      <c r="C883" t="s">
        <v>8548</v>
      </c>
      <c r="E883" t="s">
        <v>10612</v>
      </c>
      <c r="F883" t="s">
        <v>10613</v>
      </c>
      <c r="G883" s="1" t="s">
        <v>13916</v>
      </c>
      <c r="H883" t="s">
        <v>10614</v>
      </c>
    </row>
    <row r="884" spans="1:8" x14ac:dyDescent="0.35">
      <c r="A884" t="s">
        <v>7782</v>
      </c>
      <c r="B884" t="s">
        <v>7783</v>
      </c>
      <c r="C884" t="s">
        <v>8830</v>
      </c>
      <c r="E884" t="s">
        <v>10615</v>
      </c>
      <c r="F884" t="s">
        <v>10616</v>
      </c>
      <c r="G884" s="1" t="s">
        <v>10617</v>
      </c>
      <c r="H884" t="s">
        <v>10618</v>
      </c>
    </row>
    <row r="885" spans="1:8" ht="29" x14ac:dyDescent="0.35">
      <c r="A885" t="s">
        <v>7402</v>
      </c>
      <c r="B885" t="s">
        <v>7403</v>
      </c>
      <c r="C885" t="s">
        <v>8816</v>
      </c>
      <c r="E885" t="s">
        <v>10619</v>
      </c>
      <c r="F885" t="s">
        <v>10620</v>
      </c>
      <c r="G885" s="1" t="s">
        <v>10621</v>
      </c>
      <c r="H885" t="s">
        <v>10622</v>
      </c>
    </row>
    <row r="886" spans="1:8" x14ac:dyDescent="0.35">
      <c r="A886" t="s">
        <v>7402</v>
      </c>
      <c r="B886" t="s">
        <v>7403</v>
      </c>
      <c r="C886" t="s">
        <v>8816</v>
      </c>
      <c r="E886" t="s">
        <v>10619</v>
      </c>
      <c r="F886" t="s">
        <v>10623</v>
      </c>
      <c r="G886" s="1" t="s">
        <v>10624</v>
      </c>
      <c r="H886" t="s">
        <v>10625</v>
      </c>
    </row>
    <row r="887" spans="1:8" ht="29" x14ac:dyDescent="0.35">
      <c r="A887" t="s">
        <v>7402</v>
      </c>
      <c r="B887" t="s">
        <v>7403</v>
      </c>
      <c r="C887" t="s">
        <v>8816</v>
      </c>
      <c r="E887" t="s">
        <v>10619</v>
      </c>
      <c r="F887" t="s">
        <v>10626</v>
      </c>
      <c r="G887" s="1" t="s">
        <v>10627</v>
      </c>
      <c r="H887" t="s">
        <v>10628</v>
      </c>
    </row>
    <row r="888" spans="1:8" ht="29" x14ac:dyDescent="0.35">
      <c r="A888" t="s">
        <v>7402</v>
      </c>
      <c r="B888" t="s">
        <v>7403</v>
      </c>
      <c r="C888" t="s">
        <v>8816</v>
      </c>
      <c r="E888" t="s">
        <v>10619</v>
      </c>
      <c r="F888" t="s">
        <v>10629</v>
      </c>
      <c r="G888" s="1" t="s">
        <v>10630</v>
      </c>
      <c r="H888" t="s">
        <v>10631</v>
      </c>
    </row>
    <row r="889" spans="1:8" x14ac:dyDescent="0.35">
      <c r="A889" t="s">
        <v>7402</v>
      </c>
      <c r="B889" t="s">
        <v>7403</v>
      </c>
      <c r="C889" t="s">
        <v>8816</v>
      </c>
      <c r="E889" t="s">
        <v>10619</v>
      </c>
      <c r="F889" t="s">
        <v>10632</v>
      </c>
      <c r="G889" s="1" t="s">
        <v>10633</v>
      </c>
      <c r="H889" t="s">
        <v>10634</v>
      </c>
    </row>
    <row r="890" spans="1:8" ht="29" x14ac:dyDescent="0.35">
      <c r="A890" t="s">
        <v>5770</v>
      </c>
      <c r="B890" t="s">
        <v>5771</v>
      </c>
      <c r="C890" t="s">
        <v>8714</v>
      </c>
      <c r="E890" t="s">
        <v>10635</v>
      </c>
      <c r="F890" t="s">
        <v>10636</v>
      </c>
      <c r="G890" s="1" t="s">
        <v>10637</v>
      </c>
      <c r="H890" t="s">
        <v>10638</v>
      </c>
    </row>
    <row r="891" spans="1:8" ht="29" x14ac:dyDescent="0.35">
      <c r="A891" t="s">
        <v>4503</v>
      </c>
      <c r="B891" t="s">
        <v>4504</v>
      </c>
      <c r="C891" t="s">
        <v>10640</v>
      </c>
      <c r="E891" t="s">
        <v>10641</v>
      </c>
      <c r="F891" t="s">
        <v>10642</v>
      </c>
      <c r="G891" s="1" t="s">
        <v>13917</v>
      </c>
      <c r="H891" t="s">
        <v>10643</v>
      </c>
    </row>
    <row r="892" spans="1:8" ht="29" x14ac:dyDescent="0.35">
      <c r="A892" t="s">
        <v>4503</v>
      </c>
      <c r="B892" t="s">
        <v>4504</v>
      </c>
      <c r="C892" t="s">
        <v>10639</v>
      </c>
      <c r="E892" t="s">
        <v>10644</v>
      </c>
      <c r="F892" t="s">
        <v>10645</v>
      </c>
      <c r="G892" s="1" t="s">
        <v>10646</v>
      </c>
      <c r="H892" t="s">
        <v>10647</v>
      </c>
    </row>
    <row r="893" spans="1:8" x14ac:dyDescent="0.35">
      <c r="A893" t="s">
        <v>700</v>
      </c>
      <c r="B893" t="s">
        <v>701</v>
      </c>
      <c r="C893" t="s">
        <v>8445</v>
      </c>
      <c r="E893" t="s">
        <v>10648</v>
      </c>
      <c r="F893" t="s">
        <v>10649</v>
      </c>
      <c r="G893" s="1" t="s">
        <v>10650</v>
      </c>
      <c r="H893" t="s">
        <v>10651</v>
      </c>
    </row>
    <row r="894" spans="1:8" ht="29" x14ac:dyDescent="0.35">
      <c r="A894" t="s">
        <v>7273</v>
      </c>
      <c r="B894" t="s">
        <v>7274</v>
      </c>
      <c r="C894" t="s">
        <v>8805</v>
      </c>
      <c r="E894" t="s">
        <v>10652</v>
      </c>
      <c r="F894" t="s">
        <v>10653</v>
      </c>
      <c r="G894" s="1" t="s">
        <v>10654</v>
      </c>
      <c r="H894" t="s">
        <v>10655</v>
      </c>
    </row>
    <row r="895" spans="1:8" x14ac:dyDescent="0.35">
      <c r="A895" t="s">
        <v>7421</v>
      </c>
      <c r="B895" t="s">
        <v>7422</v>
      </c>
      <c r="C895" t="s">
        <v>8819</v>
      </c>
      <c r="E895" t="s">
        <v>10656</v>
      </c>
      <c r="F895" t="s">
        <v>10657</v>
      </c>
      <c r="G895" s="1" t="s">
        <v>10658</v>
      </c>
      <c r="H895" t="s">
        <v>10659</v>
      </c>
    </row>
    <row r="896" spans="1:8" ht="29" x14ac:dyDescent="0.35">
      <c r="A896" t="s">
        <v>5234</v>
      </c>
      <c r="B896" t="s">
        <v>5235</v>
      </c>
      <c r="C896" t="s">
        <v>8674</v>
      </c>
      <c r="E896" t="s">
        <v>10660</v>
      </c>
      <c r="F896" t="s">
        <v>10661</v>
      </c>
      <c r="G896" s="1" t="s">
        <v>10662</v>
      </c>
      <c r="H896" t="s">
        <v>10663</v>
      </c>
    </row>
    <row r="897" spans="1:8" ht="29" x14ac:dyDescent="0.35">
      <c r="A897" t="s">
        <v>5234</v>
      </c>
      <c r="B897" t="s">
        <v>5235</v>
      </c>
      <c r="C897" t="s">
        <v>8674</v>
      </c>
      <c r="E897" t="s">
        <v>10660</v>
      </c>
      <c r="F897" t="s">
        <v>10664</v>
      </c>
      <c r="G897" s="1" t="s">
        <v>10665</v>
      </c>
      <c r="H897" t="s">
        <v>10666</v>
      </c>
    </row>
    <row r="898" spans="1:8" ht="29" x14ac:dyDescent="0.35">
      <c r="A898" t="s">
        <v>6156</v>
      </c>
      <c r="B898" t="s">
        <v>6157</v>
      </c>
      <c r="C898" t="s">
        <v>8744</v>
      </c>
      <c r="E898" t="s">
        <v>10667</v>
      </c>
      <c r="F898" t="s">
        <v>10668</v>
      </c>
      <c r="G898" s="1" t="s">
        <v>10669</v>
      </c>
      <c r="H898" t="s">
        <v>10670</v>
      </c>
    </row>
    <row r="899" spans="1:8" x14ac:dyDescent="0.35">
      <c r="A899" t="s">
        <v>4275</v>
      </c>
      <c r="B899" t="s">
        <v>4276</v>
      </c>
      <c r="C899" t="s">
        <v>8630</v>
      </c>
      <c r="E899" t="s">
        <v>10671</v>
      </c>
      <c r="F899" t="s">
        <v>10672</v>
      </c>
      <c r="G899" s="1" t="s">
        <v>10673</v>
      </c>
      <c r="H899" t="s">
        <v>10674</v>
      </c>
    </row>
    <row r="900" spans="1:8" ht="29" x14ac:dyDescent="0.35">
      <c r="A900" t="s">
        <v>4246</v>
      </c>
      <c r="B900" t="s">
        <v>4247</v>
      </c>
      <c r="C900" t="s">
        <v>8626</v>
      </c>
      <c r="E900" t="s">
        <v>10675</v>
      </c>
      <c r="F900" t="s">
        <v>10676</v>
      </c>
      <c r="G900" s="1" t="s">
        <v>10677</v>
      </c>
      <c r="H900" t="s">
        <v>10678</v>
      </c>
    </row>
    <row r="901" spans="1:8" x14ac:dyDescent="0.35">
      <c r="A901" t="s">
        <v>6872</v>
      </c>
      <c r="B901" t="s">
        <v>6873</v>
      </c>
      <c r="C901" t="s">
        <v>8779</v>
      </c>
      <c r="E901" t="s">
        <v>10679</v>
      </c>
      <c r="F901" t="s">
        <v>10680</v>
      </c>
      <c r="G901" s="1" t="s">
        <v>10681</v>
      </c>
      <c r="H901" t="s">
        <v>9639</v>
      </c>
    </row>
    <row r="902" spans="1:8" ht="29" x14ac:dyDescent="0.35">
      <c r="A902" t="s">
        <v>6872</v>
      </c>
      <c r="B902" t="s">
        <v>6873</v>
      </c>
      <c r="C902" t="s">
        <v>8779</v>
      </c>
      <c r="E902" t="s">
        <v>10679</v>
      </c>
      <c r="F902" t="s">
        <v>10682</v>
      </c>
      <c r="G902" s="1" t="s">
        <v>10683</v>
      </c>
      <c r="H902" t="s">
        <v>10684</v>
      </c>
    </row>
    <row r="903" spans="1:8" x14ac:dyDescent="0.35">
      <c r="A903" t="s">
        <v>6872</v>
      </c>
      <c r="B903" t="s">
        <v>6873</v>
      </c>
      <c r="C903" t="s">
        <v>8779</v>
      </c>
      <c r="E903" t="s">
        <v>10679</v>
      </c>
      <c r="F903" t="s">
        <v>10685</v>
      </c>
      <c r="G903" s="1" t="s">
        <v>10686</v>
      </c>
      <c r="H903" t="s">
        <v>10687</v>
      </c>
    </row>
    <row r="904" spans="1:8" ht="29" x14ac:dyDescent="0.35">
      <c r="A904" t="s">
        <v>6872</v>
      </c>
      <c r="B904" t="s">
        <v>6873</v>
      </c>
      <c r="C904" t="s">
        <v>8779</v>
      </c>
      <c r="E904" t="s">
        <v>10679</v>
      </c>
      <c r="F904" t="s">
        <v>10688</v>
      </c>
      <c r="G904" s="1" t="s">
        <v>10689</v>
      </c>
      <c r="H904" t="s">
        <v>10690</v>
      </c>
    </row>
    <row r="905" spans="1:8" x14ac:dyDescent="0.35">
      <c r="A905" t="s">
        <v>5698</v>
      </c>
      <c r="B905" t="s">
        <v>5699</v>
      </c>
      <c r="C905" t="s">
        <v>8708</v>
      </c>
      <c r="E905" t="s">
        <v>10691</v>
      </c>
      <c r="F905" t="s">
        <v>10692</v>
      </c>
      <c r="G905" s="1" t="s">
        <v>10693</v>
      </c>
      <c r="H905" t="s">
        <v>10694</v>
      </c>
    </row>
    <row r="906" spans="1:8" ht="29" x14ac:dyDescent="0.35">
      <c r="A906" t="s">
        <v>5698</v>
      </c>
      <c r="B906" t="s">
        <v>5699</v>
      </c>
      <c r="C906" t="s">
        <v>8708</v>
      </c>
      <c r="E906" t="s">
        <v>10691</v>
      </c>
      <c r="F906" t="s">
        <v>10695</v>
      </c>
      <c r="G906" s="1" t="s">
        <v>10696</v>
      </c>
      <c r="H906" t="s">
        <v>10697</v>
      </c>
    </row>
    <row r="907" spans="1:8" x14ac:dyDescent="0.35">
      <c r="A907" t="s">
        <v>5698</v>
      </c>
      <c r="B907" t="s">
        <v>5699</v>
      </c>
      <c r="C907" t="s">
        <v>8708</v>
      </c>
      <c r="E907" t="s">
        <v>10691</v>
      </c>
      <c r="F907" t="s">
        <v>10698</v>
      </c>
      <c r="G907" t="s">
        <v>10699</v>
      </c>
      <c r="H907" t="s">
        <v>10700</v>
      </c>
    </row>
    <row r="908" spans="1:8" ht="29" x14ac:dyDescent="0.35">
      <c r="A908" t="s">
        <v>5698</v>
      </c>
      <c r="B908" t="s">
        <v>5699</v>
      </c>
      <c r="C908" t="s">
        <v>8708</v>
      </c>
      <c r="E908" t="s">
        <v>10691</v>
      </c>
      <c r="F908" t="s">
        <v>10701</v>
      </c>
      <c r="G908" s="1" t="s">
        <v>10702</v>
      </c>
      <c r="H908" t="s">
        <v>10703</v>
      </c>
    </row>
    <row r="909" spans="1:8" x14ac:dyDescent="0.35">
      <c r="A909" t="s">
        <v>2039</v>
      </c>
      <c r="B909" t="s">
        <v>2040</v>
      </c>
      <c r="C909" t="s">
        <v>8507</v>
      </c>
      <c r="E909" t="s">
        <v>10707</v>
      </c>
      <c r="F909" t="s">
        <v>10704</v>
      </c>
      <c r="G909" s="1" t="s">
        <v>10705</v>
      </c>
      <c r="H909" t="s">
        <v>10706</v>
      </c>
    </row>
    <row r="910" spans="1:8" x14ac:dyDescent="0.35">
      <c r="A910" t="s">
        <v>2039</v>
      </c>
      <c r="B910" t="s">
        <v>2040</v>
      </c>
      <c r="C910" t="s">
        <v>8507</v>
      </c>
      <c r="E910" t="s">
        <v>10707</v>
      </c>
      <c r="F910" t="s">
        <v>10708</v>
      </c>
      <c r="G910" t="s">
        <v>10709</v>
      </c>
      <c r="H910" t="s">
        <v>10710</v>
      </c>
    </row>
    <row r="911" spans="1:8" ht="29" x14ac:dyDescent="0.35">
      <c r="A911" t="s">
        <v>2039</v>
      </c>
      <c r="B911" t="s">
        <v>2040</v>
      </c>
      <c r="C911" t="s">
        <v>8507</v>
      </c>
      <c r="E911" t="s">
        <v>10707</v>
      </c>
      <c r="F911" t="s">
        <v>10711</v>
      </c>
      <c r="G911" s="1" t="s">
        <v>10621</v>
      </c>
      <c r="H911" t="s">
        <v>10712</v>
      </c>
    </row>
    <row r="912" spans="1:8" x14ac:dyDescent="0.35">
      <c r="A912" t="s">
        <v>2039</v>
      </c>
      <c r="B912" t="s">
        <v>2040</v>
      </c>
      <c r="C912" t="s">
        <v>8507</v>
      </c>
      <c r="E912" t="s">
        <v>10707</v>
      </c>
      <c r="F912" t="s">
        <v>10713</v>
      </c>
      <c r="G912" t="s">
        <v>10714</v>
      </c>
      <c r="H912" t="s">
        <v>10715</v>
      </c>
    </row>
    <row r="913" spans="1:8" x14ac:dyDescent="0.35">
      <c r="A913" t="s">
        <v>2039</v>
      </c>
      <c r="B913" t="s">
        <v>2040</v>
      </c>
      <c r="C913" t="s">
        <v>8507</v>
      </c>
      <c r="E913" t="s">
        <v>10707</v>
      </c>
      <c r="F913" t="s">
        <v>10716</v>
      </c>
      <c r="G913" t="s">
        <v>10717</v>
      </c>
      <c r="H913" t="s">
        <v>10718</v>
      </c>
    </row>
    <row r="914" spans="1:8" ht="29" x14ac:dyDescent="0.35">
      <c r="A914" t="s">
        <v>2039</v>
      </c>
      <c r="B914" t="s">
        <v>2040</v>
      </c>
      <c r="C914" t="s">
        <v>8507</v>
      </c>
      <c r="E914" t="s">
        <v>10707</v>
      </c>
      <c r="F914" t="s">
        <v>10719</v>
      </c>
      <c r="G914" s="1" t="s">
        <v>10720</v>
      </c>
      <c r="H914" t="s">
        <v>10721</v>
      </c>
    </row>
    <row r="915" spans="1:8" ht="29" x14ac:dyDescent="0.35">
      <c r="A915" t="s">
        <v>2039</v>
      </c>
      <c r="B915" t="s">
        <v>2040</v>
      </c>
      <c r="C915" t="s">
        <v>8507</v>
      </c>
      <c r="E915" t="s">
        <v>10707</v>
      </c>
      <c r="F915" t="s">
        <v>10722</v>
      </c>
      <c r="G915" s="1" t="s">
        <v>10723</v>
      </c>
      <c r="H915" t="s">
        <v>10724</v>
      </c>
    </row>
    <row r="916" spans="1:8" x14ac:dyDescent="0.35">
      <c r="A916" t="s">
        <v>2039</v>
      </c>
      <c r="B916" t="s">
        <v>2040</v>
      </c>
      <c r="C916" t="s">
        <v>8507</v>
      </c>
      <c r="E916" t="s">
        <v>10707</v>
      </c>
      <c r="F916" t="s">
        <v>10725</v>
      </c>
      <c r="G916" t="s">
        <v>10726</v>
      </c>
      <c r="H916" t="s">
        <v>10727</v>
      </c>
    </row>
    <row r="917" spans="1:8" x14ac:dyDescent="0.35">
      <c r="A917" t="s">
        <v>2039</v>
      </c>
      <c r="B917" t="s">
        <v>2040</v>
      </c>
      <c r="C917" t="s">
        <v>8507</v>
      </c>
      <c r="E917" t="s">
        <v>10707</v>
      </c>
      <c r="F917" t="s">
        <v>10728</v>
      </c>
      <c r="G917" t="s">
        <v>10729</v>
      </c>
      <c r="H917" t="s">
        <v>10730</v>
      </c>
    </row>
    <row r="918" spans="1:8" ht="29" x14ac:dyDescent="0.35">
      <c r="A918" t="s">
        <v>2039</v>
      </c>
      <c r="B918" t="s">
        <v>2040</v>
      </c>
      <c r="C918" t="s">
        <v>8507</v>
      </c>
      <c r="E918" t="s">
        <v>10707</v>
      </c>
      <c r="F918" t="s">
        <v>10731</v>
      </c>
      <c r="G918" s="1" t="s">
        <v>10732</v>
      </c>
      <c r="H918" t="s">
        <v>10733</v>
      </c>
    </row>
    <row r="919" spans="1:8" ht="29" x14ac:dyDescent="0.35">
      <c r="A919" t="s">
        <v>2039</v>
      </c>
      <c r="B919" t="s">
        <v>2040</v>
      </c>
      <c r="C919" t="s">
        <v>8507</v>
      </c>
      <c r="E919" t="s">
        <v>10707</v>
      </c>
      <c r="F919" t="s">
        <v>10734</v>
      </c>
      <c r="G919" s="1" t="s">
        <v>10735</v>
      </c>
      <c r="H919" t="s">
        <v>10736</v>
      </c>
    </row>
    <row r="920" spans="1:8" x14ac:dyDescent="0.35">
      <c r="A920" t="s">
        <v>2238</v>
      </c>
      <c r="B920" t="s">
        <v>2239</v>
      </c>
      <c r="C920" t="s">
        <v>10737</v>
      </c>
    </row>
    <row r="921" spans="1:8" x14ac:dyDescent="0.35">
      <c r="A921" t="s">
        <v>2238</v>
      </c>
      <c r="B921" t="s">
        <v>2239</v>
      </c>
      <c r="C921" t="s">
        <v>8516</v>
      </c>
      <c r="E921" t="s">
        <v>10738</v>
      </c>
    </row>
    <row r="922" spans="1:8" x14ac:dyDescent="0.35">
      <c r="A922" t="s">
        <v>2240</v>
      </c>
      <c r="B922" t="s">
        <v>2241</v>
      </c>
      <c r="C922" t="s">
        <v>10737</v>
      </c>
    </row>
    <row r="923" spans="1:8" x14ac:dyDescent="0.35">
      <c r="A923" t="s">
        <v>2240</v>
      </c>
      <c r="B923" t="s">
        <v>2241</v>
      </c>
      <c r="C923" t="s">
        <v>8516</v>
      </c>
      <c r="E923" t="s">
        <v>10738</v>
      </c>
    </row>
    <row r="924" spans="1:8" x14ac:dyDescent="0.35">
      <c r="A924" t="s">
        <v>2473</v>
      </c>
      <c r="B924" t="s">
        <v>2474</v>
      </c>
      <c r="C924" t="s">
        <v>8526</v>
      </c>
      <c r="D924" t="s">
        <v>8841</v>
      </c>
      <c r="E924" t="s">
        <v>10739</v>
      </c>
    </row>
    <row r="925" spans="1:8" x14ac:dyDescent="0.35">
      <c r="A925" t="s">
        <v>2473</v>
      </c>
      <c r="B925" t="s">
        <v>2474</v>
      </c>
      <c r="C925" t="s">
        <v>8526</v>
      </c>
      <c r="D925" t="s">
        <v>8516</v>
      </c>
      <c r="E925" t="s">
        <v>10738</v>
      </c>
    </row>
    <row r="926" spans="1:8" x14ac:dyDescent="0.35">
      <c r="A926" t="s">
        <v>3751</v>
      </c>
      <c r="B926" t="s">
        <v>3752</v>
      </c>
      <c r="C926" t="s">
        <v>8526</v>
      </c>
      <c r="D926" t="s">
        <v>8841</v>
      </c>
      <c r="E926" t="s">
        <v>10739</v>
      </c>
    </row>
    <row r="927" spans="1:8" x14ac:dyDescent="0.35">
      <c r="A927" t="s">
        <v>3751</v>
      </c>
      <c r="B927" t="s">
        <v>3752</v>
      </c>
      <c r="C927" t="s">
        <v>8526</v>
      </c>
      <c r="D927" t="s">
        <v>8516</v>
      </c>
      <c r="E927" t="s">
        <v>10738</v>
      </c>
    </row>
    <row r="928" spans="1:8" x14ac:dyDescent="0.35">
      <c r="A928" t="s">
        <v>4697</v>
      </c>
      <c r="B928" t="s">
        <v>4698</v>
      </c>
      <c r="C928" t="s">
        <v>8526</v>
      </c>
      <c r="D928" t="s">
        <v>8841</v>
      </c>
      <c r="E928" t="s">
        <v>10739</v>
      </c>
    </row>
    <row r="929" spans="1:8" x14ac:dyDescent="0.35">
      <c r="A929" t="s">
        <v>4697</v>
      </c>
      <c r="B929" t="s">
        <v>4698</v>
      </c>
      <c r="C929" t="s">
        <v>8526</v>
      </c>
      <c r="D929" t="s">
        <v>8516</v>
      </c>
      <c r="E929" t="s">
        <v>10738</v>
      </c>
    </row>
    <row r="930" spans="1:8" x14ac:dyDescent="0.35">
      <c r="A930" t="s">
        <v>4701</v>
      </c>
      <c r="B930" t="s">
        <v>4702</v>
      </c>
      <c r="C930" t="s">
        <v>8526</v>
      </c>
      <c r="D930" t="s">
        <v>8841</v>
      </c>
      <c r="E930" t="s">
        <v>10739</v>
      </c>
    </row>
    <row r="931" spans="1:8" x14ac:dyDescent="0.35">
      <c r="A931" t="s">
        <v>4701</v>
      </c>
      <c r="B931" t="s">
        <v>4702</v>
      </c>
      <c r="C931" t="s">
        <v>8526</v>
      </c>
      <c r="D931" t="s">
        <v>8516</v>
      </c>
      <c r="E931" t="s">
        <v>10738</v>
      </c>
    </row>
    <row r="932" spans="1:8" x14ac:dyDescent="0.35">
      <c r="A932" t="s">
        <v>6918</v>
      </c>
      <c r="B932" t="s">
        <v>6919</v>
      </c>
      <c r="C932" t="s">
        <v>8526</v>
      </c>
      <c r="D932" t="s">
        <v>8841</v>
      </c>
      <c r="E932" t="s">
        <v>10739</v>
      </c>
    </row>
    <row r="933" spans="1:8" x14ac:dyDescent="0.35">
      <c r="A933" t="s">
        <v>6918</v>
      </c>
      <c r="B933" t="s">
        <v>6919</v>
      </c>
      <c r="C933" t="s">
        <v>8526</v>
      </c>
      <c r="D933" t="s">
        <v>8516</v>
      </c>
      <c r="E933" t="s">
        <v>10738</v>
      </c>
    </row>
    <row r="934" spans="1:8" x14ac:dyDescent="0.35">
      <c r="A934" t="s">
        <v>452</v>
      </c>
      <c r="B934" t="s">
        <v>453</v>
      </c>
      <c r="C934" t="s">
        <v>8431</v>
      </c>
      <c r="D934" t="s">
        <v>10740</v>
      </c>
      <c r="E934" t="s">
        <v>10743</v>
      </c>
      <c r="G934" t="s">
        <v>10744</v>
      </c>
      <c r="H934" t="s">
        <v>10745</v>
      </c>
    </row>
    <row r="935" spans="1:8" x14ac:dyDescent="0.35">
      <c r="A935" t="s">
        <v>452</v>
      </c>
      <c r="B935" t="s">
        <v>453</v>
      </c>
      <c r="C935" t="s">
        <v>8431</v>
      </c>
      <c r="D935" t="s">
        <v>10741</v>
      </c>
      <c r="E935" t="s">
        <v>10747</v>
      </c>
      <c r="G935" t="s">
        <v>10744</v>
      </c>
      <c r="H935" t="s">
        <v>10745</v>
      </c>
    </row>
    <row r="936" spans="1:8" x14ac:dyDescent="0.35">
      <c r="A936" t="s">
        <v>452</v>
      </c>
      <c r="B936" t="s">
        <v>453</v>
      </c>
      <c r="C936" t="s">
        <v>8431</v>
      </c>
      <c r="D936" t="s">
        <v>10742</v>
      </c>
      <c r="E936" t="s">
        <v>10746</v>
      </c>
      <c r="G936" t="s">
        <v>10744</v>
      </c>
      <c r="H936" t="s">
        <v>10745</v>
      </c>
    </row>
    <row r="937" spans="1:8" x14ac:dyDescent="0.35">
      <c r="A937" t="s">
        <v>5297</v>
      </c>
      <c r="B937" t="s">
        <v>5298</v>
      </c>
      <c r="C937" t="s">
        <v>8431</v>
      </c>
      <c r="D937" t="s">
        <v>10740</v>
      </c>
      <c r="E937" t="s">
        <v>10743</v>
      </c>
      <c r="G937" t="s">
        <v>10744</v>
      </c>
      <c r="H937" t="s">
        <v>10745</v>
      </c>
    </row>
    <row r="938" spans="1:8" x14ac:dyDescent="0.35">
      <c r="A938" t="s">
        <v>5297</v>
      </c>
      <c r="B938" t="s">
        <v>5298</v>
      </c>
      <c r="C938" t="s">
        <v>8431</v>
      </c>
      <c r="D938" t="s">
        <v>10741</v>
      </c>
      <c r="E938" t="s">
        <v>10747</v>
      </c>
      <c r="G938" t="s">
        <v>10744</v>
      </c>
      <c r="H938" t="s">
        <v>10745</v>
      </c>
    </row>
    <row r="939" spans="1:8" x14ac:dyDescent="0.35">
      <c r="A939" t="s">
        <v>5297</v>
      </c>
      <c r="B939" t="s">
        <v>5298</v>
      </c>
      <c r="C939" t="s">
        <v>8431</v>
      </c>
      <c r="D939" t="s">
        <v>10742</v>
      </c>
      <c r="E939" t="s">
        <v>10746</v>
      </c>
      <c r="G939" t="s">
        <v>10744</v>
      </c>
      <c r="H939" t="s">
        <v>10745</v>
      </c>
    </row>
    <row r="940" spans="1:8" x14ac:dyDescent="0.35">
      <c r="A940" t="s">
        <v>6453</v>
      </c>
      <c r="B940" t="s">
        <v>6454</v>
      </c>
      <c r="C940" t="s">
        <v>8757</v>
      </c>
    </row>
    <row r="941" spans="1:8" x14ac:dyDescent="0.35">
      <c r="A941" t="s">
        <v>512</v>
      </c>
      <c r="B941" t="s">
        <v>513</v>
      </c>
      <c r="C941" t="s">
        <v>8436</v>
      </c>
      <c r="E941" s="19" t="s">
        <v>10748</v>
      </c>
      <c r="F941" t="s">
        <v>10749</v>
      </c>
      <c r="G941" t="s">
        <v>10750</v>
      </c>
      <c r="H941" t="s">
        <v>10751</v>
      </c>
    </row>
    <row r="942" spans="1:8" ht="29" x14ac:dyDescent="0.35">
      <c r="A942" t="s">
        <v>436</v>
      </c>
      <c r="B942" t="s">
        <v>437</v>
      </c>
      <c r="C942" t="s">
        <v>8430</v>
      </c>
      <c r="E942" t="s">
        <v>10752</v>
      </c>
      <c r="F942" t="s">
        <v>10753</v>
      </c>
      <c r="G942" s="1" t="s">
        <v>10754</v>
      </c>
      <c r="H942" t="s">
        <v>10755</v>
      </c>
    </row>
    <row r="943" spans="1:8" x14ac:dyDescent="0.35">
      <c r="A943" t="s">
        <v>3357</v>
      </c>
      <c r="B943" t="s">
        <v>3358</v>
      </c>
      <c r="C943" t="s">
        <v>8572</v>
      </c>
      <c r="E943" t="s">
        <v>10756</v>
      </c>
      <c r="F943" t="s">
        <v>10757</v>
      </c>
      <c r="G943" t="s">
        <v>10758</v>
      </c>
      <c r="H943" t="s">
        <v>10759</v>
      </c>
    </row>
    <row r="944" spans="1:8" x14ac:dyDescent="0.35">
      <c r="A944" t="s">
        <v>2064</v>
      </c>
      <c r="B944" t="s">
        <v>2065</v>
      </c>
      <c r="C944" t="s">
        <v>10761</v>
      </c>
      <c r="E944" t="s">
        <v>10762</v>
      </c>
      <c r="F944" t="s">
        <v>10763</v>
      </c>
      <c r="G944" t="s">
        <v>10764</v>
      </c>
      <c r="H944" t="s">
        <v>10765</v>
      </c>
    </row>
    <row r="945" spans="1:8" ht="29" x14ac:dyDescent="0.35">
      <c r="A945" t="s">
        <v>2064</v>
      </c>
      <c r="B945" t="s">
        <v>2065</v>
      </c>
      <c r="C945" t="s">
        <v>10760</v>
      </c>
      <c r="E945" t="s">
        <v>10766</v>
      </c>
      <c r="F945" s="19" t="s">
        <v>10767</v>
      </c>
      <c r="G945" s="1" t="s">
        <v>10768</v>
      </c>
      <c r="H945" t="s">
        <v>10769</v>
      </c>
    </row>
    <row r="946" spans="1:8" ht="29" x14ac:dyDescent="0.35">
      <c r="A946" t="s">
        <v>4552</v>
      </c>
      <c r="B946" t="s">
        <v>4553</v>
      </c>
      <c r="C946" t="s">
        <v>8651</v>
      </c>
      <c r="E946" t="s">
        <v>10770</v>
      </c>
      <c r="F946" t="s">
        <v>10771</v>
      </c>
      <c r="G946" s="1" t="s">
        <v>10772</v>
      </c>
      <c r="H946" t="s">
        <v>10773</v>
      </c>
    </row>
    <row r="947" spans="1:8" x14ac:dyDescent="0.35">
      <c r="A947" t="s">
        <v>4466</v>
      </c>
      <c r="B947" t="s">
        <v>4467</v>
      </c>
      <c r="C947" t="s">
        <v>8641</v>
      </c>
      <c r="E947" t="s">
        <v>10774</v>
      </c>
      <c r="F947" t="s">
        <v>10775</v>
      </c>
      <c r="G947" s="1" t="s">
        <v>10776</v>
      </c>
      <c r="H947" t="s">
        <v>10777</v>
      </c>
    </row>
    <row r="948" spans="1:8" x14ac:dyDescent="0.35">
      <c r="A948" t="s">
        <v>7817</v>
      </c>
      <c r="B948" t="s">
        <v>7818</v>
      </c>
      <c r="C948" t="s">
        <v>8831</v>
      </c>
      <c r="E948" t="s">
        <v>10778</v>
      </c>
      <c r="F948" t="s">
        <v>10779</v>
      </c>
      <c r="G948" t="s">
        <v>10780</v>
      </c>
      <c r="H948" t="s">
        <v>10781</v>
      </c>
    </row>
    <row r="949" spans="1:8" x14ac:dyDescent="0.35">
      <c r="A949" t="s">
        <v>7817</v>
      </c>
      <c r="B949" t="s">
        <v>7818</v>
      </c>
      <c r="C949" t="s">
        <v>8831</v>
      </c>
      <c r="E949" t="s">
        <v>10778</v>
      </c>
      <c r="F949" t="s">
        <v>10782</v>
      </c>
      <c r="G949" s="1" t="s">
        <v>10783</v>
      </c>
      <c r="H949" t="s">
        <v>10784</v>
      </c>
    </row>
    <row r="950" spans="1:8" ht="29" x14ac:dyDescent="0.35">
      <c r="A950" t="s">
        <v>4536</v>
      </c>
      <c r="B950" t="s">
        <v>4537</v>
      </c>
      <c r="C950" t="s">
        <v>10786</v>
      </c>
      <c r="E950" t="s">
        <v>10787</v>
      </c>
      <c r="F950" t="s">
        <v>10788</v>
      </c>
      <c r="G950" s="1" t="s">
        <v>10789</v>
      </c>
      <c r="H950" t="s">
        <v>10790</v>
      </c>
    </row>
    <row r="951" spans="1:8" x14ac:dyDescent="0.35">
      <c r="A951" t="s">
        <v>4536</v>
      </c>
      <c r="B951" t="s">
        <v>4537</v>
      </c>
      <c r="C951" t="s">
        <v>10785</v>
      </c>
      <c r="E951" t="s">
        <v>10791</v>
      </c>
      <c r="F951" t="s">
        <v>10792</v>
      </c>
      <c r="G951" t="s">
        <v>10793</v>
      </c>
      <c r="H951" t="s">
        <v>10794</v>
      </c>
    </row>
    <row r="952" spans="1:8" x14ac:dyDescent="0.35">
      <c r="A952" t="s">
        <v>1270</v>
      </c>
      <c r="B952" t="s">
        <v>1271</v>
      </c>
      <c r="C952" t="s">
        <v>8475</v>
      </c>
      <c r="E952" t="s">
        <v>10795</v>
      </c>
      <c r="F952" t="s">
        <v>10796</v>
      </c>
      <c r="G952" s="1" t="s">
        <v>10797</v>
      </c>
      <c r="H952" t="s">
        <v>10798</v>
      </c>
    </row>
    <row r="953" spans="1:8" ht="29" x14ac:dyDescent="0.35">
      <c r="A953" t="s">
        <v>1270</v>
      </c>
      <c r="B953" t="s">
        <v>1271</v>
      </c>
      <c r="C953" t="s">
        <v>8475</v>
      </c>
      <c r="E953" t="s">
        <v>10795</v>
      </c>
      <c r="F953" t="s">
        <v>10799</v>
      </c>
      <c r="G953" s="1" t="s">
        <v>10800</v>
      </c>
      <c r="H953" t="s">
        <v>10801</v>
      </c>
    </row>
    <row r="954" spans="1:8" ht="29" x14ac:dyDescent="0.35">
      <c r="A954" t="s">
        <v>6604</v>
      </c>
      <c r="B954" t="s">
        <v>6605</v>
      </c>
      <c r="C954" t="s">
        <v>8766</v>
      </c>
      <c r="E954" t="s">
        <v>10802</v>
      </c>
      <c r="F954" t="s">
        <v>10803</v>
      </c>
      <c r="G954" s="1" t="s">
        <v>10804</v>
      </c>
      <c r="H954" t="s">
        <v>10805</v>
      </c>
    </row>
    <row r="955" spans="1:8" x14ac:dyDescent="0.35">
      <c r="A955" t="s">
        <v>8244</v>
      </c>
      <c r="B955" t="s">
        <v>8245</v>
      </c>
      <c r="C955" t="s">
        <v>10807</v>
      </c>
      <c r="E955" t="s">
        <v>10808</v>
      </c>
      <c r="F955" t="s">
        <v>10809</v>
      </c>
      <c r="G955" s="1" t="s">
        <v>10810</v>
      </c>
      <c r="H955" t="s">
        <v>10811</v>
      </c>
    </row>
    <row r="956" spans="1:8" ht="29" x14ac:dyDescent="0.35">
      <c r="A956" t="s">
        <v>8244</v>
      </c>
      <c r="B956" t="s">
        <v>8245</v>
      </c>
      <c r="C956" t="s">
        <v>10806</v>
      </c>
      <c r="E956" t="s">
        <v>10812</v>
      </c>
      <c r="F956" t="s">
        <v>10813</v>
      </c>
      <c r="G956" s="1" t="s">
        <v>10814</v>
      </c>
      <c r="H956" t="s">
        <v>10815</v>
      </c>
    </row>
    <row r="957" spans="1:8" ht="29" x14ac:dyDescent="0.35">
      <c r="A957" t="s">
        <v>3226</v>
      </c>
      <c r="B957" t="s">
        <v>3227</v>
      </c>
      <c r="C957" t="s">
        <v>8566</v>
      </c>
      <c r="E957" t="s">
        <v>10816</v>
      </c>
      <c r="F957" t="s">
        <v>10817</v>
      </c>
      <c r="G957" s="1" t="s">
        <v>10818</v>
      </c>
      <c r="H957" t="s">
        <v>10819</v>
      </c>
    </row>
    <row r="958" spans="1:8" ht="29" x14ac:dyDescent="0.35">
      <c r="A958" t="s">
        <v>7592</v>
      </c>
      <c r="B958" t="s">
        <v>7593</v>
      </c>
      <c r="C958" t="s">
        <v>8826</v>
      </c>
      <c r="E958" t="s">
        <v>10820</v>
      </c>
      <c r="F958" t="s">
        <v>10821</v>
      </c>
      <c r="G958" s="1" t="s">
        <v>10822</v>
      </c>
      <c r="H958" t="s">
        <v>10823</v>
      </c>
    </row>
    <row r="959" spans="1:8" ht="29" x14ac:dyDescent="0.35">
      <c r="A959" t="s">
        <v>7592</v>
      </c>
      <c r="B959" t="s">
        <v>7593</v>
      </c>
      <c r="C959" t="s">
        <v>8826</v>
      </c>
      <c r="E959" t="s">
        <v>10820</v>
      </c>
      <c r="F959" t="s">
        <v>10824</v>
      </c>
      <c r="G959" s="1" t="s">
        <v>10825</v>
      </c>
      <c r="H959" t="s">
        <v>10826</v>
      </c>
    </row>
    <row r="960" spans="1:8" x14ac:dyDescent="0.35">
      <c r="A960" t="s">
        <v>7592</v>
      </c>
      <c r="B960" t="s">
        <v>7593</v>
      </c>
      <c r="C960" t="s">
        <v>8826</v>
      </c>
      <c r="E960" t="s">
        <v>10820</v>
      </c>
      <c r="F960" t="s">
        <v>10827</v>
      </c>
      <c r="G960" s="1" t="s">
        <v>10828</v>
      </c>
      <c r="H960" t="s">
        <v>10829</v>
      </c>
    </row>
    <row r="961" spans="1:8" ht="29" x14ac:dyDescent="0.35">
      <c r="A961" t="s">
        <v>7592</v>
      </c>
      <c r="B961" t="s">
        <v>7593</v>
      </c>
      <c r="C961" t="s">
        <v>8826</v>
      </c>
      <c r="E961" t="s">
        <v>10820</v>
      </c>
      <c r="F961" t="s">
        <v>10830</v>
      </c>
      <c r="G961" s="1" t="s">
        <v>10831</v>
      </c>
      <c r="H961" t="s">
        <v>10832</v>
      </c>
    </row>
    <row r="962" spans="1:8" ht="29" x14ac:dyDescent="0.35">
      <c r="A962" t="s">
        <v>7396</v>
      </c>
      <c r="B962" t="s">
        <v>7397</v>
      </c>
      <c r="C962" t="s">
        <v>8815</v>
      </c>
      <c r="E962" t="s">
        <v>10833</v>
      </c>
      <c r="F962" t="s">
        <v>10834</v>
      </c>
      <c r="G962" s="1" t="s">
        <v>10835</v>
      </c>
      <c r="H962" t="s">
        <v>10836</v>
      </c>
    </row>
    <row r="963" spans="1:8" ht="29" x14ac:dyDescent="0.35">
      <c r="A963" t="s">
        <v>1140</v>
      </c>
      <c r="B963" t="s">
        <v>1141</v>
      </c>
      <c r="C963" t="s">
        <v>8465</v>
      </c>
      <c r="E963" t="s">
        <v>10837</v>
      </c>
      <c r="F963" t="s">
        <v>10838</v>
      </c>
      <c r="G963" s="1" t="s">
        <v>10839</v>
      </c>
      <c r="H963" t="s">
        <v>10840</v>
      </c>
    </row>
    <row r="964" spans="1:8" x14ac:dyDescent="0.35">
      <c r="A964" t="s">
        <v>6421</v>
      </c>
      <c r="B964" t="s">
        <v>6422</v>
      </c>
      <c r="C964" t="s">
        <v>8756</v>
      </c>
      <c r="E964" t="s">
        <v>10841</v>
      </c>
      <c r="F964" t="s">
        <v>10842</v>
      </c>
      <c r="G964" s="1" t="s">
        <v>10843</v>
      </c>
      <c r="H964" t="s">
        <v>10844</v>
      </c>
    </row>
    <row r="965" spans="1:8" ht="29" x14ac:dyDescent="0.35">
      <c r="A965" t="s">
        <v>8233</v>
      </c>
      <c r="B965" t="s">
        <v>8234</v>
      </c>
      <c r="C965" t="s">
        <v>8850</v>
      </c>
      <c r="E965" t="s">
        <v>10845</v>
      </c>
      <c r="F965" t="s">
        <v>10846</v>
      </c>
      <c r="G965" s="1" t="s">
        <v>10847</v>
      </c>
      <c r="H965" t="s">
        <v>10848</v>
      </c>
    </row>
    <row r="966" spans="1:8" ht="29" x14ac:dyDescent="0.35">
      <c r="A966" t="s">
        <v>8233</v>
      </c>
      <c r="B966" t="s">
        <v>8234</v>
      </c>
      <c r="C966" t="s">
        <v>8850</v>
      </c>
      <c r="E966" t="s">
        <v>10845</v>
      </c>
      <c r="F966" t="s">
        <v>10849</v>
      </c>
      <c r="G966" s="1" t="s">
        <v>10850</v>
      </c>
      <c r="H966" t="s">
        <v>10851</v>
      </c>
    </row>
    <row r="967" spans="1:8" ht="29" x14ac:dyDescent="0.35">
      <c r="A967" t="s">
        <v>1919</v>
      </c>
      <c r="B967" t="s">
        <v>1920</v>
      </c>
      <c r="C967" t="s">
        <v>8501</v>
      </c>
      <c r="E967" t="s">
        <v>10852</v>
      </c>
      <c r="F967" t="s">
        <v>10853</v>
      </c>
      <c r="G967" s="1" t="s">
        <v>10854</v>
      </c>
      <c r="H967" t="s">
        <v>10855</v>
      </c>
    </row>
    <row r="968" spans="1:8" ht="29" x14ac:dyDescent="0.35">
      <c r="A968" t="s">
        <v>2014</v>
      </c>
      <c r="B968" t="s">
        <v>2015</v>
      </c>
      <c r="C968" t="s">
        <v>8501</v>
      </c>
      <c r="E968" t="s">
        <v>10852</v>
      </c>
      <c r="F968" t="s">
        <v>10853</v>
      </c>
      <c r="G968" s="1" t="s">
        <v>10854</v>
      </c>
      <c r="H968" t="s">
        <v>10855</v>
      </c>
    </row>
    <row r="969" spans="1:8" ht="29" x14ac:dyDescent="0.35">
      <c r="A969" t="s">
        <v>1345</v>
      </c>
      <c r="B969" t="s">
        <v>1346</v>
      </c>
      <c r="C969" t="s">
        <v>8480</v>
      </c>
      <c r="E969" t="s">
        <v>10856</v>
      </c>
      <c r="F969" t="s">
        <v>10857</v>
      </c>
      <c r="G969" s="1" t="s">
        <v>10858</v>
      </c>
      <c r="H969" t="s">
        <v>10859</v>
      </c>
    </row>
    <row r="970" spans="1:8" ht="29" x14ac:dyDescent="0.35">
      <c r="A970" t="s">
        <v>1345</v>
      </c>
      <c r="B970" t="s">
        <v>1346</v>
      </c>
      <c r="C970" t="s">
        <v>8480</v>
      </c>
      <c r="E970" t="s">
        <v>10856</v>
      </c>
      <c r="F970" t="s">
        <v>10860</v>
      </c>
      <c r="G970" s="1" t="s">
        <v>10861</v>
      </c>
      <c r="H970" t="s">
        <v>10862</v>
      </c>
    </row>
    <row r="971" spans="1:8" ht="29" x14ac:dyDescent="0.35">
      <c r="A971" t="s">
        <v>7103</v>
      </c>
      <c r="B971" t="s">
        <v>7104</v>
      </c>
      <c r="C971" t="s">
        <v>8791</v>
      </c>
      <c r="E971" t="s">
        <v>10863</v>
      </c>
      <c r="F971" t="s">
        <v>10864</v>
      </c>
      <c r="G971" s="1" t="s">
        <v>10865</v>
      </c>
      <c r="H971" t="s">
        <v>10866</v>
      </c>
    </row>
    <row r="972" spans="1:8" x14ac:dyDescent="0.35">
      <c r="A972" t="s">
        <v>3701</v>
      </c>
      <c r="B972" t="s">
        <v>3702</v>
      </c>
      <c r="C972" t="s">
        <v>8596</v>
      </c>
      <c r="E972" t="s">
        <v>10867</v>
      </c>
      <c r="F972" t="s">
        <v>10868</v>
      </c>
      <c r="G972" s="1" t="s">
        <v>10869</v>
      </c>
      <c r="H972" t="s">
        <v>10870</v>
      </c>
    </row>
    <row r="973" spans="1:8" x14ac:dyDescent="0.35">
      <c r="A973" t="s">
        <v>3407</v>
      </c>
      <c r="B973" t="s">
        <v>3408</v>
      </c>
      <c r="C973" t="s">
        <v>8577</v>
      </c>
      <c r="E973" t="s">
        <v>10871</v>
      </c>
      <c r="F973" t="s">
        <v>10872</v>
      </c>
      <c r="G973" s="1" t="s">
        <v>10873</v>
      </c>
      <c r="H973" t="s">
        <v>10874</v>
      </c>
    </row>
    <row r="975" spans="1:8" ht="29" x14ac:dyDescent="0.35">
      <c r="A975" t="s">
        <v>1238</v>
      </c>
      <c r="B975" t="s">
        <v>1239</v>
      </c>
      <c r="C975" t="s">
        <v>8472</v>
      </c>
      <c r="E975" t="s">
        <v>10875</v>
      </c>
      <c r="F975" t="s">
        <v>10876</v>
      </c>
      <c r="G975" s="1" t="s">
        <v>10877</v>
      </c>
      <c r="H975" t="s">
        <v>10878</v>
      </c>
    </row>
    <row r="976" spans="1:8" ht="29" x14ac:dyDescent="0.35">
      <c r="A976" t="s">
        <v>2805</v>
      </c>
      <c r="B976" t="s">
        <v>2806</v>
      </c>
      <c r="C976" t="s">
        <v>8543</v>
      </c>
      <c r="E976" t="s">
        <v>10879</v>
      </c>
      <c r="F976" t="s">
        <v>10880</v>
      </c>
      <c r="G976" s="1" t="s">
        <v>10881</v>
      </c>
      <c r="H976" t="s">
        <v>10882</v>
      </c>
    </row>
    <row r="977" spans="1:8" ht="29" x14ac:dyDescent="0.35">
      <c r="A977" t="s">
        <v>2805</v>
      </c>
      <c r="B977" t="s">
        <v>2806</v>
      </c>
      <c r="C977" t="s">
        <v>8543</v>
      </c>
      <c r="E977" t="s">
        <v>10879</v>
      </c>
      <c r="F977" t="s">
        <v>10883</v>
      </c>
      <c r="G977" s="1" t="s">
        <v>10884</v>
      </c>
      <c r="H977" t="s">
        <v>10885</v>
      </c>
    </row>
    <row r="978" spans="1:8" x14ac:dyDescent="0.35">
      <c r="A978" t="s">
        <v>1354</v>
      </c>
      <c r="B978" t="s">
        <v>1355</v>
      </c>
      <c r="C978" t="s">
        <v>8482</v>
      </c>
      <c r="E978" t="s">
        <v>10886</v>
      </c>
      <c r="F978" t="s">
        <v>10887</v>
      </c>
      <c r="G978" s="1" t="s">
        <v>10888</v>
      </c>
      <c r="H978" t="s">
        <v>10889</v>
      </c>
    </row>
    <row r="979" spans="1:8" ht="29" x14ac:dyDescent="0.35">
      <c r="A979" t="s">
        <v>1234</v>
      </c>
      <c r="B979" t="s">
        <v>1235</v>
      </c>
      <c r="C979" t="s">
        <v>8471</v>
      </c>
      <c r="E979" t="s">
        <v>10890</v>
      </c>
      <c r="F979" t="s">
        <v>10891</v>
      </c>
      <c r="G979" s="1" t="s">
        <v>10892</v>
      </c>
      <c r="H979" t="s">
        <v>10893</v>
      </c>
    </row>
    <row r="980" spans="1:8" ht="29" x14ac:dyDescent="0.35">
      <c r="A980" t="s">
        <v>5793</v>
      </c>
      <c r="B980" t="s">
        <v>5794</v>
      </c>
      <c r="C980" t="s">
        <v>8716</v>
      </c>
      <c r="E980" t="s">
        <v>10894</v>
      </c>
      <c r="F980" t="s">
        <v>10895</v>
      </c>
      <c r="G980" s="1" t="s">
        <v>10896</v>
      </c>
      <c r="H980" t="s">
        <v>10897</v>
      </c>
    </row>
    <row r="981" spans="1:8" ht="29" x14ac:dyDescent="0.35">
      <c r="A981" t="s">
        <v>2897</v>
      </c>
      <c r="B981" t="s">
        <v>2898</v>
      </c>
      <c r="C981" t="s">
        <v>8549</v>
      </c>
      <c r="E981" t="s">
        <v>10898</v>
      </c>
      <c r="F981" t="s">
        <v>10899</v>
      </c>
      <c r="G981" s="1" t="s">
        <v>10900</v>
      </c>
      <c r="H981" t="s">
        <v>10901</v>
      </c>
    </row>
    <row r="982" spans="1:8" ht="29" x14ac:dyDescent="0.35">
      <c r="A982" t="s">
        <v>8248</v>
      </c>
      <c r="B982" t="s">
        <v>8249</v>
      </c>
      <c r="C982" t="s">
        <v>8852</v>
      </c>
      <c r="E982" t="s">
        <v>10902</v>
      </c>
      <c r="F982" t="s">
        <v>10903</v>
      </c>
      <c r="G982" s="1" t="s">
        <v>10904</v>
      </c>
      <c r="H982" t="s">
        <v>10905</v>
      </c>
    </row>
    <row r="983" spans="1:8" ht="29" x14ac:dyDescent="0.35">
      <c r="A983" t="s">
        <v>8248</v>
      </c>
      <c r="B983" t="s">
        <v>8249</v>
      </c>
      <c r="C983" t="s">
        <v>8852</v>
      </c>
      <c r="E983" t="s">
        <v>10902</v>
      </c>
      <c r="F983" t="s">
        <v>10906</v>
      </c>
      <c r="G983" s="1" t="s">
        <v>10907</v>
      </c>
      <c r="H983" t="s">
        <v>10908</v>
      </c>
    </row>
    <row r="984" spans="1:8" ht="29" x14ac:dyDescent="0.35">
      <c r="A984" t="s">
        <v>8248</v>
      </c>
      <c r="B984" t="s">
        <v>8249</v>
      </c>
      <c r="C984" t="s">
        <v>8852</v>
      </c>
      <c r="E984" t="s">
        <v>10902</v>
      </c>
      <c r="F984" t="s">
        <v>10909</v>
      </c>
      <c r="G984" s="1" t="s">
        <v>10910</v>
      </c>
      <c r="H984" t="s">
        <v>10911</v>
      </c>
    </row>
    <row r="985" spans="1:8" ht="29" x14ac:dyDescent="0.35">
      <c r="A985" t="s">
        <v>8252</v>
      </c>
      <c r="B985" t="s">
        <v>8253</v>
      </c>
      <c r="C985" t="s">
        <v>8852</v>
      </c>
      <c r="E985" t="s">
        <v>10902</v>
      </c>
      <c r="F985" t="s">
        <v>10903</v>
      </c>
      <c r="G985" s="1" t="s">
        <v>10904</v>
      </c>
      <c r="H985" t="s">
        <v>10905</v>
      </c>
    </row>
    <row r="986" spans="1:8" ht="29" x14ac:dyDescent="0.35">
      <c r="A986" t="s">
        <v>8252</v>
      </c>
      <c r="B986" t="s">
        <v>8253</v>
      </c>
      <c r="C986" t="s">
        <v>8852</v>
      </c>
      <c r="E986" t="s">
        <v>10902</v>
      </c>
      <c r="F986" t="s">
        <v>10906</v>
      </c>
      <c r="G986" s="1" t="s">
        <v>10907</v>
      </c>
      <c r="H986" t="s">
        <v>10908</v>
      </c>
    </row>
    <row r="987" spans="1:8" ht="29" x14ac:dyDescent="0.35">
      <c r="A987" t="s">
        <v>8252</v>
      </c>
      <c r="B987" t="s">
        <v>8253</v>
      </c>
      <c r="C987" t="s">
        <v>8852</v>
      </c>
      <c r="E987" t="s">
        <v>10902</v>
      </c>
      <c r="F987" t="s">
        <v>10909</v>
      </c>
      <c r="G987" s="1" t="s">
        <v>10910</v>
      </c>
      <c r="H987" t="s">
        <v>10911</v>
      </c>
    </row>
    <row r="988" spans="1:8" ht="29" x14ac:dyDescent="0.35">
      <c r="A988" t="s">
        <v>1260</v>
      </c>
      <c r="B988" t="s">
        <v>1261</v>
      </c>
      <c r="C988" t="s">
        <v>8474</v>
      </c>
      <c r="E988" t="s">
        <v>10912</v>
      </c>
      <c r="F988" t="s">
        <v>10913</v>
      </c>
      <c r="G988" s="1" t="s">
        <v>13918</v>
      </c>
      <c r="H988" t="s">
        <v>10914</v>
      </c>
    </row>
    <row r="989" spans="1:8" ht="29" x14ac:dyDescent="0.35">
      <c r="A989" t="s">
        <v>2012</v>
      </c>
      <c r="B989" t="s">
        <v>2013</v>
      </c>
      <c r="C989" t="s">
        <v>10916</v>
      </c>
      <c r="E989" t="s">
        <v>10917</v>
      </c>
      <c r="F989" t="s">
        <v>10918</v>
      </c>
      <c r="G989" s="1" t="s">
        <v>10919</v>
      </c>
      <c r="H989" t="s">
        <v>10920</v>
      </c>
    </row>
    <row r="990" spans="1:8" ht="29" x14ac:dyDescent="0.35">
      <c r="A990" t="s">
        <v>2012</v>
      </c>
      <c r="B990" t="s">
        <v>2013</v>
      </c>
      <c r="C990" t="s">
        <v>10916</v>
      </c>
      <c r="E990" t="s">
        <v>10917</v>
      </c>
      <c r="F990" t="s">
        <v>10921</v>
      </c>
      <c r="G990" s="1" t="s">
        <v>10922</v>
      </c>
      <c r="H990" t="s">
        <v>10923</v>
      </c>
    </row>
    <row r="991" spans="1:8" x14ac:dyDescent="0.35">
      <c r="A991" t="s">
        <v>2012</v>
      </c>
      <c r="B991" t="s">
        <v>2013</v>
      </c>
      <c r="C991" t="s">
        <v>10916</v>
      </c>
      <c r="E991" t="s">
        <v>10917</v>
      </c>
      <c r="F991" t="s">
        <v>10924</v>
      </c>
      <c r="G991" t="s">
        <v>10925</v>
      </c>
      <c r="H991" t="s">
        <v>10926</v>
      </c>
    </row>
    <row r="992" spans="1:8" ht="29" x14ac:dyDescent="0.35">
      <c r="A992" t="s">
        <v>2012</v>
      </c>
      <c r="B992" t="s">
        <v>2013</v>
      </c>
      <c r="C992" t="s">
        <v>10915</v>
      </c>
      <c r="E992" t="s">
        <v>10927</v>
      </c>
      <c r="F992" t="s">
        <v>10928</v>
      </c>
      <c r="G992" s="1" t="s">
        <v>10929</v>
      </c>
      <c r="H992" t="s">
        <v>10930</v>
      </c>
    </row>
    <row r="993" spans="1:8" x14ac:dyDescent="0.35">
      <c r="A993" t="s">
        <v>3724</v>
      </c>
      <c r="B993" t="s">
        <v>3725</v>
      </c>
      <c r="C993" t="s">
        <v>8597</v>
      </c>
      <c r="E993" t="s">
        <v>10931</v>
      </c>
      <c r="F993" t="s">
        <v>10932</v>
      </c>
      <c r="G993" s="1" t="s">
        <v>10933</v>
      </c>
      <c r="H993" t="s">
        <v>10934</v>
      </c>
    </row>
    <row r="994" spans="1:8" ht="29" x14ac:dyDescent="0.35">
      <c r="A994" t="s">
        <v>3724</v>
      </c>
      <c r="B994" t="s">
        <v>3725</v>
      </c>
      <c r="C994" t="s">
        <v>8597</v>
      </c>
      <c r="E994" t="s">
        <v>10931</v>
      </c>
      <c r="F994" t="s">
        <v>10935</v>
      </c>
      <c r="G994" s="1" t="s">
        <v>10936</v>
      </c>
      <c r="H994" t="s">
        <v>10937</v>
      </c>
    </row>
    <row r="995" spans="1:8" ht="29" x14ac:dyDescent="0.35">
      <c r="A995" t="s">
        <v>3724</v>
      </c>
      <c r="B995" t="s">
        <v>3725</v>
      </c>
      <c r="C995" t="s">
        <v>8597</v>
      </c>
      <c r="E995" t="s">
        <v>10931</v>
      </c>
      <c r="F995" t="s">
        <v>10938</v>
      </c>
      <c r="G995" s="1" t="s">
        <v>10936</v>
      </c>
      <c r="H995" t="s">
        <v>10939</v>
      </c>
    </row>
    <row r="996" spans="1:8" x14ac:dyDescent="0.35">
      <c r="A996" t="s">
        <v>3728</v>
      </c>
      <c r="B996" t="s">
        <v>3729</v>
      </c>
      <c r="C996" t="s">
        <v>8597</v>
      </c>
      <c r="E996" t="s">
        <v>10931</v>
      </c>
      <c r="F996" t="s">
        <v>10932</v>
      </c>
      <c r="G996" t="s">
        <v>10933</v>
      </c>
      <c r="H996" t="s">
        <v>10934</v>
      </c>
    </row>
    <row r="997" spans="1:8" ht="29" x14ac:dyDescent="0.35">
      <c r="A997" t="s">
        <v>3728</v>
      </c>
      <c r="B997" t="s">
        <v>3729</v>
      </c>
      <c r="C997" t="s">
        <v>8597</v>
      </c>
      <c r="E997" t="s">
        <v>10931</v>
      </c>
      <c r="F997" t="s">
        <v>10935</v>
      </c>
      <c r="G997" s="1" t="s">
        <v>10936</v>
      </c>
      <c r="H997" t="s">
        <v>10937</v>
      </c>
    </row>
    <row r="998" spans="1:8" ht="29" x14ac:dyDescent="0.35">
      <c r="A998" t="s">
        <v>3728</v>
      </c>
      <c r="B998" t="s">
        <v>3729</v>
      </c>
      <c r="C998" t="s">
        <v>8597</v>
      </c>
      <c r="E998" t="s">
        <v>10931</v>
      </c>
      <c r="F998" t="s">
        <v>10938</v>
      </c>
      <c r="G998" s="1" t="s">
        <v>10936</v>
      </c>
      <c r="H998" t="s">
        <v>10939</v>
      </c>
    </row>
    <row r="999" spans="1:8" ht="29" x14ac:dyDescent="0.35">
      <c r="A999" t="s">
        <v>1003</v>
      </c>
      <c r="B999" t="s">
        <v>1004</v>
      </c>
      <c r="C999" t="s">
        <v>8458</v>
      </c>
      <c r="E999" t="s">
        <v>10940</v>
      </c>
      <c r="F999" t="s">
        <v>10941</v>
      </c>
      <c r="G999" s="1" t="s">
        <v>10942</v>
      </c>
      <c r="H999" t="s">
        <v>10943</v>
      </c>
    </row>
    <row r="1000" spans="1:8" ht="29" x14ac:dyDescent="0.35">
      <c r="A1000" t="s">
        <v>972</v>
      </c>
      <c r="B1000" t="s">
        <v>973</v>
      </c>
      <c r="C1000" t="s">
        <v>8456</v>
      </c>
      <c r="E1000" t="s">
        <v>10944</v>
      </c>
      <c r="F1000" t="s">
        <v>10945</v>
      </c>
      <c r="G1000" s="1" t="s">
        <v>10946</v>
      </c>
      <c r="H1000" t="s">
        <v>10947</v>
      </c>
    </row>
    <row r="1001" spans="1:8" ht="29" x14ac:dyDescent="0.35">
      <c r="A1001" t="s">
        <v>7906</v>
      </c>
      <c r="B1001" t="s">
        <v>7907</v>
      </c>
      <c r="C1001" t="s">
        <v>8837</v>
      </c>
      <c r="E1001" t="s">
        <v>10948</v>
      </c>
      <c r="F1001" t="s">
        <v>10949</v>
      </c>
      <c r="G1001" s="1" t="s">
        <v>10950</v>
      </c>
      <c r="H1001" t="s">
        <v>10951</v>
      </c>
    </row>
    <row r="1002" spans="1:8" ht="29" x14ac:dyDescent="0.35">
      <c r="A1002" t="s">
        <v>7906</v>
      </c>
      <c r="B1002" t="s">
        <v>7907</v>
      </c>
      <c r="C1002" t="s">
        <v>8837</v>
      </c>
      <c r="E1002" t="s">
        <v>10948</v>
      </c>
      <c r="F1002" t="s">
        <v>10952</v>
      </c>
      <c r="G1002" s="1" t="s">
        <v>10953</v>
      </c>
      <c r="H1002" t="s">
        <v>10954</v>
      </c>
    </row>
    <row r="1003" spans="1:8" x14ac:dyDescent="0.35">
      <c r="A1003" t="s">
        <v>3603</v>
      </c>
      <c r="B1003" t="s">
        <v>3604</v>
      </c>
      <c r="C1003" t="s">
        <v>8589</v>
      </c>
      <c r="E1003" t="s">
        <v>10955</v>
      </c>
      <c r="F1003" t="s">
        <v>10956</v>
      </c>
      <c r="G1003" s="1" t="s">
        <v>10957</v>
      </c>
      <c r="H1003" t="s">
        <v>10958</v>
      </c>
    </row>
    <row r="1004" spans="1:8" ht="29" x14ac:dyDescent="0.35">
      <c r="A1004" t="s">
        <v>3603</v>
      </c>
      <c r="B1004" t="s">
        <v>3604</v>
      </c>
      <c r="C1004" t="s">
        <v>8589</v>
      </c>
      <c r="E1004" t="s">
        <v>10955</v>
      </c>
      <c r="F1004" t="s">
        <v>10959</v>
      </c>
      <c r="G1004" s="1" t="s">
        <v>10960</v>
      </c>
      <c r="H1004" t="s">
        <v>10961</v>
      </c>
    </row>
    <row r="1005" spans="1:8" x14ac:dyDescent="0.35">
      <c r="A1005" t="s">
        <v>3603</v>
      </c>
      <c r="B1005" t="s">
        <v>3604</v>
      </c>
      <c r="C1005" t="s">
        <v>8589</v>
      </c>
      <c r="E1005" t="s">
        <v>10955</v>
      </c>
      <c r="F1005" t="s">
        <v>10962</v>
      </c>
      <c r="G1005" s="1" t="s">
        <v>10963</v>
      </c>
      <c r="H1005" t="s">
        <v>10964</v>
      </c>
    </row>
    <row r="1006" spans="1:8" ht="29" x14ac:dyDescent="0.35">
      <c r="A1006" t="s">
        <v>1348</v>
      </c>
      <c r="B1006" t="s">
        <v>1349</v>
      </c>
      <c r="C1006" t="s">
        <v>8481</v>
      </c>
      <c r="E1006" t="s">
        <v>10965</v>
      </c>
      <c r="F1006" t="s">
        <v>10966</v>
      </c>
      <c r="G1006" s="1" t="s">
        <v>10967</v>
      </c>
      <c r="H1006" t="s">
        <v>10968</v>
      </c>
    </row>
    <row r="1007" spans="1:8" ht="29" x14ac:dyDescent="0.35">
      <c r="A1007" t="s">
        <v>6129</v>
      </c>
      <c r="B1007" t="s">
        <v>6130</v>
      </c>
      <c r="C1007" t="s">
        <v>8743</v>
      </c>
      <c r="E1007" t="s">
        <v>10969</v>
      </c>
      <c r="F1007" t="s">
        <v>10970</v>
      </c>
      <c r="G1007" s="1" t="s">
        <v>10971</v>
      </c>
      <c r="H1007" t="s">
        <v>10972</v>
      </c>
    </row>
    <row r="1008" spans="1:8" ht="29" x14ac:dyDescent="0.35">
      <c r="A1008" t="s">
        <v>6129</v>
      </c>
      <c r="B1008" t="s">
        <v>6130</v>
      </c>
      <c r="C1008" t="s">
        <v>8743</v>
      </c>
      <c r="E1008" t="s">
        <v>10969</v>
      </c>
      <c r="F1008" t="s">
        <v>10973</v>
      </c>
      <c r="G1008" s="1" t="s">
        <v>10974</v>
      </c>
      <c r="H1008" t="s">
        <v>10975</v>
      </c>
    </row>
    <row r="1009" spans="1:8" ht="29" x14ac:dyDescent="0.35">
      <c r="A1009" t="s">
        <v>4594</v>
      </c>
      <c r="B1009" t="s">
        <v>4595</v>
      </c>
      <c r="C1009" t="s">
        <v>8656</v>
      </c>
      <c r="E1009" t="s">
        <v>10976</v>
      </c>
      <c r="F1009" t="s">
        <v>10977</v>
      </c>
      <c r="G1009" s="1" t="s">
        <v>10978</v>
      </c>
      <c r="H1009" t="s">
        <v>10979</v>
      </c>
    </row>
    <row r="1010" spans="1:8" ht="29" x14ac:dyDescent="0.35">
      <c r="A1010" t="s">
        <v>4601</v>
      </c>
      <c r="B1010" t="s">
        <v>4602</v>
      </c>
      <c r="C1010" t="s">
        <v>8658</v>
      </c>
      <c r="E1010" t="s">
        <v>10980</v>
      </c>
      <c r="F1010" t="s">
        <v>10981</v>
      </c>
      <c r="G1010" s="1" t="s">
        <v>10982</v>
      </c>
      <c r="H1010" t="s">
        <v>10983</v>
      </c>
    </row>
    <row r="1011" spans="1:8" x14ac:dyDescent="0.35">
      <c r="A1011" t="s">
        <v>893</v>
      </c>
      <c r="B1011" t="s">
        <v>894</v>
      </c>
      <c r="C1011" t="s">
        <v>8453</v>
      </c>
      <c r="E1011" t="s">
        <v>10513</v>
      </c>
    </row>
    <row r="1012" spans="1:8" ht="29" x14ac:dyDescent="0.35">
      <c r="A1012" t="s">
        <v>4239</v>
      </c>
      <c r="B1012" t="s">
        <v>4240</v>
      </c>
      <c r="C1012" t="s">
        <v>8624</v>
      </c>
      <c r="E1012" t="s">
        <v>10984</v>
      </c>
      <c r="F1012" t="s">
        <v>10985</v>
      </c>
      <c r="G1012" s="1" t="s">
        <v>10754</v>
      </c>
      <c r="H1012" t="s">
        <v>10986</v>
      </c>
    </row>
    <row r="1013" spans="1:8" ht="29" x14ac:dyDescent="0.35">
      <c r="A1013" t="s">
        <v>4657</v>
      </c>
      <c r="B1013" t="s">
        <v>4658</v>
      </c>
      <c r="C1013" t="s">
        <v>8664</v>
      </c>
      <c r="E1013" t="s">
        <v>10987</v>
      </c>
      <c r="F1013" t="s">
        <v>10988</v>
      </c>
      <c r="G1013" s="1" t="s">
        <v>10989</v>
      </c>
      <c r="H1013" t="s">
        <v>10990</v>
      </c>
    </row>
    <row r="1014" spans="1:8" ht="29" x14ac:dyDescent="0.35">
      <c r="A1014" t="s">
        <v>4657</v>
      </c>
      <c r="B1014" t="s">
        <v>4658</v>
      </c>
      <c r="C1014" t="s">
        <v>8664</v>
      </c>
      <c r="E1014" t="s">
        <v>10987</v>
      </c>
      <c r="F1014" t="s">
        <v>10991</v>
      </c>
      <c r="G1014" s="1" t="s">
        <v>10989</v>
      </c>
      <c r="H1014" t="s">
        <v>10992</v>
      </c>
    </row>
    <row r="1015" spans="1:8" ht="29" x14ac:dyDescent="0.35">
      <c r="A1015" t="s">
        <v>4657</v>
      </c>
      <c r="B1015" t="s">
        <v>4658</v>
      </c>
      <c r="C1015" t="s">
        <v>8664</v>
      </c>
      <c r="E1015" t="s">
        <v>10987</v>
      </c>
      <c r="F1015" t="s">
        <v>10993</v>
      </c>
      <c r="G1015" s="1" t="s">
        <v>10994</v>
      </c>
      <c r="H1015" t="s">
        <v>10995</v>
      </c>
    </row>
    <row r="1016" spans="1:8" ht="29" x14ac:dyDescent="0.35">
      <c r="A1016" t="s">
        <v>4657</v>
      </c>
      <c r="B1016" t="s">
        <v>4658</v>
      </c>
      <c r="C1016" t="s">
        <v>8664</v>
      </c>
      <c r="E1016" t="s">
        <v>10987</v>
      </c>
      <c r="F1016" t="s">
        <v>10996</v>
      </c>
      <c r="G1016" s="1" t="s">
        <v>10997</v>
      </c>
      <c r="H1016" t="s">
        <v>10998</v>
      </c>
    </row>
    <row r="1017" spans="1:8" ht="29" x14ac:dyDescent="0.35">
      <c r="A1017" t="s">
        <v>4657</v>
      </c>
      <c r="B1017" t="s">
        <v>4658</v>
      </c>
      <c r="C1017" t="s">
        <v>8664</v>
      </c>
      <c r="E1017" t="s">
        <v>10987</v>
      </c>
      <c r="F1017" t="s">
        <v>10999</v>
      </c>
      <c r="G1017" s="1" t="s">
        <v>11000</v>
      </c>
      <c r="H1017" t="s">
        <v>11001</v>
      </c>
    </row>
    <row r="1018" spans="1:8" ht="29" x14ac:dyDescent="0.35">
      <c r="A1018" t="s">
        <v>5861</v>
      </c>
      <c r="B1018" t="s">
        <v>5862</v>
      </c>
      <c r="C1018" t="s">
        <v>8721</v>
      </c>
      <c r="E1018" t="s">
        <v>11002</v>
      </c>
      <c r="F1018" t="s">
        <v>11003</v>
      </c>
      <c r="G1018" s="1" t="s">
        <v>11004</v>
      </c>
      <c r="H1018" t="s">
        <v>11005</v>
      </c>
    </row>
    <row r="1019" spans="1:8" ht="29" x14ac:dyDescent="0.35">
      <c r="A1019" t="s">
        <v>5861</v>
      </c>
      <c r="B1019" t="s">
        <v>5862</v>
      </c>
      <c r="C1019" t="s">
        <v>8721</v>
      </c>
      <c r="E1019" t="s">
        <v>11002</v>
      </c>
      <c r="F1019" t="s">
        <v>11006</v>
      </c>
      <c r="G1019" s="1" t="s">
        <v>11007</v>
      </c>
      <c r="H1019" t="s">
        <v>11008</v>
      </c>
    </row>
    <row r="1020" spans="1:8" ht="29" x14ac:dyDescent="0.35">
      <c r="A1020" t="s">
        <v>5861</v>
      </c>
      <c r="B1020" t="s">
        <v>5862</v>
      </c>
      <c r="C1020" t="s">
        <v>8721</v>
      </c>
      <c r="E1020" t="s">
        <v>11002</v>
      </c>
      <c r="F1020" t="s">
        <v>11009</v>
      </c>
      <c r="G1020" s="1" t="s">
        <v>11010</v>
      </c>
      <c r="H1020" t="s">
        <v>11011</v>
      </c>
    </row>
    <row r="1021" spans="1:8" x14ac:dyDescent="0.35">
      <c r="A1021" t="s">
        <v>5861</v>
      </c>
      <c r="B1021" t="s">
        <v>5862</v>
      </c>
      <c r="C1021" t="s">
        <v>8721</v>
      </c>
      <c r="E1021" t="s">
        <v>11002</v>
      </c>
      <c r="F1021" t="s">
        <v>10988</v>
      </c>
      <c r="G1021" s="1" t="s">
        <v>11012</v>
      </c>
      <c r="H1021" t="s">
        <v>11013</v>
      </c>
    </row>
    <row r="1022" spans="1:8" ht="29" x14ac:dyDescent="0.35">
      <c r="A1022" t="s">
        <v>5861</v>
      </c>
      <c r="B1022" t="s">
        <v>5862</v>
      </c>
      <c r="C1022" t="s">
        <v>8721</v>
      </c>
      <c r="E1022" t="s">
        <v>11002</v>
      </c>
      <c r="F1022" t="s">
        <v>10999</v>
      </c>
      <c r="G1022" s="1" t="s">
        <v>11014</v>
      </c>
      <c r="H1022" t="s">
        <v>11015</v>
      </c>
    </row>
    <row r="1023" spans="1:8" ht="29" x14ac:dyDescent="0.35">
      <c r="A1023" t="s">
        <v>3955</v>
      </c>
      <c r="B1023" t="s">
        <v>3956</v>
      </c>
      <c r="C1023" t="s">
        <v>8611</v>
      </c>
      <c r="E1023" t="s">
        <v>11016</v>
      </c>
      <c r="F1023" t="s">
        <v>11017</v>
      </c>
      <c r="G1023" s="1" t="s">
        <v>11018</v>
      </c>
      <c r="H1023" t="s">
        <v>11019</v>
      </c>
    </row>
    <row r="1024" spans="1:8" x14ac:dyDescent="0.35">
      <c r="A1024" t="s">
        <v>5774</v>
      </c>
      <c r="B1024" t="s">
        <v>5775</v>
      </c>
      <c r="C1024" t="s">
        <v>8715</v>
      </c>
      <c r="E1024" t="s">
        <v>11027</v>
      </c>
      <c r="F1024" t="s">
        <v>8993</v>
      </c>
      <c r="G1024" s="1" t="s">
        <v>11020</v>
      </c>
      <c r="H1024" t="s">
        <v>10563</v>
      </c>
    </row>
    <row r="1025" spans="1:8" ht="29" x14ac:dyDescent="0.35">
      <c r="A1025" t="s">
        <v>5774</v>
      </c>
      <c r="B1025" t="s">
        <v>5775</v>
      </c>
      <c r="C1025" t="s">
        <v>8715</v>
      </c>
      <c r="E1025" t="s">
        <v>11027</v>
      </c>
      <c r="F1025" t="s">
        <v>11021</v>
      </c>
      <c r="G1025" s="1" t="s">
        <v>11022</v>
      </c>
      <c r="H1025" t="s">
        <v>11023</v>
      </c>
    </row>
    <row r="1026" spans="1:8" ht="29" x14ac:dyDescent="0.35">
      <c r="A1026" t="s">
        <v>5774</v>
      </c>
      <c r="B1026" t="s">
        <v>5775</v>
      </c>
      <c r="C1026" t="s">
        <v>8715</v>
      </c>
      <c r="E1026" t="s">
        <v>11027</v>
      </c>
      <c r="F1026" t="s">
        <v>11024</v>
      </c>
      <c r="G1026" s="1" t="s">
        <v>11025</v>
      </c>
      <c r="H1026" t="s">
        <v>11026</v>
      </c>
    </row>
    <row r="1027" spans="1:8" x14ac:dyDescent="0.35">
      <c r="A1027" t="s">
        <v>5784</v>
      </c>
      <c r="B1027" t="s">
        <v>5785</v>
      </c>
      <c r="C1027" t="s">
        <v>8715</v>
      </c>
      <c r="E1027" t="s">
        <v>11027</v>
      </c>
      <c r="F1027" t="s">
        <v>8993</v>
      </c>
      <c r="G1027" s="1" t="s">
        <v>11020</v>
      </c>
      <c r="H1027" t="s">
        <v>10563</v>
      </c>
    </row>
    <row r="1028" spans="1:8" ht="29" x14ac:dyDescent="0.35">
      <c r="A1028" t="s">
        <v>5784</v>
      </c>
      <c r="B1028" t="s">
        <v>5785</v>
      </c>
      <c r="C1028" t="s">
        <v>8715</v>
      </c>
      <c r="E1028" t="s">
        <v>11027</v>
      </c>
      <c r="F1028" t="s">
        <v>11021</v>
      </c>
      <c r="G1028" s="1" t="s">
        <v>11022</v>
      </c>
      <c r="H1028" t="s">
        <v>11023</v>
      </c>
    </row>
    <row r="1029" spans="1:8" ht="29" x14ac:dyDescent="0.35">
      <c r="A1029" t="s">
        <v>5784</v>
      </c>
      <c r="B1029" t="s">
        <v>5785</v>
      </c>
      <c r="C1029" t="s">
        <v>8715</v>
      </c>
      <c r="E1029" t="s">
        <v>11027</v>
      </c>
      <c r="F1029" t="s">
        <v>11024</v>
      </c>
      <c r="G1029" s="1" t="s">
        <v>11025</v>
      </c>
      <c r="H1029" t="s">
        <v>11026</v>
      </c>
    </row>
    <row r="1030" spans="1:8" ht="29" x14ac:dyDescent="0.35">
      <c r="A1030" t="s">
        <v>7158</v>
      </c>
      <c r="B1030" t="s">
        <v>7159</v>
      </c>
      <c r="C1030" t="s">
        <v>8796</v>
      </c>
      <c r="E1030" t="s">
        <v>11028</v>
      </c>
      <c r="F1030" t="s">
        <v>11029</v>
      </c>
      <c r="G1030" s="1" t="s">
        <v>11030</v>
      </c>
      <c r="H1030" t="s">
        <v>11031</v>
      </c>
    </row>
    <row r="1031" spans="1:8" ht="29" x14ac:dyDescent="0.35">
      <c r="A1031" t="s">
        <v>7158</v>
      </c>
      <c r="B1031" t="s">
        <v>7159</v>
      </c>
      <c r="C1031" t="s">
        <v>8796</v>
      </c>
      <c r="E1031" t="s">
        <v>11028</v>
      </c>
      <c r="F1031" t="s">
        <v>11032</v>
      </c>
      <c r="G1031" s="1" t="s">
        <v>11033</v>
      </c>
      <c r="H1031" t="s">
        <v>11034</v>
      </c>
    </row>
    <row r="1032" spans="1:8" ht="29" x14ac:dyDescent="0.35">
      <c r="A1032" t="s">
        <v>7158</v>
      </c>
      <c r="B1032" t="s">
        <v>7159</v>
      </c>
      <c r="C1032" t="s">
        <v>8796</v>
      </c>
      <c r="E1032" t="s">
        <v>11028</v>
      </c>
      <c r="F1032" t="s">
        <v>11035</v>
      </c>
      <c r="G1032" s="1" t="s">
        <v>11036</v>
      </c>
      <c r="H1032" t="s">
        <v>11037</v>
      </c>
    </row>
    <row r="1033" spans="1:8" x14ac:dyDescent="0.35">
      <c r="A1033" t="s">
        <v>5428</v>
      </c>
      <c r="B1033" t="s">
        <v>5429</v>
      </c>
      <c r="C1033" t="s">
        <v>8685</v>
      </c>
      <c r="E1033" t="s">
        <v>11038</v>
      </c>
      <c r="F1033" t="s">
        <v>11039</v>
      </c>
      <c r="G1033" s="1" t="s">
        <v>11040</v>
      </c>
      <c r="H1033" t="s">
        <v>11041</v>
      </c>
    </row>
    <row r="1034" spans="1:8" ht="29" x14ac:dyDescent="0.35">
      <c r="A1034" t="s">
        <v>6364</v>
      </c>
      <c r="B1034" t="s">
        <v>6365</v>
      </c>
      <c r="C1034" t="s">
        <v>8753</v>
      </c>
      <c r="E1034" t="s">
        <v>11042</v>
      </c>
      <c r="F1034" t="s">
        <v>11043</v>
      </c>
      <c r="G1034" s="1" t="s">
        <v>11044</v>
      </c>
      <c r="H1034" t="s">
        <v>11045</v>
      </c>
    </row>
    <row r="1035" spans="1:8" ht="29" x14ac:dyDescent="0.35">
      <c r="A1035" t="s">
        <v>6364</v>
      </c>
      <c r="B1035" t="s">
        <v>6365</v>
      </c>
      <c r="C1035" t="s">
        <v>8753</v>
      </c>
      <c r="E1035" t="s">
        <v>11042</v>
      </c>
      <c r="F1035" t="s">
        <v>11046</v>
      </c>
      <c r="G1035" s="1" t="s">
        <v>11047</v>
      </c>
      <c r="H1035" t="s">
        <v>11048</v>
      </c>
    </row>
    <row r="1036" spans="1:8" ht="29" x14ac:dyDescent="0.35">
      <c r="A1036" t="s">
        <v>6364</v>
      </c>
      <c r="B1036" t="s">
        <v>6365</v>
      </c>
      <c r="C1036" t="s">
        <v>8753</v>
      </c>
      <c r="E1036" t="s">
        <v>11042</v>
      </c>
      <c r="F1036" t="s">
        <v>11049</v>
      </c>
      <c r="G1036" s="1" t="s">
        <v>11050</v>
      </c>
      <c r="H1036" t="s">
        <v>11051</v>
      </c>
    </row>
    <row r="1037" spans="1:8" ht="29" x14ac:dyDescent="0.35">
      <c r="A1037" t="s">
        <v>6364</v>
      </c>
      <c r="B1037" t="s">
        <v>6365</v>
      </c>
      <c r="C1037" t="s">
        <v>8753</v>
      </c>
      <c r="E1037" t="s">
        <v>11042</v>
      </c>
      <c r="F1037" t="s">
        <v>11052</v>
      </c>
      <c r="G1037" s="1" t="s">
        <v>11053</v>
      </c>
      <c r="H1037" t="s">
        <v>11054</v>
      </c>
    </row>
    <row r="1038" spans="1:8" ht="29" x14ac:dyDescent="0.35">
      <c r="A1038" t="s">
        <v>6364</v>
      </c>
      <c r="B1038" t="s">
        <v>6365</v>
      </c>
      <c r="C1038" t="s">
        <v>8753</v>
      </c>
      <c r="E1038" t="s">
        <v>11042</v>
      </c>
      <c r="F1038" t="s">
        <v>11055</v>
      </c>
      <c r="G1038" s="1" t="s">
        <v>11044</v>
      </c>
      <c r="H1038" t="s">
        <v>11056</v>
      </c>
    </row>
    <row r="1039" spans="1:8" ht="29" x14ac:dyDescent="0.35">
      <c r="A1039" t="s">
        <v>6364</v>
      </c>
      <c r="B1039" t="s">
        <v>6365</v>
      </c>
      <c r="C1039" t="s">
        <v>8753</v>
      </c>
      <c r="E1039" t="s">
        <v>11042</v>
      </c>
      <c r="F1039" t="s">
        <v>11057</v>
      </c>
      <c r="G1039" s="1" t="s">
        <v>11058</v>
      </c>
      <c r="H1039" t="s">
        <v>11059</v>
      </c>
    </row>
    <row r="1040" spans="1:8" ht="29" x14ac:dyDescent="0.35">
      <c r="A1040" t="s">
        <v>6364</v>
      </c>
      <c r="B1040" t="s">
        <v>6365</v>
      </c>
      <c r="C1040" t="s">
        <v>8753</v>
      </c>
      <c r="E1040" t="s">
        <v>11042</v>
      </c>
      <c r="F1040" t="s">
        <v>11060</v>
      </c>
      <c r="G1040" s="1" t="s">
        <v>11061</v>
      </c>
      <c r="H1040" t="s">
        <v>11062</v>
      </c>
    </row>
    <row r="1041" spans="1:8" ht="29" x14ac:dyDescent="0.35">
      <c r="A1041" t="s">
        <v>6364</v>
      </c>
      <c r="B1041" t="s">
        <v>6365</v>
      </c>
      <c r="C1041" t="s">
        <v>8753</v>
      </c>
      <c r="E1041" t="s">
        <v>11042</v>
      </c>
      <c r="F1041" t="s">
        <v>11063</v>
      </c>
      <c r="G1041" s="1" t="s">
        <v>11064</v>
      </c>
      <c r="H1041" t="s">
        <v>11065</v>
      </c>
    </row>
    <row r="1042" spans="1:8" ht="29" x14ac:dyDescent="0.35">
      <c r="A1042" t="s">
        <v>7308</v>
      </c>
      <c r="B1042" t="s">
        <v>7309</v>
      </c>
      <c r="C1042" t="s">
        <v>8808</v>
      </c>
      <c r="E1042" t="s">
        <v>11066</v>
      </c>
      <c r="F1042" t="s">
        <v>11067</v>
      </c>
      <c r="G1042" s="1" t="s">
        <v>11068</v>
      </c>
      <c r="H1042" t="s">
        <v>11069</v>
      </c>
    </row>
    <row r="1043" spans="1:8" ht="29" x14ac:dyDescent="0.35">
      <c r="A1043" t="s">
        <v>644</v>
      </c>
      <c r="B1043" t="s">
        <v>645</v>
      </c>
      <c r="C1043" t="s">
        <v>8442</v>
      </c>
      <c r="E1043" s="19" t="s">
        <v>11070</v>
      </c>
      <c r="F1043" t="s">
        <v>11071</v>
      </c>
      <c r="G1043" s="1" t="s">
        <v>11072</v>
      </c>
      <c r="H1043" t="s">
        <v>11073</v>
      </c>
    </row>
    <row r="1044" spans="1:8" ht="29" x14ac:dyDescent="0.35">
      <c r="A1044" t="s">
        <v>4330</v>
      </c>
      <c r="B1044" t="s">
        <v>4331</v>
      </c>
      <c r="C1044" t="s">
        <v>8633</v>
      </c>
      <c r="E1044" t="s">
        <v>11074</v>
      </c>
      <c r="F1044" t="s">
        <v>11075</v>
      </c>
      <c r="G1044" s="1" t="s">
        <v>11076</v>
      </c>
      <c r="H1044" t="s">
        <v>11077</v>
      </c>
    </row>
    <row r="1045" spans="1:8" ht="29" x14ac:dyDescent="0.35">
      <c r="A1045" t="s">
        <v>6792</v>
      </c>
      <c r="B1045" t="s">
        <v>6793</v>
      </c>
      <c r="C1045" t="s">
        <v>8775</v>
      </c>
      <c r="E1045" t="s">
        <v>11078</v>
      </c>
      <c r="F1045" t="s">
        <v>11079</v>
      </c>
      <c r="G1045" s="1" t="s">
        <v>11080</v>
      </c>
      <c r="H1045" t="s">
        <v>11081</v>
      </c>
    </row>
    <row r="1046" spans="1:8" ht="29" x14ac:dyDescent="0.35">
      <c r="A1046" t="s">
        <v>1722</v>
      </c>
      <c r="B1046" t="s">
        <v>1723</v>
      </c>
      <c r="C1046" t="s">
        <v>8492</v>
      </c>
      <c r="E1046" t="s">
        <v>11082</v>
      </c>
      <c r="F1046" t="s">
        <v>11083</v>
      </c>
      <c r="G1046" s="1" t="s">
        <v>11084</v>
      </c>
      <c r="H1046" t="s">
        <v>11085</v>
      </c>
    </row>
    <row r="1047" spans="1:8" ht="29" x14ac:dyDescent="0.35">
      <c r="A1047" t="s">
        <v>6893</v>
      </c>
      <c r="B1047" t="s">
        <v>6894</v>
      </c>
      <c r="C1047" t="s">
        <v>8781</v>
      </c>
      <c r="E1047" t="s">
        <v>11086</v>
      </c>
      <c r="F1047" t="s">
        <v>11087</v>
      </c>
      <c r="G1047" s="1" t="s">
        <v>11088</v>
      </c>
      <c r="H1047" t="s">
        <v>11089</v>
      </c>
    </row>
    <row r="1048" spans="1:8" ht="29" x14ac:dyDescent="0.35">
      <c r="A1048" t="s">
        <v>5344</v>
      </c>
      <c r="B1048" t="s">
        <v>5345</v>
      </c>
      <c r="C1048" t="s">
        <v>8681</v>
      </c>
      <c r="E1048" t="s">
        <v>11090</v>
      </c>
      <c r="F1048" t="s">
        <v>11091</v>
      </c>
      <c r="G1048" s="1" t="s">
        <v>11092</v>
      </c>
      <c r="H1048" t="s">
        <v>11093</v>
      </c>
    </row>
    <row r="1049" spans="1:8" ht="29" x14ac:dyDescent="0.35">
      <c r="A1049" t="s">
        <v>4514</v>
      </c>
      <c r="B1049" t="s">
        <v>4515</v>
      </c>
      <c r="C1049" t="s">
        <v>8646</v>
      </c>
      <c r="E1049" t="s">
        <v>11094</v>
      </c>
      <c r="F1049" t="s">
        <v>11095</v>
      </c>
      <c r="G1049" s="1" t="s">
        <v>10646</v>
      </c>
      <c r="H1049" t="s">
        <v>11096</v>
      </c>
    </row>
    <row r="1050" spans="1:8" x14ac:dyDescent="0.35">
      <c r="A1050" t="s">
        <v>6413</v>
      </c>
      <c r="B1050" t="s">
        <v>6414</v>
      </c>
      <c r="C1050" t="s">
        <v>8754</v>
      </c>
      <c r="E1050" t="s">
        <v>11097</v>
      </c>
      <c r="F1050" t="s">
        <v>11098</v>
      </c>
      <c r="G1050" t="s">
        <v>11099</v>
      </c>
      <c r="H1050" t="s">
        <v>11100</v>
      </c>
    </row>
    <row r="1051" spans="1:8" ht="29" x14ac:dyDescent="0.35">
      <c r="A1051" t="s">
        <v>5279</v>
      </c>
      <c r="B1051" t="s">
        <v>5280</v>
      </c>
      <c r="C1051" t="s">
        <v>8677</v>
      </c>
      <c r="E1051" t="s">
        <v>11101</v>
      </c>
      <c r="F1051" t="s">
        <v>11102</v>
      </c>
      <c r="G1051" s="1" t="s">
        <v>11103</v>
      </c>
      <c r="H1051" t="s">
        <v>11104</v>
      </c>
    </row>
    <row r="1052" spans="1:8" ht="29" x14ac:dyDescent="0.35">
      <c r="A1052" t="s">
        <v>5279</v>
      </c>
      <c r="B1052" t="s">
        <v>5280</v>
      </c>
      <c r="C1052" t="s">
        <v>8677</v>
      </c>
      <c r="E1052" t="s">
        <v>11101</v>
      </c>
      <c r="F1052" t="s">
        <v>11105</v>
      </c>
      <c r="G1052" s="1" t="s">
        <v>11106</v>
      </c>
      <c r="H1052" t="s">
        <v>11107</v>
      </c>
    </row>
    <row r="1053" spans="1:8" ht="29" x14ac:dyDescent="0.35">
      <c r="A1053" t="s">
        <v>5279</v>
      </c>
      <c r="B1053" t="s">
        <v>5280</v>
      </c>
      <c r="C1053" t="s">
        <v>8677</v>
      </c>
      <c r="E1053" t="s">
        <v>11101</v>
      </c>
      <c r="F1053" t="s">
        <v>11108</v>
      </c>
      <c r="G1053" s="1" t="s">
        <v>10942</v>
      </c>
      <c r="H1053" t="s">
        <v>11109</v>
      </c>
    </row>
    <row r="1054" spans="1:8" ht="29" x14ac:dyDescent="0.35">
      <c r="A1054" t="s">
        <v>7285</v>
      </c>
      <c r="B1054" t="s">
        <v>7286</v>
      </c>
      <c r="C1054" t="s">
        <v>8807</v>
      </c>
      <c r="E1054" t="s">
        <v>11110</v>
      </c>
      <c r="F1054" t="s">
        <v>11111</v>
      </c>
      <c r="G1054" s="1" t="s">
        <v>11112</v>
      </c>
      <c r="H1054" t="s">
        <v>11113</v>
      </c>
    </row>
    <row r="1055" spans="1:8" ht="29" x14ac:dyDescent="0.35">
      <c r="A1055" t="s">
        <v>7285</v>
      </c>
      <c r="B1055" t="s">
        <v>7286</v>
      </c>
      <c r="C1055" t="s">
        <v>8807</v>
      </c>
      <c r="E1055" t="s">
        <v>11110</v>
      </c>
      <c r="F1055" t="s">
        <v>11114</v>
      </c>
      <c r="G1055" s="1" t="s">
        <v>11115</v>
      </c>
      <c r="H1055" t="s">
        <v>11116</v>
      </c>
    </row>
    <row r="1056" spans="1:8" ht="29" x14ac:dyDescent="0.35">
      <c r="A1056" t="s">
        <v>3470</v>
      </c>
      <c r="B1056" t="s">
        <v>3471</v>
      </c>
      <c r="C1056" t="s">
        <v>8581</v>
      </c>
      <c r="E1056" t="s">
        <v>11117</v>
      </c>
      <c r="F1056" t="s">
        <v>11118</v>
      </c>
      <c r="G1056" s="1" t="s">
        <v>11119</v>
      </c>
      <c r="H1056" t="s">
        <v>11120</v>
      </c>
    </row>
    <row r="1057" spans="1:8" ht="29" x14ac:dyDescent="0.35">
      <c r="A1057" t="s">
        <v>3470</v>
      </c>
      <c r="B1057" t="s">
        <v>3471</v>
      </c>
      <c r="C1057" t="s">
        <v>8581</v>
      </c>
      <c r="E1057" t="s">
        <v>11117</v>
      </c>
      <c r="F1057" t="s">
        <v>11121</v>
      </c>
      <c r="G1057" s="1" t="s">
        <v>11122</v>
      </c>
      <c r="H1057" t="s">
        <v>11123</v>
      </c>
    </row>
    <row r="1058" spans="1:8" ht="29" x14ac:dyDescent="0.35">
      <c r="A1058" t="s">
        <v>8211</v>
      </c>
      <c r="B1058" t="s">
        <v>8212</v>
      </c>
      <c r="C1058" t="s">
        <v>8848</v>
      </c>
      <c r="E1058" t="s">
        <v>11124</v>
      </c>
      <c r="F1058" t="s">
        <v>11125</v>
      </c>
      <c r="G1058" s="1" t="s">
        <v>11126</v>
      </c>
      <c r="H1058" t="s">
        <v>11127</v>
      </c>
    </row>
    <row r="1059" spans="1:8" ht="29" x14ac:dyDescent="0.35">
      <c r="A1059" t="s">
        <v>133</v>
      </c>
      <c r="B1059" t="s">
        <v>134</v>
      </c>
      <c r="C1059" t="s">
        <v>8419</v>
      </c>
      <c r="E1059" t="s">
        <v>11128</v>
      </c>
      <c r="F1059" t="s">
        <v>11129</v>
      </c>
      <c r="G1059" s="1" t="s">
        <v>11131</v>
      </c>
      <c r="H1059" t="s">
        <v>11132</v>
      </c>
    </row>
    <row r="1060" spans="1:8" x14ac:dyDescent="0.35">
      <c r="A1060" t="s">
        <v>4668</v>
      </c>
      <c r="B1060" t="s">
        <v>4669</v>
      </c>
      <c r="C1060" t="s">
        <v>8419</v>
      </c>
      <c r="E1060" t="s">
        <v>11128</v>
      </c>
      <c r="F1060" t="s">
        <v>11129</v>
      </c>
      <c r="G1060" t="s">
        <v>11130</v>
      </c>
      <c r="H1060" t="s">
        <v>11132</v>
      </c>
    </row>
    <row r="1061" spans="1:8" ht="29" x14ac:dyDescent="0.35">
      <c r="A1061" t="s">
        <v>6659</v>
      </c>
      <c r="B1061" t="s">
        <v>6660</v>
      </c>
      <c r="C1061" t="s">
        <v>8419</v>
      </c>
      <c r="E1061" t="s">
        <v>11128</v>
      </c>
      <c r="F1061" t="s">
        <v>11129</v>
      </c>
      <c r="G1061" s="1" t="s">
        <v>11131</v>
      </c>
      <c r="H1061" t="s">
        <v>11132</v>
      </c>
    </row>
    <row r="1062" spans="1:8" x14ac:dyDescent="0.35">
      <c r="A1062" t="s">
        <v>4470</v>
      </c>
      <c r="B1062" t="s">
        <v>4471</v>
      </c>
      <c r="C1062" t="s">
        <v>8642</v>
      </c>
      <c r="E1062" t="s">
        <v>11133</v>
      </c>
      <c r="F1062" t="s">
        <v>11134</v>
      </c>
      <c r="G1062" s="1" t="s">
        <v>11135</v>
      </c>
      <c r="H1062" t="s">
        <v>11136</v>
      </c>
    </row>
    <row r="1063" spans="1:8" ht="29" x14ac:dyDescent="0.35">
      <c r="A1063" t="s">
        <v>6831</v>
      </c>
      <c r="B1063" t="s">
        <v>6832</v>
      </c>
      <c r="C1063" t="s">
        <v>8777</v>
      </c>
      <c r="E1063" t="s">
        <v>11137</v>
      </c>
      <c r="F1063" t="s">
        <v>11138</v>
      </c>
      <c r="G1063" s="1" t="s">
        <v>11139</v>
      </c>
      <c r="H1063" t="s">
        <v>11140</v>
      </c>
    </row>
    <row r="1064" spans="1:8" ht="29" x14ac:dyDescent="0.35">
      <c r="A1064" t="s">
        <v>6831</v>
      </c>
      <c r="B1064" t="s">
        <v>6832</v>
      </c>
      <c r="C1064" t="s">
        <v>8777</v>
      </c>
      <c r="E1064" t="s">
        <v>11137</v>
      </c>
      <c r="F1064" t="s">
        <v>11141</v>
      </c>
      <c r="G1064" s="1" t="s">
        <v>11142</v>
      </c>
      <c r="H1064" t="s">
        <v>11143</v>
      </c>
    </row>
    <row r="1065" spans="1:8" x14ac:dyDescent="0.35">
      <c r="A1065" t="s">
        <v>5780</v>
      </c>
      <c r="B1065" t="s">
        <v>5781</v>
      </c>
      <c r="C1065" t="s">
        <v>11144</v>
      </c>
      <c r="E1065" t="s">
        <v>11145</v>
      </c>
      <c r="F1065" t="s">
        <v>11146</v>
      </c>
      <c r="G1065" s="1" t="s">
        <v>10638</v>
      </c>
      <c r="H1065" t="s">
        <v>11147</v>
      </c>
    </row>
    <row r="1066" spans="1:8" ht="29" x14ac:dyDescent="0.35">
      <c r="A1066" t="s">
        <v>5780</v>
      </c>
      <c r="B1066" t="s">
        <v>5781</v>
      </c>
      <c r="C1066" t="s">
        <v>10806</v>
      </c>
      <c r="E1066" t="s">
        <v>10812</v>
      </c>
      <c r="F1066" t="s">
        <v>10813</v>
      </c>
      <c r="G1066" s="1" t="s">
        <v>10814</v>
      </c>
      <c r="H1066" t="s">
        <v>11148</v>
      </c>
    </row>
    <row r="1067" spans="1:8" ht="29" x14ac:dyDescent="0.35">
      <c r="A1067" t="s">
        <v>508</v>
      </c>
      <c r="B1067" t="s">
        <v>509</v>
      </c>
      <c r="C1067" t="s">
        <v>8435</v>
      </c>
      <c r="E1067" t="s">
        <v>11149</v>
      </c>
      <c r="F1067" t="s">
        <v>11150</v>
      </c>
      <c r="G1067" s="1" t="s">
        <v>11151</v>
      </c>
      <c r="H1067" t="s">
        <v>11152</v>
      </c>
    </row>
    <row r="1068" spans="1:8" ht="29" x14ac:dyDescent="0.35">
      <c r="A1068" t="s">
        <v>6675</v>
      </c>
      <c r="B1068" t="s">
        <v>6676</v>
      </c>
      <c r="C1068" t="s">
        <v>8772</v>
      </c>
      <c r="E1068" t="s">
        <v>11153</v>
      </c>
      <c r="F1068" t="s">
        <v>11154</v>
      </c>
      <c r="G1068" s="1" t="s">
        <v>11155</v>
      </c>
      <c r="H1068" t="s">
        <v>11156</v>
      </c>
    </row>
    <row r="1069" spans="1:8" ht="29" x14ac:dyDescent="0.35">
      <c r="A1069" t="s">
        <v>6675</v>
      </c>
      <c r="B1069" t="s">
        <v>6676</v>
      </c>
      <c r="C1069" t="s">
        <v>8772</v>
      </c>
      <c r="E1069" t="s">
        <v>11153</v>
      </c>
      <c r="F1069" t="s">
        <v>11157</v>
      </c>
      <c r="G1069" s="1" t="s">
        <v>11158</v>
      </c>
      <c r="H1069" t="s">
        <v>11159</v>
      </c>
    </row>
    <row r="1070" spans="1:8" ht="29" x14ac:dyDescent="0.35">
      <c r="A1070" t="s">
        <v>2149</v>
      </c>
      <c r="B1070" t="s">
        <v>2150</v>
      </c>
      <c r="C1070" t="s">
        <v>8512</v>
      </c>
      <c r="E1070" t="s">
        <v>11160</v>
      </c>
      <c r="F1070" t="s">
        <v>11161</v>
      </c>
      <c r="G1070" s="1" t="s">
        <v>11162</v>
      </c>
      <c r="H1070" t="s">
        <v>11163</v>
      </c>
    </row>
    <row r="1071" spans="1:8" ht="29" x14ac:dyDescent="0.35">
      <c r="A1071" t="s">
        <v>2149</v>
      </c>
      <c r="B1071" t="s">
        <v>2150</v>
      </c>
      <c r="C1071" t="s">
        <v>8512</v>
      </c>
      <c r="E1071" t="s">
        <v>11160</v>
      </c>
      <c r="F1071" t="s">
        <v>11164</v>
      </c>
      <c r="G1071" s="1" t="s">
        <v>11165</v>
      </c>
      <c r="H1071" t="s">
        <v>11166</v>
      </c>
    </row>
    <row r="1072" spans="1:8" ht="29" x14ac:dyDescent="0.35">
      <c r="A1072" t="s">
        <v>2464</v>
      </c>
      <c r="B1072" t="s">
        <v>2465</v>
      </c>
      <c r="C1072" t="s">
        <v>8524</v>
      </c>
      <c r="E1072" t="s">
        <v>11167</v>
      </c>
      <c r="F1072" t="s">
        <v>11168</v>
      </c>
      <c r="G1072" s="1" t="s">
        <v>11169</v>
      </c>
      <c r="H1072" t="s">
        <v>11166</v>
      </c>
    </row>
    <row r="1073" spans="1:8" ht="29" x14ac:dyDescent="0.35">
      <c r="A1073" t="s">
        <v>2464</v>
      </c>
      <c r="B1073" t="s">
        <v>2465</v>
      </c>
      <c r="C1073" t="s">
        <v>8524</v>
      </c>
      <c r="E1073" t="s">
        <v>11167</v>
      </c>
      <c r="F1073" t="s">
        <v>11170</v>
      </c>
      <c r="G1073" s="1" t="s">
        <v>11171</v>
      </c>
      <c r="H1073" t="s">
        <v>11172</v>
      </c>
    </row>
    <row r="1074" spans="1:8" ht="29" x14ac:dyDescent="0.35">
      <c r="A1074" t="s">
        <v>2464</v>
      </c>
      <c r="B1074" t="s">
        <v>2465</v>
      </c>
      <c r="C1074" t="s">
        <v>8524</v>
      </c>
      <c r="E1074" t="s">
        <v>11167</v>
      </c>
      <c r="F1074" t="s">
        <v>11098</v>
      </c>
      <c r="G1074" s="1" t="s">
        <v>11169</v>
      </c>
      <c r="H1074" t="s">
        <v>11173</v>
      </c>
    </row>
    <row r="1075" spans="1:8" ht="29" x14ac:dyDescent="0.35">
      <c r="A1075" t="s">
        <v>2464</v>
      </c>
      <c r="B1075" t="s">
        <v>2465</v>
      </c>
      <c r="C1075" t="s">
        <v>8524</v>
      </c>
      <c r="E1075" t="s">
        <v>11167</v>
      </c>
      <c r="F1075" t="s">
        <v>11174</v>
      </c>
      <c r="G1075" s="1" t="s">
        <v>11175</v>
      </c>
      <c r="H1075" t="s">
        <v>11166</v>
      </c>
    </row>
    <row r="1076" spans="1:8" ht="29" x14ac:dyDescent="0.35">
      <c r="A1076" t="s">
        <v>2464</v>
      </c>
      <c r="B1076" t="s">
        <v>2465</v>
      </c>
      <c r="C1076" t="s">
        <v>8524</v>
      </c>
      <c r="E1076" t="s">
        <v>11167</v>
      </c>
      <c r="F1076" t="s">
        <v>11176</v>
      </c>
      <c r="G1076" s="1" t="s">
        <v>11177</v>
      </c>
      <c r="H1076" t="s">
        <v>11172</v>
      </c>
    </row>
    <row r="1077" spans="1:8" ht="29" x14ac:dyDescent="0.35">
      <c r="A1077" t="s">
        <v>6354</v>
      </c>
      <c r="B1077" t="s">
        <v>6355</v>
      </c>
      <c r="C1077" t="s">
        <v>8752</v>
      </c>
      <c r="E1077" t="s">
        <v>11178</v>
      </c>
      <c r="F1077" t="s">
        <v>11179</v>
      </c>
      <c r="G1077" s="1" t="s">
        <v>11180</v>
      </c>
      <c r="H1077" t="s">
        <v>11181</v>
      </c>
    </row>
    <row r="1078" spans="1:8" ht="29" x14ac:dyDescent="0.35">
      <c r="A1078" t="s">
        <v>6621</v>
      </c>
      <c r="B1078" t="s">
        <v>6622</v>
      </c>
      <c r="C1078" t="s">
        <v>8768</v>
      </c>
      <c r="E1078" t="s">
        <v>11182</v>
      </c>
      <c r="F1078" t="s">
        <v>11183</v>
      </c>
      <c r="G1078" s="1" t="s">
        <v>11184</v>
      </c>
      <c r="H1078" t="s">
        <v>11185</v>
      </c>
    </row>
    <row r="1079" spans="1:8" ht="29" x14ac:dyDescent="0.35">
      <c r="A1079" t="s">
        <v>6621</v>
      </c>
      <c r="B1079" t="s">
        <v>6622</v>
      </c>
      <c r="C1079" t="s">
        <v>8768</v>
      </c>
      <c r="E1079" t="s">
        <v>11182</v>
      </c>
      <c r="F1079" t="s">
        <v>11186</v>
      </c>
      <c r="G1079" s="1" t="s">
        <v>11187</v>
      </c>
      <c r="H1079" t="s">
        <v>11185</v>
      </c>
    </row>
    <row r="1080" spans="1:8" ht="29" x14ac:dyDescent="0.35">
      <c r="A1080" t="s">
        <v>1709</v>
      </c>
      <c r="B1080" t="s">
        <v>1710</v>
      </c>
      <c r="C1080" t="s">
        <v>8491</v>
      </c>
      <c r="E1080" t="s">
        <v>11188</v>
      </c>
      <c r="F1080" t="s">
        <v>11189</v>
      </c>
      <c r="G1080" s="1" t="s">
        <v>11190</v>
      </c>
      <c r="H1080" t="s">
        <v>11191</v>
      </c>
    </row>
    <row r="1081" spans="1:8" ht="29" x14ac:dyDescent="0.35">
      <c r="A1081" t="s">
        <v>1187</v>
      </c>
      <c r="B1081" t="s">
        <v>1188</v>
      </c>
      <c r="C1081" t="s">
        <v>8467</v>
      </c>
      <c r="E1081" t="s">
        <v>11197</v>
      </c>
      <c r="F1081" t="s">
        <v>11192</v>
      </c>
      <c r="G1081" s="1" t="s">
        <v>11193</v>
      </c>
      <c r="H1081" t="s">
        <v>11194</v>
      </c>
    </row>
    <row r="1082" spans="1:8" ht="29" x14ac:dyDescent="0.35">
      <c r="A1082" t="s">
        <v>1187</v>
      </c>
      <c r="B1082" t="s">
        <v>1188</v>
      </c>
      <c r="C1082" t="s">
        <v>8467</v>
      </c>
      <c r="E1082" t="s">
        <v>11197</v>
      </c>
      <c r="F1082" t="s">
        <v>11195</v>
      </c>
      <c r="G1082" s="1" t="s">
        <v>10881</v>
      </c>
      <c r="H1082" t="s">
        <v>11196</v>
      </c>
    </row>
    <row r="1083" spans="1:8" ht="29" x14ac:dyDescent="0.35">
      <c r="A1083" t="s">
        <v>6984</v>
      </c>
      <c r="B1083" t="s">
        <v>6985</v>
      </c>
      <c r="C1083" t="s">
        <v>8786</v>
      </c>
      <c r="E1083" t="s">
        <v>11198</v>
      </c>
      <c r="F1083" t="s">
        <v>11199</v>
      </c>
      <c r="G1083" s="1" t="s">
        <v>11200</v>
      </c>
      <c r="H1083" t="s">
        <v>11201</v>
      </c>
    </row>
    <row r="1084" spans="1:8" ht="29" x14ac:dyDescent="0.35">
      <c r="A1084" t="s">
        <v>6984</v>
      </c>
      <c r="B1084" t="s">
        <v>6985</v>
      </c>
      <c r="C1084" t="s">
        <v>8786</v>
      </c>
      <c r="E1084" t="s">
        <v>11198</v>
      </c>
      <c r="F1084" t="s">
        <v>11202</v>
      </c>
      <c r="G1084" s="1" t="s">
        <v>11200</v>
      </c>
      <c r="H1084" t="s">
        <v>11203</v>
      </c>
    </row>
    <row r="1085" spans="1:8" ht="29" x14ac:dyDescent="0.35">
      <c r="A1085" t="s">
        <v>6984</v>
      </c>
      <c r="B1085" t="s">
        <v>6985</v>
      </c>
      <c r="C1085" t="s">
        <v>8786</v>
      </c>
      <c r="E1085" t="s">
        <v>11198</v>
      </c>
      <c r="F1085" t="s">
        <v>11204</v>
      </c>
      <c r="G1085" s="1" t="s">
        <v>11205</v>
      </c>
      <c r="H1085" t="s">
        <v>11206</v>
      </c>
    </row>
    <row r="1086" spans="1:8" x14ac:dyDescent="0.35">
      <c r="A1086" t="s">
        <v>6984</v>
      </c>
      <c r="B1086" t="s">
        <v>6985</v>
      </c>
      <c r="C1086" t="s">
        <v>8786</v>
      </c>
      <c r="E1086" t="s">
        <v>11198</v>
      </c>
      <c r="F1086" t="s">
        <v>11207</v>
      </c>
      <c r="G1086" t="s">
        <v>11208</v>
      </c>
      <c r="H1086" t="s">
        <v>11209</v>
      </c>
    </row>
    <row r="1087" spans="1:8" ht="29" x14ac:dyDescent="0.35">
      <c r="A1087" t="s">
        <v>1277</v>
      </c>
      <c r="B1087" t="s">
        <v>1278</v>
      </c>
      <c r="C1087" t="s">
        <v>8477</v>
      </c>
      <c r="E1087" t="s">
        <v>11210</v>
      </c>
      <c r="F1087" t="s">
        <v>11211</v>
      </c>
      <c r="G1087" s="1" t="s">
        <v>11212</v>
      </c>
      <c r="H1087" t="s">
        <v>11213</v>
      </c>
    </row>
    <row r="1088" spans="1:8" ht="29" x14ac:dyDescent="0.35">
      <c r="A1088" t="s">
        <v>3664</v>
      </c>
      <c r="B1088" t="s">
        <v>3665</v>
      </c>
      <c r="C1088" t="s">
        <v>8594</v>
      </c>
      <c r="E1088" t="s">
        <v>11214</v>
      </c>
      <c r="F1088" t="s">
        <v>11215</v>
      </c>
      <c r="G1088" s="1" t="s">
        <v>11216</v>
      </c>
      <c r="H1088" t="s">
        <v>11217</v>
      </c>
    </row>
    <row r="1089" spans="1:8" ht="29" x14ac:dyDescent="0.35">
      <c r="A1089" t="s">
        <v>1659</v>
      </c>
      <c r="B1089" t="s">
        <v>1660</v>
      </c>
      <c r="C1089" t="s">
        <v>8490</v>
      </c>
      <c r="E1089" t="s">
        <v>11218</v>
      </c>
      <c r="F1089" t="s">
        <v>11219</v>
      </c>
      <c r="G1089" s="1" t="s">
        <v>11220</v>
      </c>
      <c r="H1089" t="s">
        <v>11221</v>
      </c>
    </row>
    <row r="1090" spans="1:8" ht="29" x14ac:dyDescent="0.35">
      <c r="A1090" t="s">
        <v>5836</v>
      </c>
      <c r="B1090" t="s">
        <v>5837</v>
      </c>
      <c r="C1090" t="s">
        <v>8719</v>
      </c>
      <c r="E1090" t="s">
        <v>11222</v>
      </c>
      <c r="F1090" t="s">
        <v>11223</v>
      </c>
      <c r="G1090" s="1" t="s">
        <v>11224</v>
      </c>
      <c r="H1090" t="s">
        <v>11225</v>
      </c>
    </row>
    <row r="1091" spans="1:8" ht="29" x14ac:dyDescent="0.35">
      <c r="A1091" t="s">
        <v>5836</v>
      </c>
      <c r="B1091" t="s">
        <v>5837</v>
      </c>
      <c r="C1091" t="s">
        <v>8719</v>
      </c>
      <c r="E1091" t="s">
        <v>11222</v>
      </c>
      <c r="F1091" t="s">
        <v>11226</v>
      </c>
      <c r="G1091" s="1" t="s">
        <v>9541</v>
      </c>
      <c r="H1091" t="s">
        <v>11227</v>
      </c>
    </row>
    <row r="1092" spans="1:8" ht="29" x14ac:dyDescent="0.35">
      <c r="A1092" t="s">
        <v>6347</v>
      </c>
      <c r="B1092" t="s">
        <v>6348</v>
      </c>
      <c r="C1092" t="s">
        <v>8751</v>
      </c>
      <c r="E1092" t="s">
        <v>11228</v>
      </c>
      <c r="F1092" t="s">
        <v>11229</v>
      </c>
      <c r="G1092" s="1" t="s">
        <v>11230</v>
      </c>
      <c r="H1092" t="s">
        <v>11231</v>
      </c>
    </row>
    <row r="1093" spans="1:8" ht="29" x14ac:dyDescent="0.35">
      <c r="A1093" t="s">
        <v>6347</v>
      </c>
      <c r="B1093" t="s">
        <v>6348</v>
      </c>
      <c r="C1093" t="s">
        <v>8751</v>
      </c>
      <c r="E1093" t="s">
        <v>11228</v>
      </c>
      <c r="F1093" t="s">
        <v>11232</v>
      </c>
      <c r="G1093" s="1" t="s">
        <v>11233</v>
      </c>
      <c r="H1093" t="s">
        <v>11234</v>
      </c>
    </row>
    <row r="1094" spans="1:8" ht="29" x14ac:dyDescent="0.35">
      <c r="A1094" t="s">
        <v>4309</v>
      </c>
      <c r="B1094" t="s">
        <v>4310</v>
      </c>
      <c r="C1094" t="s">
        <v>8632</v>
      </c>
      <c r="E1094" t="s">
        <v>11235</v>
      </c>
      <c r="F1094" t="s">
        <v>11236</v>
      </c>
      <c r="G1094" s="1" t="s">
        <v>11237</v>
      </c>
      <c r="H1094" t="s">
        <v>11238</v>
      </c>
    </row>
    <row r="1095" spans="1:8" x14ac:dyDescent="0.35">
      <c r="A1095" t="s">
        <v>5454</v>
      </c>
      <c r="B1095" t="s">
        <v>5455</v>
      </c>
      <c r="C1095" t="s">
        <v>8689</v>
      </c>
      <c r="E1095" t="s">
        <v>11239</v>
      </c>
    </row>
    <row r="1096" spans="1:8" ht="29" x14ac:dyDescent="0.35">
      <c r="A1096" t="s">
        <v>2469</v>
      </c>
      <c r="B1096" t="s">
        <v>2470</v>
      </c>
      <c r="C1096" t="s">
        <v>8525</v>
      </c>
      <c r="E1096" t="s">
        <v>11240</v>
      </c>
      <c r="F1096" t="s">
        <v>11241</v>
      </c>
      <c r="G1096" s="1" t="s">
        <v>11242</v>
      </c>
      <c r="H1096" t="s">
        <v>11243</v>
      </c>
    </row>
    <row r="1097" spans="1:8" ht="29" x14ac:dyDescent="0.35">
      <c r="A1097" t="s">
        <v>3567</v>
      </c>
      <c r="B1097" t="s">
        <v>3568</v>
      </c>
      <c r="C1097" t="s">
        <v>8588</v>
      </c>
      <c r="E1097" t="s">
        <v>11244</v>
      </c>
      <c r="F1097" t="s">
        <v>11245</v>
      </c>
      <c r="G1097" s="1" t="s">
        <v>11247</v>
      </c>
      <c r="H1097" t="s">
        <v>11248</v>
      </c>
    </row>
    <row r="1098" spans="1:8" ht="29" x14ac:dyDescent="0.35">
      <c r="A1098" t="s">
        <v>7880</v>
      </c>
      <c r="B1098" t="s">
        <v>7881</v>
      </c>
      <c r="C1098" t="s">
        <v>8834</v>
      </c>
      <c r="E1098" t="s">
        <v>11249</v>
      </c>
      <c r="F1098" t="s">
        <v>11250</v>
      </c>
      <c r="G1098" s="1" t="s">
        <v>11251</v>
      </c>
      <c r="H1098" t="s">
        <v>11252</v>
      </c>
    </row>
    <row r="1099" spans="1:8" ht="29" x14ac:dyDescent="0.35">
      <c r="A1099" t="s">
        <v>7880</v>
      </c>
      <c r="B1099" t="s">
        <v>7881</v>
      </c>
      <c r="C1099" t="s">
        <v>8834</v>
      </c>
      <c r="E1099" t="s">
        <v>11249</v>
      </c>
      <c r="F1099" t="s">
        <v>11253</v>
      </c>
      <c r="G1099" s="1" t="s">
        <v>11254</v>
      </c>
      <c r="H1099" t="s">
        <v>11255</v>
      </c>
    </row>
    <row r="1100" spans="1:8" ht="29" x14ac:dyDescent="0.35">
      <c r="A1100" t="s">
        <v>5645</v>
      </c>
      <c r="B1100" t="s">
        <v>5646</v>
      </c>
      <c r="C1100" t="s">
        <v>8705</v>
      </c>
      <c r="E1100" t="s">
        <v>11256</v>
      </c>
      <c r="F1100" t="s">
        <v>11257</v>
      </c>
      <c r="G1100" s="1" t="s">
        <v>11258</v>
      </c>
      <c r="H1100" t="s">
        <v>8908</v>
      </c>
    </row>
    <row r="1101" spans="1:8" ht="29" x14ac:dyDescent="0.35">
      <c r="A1101" t="s">
        <v>6608</v>
      </c>
      <c r="B1101" t="s">
        <v>6609</v>
      </c>
      <c r="C1101" t="s">
        <v>8705</v>
      </c>
      <c r="E1101" t="s">
        <v>11256</v>
      </c>
      <c r="F1101" t="s">
        <v>11257</v>
      </c>
      <c r="G1101" s="1" t="s">
        <v>11258</v>
      </c>
      <c r="H1101" t="s">
        <v>8908</v>
      </c>
    </row>
    <row r="1102" spans="1:8" ht="29" x14ac:dyDescent="0.35">
      <c r="A1102" t="s">
        <v>8148</v>
      </c>
      <c r="B1102" t="s">
        <v>8149</v>
      </c>
      <c r="C1102" t="s">
        <v>8842</v>
      </c>
      <c r="E1102" t="s">
        <v>11259</v>
      </c>
      <c r="F1102" t="s">
        <v>11260</v>
      </c>
      <c r="G1102" s="1" t="s">
        <v>11171</v>
      </c>
      <c r="H1102" t="s">
        <v>11261</v>
      </c>
    </row>
    <row r="1103" spans="1:8" x14ac:dyDescent="0.35">
      <c r="A1103" t="s">
        <v>4222</v>
      </c>
      <c r="B1103" t="s">
        <v>4223</v>
      </c>
      <c r="C1103" t="s">
        <v>8623</v>
      </c>
      <c r="E1103" t="s">
        <v>11262</v>
      </c>
      <c r="G1103" s="1" t="s">
        <v>11263</v>
      </c>
      <c r="H1103" t="s">
        <v>10745</v>
      </c>
    </row>
    <row r="1104" spans="1:8" x14ac:dyDescent="0.35">
      <c r="A1104" t="s">
        <v>937</v>
      </c>
      <c r="B1104" t="s">
        <v>938</v>
      </c>
      <c r="C1104" t="s">
        <v>8454</v>
      </c>
      <c r="E1104" s="19" t="s">
        <v>11264</v>
      </c>
    </row>
    <row r="1105" spans="1:8" x14ac:dyDescent="0.35">
      <c r="A1105" t="s">
        <v>33</v>
      </c>
      <c r="B1105" t="s">
        <v>34</v>
      </c>
      <c r="C1105" t="s">
        <v>8418</v>
      </c>
      <c r="E1105" s="19" t="s">
        <v>11265</v>
      </c>
    </row>
    <row r="1106" spans="1:8" x14ac:dyDescent="0.35">
      <c r="A1106" t="s">
        <v>56</v>
      </c>
      <c r="B1106" t="s">
        <v>57</v>
      </c>
      <c r="C1106" t="s">
        <v>8418</v>
      </c>
      <c r="E1106" s="19" t="s">
        <v>11265</v>
      </c>
    </row>
    <row r="1107" spans="1:8" x14ac:dyDescent="0.35">
      <c r="A1107" t="s">
        <v>8103</v>
      </c>
      <c r="B1107" t="s">
        <v>8104</v>
      </c>
      <c r="C1107" t="s">
        <v>8841</v>
      </c>
      <c r="E1107" s="19" t="s">
        <v>10739</v>
      </c>
    </row>
    <row r="1108" spans="1:8" x14ac:dyDescent="0.35">
      <c r="A1108" t="s">
        <v>2249</v>
      </c>
      <c r="B1108" t="s">
        <v>2250</v>
      </c>
      <c r="C1108" t="s">
        <v>8516</v>
      </c>
      <c r="E1108" s="19" t="s">
        <v>10738</v>
      </c>
    </row>
    <row r="1109" spans="1:8" x14ac:dyDescent="0.35">
      <c r="A1109" t="s">
        <v>2593</v>
      </c>
      <c r="B1109" t="s">
        <v>2594</v>
      </c>
      <c r="C1109" t="s">
        <v>8516</v>
      </c>
      <c r="E1109" s="19" t="s">
        <v>10738</v>
      </c>
    </row>
    <row r="1110" spans="1:8" ht="29" x14ac:dyDescent="0.35">
      <c r="A1110" t="s">
        <v>3968</v>
      </c>
      <c r="B1110" t="s">
        <v>3969</v>
      </c>
      <c r="C1110" t="s">
        <v>8612</v>
      </c>
      <c r="E1110" s="19" t="s">
        <v>11266</v>
      </c>
      <c r="F1110" s="19" t="s">
        <v>11267</v>
      </c>
      <c r="G1110" s="1" t="s">
        <v>11268</v>
      </c>
      <c r="H1110" t="s">
        <v>11269</v>
      </c>
    </row>
    <row r="1111" spans="1:8" ht="29" x14ac:dyDescent="0.35">
      <c r="A1111" t="s">
        <v>2590</v>
      </c>
      <c r="B1111" t="s">
        <v>2591</v>
      </c>
      <c r="C1111" t="s">
        <v>8531</v>
      </c>
      <c r="E1111" t="s">
        <v>11270</v>
      </c>
      <c r="F1111" t="s">
        <v>11271</v>
      </c>
      <c r="G1111" s="1" t="s">
        <v>11272</v>
      </c>
      <c r="H1111" t="s">
        <v>11273</v>
      </c>
    </row>
    <row r="1112" spans="1:8" x14ac:dyDescent="0.35">
      <c r="A1112" t="s">
        <v>2590</v>
      </c>
      <c r="B1112" t="s">
        <v>2591</v>
      </c>
      <c r="C1112" t="s">
        <v>8531</v>
      </c>
      <c r="E1112" t="s">
        <v>11270</v>
      </c>
      <c r="F1112" t="s">
        <v>11274</v>
      </c>
      <c r="G1112" t="s">
        <v>11275</v>
      </c>
      <c r="H1112" t="s">
        <v>11276</v>
      </c>
    </row>
    <row r="1113" spans="1:8" x14ac:dyDescent="0.35">
      <c r="A1113" t="s">
        <v>7894</v>
      </c>
      <c r="B1113" t="s">
        <v>7895</v>
      </c>
      <c r="C1113" t="s">
        <v>8836</v>
      </c>
      <c r="E1113" t="s">
        <v>11277</v>
      </c>
      <c r="F1113" t="s">
        <v>11278</v>
      </c>
      <c r="G1113" t="s">
        <v>11279</v>
      </c>
      <c r="H1113" t="s">
        <v>11280</v>
      </c>
    </row>
    <row r="1114" spans="1:8" x14ac:dyDescent="0.35">
      <c r="A1114" t="s">
        <v>7894</v>
      </c>
      <c r="B1114" t="s">
        <v>7895</v>
      </c>
      <c r="C1114" t="s">
        <v>8836</v>
      </c>
      <c r="E1114" s="19" t="s">
        <v>11277</v>
      </c>
      <c r="F1114" t="s">
        <v>11281</v>
      </c>
      <c r="G1114" t="s">
        <v>11282</v>
      </c>
      <c r="H1114" t="s">
        <v>11283</v>
      </c>
    </row>
    <row r="1115" spans="1:8" x14ac:dyDescent="0.35">
      <c r="A1115" t="s">
        <v>4637</v>
      </c>
      <c r="B1115" t="s">
        <v>4638</v>
      </c>
      <c r="C1115" t="s">
        <v>8663</v>
      </c>
      <c r="E1115" t="s">
        <v>11284</v>
      </c>
      <c r="F1115" t="s">
        <v>11285</v>
      </c>
      <c r="G1115" t="s">
        <v>11286</v>
      </c>
      <c r="H1115" t="s">
        <v>11287</v>
      </c>
    </row>
    <row r="1116" spans="1:8" ht="29" x14ac:dyDescent="0.35">
      <c r="A1116" t="s">
        <v>6275</v>
      </c>
      <c r="B1116" t="s">
        <v>6276</v>
      </c>
      <c r="C1116" t="s">
        <v>8748</v>
      </c>
      <c r="E1116" t="s">
        <v>11288</v>
      </c>
      <c r="F1116" t="s">
        <v>11289</v>
      </c>
      <c r="G1116" s="1" t="s">
        <v>11290</v>
      </c>
      <c r="H1116" t="s">
        <v>11291</v>
      </c>
    </row>
    <row r="1117" spans="1:8" x14ac:dyDescent="0.35">
      <c r="A1117" t="s">
        <v>5498</v>
      </c>
      <c r="B1117" t="s">
        <v>5499</v>
      </c>
      <c r="C1117" t="s">
        <v>8691</v>
      </c>
      <c r="E1117" t="s">
        <v>11292</v>
      </c>
      <c r="F1117" t="s">
        <v>11293</v>
      </c>
      <c r="G1117" t="s">
        <v>11294</v>
      </c>
      <c r="H1117" t="s">
        <v>11295</v>
      </c>
    </row>
    <row r="1118" spans="1:8" x14ac:dyDescent="0.35">
      <c r="A1118" t="s">
        <v>7262</v>
      </c>
      <c r="B1118" t="s">
        <v>7263</v>
      </c>
      <c r="C1118" t="s">
        <v>8803</v>
      </c>
      <c r="E1118" t="s">
        <v>11296</v>
      </c>
      <c r="F1118" t="s">
        <v>11297</v>
      </c>
      <c r="G1118" t="s">
        <v>11298</v>
      </c>
      <c r="H1118" t="s">
        <v>11299</v>
      </c>
    </row>
    <row r="1119" spans="1:8" x14ac:dyDescent="0.35">
      <c r="A1119" t="s">
        <v>3668</v>
      </c>
      <c r="B1119" t="s">
        <v>3669</v>
      </c>
      <c r="C1119" t="s">
        <v>8595</v>
      </c>
      <c r="E1119" t="s">
        <v>11300</v>
      </c>
      <c r="F1119" t="s">
        <v>11301</v>
      </c>
      <c r="G1119" t="s">
        <v>11302</v>
      </c>
      <c r="H1119" t="s">
        <v>11303</v>
      </c>
    </row>
    <row r="1120" spans="1:8" x14ac:dyDescent="0.35">
      <c r="A1120" t="s">
        <v>3353</v>
      </c>
      <c r="B1120" t="s">
        <v>3354</v>
      </c>
      <c r="C1120" t="s">
        <v>8571</v>
      </c>
      <c r="E1120" t="s">
        <v>11304</v>
      </c>
      <c r="F1120" t="s">
        <v>11305</v>
      </c>
      <c r="G1120" t="s">
        <v>11306</v>
      </c>
      <c r="H1120" t="s">
        <v>11307</v>
      </c>
    </row>
    <row r="1121" spans="1:8" x14ac:dyDescent="0.35">
      <c r="A1121" t="s">
        <v>1965</v>
      </c>
      <c r="B1121" t="s">
        <v>1966</v>
      </c>
      <c r="C1121" t="s">
        <v>8504</v>
      </c>
      <c r="E1121" t="s">
        <v>11308</v>
      </c>
      <c r="F1121" t="s">
        <v>11309</v>
      </c>
      <c r="G1121" t="s">
        <v>11310</v>
      </c>
      <c r="H1121" t="s">
        <v>11311</v>
      </c>
    </row>
    <row r="1122" spans="1:8" ht="29" x14ac:dyDescent="0.35">
      <c r="A1122" t="s">
        <v>3917</v>
      </c>
      <c r="B1122" t="s">
        <v>3918</v>
      </c>
      <c r="C1122" t="s">
        <v>8605</v>
      </c>
      <c r="E1122" t="s">
        <v>11312</v>
      </c>
      <c r="F1122" t="s">
        <v>11313</v>
      </c>
      <c r="G1122" s="1" t="s">
        <v>11314</v>
      </c>
      <c r="H1122" t="s">
        <v>11315</v>
      </c>
    </row>
    <row r="1123" spans="1:8" ht="29" x14ac:dyDescent="0.35">
      <c r="A1123" t="s">
        <v>3921</v>
      </c>
      <c r="B1123" t="s">
        <v>3922</v>
      </c>
      <c r="C1123" t="s">
        <v>8605</v>
      </c>
      <c r="E1123" t="s">
        <v>11312</v>
      </c>
      <c r="F1123" t="s">
        <v>11313</v>
      </c>
      <c r="G1123" s="1" t="s">
        <v>11314</v>
      </c>
      <c r="H1123" t="s">
        <v>11315</v>
      </c>
    </row>
    <row r="1124" spans="1:8" ht="29" x14ac:dyDescent="0.35">
      <c r="A1124" t="s">
        <v>4664</v>
      </c>
      <c r="B1124" t="s">
        <v>4665</v>
      </c>
      <c r="C1124" t="s">
        <v>8665</v>
      </c>
      <c r="E1124" t="s">
        <v>11316</v>
      </c>
      <c r="F1124" t="s">
        <v>11317</v>
      </c>
      <c r="G1124" s="1" t="s">
        <v>11318</v>
      </c>
      <c r="H1124" t="s">
        <v>11319</v>
      </c>
    </row>
    <row r="1125" spans="1:8" ht="29" x14ac:dyDescent="0.35">
      <c r="A1125" t="s">
        <v>4732</v>
      </c>
      <c r="B1125" t="s">
        <v>4733</v>
      </c>
      <c r="C1125" t="s">
        <v>8667</v>
      </c>
      <c r="E1125" t="s">
        <v>11320</v>
      </c>
      <c r="F1125" t="s">
        <v>11321</v>
      </c>
      <c r="G1125" s="1" t="s">
        <v>11322</v>
      </c>
      <c r="H1125" t="s">
        <v>11323</v>
      </c>
    </row>
    <row r="1126" spans="1:8" x14ac:dyDescent="0.35">
      <c r="A1126" t="s">
        <v>8202</v>
      </c>
      <c r="B1126" t="s">
        <v>8203</v>
      </c>
      <c r="C1126" t="s">
        <v>8847</v>
      </c>
      <c r="E1126" t="s">
        <v>11324</v>
      </c>
      <c r="F1126" t="s">
        <v>11325</v>
      </c>
      <c r="G1126" s="1" t="s">
        <v>11326</v>
      </c>
      <c r="H1126" t="s">
        <v>11327</v>
      </c>
    </row>
    <row r="1127" spans="1:8" ht="29" x14ac:dyDescent="0.35">
      <c r="A1127" t="s">
        <v>5917</v>
      </c>
      <c r="B1127" t="s">
        <v>5918</v>
      </c>
      <c r="C1127" t="s">
        <v>8723</v>
      </c>
      <c r="E1127" t="s">
        <v>11328</v>
      </c>
      <c r="F1127" t="s">
        <v>11329</v>
      </c>
      <c r="G1127" s="1" t="s">
        <v>11330</v>
      </c>
      <c r="H1127" t="s">
        <v>11331</v>
      </c>
    </row>
    <row r="1128" spans="1:8" ht="29" x14ac:dyDescent="0.35">
      <c r="A1128" t="s">
        <v>7377</v>
      </c>
      <c r="B1128" t="s">
        <v>7378</v>
      </c>
      <c r="C1128" t="s">
        <v>8812</v>
      </c>
      <c r="E1128" t="s">
        <v>11332</v>
      </c>
      <c r="F1128" t="s">
        <v>11333</v>
      </c>
      <c r="G1128" s="1" t="s">
        <v>11334</v>
      </c>
      <c r="H1128" t="s">
        <v>11335</v>
      </c>
    </row>
    <row r="1129" spans="1:8" ht="29" x14ac:dyDescent="0.35">
      <c r="A1129" t="s">
        <v>4627</v>
      </c>
      <c r="B1129" t="s">
        <v>4628</v>
      </c>
      <c r="C1129" t="s">
        <v>8662</v>
      </c>
      <c r="E1129" t="s">
        <v>11336</v>
      </c>
      <c r="F1129" t="s">
        <v>11337</v>
      </c>
      <c r="G1129" s="1" t="s">
        <v>11338</v>
      </c>
      <c r="H1129" t="s">
        <v>11339</v>
      </c>
    </row>
    <row r="1130" spans="1:8" ht="29" x14ac:dyDescent="0.35">
      <c r="A1130" t="s">
        <v>6551</v>
      </c>
      <c r="B1130" t="s">
        <v>6552</v>
      </c>
      <c r="C1130" t="s">
        <v>8762</v>
      </c>
      <c r="E1130" t="s">
        <v>11340</v>
      </c>
      <c r="F1130" t="s">
        <v>11341</v>
      </c>
      <c r="G1130" s="1" t="s">
        <v>11342</v>
      </c>
      <c r="H1130" t="s">
        <v>11343</v>
      </c>
    </row>
    <row r="1131" spans="1:8" x14ac:dyDescent="0.35">
      <c r="A1131" t="s">
        <v>1313</v>
      </c>
      <c r="B1131" t="s">
        <v>1314</v>
      </c>
      <c r="C1131" t="s">
        <v>8479</v>
      </c>
      <c r="E1131" t="s">
        <v>11344</v>
      </c>
      <c r="F1131" t="s">
        <v>11345</v>
      </c>
      <c r="G1131" s="1" t="s">
        <v>11346</v>
      </c>
      <c r="H1131" t="s">
        <v>11347</v>
      </c>
    </row>
    <row r="1132" spans="1:8" ht="29" x14ac:dyDescent="0.35">
      <c r="A1132" t="s">
        <v>7049</v>
      </c>
      <c r="B1132" t="s">
        <v>7050</v>
      </c>
      <c r="C1132" t="s">
        <v>8788</v>
      </c>
      <c r="E1132" t="s">
        <v>11348</v>
      </c>
      <c r="F1132" t="s">
        <v>11349</v>
      </c>
      <c r="G1132" s="1" t="s">
        <v>11350</v>
      </c>
      <c r="H1132" t="s">
        <v>11351</v>
      </c>
    </row>
    <row r="1133" spans="1:8" ht="29" x14ac:dyDescent="0.35">
      <c r="A1133" t="s">
        <v>7049</v>
      </c>
      <c r="B1133" t="s">
        <v>7050</v>
      </c>
      <c r="C1133" t="s">
        <v>8788</v>
      </c>
      <c r="E1133" t="s">
        <v>11348</v>
      </c>
      <c r="F1133" t="s">
        <v>11352</v>
      </c>
      <c r="G1133" s="1" t="s">
        <v>11353</v>
      </c>
      <c r="H1133" t="s">
        <v>11354</v>
      </c>
    </row>
    <row r="1134" spans="1:8" ht="29" x14ac:dyDescent="0.35">
      <c r="A1134" t="s">
        <v>7053</v>
      </c>
      <c r="B1134" t="s">
        <v>7054</v>
      </c>
      <c r="C1134" t="s">
        <v>8788</v>
      </c>
      <c r="E1134" t="s">
        <v>11348</v>
      </c>
      <c r="F1134" t="s">
        <v>11349</v>
      </c>
      <c r="G1134" s="1" t="s">
        <v>11350</v>
      </c>
      <c r="H1134" t="s">
        <v>11351</v>
      </c>
    </row>
    <row r="1135" spans="1:8" ht="29" x14ac:dyDescent="0.35">
      <c r="A1135" t="s">
        <v>7053</v>
      </c>
      <c r="B1135" t="s">
        <v>7054</v>
      </c>
      <c r="C1135" t="s">
        <v>8788</v>
      </c>
      <c r="E1135" t="s">
        <v>11348</v>
      </c>
      <c r="F1135" t="s">
        <v>11352</v>
      </c>
      <c r="G1135" s="1" t="s">
        <v>11353</v>
      </c>
      <c r="H1135" t="s">
        <v>11354</v>
      </c>
    </row>
    <row r="1136" spans="1:8" x14ac:dyDescent="0.35">
      <c r="A1136" t="s">
        <v>4272</v>
      </c>
      <c r="B1136" t="s">
        <v>4273</v>
      </c>
      <c r="C1136" t="s">
        <v>8629</v>
      </c>
      <c r="E1136" t="s">
        <v>11355</v>
      </c>
      <c r="F1136" t="s">
        <v>11356</v>
      </c>
      <c r="G1136" s="1" t="s">
        <v>11357</v>
      </c>
      <c r="H1136" t="s">
        <v>11358</v>
      </c>
    </row>
    <row r="1137" spans="1:8" x14ac:dyDescent="0.35">
      <c r="A1137" t="s">
        <v>4211</v>
      </c>
      <c r="B1137" t="s">
        <v>4212</v>
      </c>
      <c r="C1137" t="s">
        <v>8621</v>
      </c>
      <c r="E1137" t="s">
        <v>11359</v>
      </c>
      <c r="F1137" t="s">
        <v>11360</v>
      </c>
      <c r="G1137" s="1" t="s">
        <v>11361</v>
      </c>
      <c r="H1137" t="s">
        <v>11362</v>
      </c>
    </row>
    <row r="1138" spans="1:8" ht="29" x14ac:dyDescent="0.35">
      <c r="A1138" t="s">
        <v>6114</v>
      </c>
      <c r="B1138" t="s">
        <v>6115</v>
      </c>
      <c r="C1138" t="s">
        <v>8742</v>
      </c>
      <c r="E1138" t="s">
        <v>11363</v>
      </c>
      <c r="F1138" t="s">
        <v>11364</v>
      </c>
      <c r="G1138" s="1" t="s">
        <v>11365</v>
      </c>
      <c r="H1138" t="s">
        <v>11366</v>
      </c>
    </row>
    <row r="1139" spans="1:8" x14ac:dyDescent="0.35">
      <c r="A1139" t="s">
        <v>6962</v>
      </c>
      <c r="B1139" t="s">
        <v>6963</v>
      </c>
      <c r="C1139" t="s">
        <v>8785</v>
      </c>
      <c r="E1139" t="s">
        <v>11367</v>
      </c>
      <c r="F1139" t="s">
        <v>11368</v>
      </c>
      <c r="G1139" s="1" t="s">
        <v>11369</v>
      </c>
      <c r="H1139" t="s">
        <v>11370</v>
      </c>
    </row>
    <row r="1141" spans="1:8" ht="29" x14ac:dyDescent="0.35">
      <c r="A1141" t="s">
        <v>376</v>
      </c>
      <c r="B1141" t="s">
        <v>377</v>
      </c>
      <c r="C1141" t="s">
        <v>8428</v>
      </c>
      <c r="E1141" t="s">
        <v>11371</v>
      </c>
      <c r="F1141" t="s">
        <v>11372</v>
      </c>
      <c r="G1141" s="1" t="s">
        <v>11373</v>
      </c>
      <c r="H1141" t="s">
        <v>11374</v>
      </c>
    </row>
    <row r="1142" spans="1:8" ht="29" x14ac:dyDescent="0.35">
      <c r="A1142" t="s">
        <v>7380</v>
      </c>
      <c r="B1142" t="s">
        <v>7381</v>
      </c>
      <c r="C1142" t="s">
        <v>8428</v>
      </c>
      <c r="E1142" t="s">
        <v>11371</v>
      </c>
      <c r="F1142" t="s">
        <v>11372</v>
      </c>
      <c r="G1142" s="1" t="s">
        <v>11373</v>
      </c>
      <c r="H1142" t="s">
        <v>11374</v>
      </c>
    </row>
    <row r="1143" spans="1:8" ht="29" x14ac:dyDescent="0.35">
      <c r="A1143" t="s">
        <v>5965</v>
      </c>
      <c r="B1143" t="s">
        <v>5966</v>
      </c>
      <c r="C1143" t="s">
        <v>8728</v>
      </c>
      <c r="E1143" t="s">
        <v>11375</v>
      </c>
      <c r="F1143" s="19" t="s">
        <v>11376</v>
      </c>
      <c r="G1143" s="1" t="s">
        <v>11377</v>
      </c>
      <c r="H1143" t="s">
        <v>11378</v>
      </c>
    </row>
    <row r="1144" spans="1:8" ht="29" x14ac:dyDescent="0.35">
      <c r="A1144" t="s">
        <v>5965</v>
      </c>
      <c r="B1144" t="s">
        <v>5966</v>
      </c>
      <c r="C1144" t="s">
        <v>8728</v>
      </c>
      <c r="E1144" t="s">
        <v>11375</v>
      </c>
      <c r="F1144" t="s">
        <v>11379</v>
      </c>
      <c r="G1144" s="1" t="s">
        <v>11380</v>
      </c>
      <c r="H1144" t="s">
        <v>11381</v>
      </c>
    </row>
    <row r="1145" spans="1:8" ht="29" x14ac:dyDescent="0.35">
      <c r="A1145" t="s">
        <v>6548</v>
      </c>
      <c r="B1145" t="s">
        <v>6549</v>
      </c>
      <c r="C1145" t="s">
        <v>11383</v>
      </c>
      <c r="E1145" t="s">
        <v>11384</v>
      </c>
      <c r="F1145" t="s">
        <v>11385</v>
      </c>
      <c r="G1145" s="1" t="s">
        <v>11386</v>
      </c>
      <c r="H1145" t="s">
        <v>11387</v>
      </c>
    </row>
    <row r="1146" spans="1:8" ht="29" x14ac:dyDescent="0.35">
      <c r="A1146" t="s">
        <v>6548</v>
      </c>
      <c r="B1146" t="s">
        <v>6549</v>
      </c>
      <c r="C1146" t="s">
        <v>11383</v>
      </c>
      <c r="E1146" t="s">
        <v>11384</v>
      </c>
      <c r="F1146" t="s">
        <v>11388</v>
      </c>
      <c r="G1146" s="1" t="s">
        <v>11389</v>
      </c>
      <c r="H1146" t="s">
        <v>11390</v>
      </c>
    </row>
    <row r="1147" spans="1:8" x14ac:dyDescent="0.35">
      <c r="A1147" t="s">
        <v>6548</v>
      </c>
      <c r="B1147" t="s">
        <v>6549</v>
      </c>
      <c r="C1147" t="s">
        <v>11382</v>
      </c>
      <c r="E1147" t="s">
        <v>11391</v>
      </c>
      <c r="F1147" t="s">
        <v>11392</v>
      </c>
      <c r="G1147" s="1" t="s">
        <v>13919</v>
      </c>
      <c r="H1147" t="s">
        <v>11393</v>
      </c>
    </row>
    <row r="1148" spans="1:8" ht="29" x14ac:dyDescent="0.35">
      <c r="A1148" t="s">
        <v>6548</v>
      </c>
      <c r="B1148" t="s">
        <v>6549</v>
      </c>
      <c r="C1148" t="s">
        <v>11382</v>
      </c>
      <c r="E1148" t="s">
        <v>11391</v>
      </c>
      <c r="F1148" t="s">
        <v>11394</v>
      </c>
      <c r="G1148" s="1" t="s">
        <v>11395</v>
      </c>
      <c r="H1148" t="s">
        <v>11396</v>
      </c>
    </row>
    <row r="1149" spans="1:8" ht="29" x14ac:dyDescent="0.35">
      <c r="A1149" t="s">
        <v>6548</v>
      </c>
      <c r="B1149" t="s">
        <v>6549</v>
      </c>
      <c r="C1149" t="s">
        <v>11382</v>
      </c>
      <c r="E1149" t="s">
        <v>11391</v>
      </c>
      <c r="F1149" t="s">
        <v>11388</v>
      </c>
      <c r="G1149" s="1" t="s">
        <v>11389</v>
      </c>
      <c r="H1149" t="s">
        <v>11390</v>
      </c>
    </row>
    <row r="1150" spans="1:8" x14ac:dyDescent="0.35">
      <c r="A1150" t="s">
        <v>6548</v>
      </c>
      <c r="B1150" t="s">
        <v>6549</v>
      </c>
      <c r="C1150" t="s">
        <v>11382</v>
      </c>
      <c r="E1150" t="s">
        <v>11391</v>
      </c>
      <c r="F1150" t="s">
        <v>11385</v>
      </c>
      <c r="G1150" s="1" t="s">
        <v>11397</v>
      </c>
      <c r="H1150" t="s">
        <v>11398</v>
      </c>
    </row>
    <row r="1151" spans="1:8" x14ac:dyDescent="0.35">
      <c r="A1151" t="s">
        <v>6548</v>
      </c>
      <c r="B1151" t="s">
        <v>6549</v>
      </c>
      <c r="C1151" t="s">
        <v>11382</v>
      </c>
      <c r="E1151" t="s">
        <v>11391</v>
      </c>
      <c r="F1151" t="s">
        <v>11399</v>
      </c>
      <c r="G1151" s="1" t="s">
        <v>13920</v>
      </c>
      <c r="H1151" t="s">
        <v>11400</v>
      </c>
    </row>
    <row r="1152" spans="1:8" x14ac:dyDescent="0.35">
      <c r="A1152" t="s">
        <v>760</v>
      </c>
      <c r="B1152" t="s">
        <v>761</v>
      </c>
      <c r="C1152" t="s">
        <v>8447</v>
      </c>
      <c r="E1152" t="s">
        <v>11401</v>
      </c>
      <c r="F1152" t="s">
        <v>11402</v>
      </c>
      <c r="G1152" s="1" t="s">
        <v>11403</v>
      </c>
      <c r="H1152" t="s">
        <v>11404</v>
      </c>
    </row>
    <row r="1153" spans="1:8" x14ac:dyDescent="0.35">
      <c r="A1153" t="s">
        <v>5968</v>
      </c>
      <c r="B1153" t="s">
        <v>5969</v>
      </c>
      <c r="C1153" t="s">
        <v>8447</v>
      </c>
      <c r="E1153" t="s">
        <v>11401</v>
      </c>
      <c r="F1153" t="s">
        <v>11402</v>
      </c>
      <c r="G1153" s="1" t="s">
        <v>11403</v>
      </c>
      <c r="H1153" t="s">
        <v>11404</v>
      </c>
    </row>
    <row r="1154" spans="1:8" x14ac:dyDescent="0.35">
      <c r="A1154" t="s">
        <v>7508</v>
      </c>
      <c r="B1154" t="s">
        <v>7509</v>
      </c>
      <c r="C1154" t="s">
        <v>8821</v>
      </c>
      <c r="E1154" t="s">
        <v>11405</v>
      </c>
      <c r="F1154" t="s">
        <v>11406</v>
      </c>
      <c r="G1154" s="1" t="s">
        <v>11407</v>
      </c>
      <c r="H1154" t="s">
        <v>11408</v>
      </c>
    </row>
    <row r="1155" spans="1:8" x14ac:dyDescent="0.35">
      <c r="A1155" t="s">
        <v>7508</v>
      </c>
      <c r="B1155" t="s">
        <v>7509</v>
      </c>
      <c r="C1155" t="s">
        <v>8821</v>
      </c>
      <c r="E1155" t="s">
        <v>11405</v>
      </c>
      <c r="F1155" t="s">
        <v>11409</v>
      </c>
      <c r="G1155" s="1" t="s">
        <v>11410</v>
      </c>
      <c r="H1155" t="s">
        <v>11411</v>
      </c>
    </row>
    <row r="1156" spans="1:8" x14ac:dyDescent="0.35">
      <c r="A1156" t="s">
        <v>7155</v>
      </c>
      <c r="B1156" t="s">
        <v>7156</v>
      </c>
      <c r="C1156" t="s">
        <v>8795</v>
      </c>
      <c r="E1156" t="s">
        <v>11412</v>
      </c>
      <c r="F1156" t="s">
        <v>11413</v>
      </c>
      <c r="G1156" t="s">
        <v>11414</v>
      </c>
      <c r="H1156" t="s">
        <v>11415</v>
      </c>
    </row>
    <row r="1157" spans="1:8" ht="29" x14ac:dyDescent="0.35">
      <c r="A1157" t="s">
        <v>5946</v>
      </c>
      <c r="B1157" t="s">
        <v>5947</v>
      </c>
      <c r="C1157" t="s">
        <v>8724</v>
      </c>
      <c r="E1157" t="s">
        <v>11416</v>
      </c>
      <c r="F1157" t="s">
        <v>11417</v>
      </c>
      <c r="G1157" s="1" t="s">
        <v>11418</v>
      </c>
      <c r="H1157" t="s">
        <v>11419</v>
      </c>
    </row>
    <row r="1158" spans="1:8" x14ac:dyDescent="0.35">
      <c r="A1158" t="s">
        <v>5957</v>
      </c>
      <c r="B1158" t="s">
        <v>5958</v>
      </c>
      <c r="C1158" t="s">
        <v>8726</v>
      </c>
      <c r="E1158" t="s">
        <v>11420</v>
      </c>
      <c r="F1158" t="s">
        <v>11421</v>
      </c>
      <c r="G1158" s="1" t="s">
        <v>11422</v>
      </c>
      <c r="H1158" t="s">
        <v>11423</v>
      </c>
    </row>
    <row r="1159" spans="1:8" ht="29" x14ac:dyDescent="0.35">
      <c r="A1159" t="s">
        <v>7113</v>
      </c>
      <c r="B1159" t="s">
        <v>7114</v>
      </c>
      <c r="C1159" t="s">
        <v>8792</v>
      </c>
      <c r="E1159" t="s">
        <v>11424</v>
      </c>
      <c r="F1159" t="s">
        <v>11425</v>
      </c>
      <c r="G1159" s="1" t="s">
        <v>11426</v>
      </c>
      <c r="H1159" t="s">
        <v>11427</v>
      </c>
    </row>
    <row r="1160" spans="1:8" ht="29" x14ac:dyDescent="0.35">
      <c r="A1160" t="s">
        <v>2553</v>
      </c>
      <c r="B1160" t="s">
        <v>2554</v>
      </c>
      <c r="C1160" t="s">
        <v>8528</v>
      </c>
      <c r="E1160" t="s">
        <v>11428</v>
      </c>
      <c r="F1160" t="s">
        <v>11429</v>
      </c>
      <c r="G1160" s="1" t="s">
        <v>11430</v>
      </c>
      <c r="H1160" t="s">
        <v>11431</v>
      </c>
    </row>
    <row r="1161" spans="1:8" ht="29" x14ac:dyDescent="0.35">
      <c r="A1161" t="s">
        <v>7178</v>
      </c>
      <c r="B1161" t="s">
        <v>7179</v>
      </c>
      <c r="C1161" t="s">
        <v>8799</v>
      </c>
      <c r="E1161" t="s">
        <v>11441</v>
      </c>
      <c r="F1161" t="s">
        <v>11432</v>
      </c>
      <c r="G1161" s="1" t="s">
        <v>11433</v>
      </c>
      <c r="H1161" t="s">
        <v>11434</v>
      </c>
    </row>
    <row r="1162" spans="1:8" x14ac:dyDescent="0.35">
      <c r="A1162" t="s">
        <v>7178</v>
      </c>
      <c r="B1162" t="s">
        <v>7179</v>
      </c>
      <c r="C1162" t="s">
        <v>8799</v>
      </c>
      <c r="E1162" t="s">
        <v>11441</v>
      </c>
      <c r="F1162" t="s">
        <v>11435</v>
      </c>
      <c r="G1162" s="1" t="s">
        <v>11436</v>
      </c>
      <c r="H1162" t="s">
        <v>11437</v>
      </c>
    </row>
    <row r="1163" spans="1:8" ht="29" x14ac:dyDescent="0.35">
      <c r="A1163" t="s">
        <v>7178</v>
      </c>
      <c r="B1163" t="s">
        <v>7179</v>
      </c>
      <c r="C1163" t="s">
        <v>8799</v>
      </c>
      <c r="E1163" t="s">
        <v>11441</v>
      </c>
      <c r="F1163" t="s">
        <v>11438</v>
      </c>
      <c r="G1163" s="1" t="s">
        <v>11439</v>
      </c>
      <c r="H1163" t="s">
        <v>11440</v>
      </c>
    </row>
    <row r="1164" spans="1:8" ht="29" x14ac:dyDescent="0.35">
      <c r="A1164" t="s">
        <v>7164</v>
      </c>
      <c r="B1164" t="s">
        <v>7165</v>
      </c>
      <c r="C1164" t="s">
        <v>8797</v>
      </c>
      <c r="E1164" t="s">
        <v>11442</v>
      </c>
      <c r="F1164" t="s">
        <v>11443</v>
      </c>
      <c r="G1164" s="1" t="s">
        <v>11444</v>
      </c>
      <c r="H1164" t="s">
        <v>11445</v>
      </c>
    </row>
    <row r="1165" spans="1:8" ht="29" x14ac:dyDescent="0.35">
      <c r="A1165" t="s">
        <v>2050</v>
      </c>
      <c r="B1165" t="s">
        <v>2051</v>
      </c>
      <c r="C1165" t="s">
        <v>8508</v>
      </c>
      <c r="E1165" t="s">
        <v>11446</v>
      </c>
      <c r="F1165" t="s">
        <v>11447</v>
      </c>
      <c r="G1165" s="1" t="s">
        <v>11448</v>
      </c>
      <c r="H1165" t="s">
        <v>11449</v>
      </c>
    </row>
    <row r="1166" spans="1:8" ht="29" x14ac:dyDescent="0.35">
      <c r="A1166" t="s">
        <v>2050</v>
      </c>
      <c r="B1166" t="s">
        <v>2051</v>
      </c>
      <c r="C1166" t="s">
        <v>8508</v>
      </c>
      <c r="E1166" t="s">
        <v>11446</v>
      </c>
      <c r="F1166" t="s">
        <v>11450</v>
      </c>
      <c r="G1166" s="1" t="s">
        <v>11451</v>
      </c>
      <c r="H1166" t="s">
        <v>11452</v>
      </c>
    </row>
    <row r="1167" spans="1:8" ht="29" x14ac:dyDescent="0.35">
      <c r="A1167" t="s">
        <v>2050</v>
      </c>
      <c r="B1167" t="s">
        <v>2051</v>
      </c>
      <c r="C1167" t="s">
        <v>8508</v>
      </c>
      <c r="E1167" t="s">
        <v>11446</v>
      </c>
      <c r="F1167" t="s">
        <v>11453</v>
      </c>
      <c r="G1167" s="1" t="s">
        <v>11454</v>
      </c>
      <c r="H1167" t="s">
        <v>11455</v>
      </c>
    </row>
    <row r="1168" spans="1:8" ht="29" x14ac:dyDescent="0.35">
      <c r="A1168" t="s">
        <v>2055</v>
      </c>
      <c r="B1168" t="s">
        <v>2056</v>
      </c>
      <c r="C1168" t="s">
        <v>8509</v>
      </c>
      <c r="E1168" t="s">
        <v>11456</v>
      </c>
      <c r="F1168" t="s">
        <v>11457</v>
      </c>
      <c r="G1168" s="1" t="s">
        <v>11458</v>
      </c>
      <c r="H1168" t="s">
        <v>11459</v>
      </c>
    </row>
    <row r="1169" spans="1:8" x14ac:dyDescent="0.35">
      <c r="A1169" t="s">
        <v>7414</v>
      </c>
      <c r="B1169" t="s">
        <v>7415</v>
      </c>
      <c r="C1169" t="s">
        <v>8818</v>
      </c>
      <c r="E1169" t="s">
        <v>11460</v>
      </c>
      <c r="F1169" t="s">
        <v>11461</v>
      </c>
      <c r="G1169" s="1" t="s">
        <v>11462</v>
      </c>
      <c r="H1169" t="s">
        <v>11463</v>
      </c>
    </row>
    <row r="1170" spans="1:8" ht="29" x14ac:dyDescent="0.35">
      <c r="A1170" t="s">
        <v>4001</v>
      </c>
      <c r="B1170" t="s">
        <v>4002</v>
      </c>
      <c r="C1170" t="s">
        <v>8614</v>
      </c>
      <c r="E1170" t="s">
        <v>11464</v>
      </c>
      <c r="F1170" t="s">
        <v>8993</v>
      </c>
      <c r="G1170" s="1" t="s">
        <v>9841</v>
      </c>
      <c r="H1170" t="s">
        <v>9842</v>
      </c>
    </row>
    <row r="1171" spans="1:8" ht="29" x14ac:dyDescent="0.35">
      <c r="A1171" t="s">
        <v>4001</v>
      </c>
      <c r="B1171" t="s">
        <v>4002</v>
      </c>
      <c r="C1171" t="s">
        <v>8614</v>
      </c>
      <c r="E1171" t="s">
        <v>11464</v>
      </c>
      <c r="F1171" t="s">
        <v>11465</v>
      </c>
      <c r="G1171" s="1" t="s">
        <v>11466</v>
      </c>
      <c r="H1171" t="s">
        <v>11467</v>
      </c>
    </row>
    <row r="1172" spans="1:8" ht="29" x14ac:dyDescent="0.35">
      <c r="A1172" t="s">
        <v>4001</v>
      </c>
      <c r="B1172" t="s">
        <v>4002</v>
      </c>
      <c r="C1172" t="s">
        <v>8614</v>
      </c>
      <c r="E1172" t="s">
        <v>11464</v>
      </c>
      <c r="F1172" t="s">
        <v>11468</v>
      </c>
      <c r="G1172" s="1" t="s">
        <v>11469</v>
      </c>
      <c r="H1172" t="s">
        <v>11470</v>
      </c>
    </row>
    <row r="1173" spans="1:8" x14ac:dyDescent="0.35">
      <c r="A1173" t="s">
        <v>6915</v>
      </c>
      <c r="B1173" t="s">
        <v>6916</v>
      </c>
      <c r="C1173" t="s">
        <v>8782</v>
      </c>
      <c r="E1173" t="s">
        <v>11471</v>
      </c>
      <c r="F1173" t="s">
        <v>11472</v>
      </c>
      <c r="G1173" s="1" t="s">
        <v>11473</v>
      </c>
      <c r="H1173" t="s">
        <v>11474</v>
      </c>
    </row>
    <row r="1174" spans="1:8" ht="29" x14ac:dyDescent="0.35">
      <c r="A1174" t="s">
        <v>7582</v>
      </c>
      <c r="B1174" t="s">
        <v>7583</v>
      </c>
      <c r="C1174" t="s">
        <v>8825</v>
      </c>
      <c r="E1174" t="s">
        <v>11475</v>
      </c>
      <c r="F1174" t="s">
        <v>11476</v>
      </c>
      <c r="G1174" s="1" t="s">
        <v>11477</v>
      </c>
      <c r="H1174" t="s">
        <v>11478</v>
      </c>
    </row>
    <row r="1175" spans="1:8" ht="29" x14ac:dyDescent="0.35">
      <c r="A1175" t="s">
        <v>3951</v>
      </c>
      <c r="B1175" t="s">
        <v>3952</v>
      </c>
      <c r="C1175" t="s">
        <v>8609</v>
      </c>
      <c r="E1175" t="s">
        <v>11479</v>
      </c>
      <c r="F1175" t="s">
        <v>11480</v>
      </c>
      <c r="G1175" s="1" t="s">
        <v>11481</v>
      </c>
      <c r="H1175" t="s">
        <v>11482</v>
      </c>
    </row>
    <row r="1176" spans="1:8" ht="29" x14ac:dyDescent="0.35">
      <c r="A1176" t="s">
        <v>1784</v>
      </c>
      <c r="B1176" t="s">
        <v>1785</v>
      </c>
      <c r="C1176" t="s">
        <v>8496</v>
      </c>
      <c r="E1176" t="s">
        <v>11483</v>
      </c>
      <c r="F1176" t="s">
        <v>8993</v>
      </c>
      <c r="G1176" s="1" t="s">
        <v>9841</v>
      </c>
      <c r="H1176" t="s">
        <v>10563</v>
      </c>
    </row>
    <row r="1177" spans="1:8" x14ac:dyDescent="0.35">
      <c r="A1177" t="s">
        <v>1784</v>
      </c>
      <c r="B1177" t="s">
        <v>1785</v>
      </c>
      <c r="C1177" t="s">
        <v>8496</v>
      </c>
      <c r="E1177" t="s">
        <v>11483</v>
      </c>
      <c r="F1177" t="s">
        <v>11484</v>
      </c>
      <c r="G1177" s="1" t="s">
        <v>11485</v>
      </c>
      <c r="H1177" t="s">
        <v>11486</v>
      </c>
    </row>
    <row r="1178" spans="1:8" ht="29" x14ac:dyDescent="0.35">
      <c r="A1178" t="s">
        <v>1784</v>
      </c>
      <c r="B1178" t="s">
        <v>1785</v>
      </c>
      <c r="C1178" t="s">
        <v>8496</v>
      </c>
      <c r="E1178" t="s">
        <v>11483</v>
      </c>
      <c r="F1178" t="s">
        <v>11487</v>
      </c>
      <c r="G1178" s="1" t="s">
        <v>11488</v>
      </c>
      <c r="H1178" t="s">
        <v>11489</v>
      </c>
    </row>
    <row r="1179" spans="1:8" x14ac:dyDescent="0.35">
      <c r="A1179" t="s">
        <v>1784</v>
      </c>
      <c r="B1179" t="s">
        <v>1785</v>
      </c>
      <c r="C1179" t="s">
        <v>8496</v>
      </c>
      <c r="E1179" t="s">
        <v>11483</v>
      </c>
      <c r="F1179" t="s">
        <v>11490</v>
      </c>
      <c r="G1179" s="1" t="s">
        <v>11491</v>
      </c>
      <c r="H1179" t="s">
        <v>11492</v>
      </c>
    </row>
    <row r="1180" spans="1:8" ht="29" x14ac:dyDescent="0.35">
      <c r="A1180" t="s">
        <v>7129</v>
      </c>
      <c r="B1180" t="s">
        <v>7130</v>
      </c>
      <c r="C1180" t="s">
        <v>8794</v>
      </c>
      <c r="E1180" t="s">
        <v>10580</v>
      </c>
      <c r="F1180" t="s">
        <v>10581</v>
      </c>
      <c r="G1180" s="1" t="s">
        <v>11493</v>
      </c>
      <c r="H1180" t="s">
        <v>11494</v>
      </c>
    </row>
    <row r="1181" spans="1:8" ht="29" x14ac:dyDescent="0.35">
      <c r="A1181" t="s">
        <v>7137</v>
      </c>
      <c r="B1181" t="s">
        <v>7138</v>
      </c>
      <c r="C1181" t="s">
        <v>8794</v>
      </c>
      <c r="E1181" t="s">
        <v>10580</v>
      </c>
      <c r="F1181" t="s">
        <v>10581</v>
      </c>
      <c r="G1181" s="1" t="s">
        <v>11493</v>
      </c>
      <c r="H1181" t="s">
        <v>11494</v>
      </c>
    </row>
    <row r="1182" spans="1:8" ht="29" x14ac:dyDescent="0.35">
      <c r="A1182" t="s">
        <v>6064</v>
      </c>
      <c r="B1182" t="s">
        <v>6065</v>
      </c>
      <c r="C1182" t="s">
        <v>8735</v>
      </c>
      <c r="E1182" t="s">
        <v>11495</v>
      </c>
      <c r="F1182" t="s">
        <v>8993</v>
      </c>
      <c r="G1182" s="1" t="s">
        <v>9841</v>
      </c>
      <c r="H1182" t="s">
        <v>9842</v>
      </c>
    </row>
    <row r="1183" spans="1:8" ht="29" x14ac:dyDescent="0.35">
      <c r="A1183" t="s">
        <v>6064</v>
      </c>
      <c r="B1183" t="s">
        <v>6065</v>
      </c>
      <c r="C1183" t="s">
        <v>8735</v>
      </c>
      <c r="E1183" t="s">
        <v>11495</v>
      </c>
      <c r="F1183" t="s">
        <v>11496</v>
      </c>
      <c r="G1183" s="1" t="s">
        <v>11497</v>
      </c>
      <c r="H1183" t="s">
        <v>11498</v>
      </c>
    </row>
    <row r="1184" spans="1:8" ht="29" x14ac:dyDescent="0.35">
      <c r="A1184" t="s">
        <v>6064</v>
      </c>
      <c r="B1184" t="s">
        <v>6065</v>
      </c>
      <c r="C1184" t="s">
        <v>8735</v>
      </c>
      <c r="E1184" t="s">
        <v>11495</v>
      </c>
      <c r="F1184" t="s">
        <v>11499</v>
      </c>
      <c r="G1184" s="1" t="s">
        <v>11500</v>
      </c>
      <c r="H1184" t="s">
        <v>11501</v>
      </c>
    </row>
    <row r="1185" spans="1:8" ht="29" x14ac:dyDescent="0.35">
      <c r="A1185" t="s">
        <v>4556</v>
      </c>
      <c r="B1185" t="s">
        <v>4557</v>
      </c>
      <c r="C1185" t="s">
        <v>8652</v>
      </c>
      <c r="E1185" t="s">
        <v>11502</v>
      </c>
      <c r="F1185" t="s">
        <v>8993</v>
      </c>
      <c r="G1185" s="1" t="s">
        <v>9841</v>
      </c>
      <c r="H1185" t="s">
        <v>10563</v>
      </c>
    </row>
    <row r="1186" spans="1:8" x14ac:dyDescent="0.35">
      <c r="A1186" t="s">
        <v>4556</v>
      </c>
      <c r="B1186" t="s">
        <v>4557</v>
      </c>
      <c r="C1186" t="s">
        <v>8652</v>
      </c>
      <c r="E1186" t="s">
        <v>11502</v>
      </c>
      <c r="F1186" t="s">
        <v>11503</v>
      </c>
      <c r="G1186" s="1" t="s">
        <v>13921</v>
      </c>
      <c r="H1186" t="s">
        <v>11504</v>
      </c>
    </row>
    <row r="1187" spans="1:8" ht="29" x14ac:dyDescent="0.35">
      <c r="A1187" t="s">
        <v>4556</v>
      </c>
      <c r="B1187" t="s">
        <v>4557</v>
      </c>
      <c r="C1187" t="s">
        <v>8652</v>
      </c>
      <c r="E1187" t="s">
        <v>11502</v>
      </c>
      <c r="F1187" t="s">
        <v>11505</v>
      </c>
      <c r="G1187" s="1" t="s">
        <v>11506</v>
      </c>
      <c r="H1187" t="s">
        <v>11507</v>
      </c>
    </row>
    <row r="1188" spans="1:8" ht="29" x14ac:dyDescent="0.35">
      <c r="A1188" t="s">
        <v>4556</v>
      </c>
      <c r="B1188" t="s">
        <v>4557</v>
      </c>
      <c r="C1188" t="s">
        <v>8652</v>
      </c>
      <c r="E1188" t="s">
        <v>11502</v>
      </c>
      <c r="F1188" t="s">
        <v>11508</v>
      </c>
      <c r="G1188" s="1" t="s">
        <v>11509</v>
      </c>
      <c r="H1188" t="s">
        <v>11510</v>
      </c>
    </row>
    <row r="1189" spans="1:8" ht="29" x14ac:dyDescent="0.35">
      <c r="A1189" t="s">
        <v>4556</v>
      </c>
      <c r="B1189" t="s">
        <v>4557</v>
      </c>
      <c r="C1189" t="s">
        <v>8652</v>
      </c>
      <c r="E1189" t="s">
        <v>11502</v>
      </c>
      <c r="F1189" t="s">
        <v>11511</v>
      </c>
      <c r="G1189" s="1" t="s">
        <v>11512</v>
      </c>
      <c r="H1189" t="s">
        <v>11513</v>
      </c>
    </row>
    <row r="1190" spans="1:8" ht="29" x14ac:dyDescent="0.35">
      <c r="A1190" t="s">
        <v>4556</v>
      </c>
      <c r="B1190" t="s">
        <v>4557</v>
      </c>
      <c r="C1190" t="s">
        <v>8652</v>
      </c>
      <c r="E1190" t="s">
        <v>11502</v>
      </c>
      <c r="F1190" t="s">
        <v>11514</v>
      </c>
      <c r="G1190" s="1" t="s">
        <v>13922</v>
      </c>
      <c r="H1190" t="s">
        <v>11515</v>
      </c>
    </row>
    <row r="1191" spans="1:8" ht="29" x14ac:dyDescent="0.35">
      <c r="A1191" t="s">
        <v>4560</v>
      </c>
      <c r="B1191" t="s">
        <v>4561</v>
      </c>
      <c r="C1191" t="s">
        <v>8652</v>
      </c>
      <c r="E1191" t="s">
        <v>11502</v>
      </c>
      <c r="F1191" t="s">
        <v>8993</v>
      </c>
      <c r="G1191" s="1" t="s">
        <v>9841</v>
      </c>
      <c r="H1191" t="s">
        <v>10563</v>
      </c>
    </row>
    <row r="1192" spans="1:8" x14ac:dyDescent="0.35">
      <c r="A1192" t="s">
        <v>4560</v>
      </c>
      <c r="B1192" t="s">
        <v>4561</v>
      </c>
      <c r="C1192" t="s">
        <v>8652</v>
      </c>
      <c r="E1192" t="s">
        <v>11502</v>
      </c>
      <c r="F1192" t="s">
        <v>11503</v>
      </c>
      <c r="G1192" t="s">
        <v>13923</v>
      </c>
      <c r="H1192" t="s">
        <v>11504</v>
      </c>
    </row>
    <row r="1193" spans="1:8" ht="29" x14ac:dyDescent="0.35">
      <c r="A1193" t="s">
        <v>4560</v>
      </c>
      <c r="B1193" t="s">
        <v>4561</v>
      </c>
      <c r="C1193" t="s">
        <v>8652</v>
      </c>
      <c r="E1193" t="s">
        <v>11502</v>
      </c>
      <c r="F1193" t="s">
        <v>11505</v>
      </c>
      <c r="G1193" s="1" t="s">
        <v>11506</v>
      </c>
      <c r="H1193" t="s">
        <v>11507</v>
      </c>
    </row>
    <row r="1194" spans="1:8" ht="29" x14ac:dyDescent="0.35">
      <c r="A1194" t="s">
        <v>4560</v>
      </c>
      <c r="B1194" t="s">
        <v>4561</v>
      </c>
      <c r="C1194" t="s">
        <v>8652</v>
      </c>
      <c r="E1194" t="s">
        <v>11502</v>
      </c>
      <c r="F1194" t="s">
        <v>11508</v>
      </c>
      <c r="G1194" s="1" t="s">
        <v>11509</v>
      </c>
      <c r="H1194" t="s">
        <v>11510</v>
      </c>
    </row>
    <row r="1195" spans="1:8" ht="29" x14ac:dyDescent="0.35">
      <c r="A1195" t="s">
        <v>4560</v>
      </c>
      <c r="B1195" t="s">
        <v>4561</v>
      </c>
      <c r="C1195" t="s">
        <v>8652</v>
      </c>
      <c r="E1195" t="s">
        <v>11502</v>
      </c>
      <c r="F1195" t="s">
        <v>11511</v>
      </c>
      <c r="G1195" s="1" t="s">
        <v>11512</v>
      </c>
      <c r="H1195" t="s">
        <v>11513</v>
      </c>
    </row>
    <row r="1196" spans="1:8" ht="29" x14ac:dyDescent="0.35">
      <c r="A1196" t="s">
        <v>4560</v>
      </c>
      <c r="B1196" t="s">
        <v>4561</v>
      </c>
      <c r="C1196" t="s">
        <v>8652</v>
      </c>
      <c r="E1196" s="19" t="s">
        <v>11502</v>
      </c>
      <c r="F1196" t="s">
        <v>11514</v>
      </c>
      <c r="G1196" s="1" t="s">
        <v>13922</v>
      </c>
      <c r="H1196" t="s">
        <v>11515</v>
      </c>
    </row>
    <row r="1197" spans="1:8" ht="29" x14ac:dyDescent="0.35">
      <c r="A1197" t="s">
        <v>1998</v>
      </c>
      <c r="B1197" t="s">
        <v>1999</v>
      </c>
      <c r="C1197" t="s">
        <v>8506</v>
      </c>
      <c r="E1197" t="s">
        <v>11516</v>
      </c>
      <c r="F1197" t="s">
        <v>11517</v>
      </c>
      <c r="G1197" s="1" t="s">
        <v>11518</v>
      </c>
      <c r="H1197" t="s">
        <v>11519</v>
      </c>
    </row>
    <row r="1198" spans="1:8" ht="29" x14ac:dyDescent="0.35">
      <c r="A1198" t="s">
        <v>3536</v>
      </c>
      <c r="B1198" t="s">
        <v>3537</v>
      </c>
      <c r="C1198" t="s">
        <v>8587</v>
      </c>
      <c r="E1198" t="s">
        <v>11520</v>
      </c>
      <c r="F1198" t="s">
        <v>11521</v>
      </c>
      <c r="G1198" s="1" t="s">
        <v>13924</v>
      </c>
      <c r="H1198" t="s">
        <v>11522</v>
      </c>
    </row>
    <row r="1199" spans="1:8" x14ac:dyDescent="0.35">
      <c r="A1199" t="s">
        <v>8162</v>
      </c>
      <c r="B1199" t="s">
        <v>8163</v>
      </c>
      <c r="C1199" t="s">
        <v>8843</v>
      </c>
      <c r="E1199" t="s">
        <v>11523</v>
      </c>
      <c r="G1199" s="1" t="s">
        <v>10624</v>
      </c>
      <c r="H1199" t="s">
        <v>11524</v>
      </c>
    </row>
    <row r="1200" spans="1:8" x14ac:dyDescent="0.35">
      <c r="A1200" t="s">
        <v>6045</v>
      </c>
      <c r="B1200" t="s">
        <v>6046</v>
      </c>
      <c r="C1200" t="s">
        <v>8734</v>
      </c>
      <c r="E1200" t="s">
        <v>11525</v>
      </c>
      <c r="F1200" t="s">
        <v>11526</v>
      </c>
      <c r="G1200" s="1" t="s">
        <v>13925</v>
      </c>
      <c r="H1200" t="s">
        <v>11527</v>
      </c>
    </row>
    <row r="1201" spans="1:8" ht="29" x14ac:dyDescent="0.35">
      <c r="A1201" t="s">
        <v>6045</v>
      </c>
      <c r="B1201" t="s">
        <v>6046</v>
      </c>
      <c r="C1201" t="s">
        <v>8734</v>
      </c>
      <c r="E1201" s="19" t="s">
        <v>11525</v>
      </c>
      <c r="F1201" t="s">
        <v>11528</v>
      </c>
      <c r="G1201" s="1" t="s">
        <v>11529</v>
      </c>
      <c r="H1201" t="s">
        <v>11530</v>
      </c>
    </row>
    <row r="1202" spans="1:8" x14ac:dyDescent="0.35">
      <c r="A1202" t="s">
        <v>3434</v>
      </c>
      <c r="B1202" t="s">
        <v>3435</v>
      </c>
      <c r="C1202" s="23" t="s">
        <v>8580</v>
      </c>
      <c r="E1202" t="s">
        <v>11531</v>
      </c>
      <c r="F1202" t="s">
        <v>11532</v>
      </c>
      <c r="G1202" s="1" t="s">
        <v>11533</v>
      </c>
      <c r="H1202" t="s">
        <v>11534</v>
      </c>
    </row>
    <row r="1203" spans="1:8" x14ac:dyDescent="0.35">
      <c r="A1203" t="s">
        <v>3440</v>
      </c>
      <c r="B1203" t="s">
        <v>3441</v>
      </c>
      <c r="C1203" t="s">
        <v>8580</v>
      </c>
      <c r="E1203" t="s">
        <v>11531</v>
      </c>
      <c r="F1203" t="s">
        <v>11532</v>
      </c>
      <c r="G1203" s="1" t="s">
        <v>11533</v>
      </c>
      <c r="H1203" t="s">
        <v>11534</v>
      </c>
    </row>
    <row r="1204" spans="1:8" x14ac:dyDescent="0.35">
      <c r="A1204" t="s">
        <v>3443</v>
      </c>
      <c r="B1204" t="s">
        <v>3444</v>
      </c>
      <c r="C1204" t="s">
        <v>8580</v>
      </c>
      <c r="E1204" t="s">
        <v>11531</v>
      </c>
      <c r="F1204" t="s">
        <v>11532</v>
      </c>
      <c r="G1204" s="1" t="s">
        <v>11533</v>
      </c>
      <c r="H1204" t="s">
        <v>11534</v>
      </c>
    </row>
    <row r="1205" spans="1:8" x14ac:dyDescent="0.35">
      <c r="A1205" t="s">
        <v>3447</v>
      </c>
      <c r="B1205" t="s">
        <v>3448</v>
      </c>
      <c r="C1205" t="s">
        <v>8580</v>
      </c>
      <c r="E1205" t="s">
        <v>11531</v>
      </c>
      <c r="F1205" t="s">
        <v>11532</v>
      </c>
      <c r="G1205" s="1" t="s">
        <v>11533</v>
      </c>
      <c r="H1205" t="s">
        <v>11534</v>
      </c>
    </row>
    <row r="1206" spans="1:8" x14ac:dyDescent="0.35">
      <c r="A1206" t="s">
        <v>3450</v>
      </c>
      <c r="B1206" t="s">
        <v>3451</v>
      </c>
      <c r="C1206" t="s">
        <v>8580</v>
      </c>
      <c r="E1206" t="s">
        <v>11531</v>
      </c>
      <c r="F1206" t="s">
        <v>11532</v>
      </c>
      <c r="G1206" s="1" t="s">
        <v>11533</v>
      </c>
      <c r="H1206" t="s">
        <v>11534</v>
      </c>
    </row>
    <row r="1207" spans="1:8" x14ac:dyDescent="0.35">
      <c r="A1207" t="s">
        <v>3454</v>
      </c>
      <c r="B1207" t="s">
        <v>3455</v>
      </c>
      <c r="C1207" t="s">
        <v>8580</v>
      </c>
      <c r="E1207" t="s">
        <v>11531</v>
      </c>
      <c r="F1207" t="s">
        <v>11532</v>
      </c>
      <c r="G1207" s="1" t="s">
        <v>11533</v>
      </c>
      <c r="H1207" t="s">
        <v>11534</v>
      </c>
    </row>
    <row r="1208" spans="1:8" x14ac:dyDescent="0.35">
      <c r="A1208" t="s">
        <v>3457</v>
      </c>
      <c r="B1208" t="s">
        <v>3458</v>
      </c>
      <c r="C1208" t="s">
        <v>8580</v>
      </c>
      <c r="E1208" t="s">
        <v>11531</v>
      </c>
      <c r="F1208" t="s">
        <v>11532</v>
      </c>
      <c r="G1208" s="1" t="s">
        <v>11533</v>
      </c>
      <c r="H1208" t="s">
        <v>11534</v>
      </c>
    </row>
    <row r="1209" spans="1:8" x14ac:dyDescent="0.35">
      <c r="A1209" t="s">
        <v>7076</v>
      </c>
      <c r="B1209" t="s">
        <v>7077</v>
      </c>
      <c r="C1209" t="s">
        <v>8789</v>
      </c>
      <c r="E1209" t="s">
        <v>11535</v>
      </c>
      <c r="G1209" s="1" t="s">
        <v>10744</v>
      </c>
      <c r="H1209" t="s">
        <v>10745</v>
      </c>
    </row>
    <row r="1210" spans="1:8" x14ac:dyDescent="0.35">
      <c r="A1210" t="s">
        <v>4112</v>
      </c>
      <c r="B1210" t="s">
        <v>4113</v>
      </c>
      <c r="C1210" t="s">
        <v>8617</v>
      </c>
      <c r="E1210" t="s">
        <v>11536</v>
      </c>
      <c r="G1210" s="1" t="s">
        <v>10744</v>
      </c>
      <c r="H1210" t="s">
        <v>10745</v>
      </c>
    </row>
    <row r="1211" spans="1:8" x14ac:dyDescent="0.35">
      <c r="A1211" t="s">
        <v>4114</v>
      </c>
      <c r="B1211" t="s">
        <v>4115</v>
      </c>
      <c r="C1211" t="s">
        <v>8617</v>
      </c>
      <c r="E1211" t="s">
        <v>11536</v>
      </c>
      <c r="G1211" s="1" t="s">
        <v>10744</v>
      </c>
      <c r="H1211" t="s">
        <v>10745</v>
      </c>
    </row>
    <row r="1212" spans="1:8" x14ac:dyDescent="0.35">
      <c r="A1212" t="s">
        <v>4118</v>
      </c>
      <c r="B1212" t="s">
        <v>4119</v>
      </c>
      <c r="C1212" t="s">
        <v>8617</v>
      </c>
      <c r="E1212" t="s">
        <v>11536</v>
      </c>
      <c r="G1212" s="1" t="s">
        <v>10744</v>
      </c>
      <c r="H1212" t="s">
        <v>10745</v>
      </c>
    </row>
    <row r="1213" spans="1:8" x14ac:dyDescent="0.35">
      <c r="A1213" t="s">
        <v>1857</v>
      </c>
      <c r="B1213" t="s">
        <v>1858</v>
      </c>
      <c r="C1213" t="s">
        <v>8497</v>
      </c>
      <c r="E1213" t="s">
        <v>11537</v>
      </c>
      <c r="G1213" s="1" t="s">
        <v>10744</v>
      </c>
      <c r="H1213" t="s">
        <v>10745</v>
      </c>
    </row>
    <row r="1214" spans="1:8" x14ac:dyDescent="0.35">
      <c r="A1214" t="s">
        <v>1860</v>
      </c>
      <c r="B1214" t="s">
        <v>1861</v>
      </c>
      <c r="C1214" t="s">
        <v>8497</v>
      </c>
      <c r="E1214" t="s">
        <v>11537</v>
      </c>
      <c r="G1214" s="1" t="s">
        <v>10744</v>
      </c>
      <c r="H1214" t="s">
        <v>10745</v>
      </c>
    </row>
  </sheetData>
  <phoneticPr fontId="18" type="noConversion"/>
  <hyperlinks>
    <hyperlink ref="E127" r:id="rId1" xr:uid="{9C02D63F-973A-4239-BF6C-BB6E2C5F7857}"/>
    <hyperlink ref="E126" r:id="rId2" xr:uid="{0B9DB413-805B-4715-9100-0C3582B6B5E0}"/>
    <hyperlink ref="E125" r:id="rId3" xr:uid="{560310B0-7126-43F5-89C8-973ACA94C1CA}"/>
    <hyperlink ref="E124" r:id="rId4" xr:uid="{EDC0F6C2-0A8F-4A56-BE56-4E86470621CE}"/>
    <hyperlink ref="E120" r:id="rId5" xr:uid="{61377E39-500F-483E-8AE4-103164A73591}"/>
    <hyperlink ref="E121" r:id="rId6" xr:uid="{8C4889D8-16DC-48EB-9D7C-921487E647FB}"/>
    <hyperlink ref="E122" r:id="rId7" xr:uid="{5028E4A4-394D-4AEB-BF14-55C5AB499C57}"/>
    <hyperlink ref="E123" r:id="rId8" xr:uid="{1AE0200B-E96A-45B3-ADEA-699DD608A8AB}"/>
    <hyperlink ref="E236" r:id="rId9" xr:uid="{22AF7FEE-43C6-4D9B-8700-64EAB3BB292E}"/>
    <hyperlink ref="F634" r:id="rId10" xr:uid="{68172932-EEAE-4450-BC3B-56DE1AFEEC69}"/>
    <hyperlink ref="E667" r:id="rId11" xr:uid="{1461C4CB-4F28-43C6-8948-75EEF4DA9C86}"/>
    <hyperlink ref="E735" r:id="rId12" xr:uid="{6DD2DF4F-C364-4398-88A7-9CA34B826305}"/>
    <hyperlink ref="E736" r:id="rId13" xr:uid="{EAAFB754-0A69-4F85-8A7D-31EBE588A6BE}"/>
    <hyperlink ref="E746" r:id="rId14" xr:uid="{5C733E94-15E3-4A96-BB04-6B3522024DD3}"/>
    <hyperlink ref="E747" r:id="rId15" xr:uid="{8A14E906-BF18-429F-9B7B-67B4460FEEB9}"/>
    <hyperlink ref="E748" r:id="rId16" xr:uid="{EE5EF2A9-52C2-4815-B3A4-867E002C22FD}"/>
    <hyperlink ref="F760" r:id="rId17" xr:uid="{C1C5EE4A-080D-40F3-9334-5F3FDD12BA34}"/>
    <hyperlink ref="F786" r:id="rId18" xr:uid="{099C6D63-9D79-4B17-8EA9-79F1E76F2A10}"/>
    <hyperlink ref="E941" r:id="rId19" xr:uid="{DF5ED3EF-B9E4-4582-88F4-D98CD86D580C}"/>
    <hyperlink ref="F945" r:id="rId20" xr:uid="{AA2F4F8A-1FE6-4721-AD06-F72ABAEFAD13}"/>
    <hyperlink ref="E1043" r:id="rId21" xr:uid="{5EF756A4-A2F4-45CA-92E6-135B1EF4B853}"/>
    <hyperlink ref="E1104" r:id="rId22" xr:uid="{92A6CCA5-477F-4BE0-8E88-A6997FA2E041}"/>
    <hyperlink ref="E1105" r:id="rId23" xr:uid="{6AAD72EA-43F4-44A0-A06B-9866FA0EF6FF}"/>
    <hyperlink ref="E1106" r:id="rId24" xr:uid="{B8B7AFB8-C175-4308-AEA7-38E1983F734A}"/>
    <hyperlink ref="E1107" r:id="rId25" xr:uid="{04BC491F-A6A6-42EB-8B74-72E6595D62AC}"/>
    <hyperlink ref="E1108" r:id="rId26" xr:uid="{80C55E87-F140-48BB-9BBB-7678D2AC64B9}"/>
    <hyperlink ref="E1109" r:id="rId27" xr:uid="{46BB44D4-EC73-4069-9C68-BBF720E44001}"/>
    <hyperlink ref="E1110" r:id="rId28" xr:uid="{7B624F60-59A6-4FF6-B17A-87CEE840DED7}"/>
    <hyperlink ref="F1110" r:id="rId29" xr:uid="{76670BEC-3CA1-49B0-A3D0-D4B27F0D5A5D}"/>
    <hyperlink ref="E1114" r:id="rId30" xr:uid="{406D1519-3A1B-4870-8E05-6582C9AEDF2D}"/>
    <hyperlink ref="F1143" r:id="rId31" xr:uid="{8AE27F04-AF8A-4599-9EEE-A8B9B496912F}"/>
    <hyperlink ref="F16" r:id="rId32" xr:uid="{89B8ECE9-207F-4B8F-B852-3504C293FABE}"/>
    <hyperlink ref="F61" r:id="rId33" xr:uid="{57744CBE-F351-42A9-96B5-24C56836E734}"/>
    <hyperlink ref="F80" r:id="rId34" xr:uid="{7FC59323-1154-4734-99B3-1D3DBB71E0CE}"/>
    <hyperlink ref="E1201" r:id="rId35" xr:uid="{15321CD4-AE03-4B3D-A6A9-BC30D883CCEA}"/>
    <hyperlink ref="E1196" r:id="rId36" xr:uid="{4E09EF2B-EC0D-4D4F-8AA0-208467C766B5}"/>
  </hyperlinks>
  <pageMargins left="0.7" right="0.7" top="0.75" bottom="0.75" header="0.3" footer="0.3"/>
  <pageSetup orientation="portrait" r:id="rId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FEB1-583E-420E-A2DD-591DCB1087F0}">
  <dimension ref="A1:D987"/>
  <sheetViews>
    <sheetView workbookViewId="0">
      <selection activeCell="C14" sqref="C14"/>
    </sheetView>
  </sheetViews>
  <sheetFormatPr defaultRowHeight="14.5" x14ac:dyDescent="0.35"/>
  <cols>
    <col min="1" max="1" width="15.1796875" style="1" customWidth="1"/>
    <col min="2" max="2" width="42.36328125" style="1" customWidth="1"/>
    <col min="3" max="3" width="25" style="1" customWidth="1"/>
    <col min="4" max="4" width="36.7265625" style="1" customWidth="1"/>
    <col min="5" max="16384" width="8.7265625" style="1"/>
  </cols>
  <sheetData>
    <row r="1" spans="1:4" x14ac:dyDescent="0.35">
      <c r="A1" s="34" t="s">
        <v>11923</v>
      </c>
      <c r="B1" s="34" t="s">
        <v>5</v>
      </c>
      <c r="C1" s="35" t="s">
        <v>11924</v>
      </c>
      <c r="D1" s="36" t="s">
        <v>11925</v>
      </c>
    </row>
    <row r="2" spans="1:4" x14ac:dyDescent="0.35">
      <c r="A2" s="31" t="s">
        <v>10349</v>
      </c>
      <c r="B2" s="31" t="s">
        <v>12863</v>
      </c>
      <c r="C2" s="31" t="str">
        <f>CONCATENATE(A2, ":", "1000")</f>
        <v>C00001:1000</v>
      </c>
      <c r="D2" s="31" t="str">
        <f>CONCATENATE(A2,":",B2)</f>
        <v>C00001:Water</v>
      </c>
    </row>
    <row r="3" spans="1:4" x14ac:dyDescent="0.35">
      <c r="A3" s="31" t="s">
        <v>12468</v>
      </c>
      <c r="B3" s="31" t="s">
        <v>12864</v>
      </c>
      <c r="C3" s="31" t="str">
        <f t="shared" ref="C3:C8" si="0">CONCATENATE(A3, ":", "1000")</f>
        <v> C00002 :1000</v>
      </c>
      <c r="D3" s="31" t="str">
        <f t="shared" ref="D3:D66" si="1">CONCATENATE(A3,":",B3)</f>
        <v> C00002 :ATP</v>
      </c>
    </row>
    <row r="4" spans="1:4" x14ac:dyDescent="0.35">
      <c r="A4" s="31" t="s">
        <v>12122</v>
      </c>
      <c r="B4" s="31" t="s">
        <v>12865</v>
      </c>
      <c r="C4" s="31" t="str">
        <f t="shared" si="0"/>
        <v>C00003  :1000</v>
      </c>
      <c r="D4" s="31" t="str">
        <f t="shared" si="1"/>
        <v>C00003  :NAD+</v>
      </c>
    </row>
    <row r="5" spans="1:4" x14ac:dyDescent="0.35">
      <c r="A5" s="31" t="s">
        <v>12123</v>
      </c>
      <c r="B5" s="31" t="s">
        <v>12866</v>
      </c>
      <c r="C5" s="31" t="str">
        <f t="shared" si="0"/>
        <v>C00004 :1000</v>
      </c>
      <c r="D5" s="31" t="str">
        <f t="shared" si="1"/>
        <v>C00004 :NADH</v>
      </c>
    </row>
    <row r="6" spans="1:4" x14ac:dyDescent="0.35">
      <c r="A6" s="31" t="s">
        <v>12133</v>
      </c>
      <c r="B6" s="31" t="s">
        <v>12867</v>
      </c>
      <c r="C6" s="31" t="str">
        <f t="shared" si="0"/>
        <v>C00005 :1000</v>
      </c>
      <c r="D6" s="31" t="str">
        <f t="shared" si="1"/>
        <v>C00005 :NADPH</v>
      </c>
    </row>
    <row r="7" spans="1:4" x14ac:dyDescent="0.35">
      <c r="A7" s="31" t="s">
        <v>11926</v>
      </c>
      <c r="B7" s="31" t="s">
        <v>12868</v>
      </c>
      <c r="C7" s="31" t="str">
        <f t="shared" si="0"/>
        <v>C00006:1000</v>
      </c>
      <c r="D7" s="31" t="str">
        <f t="shared" si="1"/>
        <v>C00006:NADP+</v>
      </c>
    </row>
    <row r="8" spans="1:4" x14ac:dyDescent="0.35">
      <c r="A8" s="31" t="s">
        <v>12304</v>
      </c>
      <c r="B8" s="31" t="s">
        <v>12869</v>
      </c>
      <c r="C8" s="31" t="str">
        <f t="shared" si="0"/>
        <v> C00007 :1000</v>
      </c>
      <c r="D8" s="31" t="str">
        <f t="shared" si="1"/>
        <v> C00007 :Oxygen</v>
      </c>
    </row>
    <row r="9" spans="1:4" x14ac:dyDescent="0.35">
      <c r="A9" s="31" t="s">
        <v>12469</v>
      </c>
      <c r="B9" s="31" t="s">
        <v>12870</v>
      </c>
      <c r="C9" s="31" t="str">
        <f>CONCATENATE(A9, ":", "1")</f>
        <v>C00008 :1</v>
      </c>
      <c r="D9" s="31" t="str">
        <f t="shared" si="1"/>
        <v>C00008 :ADP</v>
      </c>
    </row>
    <row r="10" spans="1:4" x14ac:dyDescent="0.35">
      <c r="A10" s="31" t="s">
        <v>12254</v>
      </c>
      <c r="B10" s="31" t="s">
        <v>12871</v>
      </c>
      <c r="C10" s="31" t="str">
        <f t="shared" ref="C10:C11" si="2">CONCATENATE(A10, ":", "1")</f>
        <v xml:space="preserve"> C00009:1</v>
      </c>
      <c r="D10" s="31" t="str">
        <f t="shared" si="1"/>
        <v xml:space="preserve"> C00009:Phosphoric Acid </v>
      </c>
    </row>
    <row r="11" spans="1:4" x14ac:dyDescent="0.35">
      <c r="A11" s="31" t="s">
        <v>11927</v>
      </c>
      <c r="B11" s="31" t="s">
        <v>12872</v>
      </c>
      <c r="C11" s="31" t="str">
        <f t="shared" si="2"/>
        <v>C00010:1</v>
      </c>
      <c r="D11" s="31" t="str">
        <f t="shared" si="1"/>
        <v>C00010:CoA</v>
      </c>
    </row>
    <row r="12" spans="1:4" x14ac:dyDescent="0.35">
      <c r="A12" s="31" t="s">
        <v>11928</v>
      </c>
      <c r="B12" s="31" t="s">
        <v>12873</v>
      </c>
      <c r="C12" s="31" t="str">
        <f>CONCATENATE(A12, ":", "1000")</f>
        <v>C00011:1000</v>
      </c>
      <c r="D12" s="31" t="str">
        <f t="shared" si="1"/>
        <v xml:space="preserve">C00011:Carbon Dioxide </v>
      </c>
    </row>
    <row r="13" spans="1:4" x14ac:dyDescent="0.35">
      <c r="A13" s="31" t="s">
        <v>12443</v>
      </c>
      <c r="B13" s="31" t="s">
        <v>12874</v>
      </c>
      <c r="C13" s="31" t="str">
        <f>CONCATENATE(A13, ":", "1")</f>
        <v>C00012 :1</v>
      </c>
      <c r="D13" s="31" t="str">
        <f t="shared" si="1"/>
        <v>C00012 :peptide</v>
      </c>
    </row>
    <row r="14" spans="1:4" x14ac:dyDescent="0.35">
      <c r="A14" s="31" t="s">
        <v>12470</v>
      </c>
      <c r="B14" s="31" t="s">
        <v>12875</v>
      </c>
      <c r="C14" s="31" t="str">
        <f>CONCATENATE(A14, ":", "1")</f>
        <v xml:space="preserve">  C00013:1</v>
      </c>
      <c r="D14" s="31" t="str">
        <f t="shared" si="1"/>
        <v xml:space="preserve">  C00013:Diphosphoric Acid </v>
      </c>
    </row>
    <row r="15" spans="1:4" x14ac:dyDescent="0.35">
      <c r="A15" s="31" t="s">
        <v>11929</v>
      </c>
      <c r="B15" s="31" t="s">
        <v>12876</v>
      </c>
      <c r="C15" s="31" t="str">
        <f>CONCATENATE(A15,":", "1000")</f>
        <v>C00014:1000</v>
      </c>
      <c r="D15" s="31" t="str">
        <f t="shared" si="1"/>
        <v>C00014:Ammonia</v>
      </c>
    </row>
    <row r="16" spans="1:4" x14ac:dyDescent="0.35">
      <c r="A16" s="31" t="s">
        <v>12240</v>
      </c>
      <c r="B16" s="31" t="s">
        <v>12877</v>
      </c>
      <c r="C16" s="31" t="str">
        <f>CONCATENATE(A16, ":", "1")</f>
        <v> C00015:1</v>
      </c>
      <c r="D16" s="31" t="str">
        <f t="shared" si="1"/>
        <v> C00015:UDP</v>
      </c>
    </row>
    <row r="17" spans="1:4" x14ac:dyDescent="0.35">
      <c r="A17" s="31" t="s">
        <v>11930</v>
      </c>
      <c r="B17" s="31" t="s">
        <v>12878</v>
      </c>
      <c r="C17" s="31" t="str">
        <f t="shared" ref="C17:C24" si="3">CONCATENATE(A17, ":", "1")</f>
        <v>C00016:1</v>
      </c>
      <c r="D17" s="31" t="str">
        <f t="shared" si="1"/>
        <v>C00016:FAD</v>
      </c>
    </row>
    <row r="18" spans="1:4" x14ac:dyDescent="0.35">
      <c r="A18" s="31" t="s">
        <v>12471</v>
      </c>
      <c r="B18" s="31" t="s">
        <v>13408</v>
      </c>
      <c r="C18" s="31" t="str">
        <f t="shared" si="3"/>
        <v>C00017 :1</v>
      </c>
      <c r="D18" s="31" t="str">
        <f t="shared" si="1"/>
        <v>C00017 :Protein</v>
      </c>
    </row>
    <row r="19" spans="1:4" x14ac:dyDescent="0.35">
      <c r="A19" s="31" t="s">
        <v>11931</v>
      </c>
      <c r="B19" s="31" t="s">
        <v>12879</v>
      </c>
      <c r="C19" s="31" t="str">
        <f t="shared" si="3"/>
        <v>C00018:1</v>
      </c>
      <c r="D19" s="31" t="str">
        <f t="shared" si="1"/>
        <v>C00018:Pyridoxal Phosphate(PLP)</v>
      </c>
    </row>
    <row r="20" spans="1:4" x14ac:dyDescent="0.35">
      <c r="A20" s="31" t="s">
        <v>12346</v>
      </c>
      <c r="B20" s="31" t="s">
        <v>12880</v>
      </c>
      <c r="C20" s="31" t="str">
        <f t="shared" si="3"/>
        <v>C00019 :1</v>
      </c>
      <c r="D20" s="31" t="str">
        <f t="shared" si="1"/>
        <v>C00019 :SAM</v>
      </c>
    </row>
    <row r="21" spans="1:4" x14ac:dyDescent="0.35">
      <c r="A21" s="31" t="s">
        <v>12409</v>
      </c>
      <c r="B21" s="31" t="s">
        <v>12881</v>
      </c>
      <c r="C21" s="31" t="str">
        <f t="shared" si="3"/>
        <v> C00020 :1</v>
      </c>
      <c r="D21" s="31" t="str">
        <f t="shared" si="1"/>
        <v> C00020 :AMP</v>
      </c>
    </row>
    <row r="22" spans="1:4" x14ac:dyDescent="0.35">
      <c r="A22" s="31" t="s">
        <v>12347</v>
      </c>
      <c r="B22" s="33" t="s">
        <v>12882</v>
      </c>
      <c r="C22" s="31" t="str">
        <f t="shared" si="3"/>
        <v> C00021 :1</v>
      </c>
      <c r="D22" s="31" t="str">
        <f t="shared" si="1"/>
        <v> C00021 :S-Adenosyl-L-Homocysteine(SAH)</v>
      </c>
    </row>
    <row r="23" spans="1:4" x14ac:dyDescent="0.35">
      <c r="A23" s="31" t="s">
        <v>12172</v>
      </c>
      <c r="B23" s="31" t="s">
        <v>12883</v>
      </c>
      <c r="C23" s="31" t="str">
        <f t="shared" si="3"/>
        <v>C00022 :1</v>
      </c>
      <c r="D23" s="31" t="str">
        <f t="shared" si="1"/>
        <v xml:space="preserve">C00022 :Pyruvate </v>
      </c>
    </row>
    <row r="24" spans="1:4" x14ac:dyDescent="0.35">
      <c r="A24" s="31" t="s">
        <v>12378</v>
      </c>
      <c r="B24" s="31" t="s">
        <v>12884</v>
      </c>
      <c r="C24" s="31" t="str">
        <f t="shared" si="3"/>
        <v>C00024 :1</v>
      </c>
      <c r="D24" s="31" t="str">
        <f t="shared" si="1"/>
        <v>C00024 :Acetyl-CoA</v>
      </c>
    </row>
    <row r="25" spans="1:4" x14ac:dyDescent="0.35">
      <c r="A25" s="31" t="s">
        <v>12296</v>
      </c>
      <c r="B25" s="31" t="s">
        <v>12885</v>
      </c>
      <c r="C25" s="31" t="str">
        <f>CONCATENATE(A25, ":", "1000")</f>
        <v xml:space="preserve"> C00025:1000</v>
      </c>
      <c r="D25" s="31" t="str">
        <f t="shared" si="1"/>
        <v xml:space="preserve"> C00025:L-Glutamate</v>
      </c>
    </row>
    <row r="26" spans="1:4" x14ac:dyDescent="0.35">
      <c r="A26" s="31" t="s">
        <v>11932</v>
      </c>
      <c r="B26" s="31" t="s">
        <v>12886</v>
      </c>
      <c r="C26" s="31" t="str">
        <f>CONCATENATE(A26, ":","1")</f>
        <v>C00026:1</v>
      </c>
      <c r="D26" s="31" t="str">
        <f t="shared" si="1"/>
        <v xml:space="preserve">C00026:2-Oxoglutarate </v>
      </c>
    </row>
    <row r="27" spans="1:4" x14ac:dyDescent="0.35">
      <c r="A27" s="31" t="s">
        <v>11933</v>
      </c>
      <c r="B27" s="31" t="s">
        <v>12887</v>
      </c>
      <c r="C27" s="31" t="str">
        <f t="shared" ref="C27:C30" si="4">CONCATENATE(A27, ":","1")</f>
        <v>C00027:1</v>
      </c>
      <c r="D27" s="31" t="str">
        <f t="shared" si="1"/>
        <v xml:space="preserve">C00027:Hydrogen Peroxide </v>
      </c>
    </row>
    <row r="28" spans="1:4" x14ac:dyDescent="0.35">
      <c r="A28" s="31" t="s">
        <v>12250</v>
      </c>
      <c r="B28" s="31" t="s">
        <v>12888</v>
      </c>
      <c r="C28" s="31" t="str">
        <f t="shared" si="4"/>
        <v xml:space="preserve"> C00028:1</v>
      </c>
      <c r="D28" s="31" t="str">
        <f t="shared" si="1"/>
        <v xml:space="preserve"> C00028:Acceptor</v>
      </c>
    </row>
    <row r="29" spans="1:4" x14ac:dyDescent="0.35">
      <c r="A29" s="31" t="s">
        <v>12472</v>
      </c>
      <c r="B29" s="31" t="s">
        <v>12889</v>
      </c>
      <c r="C29" s="31" t="str">
        <f t="shared" si="4"/>
        <v>C00029  :1</v>
      </c>
      <c r="D29" s="31" t="str">
        <f t="shared" si="1"/>
        <v>C00029  :UDP-glucose</v>
      </c>
    </row>
    <row r="30" spans="1:4" x14ac:dyDescent="0.35">
      <c r="A30" s="31" t="s">
        <v>11934</v>
      </c>
      <c r="B30" s="31" t="s">
        <v>12890</v>
      </c>
      <c r="C30" s="31" t="str">
        <f t="shared" si="4"/>
        <v>C00030:1</v>
      </c>
      <c r="D30" s="31" t="str">
        <f t="shared" si="1"/>
        <v xml:space="preserve">C00030:Reduced Acceptor </v>
      </c>
    </row>
    <row r="31" spans="1:4" x14ac:dyDescent="0.35">
      <c r="A31" s="31" t="s">
        <v>12473</v>
      </c>
      <c r="B31" s="31" t="s">
        <v>12891</v>
      </c>
      <c r="C31" s="31" t="str">
        <f>CONCATENATE(A31,":","1000")</f>
        <v>C00031 :1000</v>
      </c>
      <c r="D31" s="31" t="str">
        <f t="shared" si="1"/>
        <v>C00031 :D-Glucose</v>
      </c>
    </row>
    <row r="32" spans="1:4" ht="29" x14ac:dyDescent="0.35">
      <c r="A32" s="31" t="s">
        <v>12294</v>
      </c>
      <c r="B32" s="31" t="s">
        <v>13409</v>
      </c>
      <c r="C32" s="31" t="str">
        <f>CONCATENATE(A32,":","1")</f>
        <v>C00032 :1</v>
      </c>
      <c r="D32" s="31" t="str">
        <f t="shared" si="1"/>
        <v>C00032 :	
Heme</v>
      </c>
    </row>
    <row r="33" spans="1:4" x14ac:dyDescent="0.35">
      <c r="A33" s="31" t="s">
        <v>11935</v>
      </c>
      <c r="B33" s="31" t="s">
        <v>12892</v>
      </c>
      <c r="C33" s="31" t="str">
        <f t="shared" ref="C33:C35" si="5">CONCATENATE(A33,":","1")</f>
        <v>C00033:1</v>
      </c>
      <c r="D33" s="31" t="str">
        <f t="shared" si="1"/>
        <v>C00033:Acetate</v>
      </c>
    </row>
    <row r="34" spans="1:4" x14ac:dyDescent="0.35">
      <c r="A34" s="31" t="s">
        <v>12241</v>
      </c>
      <c r="B34" s="31" t="s">
        <v>12893</v>
      </c>
      <c r="C34" s="31" t="str">
        <f t="shared" si="5"/>
        <v>C00035  :1</v>
      </c>
      <c r="D34" s="31" t="str">
        <f t="shared" si="1"/>
        <v>C00035  :GDP</v>
      </c>
    </row>
    <row r="35" spans="1:4" x14ac:dyDescent="0.35">
      <c r="A35" s="31" t="s">
        <v>8890</v>
      </c>
      <c r="B35" s="31" t="s">
        <v>12894</v>
      </c>
      <c r="C35" s="31" t="str">
        <f t="shared" si="5"/>
        <v>C00036:1</v>
      </c>
      <c r="D35" s="31" t="str">
        <f t="shared" si="1"/>
        <v>C00036:Oxaloacetate</v>
      </c>
    </row>
    <row r="36" spans="1:4" x14ac:dyDescent="0.35">
      <c r="A36" s="31" t="s">
        <v>12301</v>
      </c>
      <c r="B36" s="31" t="s">
        <v>12895</v>
      </c>
      <c r="C36" s="31" t="str">
        <f>CONCATENATE(A36,":","1000")</f>
        <v>C00037 :1000</v>
      </c>
      <c r="D36" s="31" t="str">
        <f t="shared" si="1"/>
        <v>C00037 :Glycine</v>
      </c>
    </row>
    <row r="37" spans="1:4" x14ac:dyDescent="0.35">
      <c r="A37" s="31" t="s">
        <v>12365</v>
      </c>
      <c r="B37" s="31" t="s">
        <v>12896</v>
      </c>
      <c r="C37" s="31" t="str">
        <f>CONCATENATE(A37,":","1")</f>
        <v>C00039 :1</v>
      </c>
      <c r="D37" s="31" t="str">
        <f t="shared" si="1"/>
        <v>C00039 :DNA</v>
      </c>
    </row>
    <row r="38" spans="1:4" x14ac:dyDescent="0.35">
      <c r="A38" s="31" t="s">
        <v>11936</v>
      </c>
      <c r="B38" s="31" t="s">
        <v>12897</v>
      </c>
      <c r="C38" s="31" t="str">
        <f>CONCATENATE(A38,":","1000")</f>
        <v>C00041:1000</v>
      </c>
      <c r="D38" s="31" t="str">
        <f t="shared" si="1"/>
        <v>C00041:L-Alanine</v>
      </c>
    </row>
    <row r="39" spans="1:4" ht="29" x14ac:dyDescent="0.35">
      <c r="A39" s="31" t="s">
        <v>12264</v>
      </c>
      <c r="B39" s="31" t="s">
        <v>13410</v>
      </c>
      <c r="C39" s="31" t="str">
        <f>CONCATENATE(A39,":","1")</f>
        <v>C00042 :1</v>
      </c>
      <c r="D39" s="31" t="str">
        <f t="shared" si="1"/>
        <v>C00042 :	
Succinate</v>
      </c>
    </row>
    <row r="40" spans="1:4" ht="29" x14ac:dyDescent="0.35">
      <c r="A40" s="31" t="s">
        <v>12474</v>
      </c>
      <c r="B40" s="33" t="s">
        <v>12898</v>
      </c>
      <c r="C40" s="31" t="str">
        <f t="shared" ref="C40:C43" si="6">CONCATENATE(A40,":","1")</f>
        <v xml:space="preserve"> C00043  :1</v>
      </c>
      <c r="D40" s="31" t="str">
        <f t="shared" si="1"/>
        <v xml:space="preserve"> C00043  :UDP-N-Acetyl-Alpha-D-Glucosamine</v>
      </c>
    </row>
    <row r="41" spans="1:4" x14ac:dyDescent="0.35">
      <c r="A41" s="31" t="s">
        <v>12475</v>
      </c>
      <c r="B41" s="31" t="s">
        <v>12899</v>
      </c>
      <c r="C41" s="31" t="str">
        <f t="shared" si="6"/>
        <v xml:space="preserve"> C00044:1</v>
      </c>
      <c r="D41" s="31" t="str">
        <f t="shared" si="1"/>
        <v xml:space="preserve"> C00044:GTP</v>
      </c>
    </row>
    <row r="42" spans="1:4" ht="29" x14ac:dyDescent="0.35">
      <c r="A42" s="31" t="s">
        <v>12442</v>
      </c>
      <c r="B42" s="31" t="s">
        <v>13411</v>
      </c>
      <c r="C42" s="31" t="str">
        <f>CONCATENATE(A42,":","1000")</f>
        <v>C00045 :1000</v>
      </c>
      <c r="D42" s="31" t="str">
        <f t="shared" si="1"/>
        <v>C00045 :	
Amino acid</v>
      </c>
    </row>
    <row r="43" spans="1:4" x14ac:dyDescent="0.35">
      <c r="A43" s="31" t="s">
        <v>12476</v>
      </c>
      <c r="B43" s="31" t="s">
        <v>12900</v>
      </c>
      <c r="C43" s="31" t="str">
        <f t="shared" si="6"/>
        <v xml:space="preserve"> C00046:1</v>
      </c>
      <c r="D43" s="31" t="str">
        <f t="shared" si="1"/>
        <v xml:space="preserve"> C00046:RNA</v>
      </c>
    </row>
    <row r="44" spans="1:4" x14ac:dyDescent="0.35">
      <c r="A44" s="31" t="s">
        <v>12477</v>
      </c>
      <c r="B44" s="31" t="s">
        <v>12901</v>
      </c>
      <c r="C44" s="31" t="str">
        <f>CONCATENATE(A44,":","1000")</f>
        <v> C00047:1000</v>
      </c>
      <c r="D44" s="31" t="str">
        <f t="shared" si="1"/>
        <v> C00047:L-Lysine</v>
      </c>
    </row>
    <row r="45" spans="1:4" x14ac:dyDescent="0.35">
      <c r="A45" s="31" t="s">
        <v>12302</v>
      </c>
      <c r="B45" s="31" t="s">
        <v>12902</v>
      </c>
      <c r="C45" s="31" t="str">
        <f>CONCATENATE(A45,":","1")</f>
        <v>C00048 :1</v>
      </c>
      <c r="D45" s="31" t="str">
        <f t="shared" si="1"/>
        <v>C00048 :Glyoxylate</v>
      </c>
    </row>
    <row r="46" spans="1:4" x14ac:dyDescent="0.35">
      <c r="A46" s="31" t="s">
        <v>11937</v>
      </c>
      <c r="B46" s="31" t="s">
        <v>12903</v>
      </c>
      <c r="C46" s="31" t="str">
        <f>CONCATENATE(A46,":","1000")</f>
        <v>C00049:1000</v>
      </c>
      <c r="D46" s="31" t="str">
        <f t="shared" si="1"/>
        <v>C00049:L-Aspartate</v>
      </c>
    </row>
    <row r="47" spans="1:4" x14ac:dyDescent="0.35">
      <c r="A47" s="31" t="s">
        <v>12335</v>
      </c>
      <c r="B47" s="31" t="s">
        <v>12904</v>
      </c>
      <c r="C47" s="31" t="str">
        <f>CONCATENATE(A47,":","1")</f>
        <v> C00051:1</v>
      </c>
      <c r="D47" s="31" t="str">
        <f t="shared" si="1"/>
        <v> C00051:Glutathione</v>
      </c>
    </row>
    <row r="48" spans="1:4" x14ac:dyDescent="0.35">
      <c r="A48" s="31" t="s">
        <v>11938</v>
      </c>
      <c r="B48" s="31" t="s">
        <v>12905</v>
      </c>
      <c r="C48" s="31" t="str">
        <f t="shared" ref="C48:C57" si="7">CONCATENATE(A48,":","1")</f>
        <v>C00052:1</v>
      </c>
      <c r="D48" s="31" t="str">
        <f t="shared" si="1"/>
        <v>C00052:UDP-D-Galactose</v>
      </c>
    </row>
    <row r="49" spans="1:4" x14ac:dyDescent="0.35">
      <c r="A49" s="31" t="s">
        <v>12343</v>
      </c>
      <c r="B49" s="31" t="s">
        <v>12906</v>
      </c>
      <c r="C49" s="31" t="str">
        <f t="shared" si="7"/>
        <v>  C00053:1</v>
      </c>
      <c r="D49" s="31" t="str">
        <f t="shared" si="1"/>
        <v>  C00053:3'-Phosphoadenylyl Sulfate/PAPS</v>
      </c>
    </row>
    <row r="50" spans="1:4" x14ac:dyDescent="0.35">
      <c r="A50" s="31" t="s">
        <v>11939</v>
      </c>
      <c r="B50" s="31" t="s">
        <v>12907</v>
      </c>
      <c r="C50" s="31" t="str">
        <f t="shared" si="7"/>
        <v>C00054:1</v>
      </c>
      <c r="D50" s="31" t="str">
        <f t="shared" si="1"/>
        <v xml:space="preserve">C00054:Adenosine 3',5'-bisphosphate </v>
      </c>
    </row>
    <row r="51" spans="1:4" x14ac:dyDescent="0.35">
      <c r="A51" s="31" t="s">
        <v>12478</v>
      </c>
      <c r="B51" s="31" t="s">
        <v>12908</v>
      </c>
      <c r="C51" s="31" t="str">
        <f t="shared" si="7"/>
        <v xml:space="preserve"> C00055  :1</v>
      </c>
      <c r="D51" s="31" t="str">
        <f t="shared" si="1"/>
        <v xml:space="preserve"> C00055  :Cytidine-5'-monophosphate/CMP</v>
      </c>
    </row>
    <row r="52" spans="1:4" x14ac:dyDescent="0.35">
      <c r="A52" s="31" t="s">
        <v>12179</v>
      </c>
      <c r="B52" s="31" t="s">
        <v>12909</v>
      </c>
      <c r="C52" s="31" t="str">
        <f t="shared" si="7"/>
        <v>C00058 :1</v>
      </c>
      <c r="D52" s="31" t="str">
        <f t="shared" si="1"/>
        <v>C00058 :Formate</v>
      </c>
    </row>
    <row r="53" spans="1:4" ht="29" x14ac:dyDescent="0.35">
      <c r="A53" s="31" t="s">
        <v>12479</v>
      </c>
      <c r="B53" s="31" t="s">
        <v>13412</v>
      </c>
      <c r="C53" s="31" t="str">
        <f t="shared" si="7"/>
        <v>C00059:1</v>
      </c>
      <c r="D53" s="31" t="str">
        <f t="shared" si="1"/>
        <v>C00059:	
Sulfate</v>
      </c>
    </row>
    <row r="54" spans="1:4" x14ac:dyDescent="0.35">
      <c r="A54" s="31" t="s">
        <v>12480</v>
      </c>
      <c r="B54" s="31" t="s">
        <v>12910</v>
      </c>
      <c r="C54" s="31" t="str">
        <f t="shared" si="7"/>
        <v>C00060 :1</v>
      </c>
      <c r="D54" s="31" t="str">
        <f t="shared" si="1"/>
        <v xml:space="preserve">C00060 :Carboxylate </v>
      </c>
    </row>
    <row r="55" spans="1:4" x14ac:dyDescent="0.35">
      <c r="A55" s="31" t="s">
        <v>12219</v>
      </c>
      <c r="B55" s="31" t="s">
        <v>12911</v>
      </c>
      <c r="C55" s="31" t="str">
        <f t="shared" si="7"/>
        <v>C00061 :1</v>
      </c>
      <c r="D55" s="31" t="str">
        <f t="shared" si="1"/>
        <v>C00061 :Flavin Mononucleotide/FMN</v>
      </c>
    </row>
    <row r="56" spans="1:4" x14ac:dyDescent="0.35">
      <c r="A56" s="31" t="s">
        <v>12481</v>
      </c>
      <c r="B56" s="31" t="s">
        <v>12912</v>
      </c>
      <c r="C56" s="31" t="str">
        <f t="shared" si="7"/>
        <v> C00062:1</v>
      </c>
      <c r="D56" s="31" t="str">
        <f t="shared" si="1"/>
        <v> C00062:L-Arginine</v>
      </c>
    </row>
    <row r="57" spans="1:4" x14ac:dyDescent="0.35">
      <c r="A57" s="31" t="s">
        <v>12482</v>
      </c>
      <c r="B57" s="31" t="s">
        <v>12913</v>
      </c>
      <c r="C57" s="31" t="str">
        <f t="shared" si="7"/>
        <v>C00063  :1</v>
      </c>
      <c r="D57" s="31" t="str">
        <f t="shared" si="1"/>
        <v>C00063  :CTP</v>
      </c>
    </row>
    <row r="58" spans="1:4" x14ac:dyDescent="0.35">
      <c r="A58" s="31" t="s">
        <v>12297</v>
      </c>
      <c r="B58" s="31" t="s">
        <v>12914</v>
      </c>
      <c r="C58" s="31" t="str">
        <f>CONCATENATE(A58,":","1000")</f>
        <v>C00064 :1000</v>
      </c>
      <c r="D58" s="31" t="str">
        <f t="shared" si="1"/>
        <v>C00064 :L-Glutamine</v>
      </c>
    </row>
    <row r="59" spans="1:4" x14ac:dyDescent="0.35">
      <c r="A59" s="31" t="s">
        <v>11940</v>
      </c>
      <c r="B59" s="31" t="s">
        <v>12915</v>
      </c>
      <c r="C59" s="31" t="str">
        <f>CONCATENATE(A59,":","1000")</f>
        <v>C00065:1000</v>
      </c>
      <c r="D59" s="31" t="str">
        <f t="shared" si="1"/>
        <v>C00065:L-Serine</v>
      </c>
    </row>
    <row r="60" spans="1:4" x14ac:dyDescent="0.35">
      <c r="A60" s="31" t="s">
        <v>11941</v>
      </c>
      <c r="B60" s="31" t="s">
        <v>62</v>
      </c>
      <c r="C60" s="31" t="str">
        <f>CONCATENATE(A60,":","1")</f>
        <v>C00066:1</v>
      </c>
      <c r="D60" s="31" t="str">
        <f t="shared" si="1"/>
        <v>C00066:tRNA</v>
      </c>
    </row>
    <row r="61" spans="1:4" ht="29" x14ac:dyDescent="0.35">
      <c r="A61" s="31" t="s">
        <v>12203</v>
      </c>
      <c r="B61" s="31" t="s">
        <v>13413</v>
      </c>
      <c r="C61" s="31" t="str">
        <f t="shared" ref="C61:C64" si="8">CONCATENATE(A61,":","1")</f>
        <v>C00067 :1</v>
      </c>
      <c r="D61" s="31" t="str">
        <f t="shared" si="1"/>
        <v>C00067 :	
Formaldehyde</v>
      </c>
    </row>
    <row r="62" spans="1:4" x14ac:dyDescent="0.35">
      <c r="A62" s="31" t="s">
        <v>11942</v>
      </c>
      <c r="B62" s="31" t="s">
        <v>12916</v>
      </c>
      <c r="C62" s="31" t="str">
        <f t="shared" si="8"/>
        <v>C00068:1</v>
      </c>
      <c r="D62" s="31" t="str">
        <f t="shared" si="1"/>
        <v xml:space="preserve">C00068:Thiamin Diphosphate </v>
      </c>
    </row>
    <row r="63" spans="1:4" x14ac:dyDescent="0.35">
      <c r="A63" s="31" t="s">
        <v>12483</v>
      </c>
      <c r="B63" s="31" t="s">
        <v>13414</v>
      </c>
      <c r="C63" s="31" t="str">
        <f t="shared" si="8"/>
        <v>C00069:1</v>
      </c>
      <c r="D63" s="31" t="str">
        <f t="shared" si="1"/>
        <v>C00069:Alcohol</v>
      </c>
    </row>
    <row r="64" spans="1:4" x14ac:dyDescent="0.35">
      <c r="A64" s="31" t="s">
        <v>11943</v>
      </c>
      <c r="B64" s="31" t="s">
        <v>12917</v>
      </c>
      <c r="C64" s="31" t="str">
        <f t="shared" si="8"/>
        <v>C00071:1</v>
      </c>
      <c r="D64" s="31" t="str">
        <f t="shared" si="1"/>
        <v xml:space="preserve">C00071:Aldehyde </v>
      </c>
    </row>
    <row r="65" spans="1:4" x14ac:dyDescent="0.35">
      <c r="A65" s="31" t="s">
        <v>12341</v>
      </c>
      <c r="B65" s="31" t="s">
        <v>12918</v>
      </c>
      <c r="C65" s="31" t="str">
        <f>CONCATENATE(A65,":","1000")</f>
        <v>C00073  :1000</v>
      </c>
      <c r="D65" s="31" t="str">
        <f t="shared" si="1"/>
        <v xml:space="preserve">C00073  :L-Methionine </v>
      </c>
    </row>
    <row r="66" spans="1:4" x14ac:dyDescent="0.35">
      <c r="A66" s="31" t="s">
        <v>11944</v>
      </c>
      <c r="B66" s="31" t="s">
        <v>12919</v>
      </c>
      <c r="C66" s="31" t="str">
        <f>CONCATENATE(A66,":","1")</f>
        <v>C00074:1</v>
      </c>
      <c r="D66" s="31" t="str">
        <f t="shared" si="1"/>
        <v xml:space="preserve">C00074:Phosphoenolpyruvate </v>
      </c>
    </row>
    <row r="67" spans="1:4" x14ac:dyDescent="0.35">
      <c r="A67" s="31" t="s">
        <v>11945</v>
      </c>
      <c r="B67" s="31" t="s">
        <v>12920</v>
      </c>
      <c r="C67" s="31" t="str">
        <f t="shared" ref="C67:C85" si="9">CONCATENATE(A67,":","1")</f>
        <v>C00075:1</v>
      </c>
      <c r="D67" s="31" t="str">
        <f t="shared" ref="D67:D130" si="10">CONCATENATE(A67,":",B67)</f>
        <v>C00075:UTP</v>
      </c>
    </row>
    <row r="68" spans="1:4" ht="29" x14ac:dyDescent="0.35">
      <c r="A68" s="31" t="s">
        <v>12383</v>
      </c>
      <c r="B68" s="31" t="s">
        <v>13415</v>
      </c>
      <c r="C68" s="31" t="str">
        <f t="shared" si="9"/>
        <v> C00077 :1</v>
      </c>
      <c r="D68" s="31" t="str">
        <f t="shared" si="10"/>
        <v> C00077 :	
L-Ornithine</v>
      </c>
    </row>
    <row r="69" spans="1:4" x14ac:dyDescent="0.35">
      <c r="A69" s="31" t="s">
        <v>11946</v>
      </c>
      <c r="B69" s="31" t="s">
        <v>12921</v>
      </c>
      <c r="C69" s="31" t="str">
        <f>CONCATENATE(A69,":","1000")</f>
        <v>C00078:1000</v>
      </c>
      <c r="D69" s="31" t="str">
        <f t="shared" si="10"/>
        <v>C00078:L-Tryptophan</v>
      </c>
    </row>
    <row r="70" spans="1:4" x14ac:dyDescent="0.35">
      <c r="A70" s="31" t="s">
        <v>11947</v>
      </c>
      <c r="B70" s="31" t="s">
        <v>12922</v>
      </c>
      <c r="C70" s="31" t="str">
        <f>CONCATENATE(A70,":","1000")</f>
        <v>C00079:1000</v>
      </c>
      <c r="D70" s="31" t="str">
        <f t="shared" si="10"/>
        <v>C00079:L-Phenylalanine</v>
      </c>
    </row>
    <row r="71" spans="1:4" x14ac:dyDescent="0.35">
      <c r="A71" s="31" t="s">
        <v>11948</v>
      </c>
      <c r="B71" s="31" t="s">
        <v>12923</v>
      </c>
      <c r="C71" s="31" t="str">
        <f t="shared" si="9"/>
        <v>C00080:1</v>
      </c>
      <c r="D71" s="31" t="str">
        <f t="shared" si="10"/>
        <v>C00080:H+</v>
      </c>
    </row>
    <row r="72" spans="1:4" x14ac:dyDescent="0.35">
      <c r="A72" s="31" t="s">
        <v>11949</v>
      </c>
      <c r="B72" s="31" t="s">
        <v>12924</v>
      </c>
      <c r="C72" s="31" t="str">
        <f t="shared" si="9"/>
        <v>C00081:1</v>
      </c>
      <c r="D72" s="31" t="str">
        <f t="shared" si="10"/>
        <v>C00081:ITP</v>
      </c>
    </row>
    <row r="73" spans="1:4" x14ac:dyDescent="0.35">
      <c r="A73" s="31" t="s">
        <v>11950</v>
      </c>
      <c r="B73" s="31" t="s">
        <v>12925</v>
      </c>
      <c r="C73" s="31" t="str">
        <f>CONCATENATE(A73,":","1000")</f>
        <v>C00082:1000</v>
      </c>
      <c r="D73" s="31" t="str">
        <f t="shared" si="10"/>
        <v>C00082:L-Tyrosine</v>
      </c>
    </row>
    <row r="74" spans="1:4" ht="29" x14ac:dyDescent="0.35">
      <c r="A74" s="31" t="s">
        <v>12380</v>
      </c>
      <c r="B74" s="31" t="s">
        <v>13416</v>
      </c>
      <c r="C74" s="31" t="str">
        <f t="shared" si="9"/>
        <v>C00083  :1</v>
      </c>
      <c r="D74" s="31" t="str">
        <f t="shared" si="10"/>
        <v>C00083  :	
Malonyl-CoA</v>
      </c>
    </row>
    <row r="75" spans="1:4" x14ac:dyDescent="0.35">
      <c r="A75" s="31" t="s">
        <v>12124</v>
      </c>
      <c r="B75" s="31" t="s">
        <v>12926</v>
      </c>
      <c r="C75" s="31" t="str">
        <f t="shared" si="9"/>
        <v>C00084 :1</v>
      </c>
      <c r="D75" s="31" t="str">
        <f t="shared" si="10"/>
        <v>C00084 :Acetaldehyde</v>
      </c>
    </row>
    <row r="76" spans="1:4" x14ac:dyDescent="0.35">
      <c r="A76" s="31" t="s">
        <v>12387</v>
      </c>
      <c r="B76" s="31" t="s">
        <v>12927</v>
      </c>
      <c r="C76" s="31" t="str">
        <f t="shared" si="9"/>
        <v>C00085 :1</v>
      </c>
      <c r="D76" s="31" t="str">
        <f t="shared" si="10"/>
        <v xml:space="preserve">C00085 :D-Fructose </v>
      </c>
    </row>
    <row r="77" spans="1:4" ht="29" x14ac:dyDescent="0.35">
      <c r="A77" s="31" t="s">
        <v>12484</v>
      </c>
      <c r="B77" s="31" t="s">
        <v>13417</v>
      </c>
      <c r="C77" s="31" t="str">
        <f t="shared" si="9"/>
        <v>C00086:1</v>
      </c>
      <c r="D77" s="31" t="str">
        <f t="shared" si="10"/>
        <v>C00086:	
Urea</v>
      </c>
    </row>
    <row r="78" spans="1:4" ht="29" x14ac:dyDescent="0.35">
      <c r="A78" s="31" t="s">
        <v>12218</v>
      </c>
      <c r="B78" s="31" t="s">
        <v>13418</v>
      </c>
      <c r="C78" s="31" t="str">
        <f t="shared" si="9"/>
        <v> C00088  :1</v>
      </c>
      <c r="D78" s="31" t="str">
        <f t="shared" si="10"/>
        <v> C00088  :	
Nitrite</v>
      </c>
    </row>
    <row r="79" spans="1:4" x14ac:dyDescent="0.35">
      <c r="A79" s="31" t="s">
        <v>11951</v>
      </c>
      <c r="B79" s="31" t="s">
        <v>12928</v>
      </c>
      <c r="C79" s="31" t="str">
        <f t="shared" si="9"/>
        <v>C00089:1</v>
      </c>
      <c r="D79" s="31" t="str">
        <f t="shared" si="10"/>
        <v xml:space="preserve">C00089:Sucrose </v>
      </c>
    </row>
    <row r="80" spans="1:4" x14ac:dyDescent="0.35">
      <c r="A80" s="31" t="s">
        <v>12207</v>
      </c>
      <c r="B80" s="31" t="s">
        <v>13419</v>
      </c>
      <c r="C80" s="31" t="str">
        <f t="shared" si="9"/>
        <v>C00090  :1</v>
      </c>
      <c r="D80" s="31" t="str">
        <f t="shared" si="10"/>
        <v>C00090  :Catechol</v>
      </c>
    </row>
    <row r="81" spans="1:4" x14ac:dyDescent="0.35">
      <c r="A81" s="31" t="s">
        <v>12397</v>
      </c>
      <c r="B81" s="31" t="s">
        <v>13420</v>
      </c>
      <c r="C81" s="31" t="str">
        <f t="shared" si="9"/>
        <v>C00091 :1</v>
      </c>
      <c r="D81" s="31" t="str">
        <f t="shared" si="10"/>
        <v>C00091 :Succinyl-CoA</v>
      </c>
    </row>
    <row r="82" spans="1:4" x14ac:dyDescent="0.35">
      <c r="A82" s="31" t="s">
        <v>11952</v>
      </c>
      <c r="B82" s="31" t="s">
        <v>12891</v>
      </c>
      <c r="C82" s="31" t="str">
        <f t="shared" si="9"/>
        <v>C00092:1</v>
      </c>
      <c r="D82" s="31" t="str">
        <f t="shared" si="10"/>
        <v>C00092:D-Glucose</v>
      </c>
    </row>
    <row r="83" spans="1:4" x14ac:dyDescent="0.35">
      <c r="A83" s="31" t="s">
        <v>11953</v>
      </c>
      <c r="B83" s="31" t="s">
        <v>12929</v>
      </c>
      <c r="C83" s="31" t="str">
        <f t="shared" si="9"/>
        <v>C00093:1</v>
      </c>
      <c r="D83" s="31" t="str">
        <f t="shared" si="10"/>
        <v xml:space="preserve">C00093:sn-Glycerol 3-Phosphate </v>
      </c>
    </row>
    <row r="84" spans="1:4" x14ac:dyDescent="0.35">
      <c r="A84" s="31" t="s">
        <v>12344</v>
      </c>
      <c r="B84" s="31" t="s">
        <v>12930</v>
      </c>
      <c r="C84" s="31" t="str">
        <f t="shared" si="9"/>
        <v>C00094  :1</v>
      </c>
      <c r="D84" s="31" t="str">
        <f t="shared" si="10"/>
        <v xml:space="preserve">C00094  :Sulfite </v>
      </c>
    </row>
    <row r="85" spans="1:4" x14ac:dyDescent="0.35">
      <c r="A85" s="31" t="s">
        <v>12485</v>
      </c>
      <c r="B85" s="31" t="s">
        <v>13421</v>
      </c>
      <c r="C85" s="31" t="str">
        <f t="shared" si="9"/>
        <v>C00096  :1</v>
      </c>
      <c r="D85" s="31" t="str">
        <f t="shared" si="10"/>
        <v>C00096  :GDP-mannose</v>
      </c>
    </row>
    <row r="86" spans="1:4" x14ac:dyDescent="0.35">
      <c r="A86" s="31" t="s">
        <v>11954</v>
      </c>
      <c r="B86" s="31" t="s">
        <v>12931</v>
      </c>
      <c r="C86" s="31" t="str">
        <f>CONCATENATE(A86,":","1000")</f>
        <v>C00097:1000</v>
      </c>
      <c r="D86" s="31" t="str">
        <f t="shared" si="10"/>
        <v xml:space="preserve">C00097:L-Cysteine </v>
      </c>
    </row>
    <row r="87" spans="1:4" x14ac:dyDescent="0.35">
      <c r="A87" s="31" t="s">
        <v>12486</v>
      </c>
      <c r="B87" s="31" t="s">
        <v>13422</v>
      </c>
      <c r="C87" s="31" t="str">
        <f>CONCATENATE(A87,":","1000")</f>
        <v>C00099 :1000</v>
      </c>
      <c r="D87" s="31" t="str">
        <f t="shared" si="10"/>
        <v>C00099 :beta-Alanine</v>
      </c>
    </row>
    <row r="88" spans="1:4" x14ac:dyDescent="0.35">
      <c r="A88" s="31" t="s">
        <v>11955</v>
      </c>
      <c r="B88" s="31" t="s">
        <v>12932</v>
      </c>
      <c r="C88" s="31" t="str">
        <f t="shared" ref="C88:C112" si="11">CONCATENATE(A88,":","1")</f>
        <v>C00100:1</v>
      </c>
      <c r="D88" s="31" t="str">
        <f t="shared" si="10"/>
        <v>C00100:Propanoyl-CoA</v>
      </c>
    </row>
    <row r="89" spans="1:4" x14ac:dyDescent="0.35">
      <c r="A89" s="31" t="s">
        <v>12315</v>
      </c>
      <c r="B89" s="31" t="s">
        <v>12933</v>
      </c>
      <c r="C89" s="31" t="str">
        <f t="shared" si="11"/>
        <v>C00101  :1</v>
      </c>
      <c r="D89" s="31" t="str">
        <f t="shared" si="10"/>
        <v xml:space="preserve">C00101  :Tetrahydrofolate </v>
      </c>
    </row>
    <row r="90" spans="1:4" x14ac:dyDescent="0.35">
      <c r="A90" s="31" t="s">
        <v>12487</v>
      </c>
      <c r="B90" s="31" t="s">
        <v>12934</v>
      </c>
      <c r="C90" s="31" t="str">
        <f t="shared" si="11"/>
        <v>C00103  :1</v>
      </c>
      <c r="D90" s="31" t="str">
        <f t="shared" si="10"/>
        <v xml:space="preserve">C00103  :Glucose 1-Phosphate </v>
      </c>
    </row>
    <row r="91" spans="1:4" x14ac:dyDescent="0.35">
      <c r="A91" s="31" t="s">
        <v>12488</v>
      </c>
      <c r="B91" s="31" t="s">
        <v>12935</v>
      </c>
      <c r="C91" s="31" t="str">
        <f t="shared" si="11"/>
        <v xml:space="preserve"> C00104  :1</v>
      </c>
      <c r="D91" s="31" t="str">
        <f t="shared" si="10"/>
        <v xml:space="preserve"> C00104  :IDP</v>
      </c>
    </row>
    <row r="92" spans="1:4" x14ac:dyDescent="0.35">
      <c r="A92" s="31" t="s">
        <v>11956</v>
      </c>
      <c r="B92" s="31" t="s">
        <v>12936</v>
      </c>
      <c r="C92" s="31" t="str">
        <f t="shared" si="11"/>
        <v>C00105:1</v>
      </c>
      <c r="D92" s="31" t="str">
        <f t="shared" si="10"/>
        <v>C00105:UMP</v>
      </c>
    </row>
    <row r="93" spans="1:4" x14ac:dyDescent="0.35">
      <c r="A93" s="31" t="s">
        <v>12489</v>
      </c>
      <c r="B93" s="31" t="s">
        <v>12937</v>
      </c>
      <c r="C93" s="31" t="str">
        <f t="shared" si="11"/>
        <v>C00106  :1</v>
      </c>
      <c r="D93" s="31" t="str">
        <f t="shared" si="10"/>
        <v>C00106  :Uracil</v>
      </c>
    </row>
    <row r="94" spans="1:4" ht="29" x14ac:dyDescent="0.35">
      <c r="A94" s="31" t="s">
        <v>12490</v>
      </c>
      <c r="B94" s="31" t="s">
        <v>13423</v>
      </c>
      <c r="C94" s="31" t="str">
        <f t="shared" si="11"/>
        <v>C00108  :1</v>
      </c>
      <c r="D94" s="31" t="str">
        <f t="shared" si="10"/>
        <v>C00108  :	
Anthranilate</v>
      </c>
    </row>
    <row r="95" spans="1:4" x14ac:dyDescent="0.35">
      <c r="A95" s="31" t="s">
        <v>11957</v>
      </c>
      <c r="B95" s="31" t="s">
        <v>12938</v>
      </c>
      <c r="C95" s="31" t="str">
        <f t="shared" si="11"/>
        <v>C00109:1</v>
      </c>
      <c r="D95" s="31" t="str">
        <f t="shared" si="10"/>
        <v xml:space="preserve">C00109:2-Oxobutanoate </v>
      </c>
    </row>
    <row r="96" spans="1:4" ht="29" x14ac:dyDescent="0.35">
      <c r="A96" s="31" t="s">
        <v>12464</v>
      </c>
      <c r="B96" s="31" t="s">
        <v>13397</v>
      </c>
      <c r="C96" s="31" t="str">
        <f t="shared" si="11"/>
        <v> C00110 :1</v>
      </c>
      <c r="D96" s="31" t="str">
        <f t="shared" si="10"/>
        <v> C00110 :	
Dolichyl phosphate</v>
      </c>
    </row>
    <row r="97" spans="1:4" x14ac:dyDescent="0.35">
      <c r="A97" s="31" t="s">
        <v>12194</v>
      </c>
      <c r="B97" s="31" t="s">
        <v>12939</v>
      </c>
      <c r="C97" s="31" t="str">
        <f t="shared" si="11"/>
        <v>C00111  :1</v>
      </c>
      <c r="D97" s="31" t="str">
        <f t="shared" si="10"/>
        <v xml:space="preserve">C00111  :Glycerone Phosphate </v>
      </c>
    </row>
    <row r="98" spans="1:4" x14ac:dyDescent="0.35">
      <c r="A98" s="31" t="s">
        <v>11958</v>
      </c>
      <c r="B98" s="31" t="s">
        <v>12940</v>
      </c>
      <c r="C98" s="31" t="str">
        <f t="shared" si="11"/>
        <v>C00112:1</v>
      </c>
      <c r="D98" s="31" t="str">
        <f t="shared" si="10"/>
        <v>C00112:CDP</v>
      </c>
    </row>
    <row r="99" spans="1:4" x14ac:dyDescent="0.35">
      <c r="A99" s="31" t="s">
        <v>12120</v>
      </c>
      <c r="B99" s="31" t="s">
        <v>12941</v>
      </c>
      <c r="C99" s="31" t="str">
        <f t="shared" si="11"/>
        <v>C00114 :1</v>
      </c>
      <c r="D99" s="31" t="str">
        <f t="shared" si="10"/>
        <v xml:space="preserve">C00114 :Choline </v>
      </c>
    </row>
    <row r="100" spans="1:4" x14ac:dyDescent="0.35">
      <c r="A100" s="31" t="s">
        <v>11959</v>
      </c>
      <c r="B100" s="31" t="s">
        <v>12942</v>
      </c>
      <c r="C100" s="31" t="str">
        <f t="shared" si="11"/>
        <v>C00116:1</v>
      </c>
      <c r="D100" s="31" t="str">
        <f t="shared" si="10"/>
        <v>C00116:Glycerol</v>
      </c>
    </row>
    <row r="101" spans="1:4" x14ac:dyDescent="0.35">
      <c r="A101" s="31" t="s">
        <v>12386</v>
      </c>
      <c r="B101" s="31" t="s">
        <v>12943</v>
      </c>
      <c r="C101" s="31" t="str">
        <f t="shared" si="11"/>
        <v> C00117 :1</v>
      </c>
      <c r="D101" s="31" t="str">
        <f t="shared" si="10"/>
        <v xml:space="preserve"> C00117 :D-Ribose 5-Phosphate </v>
      </c>
    </row>
    <row r="102" spans="1:4" x14ac:dyDescent="0.35">
      <c r="A102" s="31" t="s">
        <v>11135</v>
      </c>
      <c r="B102" s="31" t="s">
        <v>12944</v>
      </c>
      <c r="C102" s="31" t="str">
        <f t="shared" si="11"/>
        <v>C00118:1</v>
      </c>
      <c r="D102" s="31" t="str">
        <f t="shared" si="10"/>
        <v xml:space="preserve">C00118:D-Glyceraldehyde 3-Phosphate </v>
      </c>
    </row>
    <row r="103" spans="1:4" ht="29" x14ac:dyDescent="0.35">
      <c r="A103" s="31" t="s">
        <v>12491</v>
      </c>
      <c r="B103" s="31" t="s">
        <v>12945</v>
      </c>
      <c r="C103" s="31" t="str">
        <f t="shared" si="11"/>
        <v> C00119:1</v>
      </c>
      <c r="D103" s="31" t="str">
        <f t="shared" si="10"/>
        <v xml:space="preserve"> C00119:5-Phospho-alpha-D-ribose 1-diphosphate </v>
      </c>
    </row>
    <row r="104" spans="1:4" ht="29" x14ac:dyDescent="0.35">
      <c r="A104" s="31" t="s">
        <v>12492</v>
      </c>
      <c r="B104" s="31" t="s">
        <v>13424</v>
      </c>
      <c r="C104" s="31" t="str">
        <f t="shared" si="11"/>
        <v>C00120  :1</v>
      </c>
      <c r="D104" s="31" t="str">
        <f t="shared" si="10"/>
        <v>C00120  :	
Biotin</v>
      </c>
    </row>
    <row r="105" spans="1:4" x14ac:dyDescent="0.35">
      <c r="A105" s="31" t="s">
        <v>12493</v>
      </c>
      <c r="B105" s="31" t="s">
        <v>12946</v>
      </c>
      <c r="C105" s="31" t="str">
        <f t="shared" si="11"/>
        <v>C00122 :1</v>
      </c>
      <c r="D105" s="31" t="str">
        <f t="shared" si="10"/>
        <v>C00122 :Fumarate</v>
      </c>
    </row>
    <row r="106" spans="1:4" x14ac:dyDescent="0.35">
      <c r="A106" s="31" t="s">
        <v>11960</v>
      </c>
      <c r="B106" s="31" t="s">
        <v>12947</v>
      </c>
      <c r="C106" s="31" t="str">
        <f>CONCATENATE(A106,":","1000")</f>
        <v>C00123:1000</v>
      </c>
      <c r="D106" s="31" t="str">
        <f t="shared" si="10"/>
        <v>C00123:L-Leucine</v>
      </c>
    </row>
    <row r="107" spans="1:4" ht="29" x14ac:dyDescent="0.35">
      <c r="A107" s="31" t="s">
        <v>12494</v>
      </c>
      <c r="B107" s="31" t="s">
        <v>13425</v>
      </c>
      <c r="C107" s="31" t="str">
        <f t="shared" si="11"/>
        <v xml:space="preserve">  C00125:1</v>
      </c>
      <c r="D107" s="31" t="str">
        <f t="shared" si="10"/>
        <v xml:space="preserve">  C00125:	
Ferricytochrome c</v>
      </c>
    </row>
    <row r="108" spans="1:4" x14ac:dyDescent="0.35">
      <c r="A108" s="31" t="s">
        <v>12495</v>
      </c>
      <c r="B108" s="31" t="s">
        <v>13426</v>
      </c>
      <c r="C108" s="31" t="str">
        <f t="shared" si="11"/>
        <v xml:space="preserve"> C00126:1</v>
      </c>
      <c r="D108" s="31" t="str">
        <f t="shared" si="10"/>
        <v xml:space="preserve"> C00126:Ferrocytochrome c</v>
      </c>
    </row>
    <row r="109" spans="1:4" x14ac:dyDescent="0.35">
      <c r="A109" s="31" t="s">
        <v>12248</v>
      </c>
      <c r="B109" s="31" t="s">
        <v>12948</v>
      </c>
      <c r="C109" s="31" t="str">
        <f t="shared" si="11"/>
        <v>C00129  :1</v>
      </c>
      <c r="D109" s="31" t="str">
        <f t="shared" si="10"/>
        <v xml:space="preserve">C00129  :Isopentenyl Diphosphate </v>
      </c>
    </row>
    <row r="110" spans="1:4" x14ac:dyDescent="0.35">
      <c r="A110" s="31" t="s">
        <v>11961</v>
      </c>
      <c r="B110" s="31" t="s">
        <v>12949</v>
      </c>
      <c r="C110" s="31" t="str">
        <f t="shared" si="11"/>
        <v>C00130:1</v>
      </c>
      <c r="D110" s="31" t="str">
        <f t="shared" si="10"/>
        <v>C00130:IMP</v>
      </c>
    </row>
    <row r="111" spans="1:4" x14ac:dyDescent="0.35">
      <c r="A111" s="31" t="s">
        <v>12496</v>
      </c>
      <c r="B111" s="31" t="s">
        <v>12950</v>
      </c>
      <c r="C111" s="31" t="str">
        <f t="shared" si="11"/>
        <v>C00131  :1</v>
      </c>
      <c r="D111" s="31" t="str">
        <f t="shared" si="10"/>
        <v>C00131  :dATP</v>
      </c>
    </row>
    <row r="112" spans="1:4" ht="29" x14ac:dyDescent="0.35">
      <c r="A112" s="31" t="s">
        <v>12202</v>
      </c>
      <c r="B112" s="31" t="s">
        <v>13427</v>
      </c>
      <c r="C112" s="31" t="str">
        <f t="shared" si="11"/>
        <v>C00132:1</v>
      </c>
      <c r="D112" s="31" t="str">
        <f t="shared" si="10"/>
        <v>C00132:	
Methanol</v>
      </c>
    </row>
    <row r="113" spans="1:4" x14ac:dyDescent="0.35">
      <c r="A113" s="31" t="s">
        <v>11085</v>
      </c>
      <c r="B113" s="31" t="s">
        <v>12951</v>
      </c>
      <c r="C113" s="31" t="str">
        <f>CONCATENATE(A113,":","1000")</f>
        <v>C00133:1000</v>
      </c>
      <c r="D113" s="31" t="str">
        <f t="shared" si="10"/>
        <v>C00133:D-Alanine</v>
      </c>
    </row>
    <row r="114" spans="1:4" x14ac:dyDescent="0.35">
      <c r="A114" s="31" t="s">
        <v>12497</v>
      </c>
      <c r="B114" s="31" t="s">
        <v>13428</v>
      </c>
      <c r="C114" s="31" t="str">
        <f>CONCATENATE(A114,":","1")</f>
        <v>C00134:1</v>
      </c>
      <c r="D114" s="31" t="str">
        <f t="shared" si="10"/>
        <v>C00134:Putrescine</v>
      </c>
    </row>
    <row r="115" spans="1:4" x14ac:dyDescent="0.35">
      <c r="A115" s="31" t="s">
        <v>12166</v>
      </c>
      <c r="B115" s="31" t="s">
        <v>13429</v>
      </c>
      <c r="C115" s="31" t="str">
        <f t="shared" ref="C115:C124" si="12">CONCATENATE(A115,":","1")</f>
        <v>C00135 :1</v>
      </c>
      <c r="D115" s="31" t="str">
        <f t="shared" si="10"/>
        <v>C00135 :L-Histidine</v>
      </c>
    </row>
    <row r="116" spans="1:4" x14ac:dyDescent="0.35">
      <c r="A116" s="31" t="s">
        <v>12439</v>
      </c>
      <c r="B116" s="31" t="s">
        <v>12952</v>
      </c>
      <c r="C116" s="31" t="str">
        <f t="shared" si="12"/>
        <v xml:space="preserve"> C00136:1</v>
      </c>
      <c r="D116" s="31" t="str">
        <f t="shared" si="10"/>
        <v xml:space="preserve"> C00136:Butanoyl-CoA</v>
      </c>
    </row>
    <row r="117" spans="1:4" ht="29" x14ac:dyDescent="0.35">
      <c r="A117" s="31" t="s">
        <v>12159</v>
      </c>
      <c r="B117" s="31" t="s">
        <v>13430</v>
      </c>
      <c r="C117" s="31" t="str">
        <f t="shared" si="12"/>
        <v>C00137:1</v>
      </c>
      <c r="D117" s="31" t="str">
        <f t="shared" si="10"/>
        <v>C00137:	
myo-Inositol</v>
      </c>
    </row>
    <row r="118" spans="1:4" ht="29" x14ac:dyDescent="0.35">
      <c r="A118" s="31" t="s">
        <v>12245</v>
      </c>
      <c r="B118" s="31" t="s">
        <v>13431</v>
      </c>
      <c r="C118" s="31" t="str">
        <f t="shared" si="12"/>
        <v xml:space="preserve">   C00138 :1</v>
      </c>
      <c r="D118" s="31" t="str">
        <f t="shared" si="10"/>
        <v xml:space="preserve">   C00138 :	
Reduced ferredoxin</v>
      </c>
    </row>
    <row r="119" spans="1:4" x14ac:dyDescent="0.35">
      <c r="A119" s="31" t="s">
        <v>12247</v>
      </c>
      <c r="B119" s="31" t="s">
        <v>13432</v>
      </c>
      <c r="C119" s="31" t="str">
        <f t="shared" si="12"/>
        <v> C00139:1</v>
      </c>
      <c r="D119" s="31" t="str">
        <f t="shared" si="10"/>
        <v> C00139:Oxidized ferredoxin</v>
      </c>
    </row>
    <row r="120" spans="1:4" x14ac:dyDescent="0.35">
      <c r="A120" s="31" t="s">
        <v>12373</v>
      </c>
      <c r="B120" s="31" t="s">
        <v>12953</v>
      </c>
      <c r="C120" s="31" t="str">
        <f t="shared" si="12"/>
        <v>C00141  :1</v>
      </c>
      <c r="D120" s="31" t="str">
        <f t="shared" si="10"/>
        <v xml:space="preserve">C00141  :3-Methyl-2-oxobutanoic acid </v>
      </c>
    </row>
    <row r="121" spans="1:4" x14ac:dyDescent="0.35">
      <c r="A121" s="31" t="s">
        <v>12314</v>
      </c>
      <c r="B121" s="31" t="s">
        <v>12954</v>
      </c>
      <c r="C121" s="31" t="str">
        <f t="shared" si="12"/>
        <v>C00143  :1</v>
      </c>
      <c r="D121" s="31" t="str">
        <f t="shared" si="10"/>
        <v>C00143  :5,10-Methylenetetrahydrofolate</v>
      </c>
    </row>
    <row r="122" spans="1:4" x14ac:dyDescent="0.35">
      <c r="A122" s="31" t="s">
        <v>11962</v>
      </c>
      <c r="B122" s="31" t="s">
        <v>12955</v>
      </c>
      <c r="C122" s="31" t="str">
        <f t="shared" si="12"/>
        <v>C00144:1</v>
      </c>
      <c r="D122" s="31" t="str">
        <f t="shared" si="10"/>
        <v>C00144:GMP</v>
      </c>
    </row>
    <row r="123" spans="1:4" x14ac:dyDescent="0.35">
      <c r="A123" s="31" t="s">
        <v>12498</v>
      </c>
      <c r="B123" s="31" t="s">
        <v>13433</v>
      </c>
      <c r="C123" s="31" t="str">
        <f t="shared" si="12"/>
        <v>C00145  :1</v>
      </c>
      <c r="D123" s="31" t="str">
        <f t="shared" si="10"/>
        <v>C00145  :Thiol</v>
      </c>
    </row>
    <row r="124" spans="1:4" x14ac:dyDescent="0.35">
      <c r="A124" s="31" t="s">
        <v>12499</v>
      </c>
      <c r="B124" s="31" t="s">
        <v>12956</v>
      </c>
      <c r="C124" s="31" t="str">
        <f t="shared" si="12"/>
        <v>C00147 :1</v>
      </c>
      <c r="D124" s="31" t="str">
        <f t="shared" si="10"/>
        <v>C00147 :Adenine</v>
      </c>
    </row>
    <row r="125" spans="1:4" x14ac:dyDescent="0.35">
      <c r="A125" s="31" t="s">
        <v>12309</v>
      </c>
      <c r="B125" s="31" t="s">
        <v>12957</v>
      </c>
      <c r="C125" s="31" t="str">
        <f>CONCATENATE(A125,":","1000")</f>
        <v>C00148  :1000</v>
      </c>
      <c r="D125" s="31" t="str">
        <f t="shared" si="10"/>
        <v xml:space="preserve">C00148  :L-Proline </v>
      </c>
    </row>
    <row r="126" spans="1:4" x14ac:dyDescent="0.35">
      <c r="A126" s="31" t="s">
        <v>11963</v>
      </c>
      <c r="B126" s="31" t="s">
        <v>12958</v>
      </c>
      <c r="C126" s="31" t="str">
        <f>CONCATENATE(A126, ":", "1")</f>
        <v>C00149:1</v>
      </c>
      <c r="D126" s="31" t="str">
        <f t="shared" si="10"/>
        <v>C00149:(S)-Malate</v>
      </c>
    </row>
    <row r="127" spans="1:4" ht="29" x14ac:dyDescent="0.35">
      <c r="A127" s="31" t="s">
        <v>12445</v>
      </c>
      <c r="B127" s="31" t="s">
        <v>13434</v>
      </c>
      <c r="C127" s="31" t="str">
        <f>CONCATENATE(A127, ":", "1000")</f>
        <v xml:space="preserve">  C00151:1000</v>
      </c>
      <c r="D127" s="31" t="str">
        <f t="shared" si="10"/>
        <v xml:space="preserve">  C00151:	
L-Amino acid</v>
      </c>
    </row>
    <row r="128" spans="1:4" x14ac:dyDescent="0.35">
      <c r="A128" s="31" t="s">
        <v>12500</v>
      </c>
      <c r="B128" s="31" t="s">
        <v>12959</v>
      </c>
      <c r="C128" s="31" t="str">
        <f>CONCATENATE(A128, ":", "1000")</f>
        <v xml:space="preserve"> C00152:1000</v>
      </c>
      <c r="D128" s="31" t="str">
        <f t="shared" si="10"/>
        <v xml:space="preserve"> C00152:L-Asparagine</v>
      </c>
    </row>
    <row r="129" spans="1:4" x14ac:dyDescent="0.35">
      <c r="A129" s="31" t="s">
        <v>12412</v>
      </c>
      <c r="B129" s="31" t="s">
        <v>12960</v>
      </c>
      <c r="C129" s="31" t="str">
        <f t="shared" ref="C129:C190" si="13">CONCATENATE(A129, ":", "1")</f>
        <v> C00153 :1</v>
      </c>
      <c r="D129" s="31" t="str">
        <f t="shared" si="10"/>
        <v> C00153 :Nicotinamide</v>
      </c>
    </row>
    <row r="130" spans="1:4" x14ac:dyDescent="0.35">
      <c r="A130" s="31" t="s">
        <v>11964</v>
      </c>
      <c r="B130" s="31" t="s">
        <v>12961</v>
      </c>
      <c r="C130" s="31" t="str">
        <f>CONCATENATE(A130, ":", "1000")</f>
        <v>C00155:1000</v>
      </c>
      <c r="D130" s="31" t="str">
        <f t="shared" si="10"/>
        <v>C00155:L-Homocysteine</v>
      </c>
    </row>
    <row r="131" spans="1:4" x14ac:dyDescent="0.35">
      <c r="A131" s="31" t="s">
        <v>11965</v>
      </c>
      <c r="B131" s="31" t="s">
        <v>12962</v>
      </c>
      <c r="C131" s="31" t="str">
        <f t="shared" si="13"/>
        <v>C00158:1</v>
      </c>
      <c r="D131" s="31" t="str">
        <f t="shared" ref="D131:D194" si="14">CONCATENATE(A131,":",B131)</f>
        <v>C00158:Citrate</v>
      </c>
    </row>
    <row r="132" spans="1:4" x14ac:dyDescent="0.35">
      <c r="A132" s="31" t="s">
        <v>12300</v>
      </c>
      <c r="B132" s="31" t="s">
        <v>12963</v>
      </c>
      <c r="C132" s="31" t="str">
        <f t="shared" si="13"/>
        <v>C00161  :1</v>
      </c>
      <c r="D132" s="31" t="str">
        <f t="shared" si="14"/>
        <v>C00161  :2-Oxo acid</v>
      </c>
    </row>
    <row r="133" spans="1:4" x14ac:dyDescent="0.35">
      <c r="A133" s="31" t="s">
        <v>11966</v>
      </c>
      <c r="B133" s="31" t="s">
        <v>12964</v>
      </c>
      <c r="C133" s="31" t="str">
        <f t="shared" si="13"/>
        <v>C00163:1</v>
      </c>
      <c r="D133" s="31" t="str">
        <f t="shared" si="14"/>
        <v>C00163:Propanoate</v>
      </c>
    </row>
    <row r="134" spans="1:4" x14ac:dyDescent="0.35">
      <c r="A134" s="31" t="s">
        <v>12501</v>
      </c>
      <c r="B134" s="31" t="s">
        <v>12965</v>
      </c>
      <c r="C134" s="31" t="str">
        <f t="shared" si="13"/>
        <v xml:space="preserve"> C00166:1</v>
      </c>
      <c r="D134" s="31" t="str">
        <f t="shared" si="14"/>
        <v xml:space="preserve"> C00166:Phenylpyruvate</v>
      </c>
    </row>
    <row r="135" spans="1:4" x14ac:dyDescent="0.35">
      <c r="A135" s="31" t="s">
        <v>12382</v>
      </c>
      <c r="B135" s="31" t="s">
        <v>12966</v>
      </c>
      <c r="C135" s="31" t="str">
        <f t="shared" si="13"/>
        <v>C00169 :1</v>
      </c>
      <c r="D135" s="31" t="str">
        <f t="shared" si="14"/>
        <v xml:space="preserve">C00169 :Carbamoyl Phosphate </v>
      </c>
    </row>
    <row r="136" spans="1:4" x14ac:dyDescent="0.35">
      <c r="A136" s="31" t="s">
        <v>12502</v>
      </c>
      <c r="B136" s="31" t="s">
        <v>12967</v>
      </c>
      <c r="C136" s="31" t="str">
        <f t="shared" si="13"/>
        <v>C00170  :1</v>
      </c>
      <c r="D136" s="31" t="str">
        <f t="shared" si="14"/>
        <v xml:space="preserve">C00170  :5'-Methylthioadenosine </v>
      </c>
    </row>
    <row r="137" spans="1:4" x14ac:dyDescent="0.35">
      <c r="A137" s="31" t="s">
        <v>12220</v>
      </c>
      <c r="B137" s="31" t="s">
        <v>13435</v>
      </c>
      <c r="C137" s="31" t="str">
        <f t="shared" si="13"/>
        <v>C00180:1</v>
      </c>
      <c r="D137" s="31" t="str">
        <f t="shared" si="14"/>
        <v>C00180:Benzoate</v>
      </c>
    </row>
    <row r="138" spans="1:4" x14ac:dyDescent="0.35">
      <c r="A138" s="31" t="s">
        <v>11967</v>
      </c>
      <c r="B138" s="31" t="s">
        <v>12968</v>
      </c>
      <c r="C138" s="31" t="str">
        <f>CONCATENATE(A138, ":", "1000")</f>
        <v>C00183:1000</v>
      </c>
      <c r="D138" s="31" t="str">
        <f t="shared" si="14"/>
        <v>C00183:L-Valine</v>
      </c>
    </row>
    <row r="139" spans="1:4" x14ac:dyDescent="0.35">
      <c r="A139" s="31" t="s">
        <v>11968</v>
      </c>
      <c r="B139" s="31" t="s">
        <v>12969</v>
      </c>
      <c r="C139" s="31" t="str">
        <f t="shared" si="13"/>
        <v>C00184:1</v>
      </c>
      <c r="D139" s="31" t="str">
        <f t="shared" si="14"/>
        <v>C00184:Glycerone</v>
      </c>
    </row>
    <row r="140" spans="1:4" x14ac:dyDescent="0.35">
      <c r="A140" s="31" t="s">
        <v>11969</v>
      </c>
      <c r="B140" s="31" t="s">
        <v>12970</v>
      </c>
      <c r="C140" s="31" t="str">
        <f t="shared" si="13"/>
        <v>C00186:1</v>
      </c>
      <c r="D140" s="31" t="str">
        <f t="shared" si="14"/>
        <v>C00186:(S)-Lactate</v>
      </c>
    </row>
    <row r="141" spans="1:4" x14ac:dyDescent="0.35">
      <c r="A141" s="31" t="s">
        <v>11970</v>
      </c>
      <c r="B141" s="31" t="s">
        <v>12971</v>
      </c>
      <c r="C141" s="31" t="str">
        <f>CONCATENATE(A141, ":", "1000")</f>
        <v>C00188:1000</v>
      </c>
      <c r="D141" s="31" t="str">
        <f t="shared" si="14"/>
        <v>C00188:L-Threonine</v>
      </c>
    </row>
    <row r="142" spans="1:4" ht="29" x14ac:dyDescent="0.35">
      <c r="A142" s="31" t="s">
        <v>12503</v>
      </c>
      <c r="B142" s="31" t="s">
        <v>13436</v>
      </c>
      <c r="C142" s="31" t="str">
        <f t="shared" si="13"/>
        <v>C00191  :1</v>
      </c>
      <c r="D142" s="31" t="str">
        <f t="shared" si="14"/>
        <v>C00191  :	
D-Glucuronate</v>
      </c>
    </row>
    <row r="143" spans="1:4" ht="29" x14ac:dyDescent="0.35">
      <c r="A143" s="31" t="s">
        <v>12504</v>
      </c>
      <c r="B143" s="31" t="s">
        <v>13437</v>
      </c>
      <c r="C143" s="31" t="str">
        <f t="shared" si="13"/>
        <v>C00194 :1</v>
      </c>
      <c r="D143" s="31" t="str">
        <f t="shared" si="14"/>
        <v>C00194 :	
Cobamide coenzyme</v>
      </c>
    </row>
    <row r="144" spans="1:4" x14ac:dyDescent="0.35">
      <c r="A144" s="31" t="s">
        <v>11971</v>
      </c>
      <c r="B144" s="31" t="s">
        <v>12972</v>
      </c>
      <c r="C144" s="31" t="str">
        <f t="shared" si="13"/>
        <v>C00197:1</v>
      </c>
      <c r="D144" s="31" t="str">
        <f t="shared" si="14"/>
        <v xml:space="preserve">C00197:3-Phospho-D-glycerate </v>
      </c>
    </row>
    <row r="145" spans="1:4" x14ac:dyDescent="0.35">
      <c r="A145" s="31" t="s">
        <v>12187</v>
      </c>
      <c r="B145" s="31" t="s">
        <v>12973</v>
      </c>
      <c r="C145" s="31" t="str">
        <f t="shared" si="13"/>
        <v>C00199 :1</v>
      </c>
      <c r="D145" s="31" t="str">
        <f t="shared" si="14"/>
        <v xml:space="preserve">C00199 :D-Ribulose 5-phosphate </v>
      </c>
    </row>
    <row r="146" spans="1:4" x14ac:dyDescent="0.35">
      <c r="A146" s="31" t="s">
        <v>12505</v>
      </c>
      <c r="B146" s="31" t="s">
        <v>12974</v>
      </c>
      <c r="C146" s="31" t="str">
        <f t="shared" si="13"/>
        <v>C00201 :1</v>
      </c>
      <c r="D146" s="31" t="str">
        <f t="shared" si="14"/>
        <v>C00201 :NTP</v>
      </c>
    </row>
    <row r="147" spans="1:4" x14ac:dyDescent="0.35">
      <c r="A147" s="31" t="s">
        <v>11972</v>
      </c>
      <c r="B147" s="31" t="s">
        <v>12975</v>
      </c>
      <c r="C147" s="31" t="str">
        <f t="shared" si="13"/>
        <v>C00203:1</v>
      </c>
      <c r="D147" s="31" t="str">
        <f t="shared" si="14"/>
        <v>C00203:UDP-N-acetyl-D-galactosamine</v>
      </c>
    </row>
    <row r="148" spans="1:4" x14ac:dyDescent="0.35">
      <c r="A148" s="31" t="s">
        <v>12239</v>
      </c>
      <c r="B148" s="31" t="s">
        <v>12976</v>
      </c>
      <c r="C148" s="31" t="str">
        <f t="shared" si="13"/>
        <v>C00206  :1</v>
      </c>
      <c r="D148" s="31" t="str">
        <f t="shared" si="14"/>
        <v>C00206  :dADP</v>
      </c>
    </row>
    <row r="149" spans="1:4" ht="29" x14ac:dyDescent="0.35">
      <c r="A149" s="31" t="s">
        <v>12506</v>
      </c>
      <c r="B149" s="31" t="s">
        <v>13378</v>
      </c>
      <c r="C149" s="31" t="str">
        <f t="shared" si="13"/>
        <v> C00208:1</v>
      </c>
      <c r="D149" s="31" t="str">
        <f t="shared" si="14"/>
        <v> C00208:	
Maltose</v>
      </c>
    </row>
    <row r="150" spans="1:4" x14ac:dyDescent="0.35">
      <c r="A150" s="31" t="s">
        <v>12507</v>
      </c>
      <c r="B150" s="31" t="s">
        <v>12977</v>
      </c>
      <c r="C150" s="31" t="str">
        <f t="shared" si="13"/>
        <v xml:space="preserve"> C00212 :1</v>
      </c>
      <c r="D150" s="31" t="str">
        <f t="shared" si="14"/>
        <v xml:space="preserve"> C00212 :Adenosine </v>
      </c>
    </row>
    <row r="151" spans="1:4" x14ac:dyDescent="0.35">
      <c r="A151" s="31" t="s">
        <v>12305</v>
      </c>
      <c r="B151" s="31" t="s">
        <v>13438</v>
      </c>
      <c r="C151" s="31" t="str">
        <f t="shared" si="13"/>
        <v>C00213 :1</v>
      </c>
      <c r="D151" s="31" t="str">
        <f t="shared" si="14"/>
        <v>C00213 :Sarcosine</v>
      </c>
    </row>
    <row r="152" spans="1:4" x14ac:dyDescent="0.35">
      <c r="A152" s="31" t="s">
        <v>12508</v>
      </c>
      <c r="B152" s="31" t="s">
        <v>12978</v>
      </c>
      <c r="C152" s="31" t="str">
        <f t="shared" si="13"/>
        <v> C00214 :1</v>
      </c>
      <c r="D152" s="31" t="str">
        <f t="shared" si="14"/>
        <v xml:space="preserve"> C00214 :Thymidine </v>
      </c>
    </row>
    <row r="153" spans="1:4" x14ac:dyDescent="0.35">
      <c r="A153" s="31" t="s">
        <v>12509</v>
      </c>
      <c r="B153" s="31" t="s">
        <v>13439</v>
      </c>
      <c r="C153" s="31" t="str">
        <f t="shared" si="13"/>
        <v>C00215 :1</v>
      </c>
      <c r="D153" s="31" t="str">
        <f t="shared" si="14"/>
        <v>C00215 :Nucleotide</v>
      </c>
    </row>
    <row r="154" spans="1:4" x14ac:dyDescent="0.35">
      <c r="A154" s="31" t="s">
        <v>12510</v>
      </c>
      <c r="B154" s="31" t="s">
        <v>12979</v>
      </c>
      <c r="C154" s="31" t="str">
        <f t="shared" si="13"/>
        <v>C00217  :1</v>
      </c>
      <c r="D154" s="31" t="str">
        <f t="shared" si="14"/>
        <v xml:space="preserve">C00217  :D-Glutamate </v>
      </c>
    </row>
    <row r="155" spans="1:4" ht="29" x14ac:dyDescent="0.35">
      <c r="A155" s="31" t="s">
        <v>12306</v>
      </c>
      <c r="B155" s="31" t="s">
        <v>13440</v>
      </c>
      <c r="C155" s="31" t="str">
        <f t="shared" si="13"/>
        <v>C00218  :1</v>
      </c>
      <c r="D155" s="31" t="str">
        <f t="shared" si="14"/>
        <v>C00218  :	
Methylamine</v>
      </c>
    </row>
    <row r="156" spans="1:4" x14ac:dyDescent="0.35">
      <c r="A156" s="31" t="s">
        <v>12511</v>
      </c>
      <c r="B156" s="31" t="s">
        <v>13441</v>
      </c>
      <c r="C156" s="31" t="str">
        <f>CONCATENATE(A156, ":", "1000")</f>
        <v xml:space="preserve">  C00221:1000</v>
      </c>
      <c r="D156" s="31" t="str">
        <f t="shared" si="14"/>
        <v xml:space="preserve">  C00221:beta-D-Glucose</v>
      </c>
    </row>
    <row r="157" spans="1:4" ht="29" x14ac:dyDescent="0.35">
      <c r="A157" s="31" t="s">
        <v>12175</v>
      </c>
      <c r="B157" s="31" t="s">
        <v>13442</v>
      </c>
      <c r="C157" s="31" t="str">
        <f t="shared" si="13"/>
        <v>C00222 :1</v>
      </c>
      <c r="D157" s="31" t="str">
        <f t="shared" si="14"/>
        <v>C00222 :	
3-Oxopropanoat</v>
      </c>
    </row>
    <row r="158" spans="1:4" x14ac:dyDescent="0.35">
      <c r="A158" s="31" t="s">
        <v>11973</v>
      </c>
      <c r="B158" s="31" t="s">
        <v>12980</v>
      </c>
      <c r="C158" s="31" t="str">
        <f t="shared" si="13"/>
        <v>C00224:1</v>
      </c>
      <c r="D158" s="31" t="str">
        <f t="shared" si="14"/>
        <v xml:space="preserve">C00224:Adenylyl Sulfate </v>
      </c>
    </row>
    <row r="159" spans="1:4" x14ac:dyDescent="0.35">
      <c r="A159" s="31" t="s">
        <v>11974</v>
      </c>
      <c r="B159" s="31" t="s">
        <v>12981</v>
      </c>
      <c r="C159" s="31" t="str">
        <f t="shared" si="13"/>
        <v>C00226:1</v>
      </c>
      <c r="D159" s="31" t="str">
        <f t="shared" si="14"/>
        <v>C00226:Primary Alcohol</v>
      </c>
    </row>
    <row r="160" spans="1:4" x14ac:dyDescent="0.35">
      <c r="A160" s="31" t="s">
        <v>12418</v>
      </c>
      <c r="B160" s="31" t="s">
        <v>12982</v>
      </c>
      <c r="C160" s="31" t="str">
        <f t="shared" si="13"/>
        <v> C00227:1</v>
      </c>
      <c r="D160" s="31" t="str">
        <f t="shared" si="14"/>
        <v> C00227:Acetyl Phosphate</v>
      </c>
    </row>
    <row r="161" spans="1:4" x14ac:dyDescent="0.35">
      <c r="A161" s="31" t="s">
        <v>12402</v>
      </c>
      <c r="B161" s="31" t="s">
        <v>12983</v>
      </c>
      <c r="C161" s="31" t="str">
        <f t="shared" si="13"/>
        <v> C00229:1</v>
      </c>
      <c r="D161" s="31" t="str">
        <f t="shared" si="14"/>
        <v xml:space="preserve"> C00229:Acyl-carrier protein </v>
      </c>
    </row>
    <row r="162" spans="1:4" ht="29" x14ac:dyDescent="0.35">
      <c r="A162" s="31" t="s">
        <v>12213</v>
      </c>
      <c r="B162" s="31" t="s">
        <v>13443</v>
      </c>
      <c r="C162" s="31" t="str">
        <f t="shared" si="13"/>
        <v>C00230  :1</v>
      </c>
      <c r="D162" s="31" t="str">
        <f t="shared" si="14"/>
        <v>C00230  :	
3,4-Dihydroxybenzoate</v>
      </c>
    </row>
    <row r="163" spans="1:4" x14ac:dyDescent="0.35">
      <c r="A163" s="31" t="s">
        <v>11975</v>
      </c>
      <c r="B163" s="31" t="s">
        <v>12984</v>
      </c>
      <c r="C163" s="31" t="str">
        <f t="shared" si="13"/>
        <v>C00231:1</v>
      </c>
      <c r="D163" s="31" t="str">
        <f t="shared" si="14"/>
        <v xml:space="preserve">C00231:D-Xylulose 5-Phosphate </v>
      </c>
    </row>
    <row r="164" spans="1:4" ht="29" x14ac:dyDescent="0.35">
      <c r="A164" s="31" t="s">
        <v>12263</v>
      </c>
      <c r="B164" s="31" t="s">
        <v>13444</v>
      </c>
      <c r="C164" s="31" t="str">
        <f t="shared" si="13"/>
        <v>C00232:1</v>
      </c>
      <c r="D164" s="31" t="str">
        <f t="shared" si="14"/>
        <v>C00232:	
Succinate semialdehyde</v>
      </c>
    </row>
    <row r="165" spans="1:4" x14ac:dyDescent="0.35">
      <c r="A165" s="31" t="s">
        <v>11976</v>
      </c>
      <c r="B165" s="31" t="s">
        <v>12985</v>
      </c>
      <c r="C165" s="31" t="str">
        <f t="shared" si="13"/>
        <v>C00233:1</v>
      </c>
      <c r="D165" s="31" t="str">
        <f t="shared" si="14"/>
        <v xml:space="preserve">C00233:4-Methyl-2-oxopentanoate </v>
      </c>
    </row>
    <row r="166" spans="1:4" x14ac:dyDescent="0.35">
      <c r="A166" s="31" t="s">
        <v>12374</v>
      </c>
      <c r="B166" s="31" t="s">
        <v>12986</v>
      </c>
      <c r="C166" s="31" t="str">
        <f t="shared" si="13"/>
        <v>C00234 :1</v>
      </c>
      <c r="D166" s="31" t="str">
        <f t="shared" si="14"/>
        <v>C00234 :10-Formyltetrahydrofolate</v>
      </c>
    </row>
    <row r="167" spans="1:4" x14ac:dyDescent="0.35">
      <c r="A167" s="31" t="s">
        <v>11181</v>
      </c>
      <c r="B167" s="33" t="s">
        <v>12987</v>
      </c>
      <c r="C167" s="31" t="str">
        <f t="shared" si="13"/>
        <v>C00235:1</v>
      </c>
      <c r="D167" s="31" t="str">
        <f t="shared" si="14"/>
        <v>C00235:Dimethylallyl diphosphate</v>
      </c>
    </row>
    <row r="168" spans="1:4" x14ac:dyDescent="0.35">
      <c r="A168" s="31" t="s">
        <v>12256</v>
      </c>
      <c r="B168" s="33" t="s">
        <v>12988</v>
      </c>
      <c r="C168" s="31" t="str">
        <f t="shared" si="13"/>
        <v xml:space="preserve"> C00236 :1</v>
      </c>
      <c r="D168" s="31" t="str">
        <f t="shared" si="14"/>
        <v xml:space="preserve"> C00236 :3-Phospho-D-glyceroyl phosphate</v>
      </c>
    </row>
    <row r="169" spans="1:4" x14ac:dyDescent="0.35">
      <c r="A169" s="31" t="s">
        <v>12512</v>
      </c>
      <c r="B169" s="31" t="s">
        <v>13445</v>
      </c>
      <c r="C169" s="31" t="str">
        <f t="shared" si="13"/>
        <v> C00237:1</v>
      </c>
      <c r="D169" s="31" t="str">
        <f t="shared" si="14"/>
        <v> C00237:Carbon monoxide</v>
      </c>
    </row>
    <row r="170" spans="1:4" x14ac:dyDescent="0.35">
      <c r="A170" s="31" t="s">
        <v>12513</v>
      </c>
      <c r="B170" s="31" t="s">
        <v>12989</v>
      </c>
      <c r="C170" s="31" t="str">
        <f t="shared" si="13"/>
        <v xml:space="preserve"> C00239:1</v>
      </c>
      <c r="D170" s="31" t="str">
        <f t="shared" si="14"/>
        <v xml:space="preserve"> C00239:dCMP</v>
      </c>
    </row>
    <row r="171" spans="1:4" x14ac:dyDescent="0.35">
      <c r="A171" s="31" t="s">
        <v>12358</v>
      </c>
      <c r="B171" s="31" t="s">
        <v>258</v>
      </c>
      <c r="C171" s="31" t="str">
        <f t="shared" si="13"/>
        <v>C00240 :1</v>
      </c>
      <c r="D171" s="31" t="str">
        <f t="shared" si="14"/>
        <v>C00240 :rRNA</v>
      </c>
    </row>
    <row r="172" spans="1:4" x14ac:dyDescent="0.35">
      <c r="A172" s="31" t="s">
        <v>11977</v>
      </c>
      <c r="B172" s="31" t="s">
        <v>12990</v>
      </c>
      <c r="C172" s="31" t="str">
        <f t="shared" si="13"/>
        <v>C00241:1</v>
      </c>
      <c r="D172" s="31" t="str">
        <f t="shared" si="14"/>
        <v>C00241:Amide</v>
      </c>
    </row>
    <row r="173" spans="1:4" x14ac:dyDescent="0.35">
      <c r="A173" s="31" t="s">
        <v>11978</v>
      </c>
      <c r="B173" s="31" t="s">
        <v>12991</v>
      </c>
      <c r="C173" s="31" t="str">
        <f t="shared" si="13"/>
        <v>C00242:1</v>
      </c>
      <c r="D173" s="31" t="str">
        <f t="shared" si="14"/>
        <v>C00242:Guanine</v>
      </c>
    </row>
    <row r="174" spans="1:4" x14ac:dyDescent="0.35">
      <c r="A174" s="31" t="s">
        <v>12448</v>
      </c>
      <c r="B174" s="31" t="s">
        <v>12992</v>
      </c>
      <c r="C174" s="31" t="str">
        <f t="shared" si="13"/>
        <v xml:space="preserve"> C00245:1</v>
      </c>
      <c r="D174" s="31" t="str">
        <f t="shared" si="14"/>
        <v xml:space="preserve"> C00245:Taurine</v>
      </c>
    </row>
    <row r="175" spans="1:4" ht="29" x14ac:dyDescent="0.35">
      <c r="A175" s="31" t="s">
        <v>12334</v>
      </c>
      <c r="B175" s="31" t="s">
        <v>13446</v>
      </c>
      <c r="C175" s="31" t="str">
        <f t="shared" si="13"/>
        <v>C00248  :1</v>
      </c>
      <c r="D175" s="31" t="str">
        <f t="shared" si="14"/>
        <v>C00248  :	
Lipoamide</v>
      </c>
    </row>
    <row r="176" spans="1:4" x14ac:dyDescent="0.35">
      <c r="A176" s="31" t="s">
        <v>12424</v>
      </c>
      <c r="B176" s="31" t="s">
        <v>13447</v>
      </c>
      <c r="C176" s="31" t="str">
        <f t="shared" si="13"/>
        <v>C00249:1</v>
      </c>
      <c r="D176" s="31" t="str">
        <f t="shared" si="14"/>
        <v>C00249:Hexadecanoic acid</v>
      </c>
    </row>
    <row r="177" spans="1:4" x14ac:dyDescent="0.35">
      <c r="A177" s="31" t="s">
        <v>12514</v>
      </c>
      <c r="B177" s="31" t="s">
        <v>12993</v>
      </c>
      <c r="C177" s="31" t="str">
        <f t="shared" si="13"/>
        <v xml:space="preserve">  C00250:1</v>
      </c>
      <c r="D177" s="31" t="str">
        <f t="shared" si="14"/>
        <v xml:space="preserve">  C00250:Pyridoxal</v>
      </c>
    </row>
    <row r="178" spans="1:4" x14ac:dyDescent="0.35">
      <c r="A178" s="31" t="s">
        <v>12515</v>
      </c>
      <c r="B178" s="31" t="s">
        <v>13448</v>
      </c>
      <c r="C178" s="31" t="str">
        <f t="shared" si="13"/>
        <v>C00251:1</v>
      </c>
      <c r="D178" s="31" t="str">
        <f t="shared" si="14"/>
        <v>C00251:Chorismate</v>
      </c>
    </row>
    <row r="179" spans="1:4" x14ac:dyDescent="0.35">
      <c r="A179" s="31" t="s">
        <v>12516</v>
      </c>
      <c r="B179" s="31" t="s">
        <v>12994</v>
      </c>
      <c r="C179" s="31" t="str">
        <f t="shared" si="13"/>
        <v xml:space="preserve"> C00253  :1</v>
      </c>
      <c r="D179" s="31" t="str">
        <f t="shared" si="14"/>
        <v xml:space="preserve"> C00253  :Nicotinate</v>
      </c>
    </row>
    <row r="180" spans="1:4" ht="29" x14ac:dyDescent="0.35">
      <c r="A180" s="31" t="s">
        <v>12272</v>
      </c>
      <c r="B180" s="31" t="s">
        <v>13449</v>
      </c>
      <c r="C180" s="31" t="str">
        <f t="shared" si="13"/>
        <v>C00254:1</v>
      </c>
      <c r="D180" s="31" t="str">
        <f t="shared" si="14"/>
        <v>C00254:	
Prephenate</v>
      </c>
    </row>
    <row r="181" spans="1:4" x14ac:dyDescent="0.35">
      <c r="A181" s="31" t="s">
        <v>12517</v>
      </c>
      <c r="B181" s="31" t="s">
        <v>12995</v>
      </c>
      <c r="C181" s="31" t="str">
        <f t="shared" si="13"/>
        <v>C00255 :1</v>
      </c>
      <c r="D181" s="31" t="str">
        <f t="shared" si="14"/>
        <v>C00255 :Riboflavin</v>
      </c>
    </row>
    <row r="182" spans="1:4" x14ac:dyDescent="0.35">
      <c r="A182" s="31" t="s">
        <v>11979</v>
      </c>
      <c r="B182" s="31" t="s">
        <v>12996</v>
      </c>
      <c r="C182" s="31" t="str">
        <f t="shared" si="13"/>
        <v>C00256:1</v>
      </c>
      <c r="D182" s="31" t="str">
        <f t="shared" si="14"/>
        <v>C00256:(R)-Lactate</v>
      </c>
    </row>
    <row r="183" spans="1:4" x14ac:dyDescent="0.35">
      <c r="A183" s="31" t="s">
        <v>12518</v>
      </c>
      <c r="B183" s="31" t="s">
        <v>12997</v>
      </c>
      <c r="C183" s="31" t="str">
        <f t="shared" si="13"/>
        <v xml:space="preserve"> C00258:1</v>
      </c>
      <c r="D183" s="31" t="str">
        <f t="shared" si="14"/>
        <v xml:space="preserve"> C00258:D-Glycerate</v>
      </c>
    </row>
    <row r="184" spans="1:4" x14ac:dyDescent="0.35">
      <c r="A184" s="31" t="s">
        <v>12519</v>
      </c>
      <c r="B184" s="31" t="s">
        <v>12998</v>
      </c>
      <c r="C184" s="31" t="str">
        <f t="shared" si="13"/>
        <v>C00262  :1</v>
      </c>
      <c r="D184" s="31" t="str">
        <f t="shared" si="14"/>
        <v>C00262  :Hypoxanthine</v>
      </c>
    </row>
    <row r="185" spans="1:4" x14ac:dyDescent="0.35">
      <c r="A185" s="31" t="s">
        <v>11980</v>
      </c>
      <c r="B185" s="31" t="s">
        <v>12999</v>
      </c>
      <c r="C185" s="31" t="str">
        <f t="shared" si="13"/>
        <v>C00263:1</v>
      </c>
      <c r="D185" s="31" t="str">
        <f t="shared" si="14"/>
        <v>C00263:L-Homoserine</v>
      </c>
    </row>
    <row r="186" spans="1:4" ht="29" x14ac:dyDescent="0.35">
      <c r="A186" s="31" t="s">
        <v>12520</v>
      </c>
      <c r="B186" s="31" t="s">
        <v>13450</v>
      </c>
      <c r="C186" s="31" t="str">
        <f t="shared" si="13"/>
        <v>C00266  :1</v>
      </c>
      <c r="D186" s="31" t="str">
        <f t="shared" si="14"/>
        <v>C00266  :	
Glycolaldehyde</v>
      </c>
    </row>
    <row r="187" spans="1:4" x14ac:dyDescent="0.35">
      <c r="A187" s="31" t="s">
        <v>12521</v>
      </c>
      <c r="B187" s="31" t="s">
        <v>13000</v>
      </c>
      <c r="C187" s="31" t="str">
        <f t="shared" si="13"/>
        <v>  C00267 :1</v>
      </c>
      <c r="D187" s="31" t="str">
        <f t="shared" si="14"/>
        <v xml:space="preserve">  C00267 :alpha-D-Glucose </v>
      </c>
    </row>
    <row r="188" spans="1:4" x14ac:dyDescent="0.35">
      <c r="A188" s="31" t="s">
        <v>12522</v>
      </c>
      <c r="B188" s="31" t="s">
        <v>13451</v>
      </c>
      <c r="C188" s="31" t="str">
        <f t="shared" si="13"/>
        <v> C00268 :1</v>
      </c>
      <c r="D188" s="31" t="str">
        <f t="shared" si="14"/>
        <v> C00268 :Dihydrobiopterin</v>
      </c>
    </row>
    <row r="189" spans="1:4" x14ac:dyDescent="0.35">
      <c r="A189" s="31" t="s">
        <v>11981</v>
      </c>
      <c r="B189" s="31" t="s">
        <v>13001</v>
      </c>
      <c r="C189" s="31" t="str">
        <f t="shared" si="13"/>
        <v>C00269:1</v>
      </c>
      <c r="D189" s="31" t="str">
        <f t="shared" si="14"/>
        <v>C00269:CDP-diacylglycerol</v>
      </c>
    </row>
    <row r="190" spans="1:4" x14ac:dyDescent="0.35">
      <c r="A190" s="31" t="s">
        <v>12318</v>
      </c>
      <c r="B190" s="31" t="s">
        <v>13002</v>
      </c>
      <c r="C190" s="31" t="str">
        <f t="shared" si="13"/>
        <v>C00272  :1</v>
      </c>
      <c r="D190" s="31" t="str">
        <f t="shared" si="14"/>
        <v>C00272  :Tetrahydrobiopterin</v>
      </c>
    </row>
    <row r="191" spans="1:4" x14ac:dyDescent="0.35">
      <c r="A191" s="31" t="s">
        <v>12523</v>
      </c>
      <c r="B191" s="31" t="s">
        <v>13452</v>
      </c>
      <c r="C191" s="31" t="str">
        <f t="shared" ref="C191:C254" si="15">CONCATENATE(A191, ":", "1")</f>
        <v>C00275:1</v>
      </c>
      <c r="D191" s="31" t="str">
        <f t="shared" si="14"/>
        <v>C00275:D-Mannose 6-phosphate</v>
      </c>
    </row>
    <row r="192" spans="1:4" x14ac:dyDescent="0.35">
      <c r="A192" s="31" t="s">
        <v>12388</v>
      </c>
      <c r="B192" s="31" t="s">
        <v>13453</v>
      </c>
      <c r="C192" s="31" t="str">
        <f t="shared" si="15"/>
        <v>C00279  :1</v>
      </c>
      <c r="D192" s="31" t="str">
        <f t="shared" si="14"/>
        <v>C00279  :D-Erythrose 4-phosphate</v>
      </c>
    </row>
    <row r="193" spans="1:4" x14ac:dyDescent="0.35">
      <c r="A193" s="31" t="s">
        <v>12345</v>
      </c>
      <c r="B193" s="31" t="s">
        <v>13003</v>
      </c>
      <c r="C193" s="31" t="str">
        <f t="shared" si="15"/>
        <v>C00283   :1</v>
      </c>
      <c r="D193" s="31" t="str">
        <f t="shared" si="14"/>
        <v xml:space="preserve">C00283   :Hydrogen Sulfide </v>
      </c>
    </row>
    <row r="194" spans="1:4" x14ac:dyDescent="0.35">
      <c r="A194" s="31" t="s">
        <v>12524</v>
      </c>
      <c r="B194" s="31" t="s">
        <v>13004</v>
      </c>
      <c r="C194" s="31" t="str">
        <f t="shared" si="15"/>
        <v>C00286  :1</v>
      </c>
      <c r="D194" s="31" t="str">
        <f t="shared" si="14"/>
        <v>C00286  :dGTP</v>
      </c>
    </row>
    <row r="195" spans="1:4" x14ac:dyDescent="0.35">
      <c r="A195" s="31" t="s">
        <v>12525</v>
      </c>
      <c r="B195" s="31" t="s">
        <v>13005</v>
      </c>
      <c r="C195" s="31" t="str">
        <f t="shared" si="15"/>
        <v xml:space="preserve"> C00288:1</v>
      </c>
      <c r="D195" s="31" t="str">
        <f t="shared" ref="D195:D258" si="16">CONCATENATE(A195,":",B195)</f>
        <v xml:space="preserve"> C00288:HCO3-</v>
      </c>
    </row>
    <row r="196" spans="1:4" x14ac:dyDescent="0.35">
      <c r="A196" s="31" t="s">
        <v>12526</v>
      </c>
      <c r="B196" s="31" t="s">
        <v>13006</v>
      </c>
      <c r="C196" s="31" t="str">
        <f t="shared" si="15"/>
        <v>C00294  :1</v>
      </c>
      <c r="D196" s="31" t="str">
        <f t="shared" si="16"/>
        <v>C00294  :Inosine</v>
      </c>
    </row>
    <row r="197" spans="1:4" x14ac:dyDescent="0.35">
      <c r="A197" s="31" t="s">
        <v>12292</v>
      </c>
      <c r="B197" s="31" t="s">
        <v>13007</v>
      </c>
      <c r="C197" s="31" t="str">
        <f t="shared" si="15"/>
        <v>C00295 :1</v>
      </c>
      <c r="D197" s="31" t="str">
        <f t="shared" si="16"/>
        <v>C00295 :Orotate</v>
      </c>
    </row>
    <row r="198" spans="1:4" x14ac:dyDescent="0.35">
      <c r="A198" s="31" t="s">
        <v>12527</v>
      </c>
      <c r="B198" s="31" t="s">
        <v>13008</v>
      </c>
      <c r="C198" s="31" t="str">
        <f t="shared" si="15"/>
        <v>C00299  :1</v>
      </c>
      <c r="D198" s="31" t="str">
        <f t="shared" si="16"/>
        <v>C00299  :Uridine</v>
      </c>
    </row>
    <row r="199" spans="1:4" x14ac:dyDescent="0.35">
      <c r="A199" s="31" t="s">
        <v>12528</v>
      </c>
      <c r="B199" s="31" t="s">
        <v>13454</v>
      </c>
      <c r="C199" s="31" t="str">
        <f t="shared" si="15"/>
        <v>C00310:1</v>
      </c>
      <c r="D199" s="31" t="str">
        <f t="shared" si="16"/>
        <v>C00310:D-Xylulose</v>
      </c>
    </row>
    <row r="200" spans="1:4" x14ac:dyDescent="0.35">
      <c r="A200" s="31" t="s">
        <v>10843</v>
      </c>
      <c r="B200" s="31" t="s">
        <v>13455</v>
      </c>
      <c r="C200" s="31" t="str">
        <f t="shared" si="15"/>
        <v>C00311:1</v>
      </c>
      <c r="D200" s="31" t="str">
        <f t="shared" si="16"/>
        <v>C00311:Isocitrate</v>
      </c>
    </row>
    <row r="201" spans="1:4" x14ac:dyDescent="0.35">
      <c r="A201" s="31" t="s">
        <v>12529</v>
      </c>
      <c r="B201" s="31" t="s">
        <v>13009</v>
      </c>
      <c r="C201" s="31" t="str">
        <f t="shared" si="15"/>
        <v xml:space="preserve"> C00314:1</v>
      </c>
      <c r="D201" s="31" t="str">
        <f t="shared" si="16"/>
        <v xml:space="preserve"> C00314:Pyridoxine</v>
      </c>
    </row>
    <row r="202" spans="1:4" ht="29" x14ac:dyDescent="0.35">
      <c r="A202" s="31" t="s">
        <v>12530</v>
      </c>
      <c r="B202" s="31" t="s">
        <v>13456</v>
      </c>
      <c r="C202" s="31" t="str">
        <f t="shared" si="15"/>
        <v>C00315:1</v>
      </c>
      <c r="D202" s="31" t="str">
        <f t="shared" si="16"/>
        <v>C00315:	
Spermidine</v>
      </c>
    </row>
    <row r="203" spans="1:4" x14ac:dyDescent="0.35">
      <c r="A203" s="31" t="s">
        <v>12531</v>
      </c>
      <c r="B203" s="31" t="s">
        <v>13010</v>
      </c>
      <c r="C203" s="31" t="str">
        <f t="shared" si="15"/>
        <v> C00320 :1</v>
      </c>
      <c r="D203" s="31" t="str">
        <f t="shared" si="16"/>
        <v> C00320 :Thiosulfate</v>
      </c>
    </row>
    <row r="204" spans="1:4" x14ac:dyDescent="0.35">
      <c r="A204" s="31" t="s">
        <v>12384</v>
      </c>
      <c r="B204" s="31" t="s">
        <v>13457</v>
      </c>
      <c r="C204" s="31" t="str">
        <f t="shared" si="15"/>
        <v>C00327:1</v>
      </c>
      <c r="D204" s="31" t="str">
        <f t="shared" si="16"/>
        <v>C00327:L-Citrulline</v>
      </c>
    </row>
    <row r="205" spans="1:4" x14ac:dyDescent="0.35">
      <c r="A205" s="31" t="s">
        <v>12532</v>
      </c>
      <c r="B205" s="31" t="s">
        <v>13011</v>
      </c>
      <c r="C205" s="31" t="str">
        <f t="shared" si="15"/>
        <v>C00330 :1</v>
      </c>
      <c r="D205" s="31" t="str">
        <f t="shared" si="16"/>
        <v>C00330 :Deoxyguanosine</v>
      </c>
    </row>
    <row r="206" spans="1:4" x14ac:dyDescent="0.35">
      <c r="A206" s="31" t="s">
        <v>12437</v>
      </c>
      <c r="B206" s="31" t="s">
        <v>13012</v>
      </c>
      <c r="C206" s="31" t="str">
        <f t="shared" si="15"/>
        <v>  C00332:1</v>
      </c>
      <c r="D206" s="31" t="str">
        <f t="shared" si="16"/>
        <v>  C00332:Acetoacetyl-CoA</v>
      </c>
    </row>
    <row r="207" spans="1:4" ht="29" x14ac:dyDescent="0.35">
      <c r="A207" s="31" t="s">
        <v>12533</v>
      </c>
      <c r="B207" s="31" t="s">
        <v>13458</v>
      </c>
      <c r="C207" s="31" t="str">
        <f t="shared" si="15"/>
        <v>C00333 :1</v>
      </c>
      <c r="D207" s="31" t="str">
        <f t="shared" si="16"/>
        <v>C00333 :	
D-Galacturonate</v>
      </c>
    </row>
    <row r="208" spans="1:4" x14ac:dyDescent="0.35">
      <c r="A208" s="31" t="s">
        <v>12534</v>
      </c>
      <c r="B208" s="31" t="s">
        <v>13459</v>
      </c>
      <c r="C208" s="31" t="str">
        <f t="shared" si="15"/>
        <v>C00334  :1</v>
      </c>
      <c r="D208" s="31" t="str">
        <f t="shared" si="16"/>
        <v>C00334  :4-Aminobutanoate</v>
      </c>
    </row>
    <row r="209" spans="1:4" x14ac:dyDescent="0.35">
      <c r="A209" s="31" t="s">
        <v>11982</v>
      </c>
      <c r="B209" s="31" t="s">
        <v>13013</v>
      </c>
      <c r="C209" s="31" t="str">
        <f t="shared" si="15"/>
        <v>C00337:1</v>
      </c>
      <c r="D209" s="31" t="str">
        <f t="shared" si="16"/>
        <v>C00337:(S)-Dihydroorotate</v>
      </c>
    </row>
    <row r="210" spans="1:4" x14ac:dyDescent="0.35">
      <c r="A210" s="31" t="s">
        <v>11983</v>
      </c>
      <c r="B210" s="31" t="s">
        <v>13014</v>
      </c>
      <c r="C210" s="31" t="str">
        <f t="shared" si="15"/>
        <v>C00342:1</v>
      </c>
      <c r="D210" s="31" t="str">
        <f t="shared" si="16"/>
        <v>C00342:Thioredoxin</v>
      </c>
    </row>
    <row r="211" spans="1:4" x14ac:dyDescent="0.35">
      <c r="A211" s="31" t="s">
        <v>11984</v>
      </c>
      <c r="B211" s="31" t="s">
        <v>13015</v>
      </c>
      <c r="C211" s="31" t="str">
        <f t="shared" si="15"/>
        <v>C00343:1</v>
      </c>
      <c r="D211" s="31" t="str">
        <f t="shared" si="16"/>
        <v xml:space="preserve">C00343:Thioredoxin disulfide </v>
      </c>
    </row>
    <row r="212" spans="1:4" x14ac:dyDescent="0.35">
      <c r="A212" s="31" t="s">
        <v>11985</v>
      </c>
      <c r="B212" s="31" t="s">
        <v>13016</v>
      </c>
      <c r="C212" s="31" t="str">
        <f t="shared" si="15"/>
        <v>C00345:1</v>
      </c>
      <c r="D212" s="31" t="str">
        <f t="shared" si="16"/>
        <v>C00345:6-Phospho-D-gluconate</v>
      </c>
    </row>
    <row r="213" spans="1:4" x14ac:dyDescent="0.35">
      <c r="A213" s="31" t="s">
        <v>11191</v>
      </c>
      <c r="B213" s="33" t="s">
        <v>13017</v>
      </c>
      <c r="C213" s="31" t="str">
        <f t="shared" si="15"/>
        <v> C00352:1</v>
      </c>
      <c r="D213" s="31" t="str">
        <f t="shared" si="16"/>
        <v> C00352:D-Glucosamine 6-phosphate</v>
      </c>
    </row>
    <row r="214" spans="1:4" ht="29" x14ac:dyDescent="0.35">
      <c r="A214" s="31" t="s">
        <v>12287</v>
      </c>
      <c r="B214" s="31" t="s">
        <v>13460</v>
      </c>
      <c r="C214" s="31" t="str">
        <f t="shared" si="15"/>
        <v>C00353   :1</v>
      </c>
      <c r="D214" s="31" t="str">
        <f t="shared" si="16"/>
        <v>C00353   :	
Geranylgeranyl diphosphate</v>
      </c>
    </row>
    <row r="215" spans="1:4" x14ac:dyDescent="0.35">
      <c r="A215" s="31" t="s">
        <v>11986</v>
      </c>
      <c r="B215" s="33" t="s">
        <v>13018</v>
      </c>
      <c r="C215" s="31" t="str">
        <f t="shared" si="15"/>
        <v>C00354:1</v>
      </c>
      <c r="D215" s="31" t="str">
        <f t="shared" si="16"/>
        <v>C00354:D-Fructose 1,6-bisphosphate</v>
      </c>
    </row>
    <row r="216" spans="1:4" ht="29" x14ac:dyDescent="0.35">
      <c r="A216" s="31" t="s">
        <v>11987</v>
      </c>
      <c r="B216" s="33" t="s">
        <v>13019</v>
      </c>
      <c r="C216" s="31" t="str">
        <f t="shared" si="15"/>
        <v>C00357:1</v>
      </c>
      <c r="D216" s="31" t="str">
        <f t="shared" si="16"/>
        <v>C00357:N-Acetyl-D-glucosamine 6-phosphate</v>
      </c>
    </row>
    <row r="217" spans="1:4" x14ac:dyDescent="0.35">
      <c r="A217" s="31" t="s">
        <v>12535</v>
      </c>
      <c r="B217" s="33" t="s">
        <v>13020</v>
      </c>
      <c r="C217" s="31" t="str">
        <f t="shared" si="15"/>
        <v xml:space="preserve"> C00360:1</v>
      </c>
      <c r="D217" s="31" t="str">
        <f t="shared" si="16"/>
        <v xml:space="preserve"> C00360:dAMP</v>
      </c>
    </row>
    <row r="218" spans="1:4" x14ac:dyDescent="0.35">
      <c r="A218" s="31" t="s">
        <v>11988</v>
      </c>
      <c r="B218" s="33" t="s">
        <v>13021</v>
      </c>
      <c r="C218" s="31" t="str">
        <f t="shared" si="15"/>
        <v>C00361:1</v>
      </c>
      <c r="D218" s="31" t="str">
        <f t="shared" si="16"/>
        <v>C00361:dGDP</v>
      </c>
    </row>
    <row r="219" spans="1:4" x14ac:dyDescent="0.35">
      <c r="A219" s="31" t="s">
        <v>12536</v>
      </c>
      <c r="B219" s="33" t="s">
        <v>13022</v>
      </c>
      <c r="C219" s="31" t="str">
        <f t="shared" si="15"/>
        <v xml:space="preserve">  C00362:1</v>
      </c>
      <c r="D219" s="31" t="str">
        <f t="shared" si="16"/>
        <v xml:space="preserve">  C00362:dGMP</v>
      </c>
    </row>
    <row r="220" spans="1:4" x14ac:dyDescent="0.35">
      <c r="A220" s="31" t="s">
        <v>12537</v>
      </c>
      <c r="B220" s="33" t="s">
        <v>13461</v>
      </c>
      <c r="C220" s="31" t="str">
        <f t="shared" si="15"/>
        <v xml:space="preserve">  C00363:1</v>
      </c>
      <c r="D220" s="31" t="str">
        <f t="shared" si="16"/>
        <v xml:space="preserve">  C00363:dTDP</v>
      </c>
    </row>
    <row r="221" spans="1:4" x14ac:dyDescent="0.35">
      <c r="A221" s="31" t="s">
        <v>12356</v>
      </c>
      <c r="B221" s="33" t="s">
        <v>13023</v>
      </c>
      <c r="C221" s="31" t="str">
        <f t="shared" si="15"/>
        <v>C00364  :1</v>
      </c>
      <c r="D221" s="31" t="str">
        <f t="shared" si="16"/>
        <v>C00364  :dTMP</v>
      </c>
    </row>
    <row r="222" spans="1:4" x14ac:dyDescent="0.35">
      <c r="A222" s="31" t="s">
        <v>12355</v>
      </c>
      <c r="B222" s="33" t="s">
        <v>13024</v>
      </c>
      <c r="C222" s="31" t="str">
        <f t="shared" si="15"/>
        <v>  C00365  :1</v>
      </c>
      <c r="D222" s="31" t="str">
        <f t="shared" si="16"/>
        <v>  C00365  :dUMP</v>
      </c>
    </row>
    <row r="223" spans="1:4" x14ac:dyDescent="0.35">
      <c r="A223" s="31" t="s">
        <v>9526</v>
      </c>
      <c r="B223" s="33" t="s">
        <v>13025</v>
      </c>
      <c r="C223" s="31" t="str">
        <f t="shared" si="15"/>
        <v>C00369:1</v>
      </c>
      <c r="D223" s="31" t="str">
        <f t="shared" si="16"/>
        <v>C00369:Starch</v>
      </c>
    </row>
    <row r="224" spans="1:4" x14ac:dyDescent="0.35">
      <c r="A224" s="31" t="s">
        <v>11989</v>
      </c>
      <c r="B224" s="33" t="s">
        <v>13026</v>
      </c>
      <c r="C224" s="31" t="str">
        <f t="shared" si="15"/>
        <v>C00376:1</v>
      </c>
      <c r="D224" s="31" t="str">
        <f t="shared" si="16"/>
        <v>C00376:Retinal</v>
      </c>
    </row>
    <row r="225" spans="1:4" x14ac:dyDescent="0.35">
      <c r="A225" s="31" t="s">
        <v>12538</v>
      </c>
      <c r="B225" s="33" t="s">
        <v>13027</v>
      </c>
      <c r="C225" s="31" t="str">
        <f t="shared" si="15"/>
        <v>C00378 :1</v>
      </c>
      <c r="D225" s="31" t="str">
        <f t="shared" si="16"/>
        <v>C00378 :Thiamine</v>
      </c>
    </row>
    <row r="226" spans="1:4" x14ac:dyDescent="0.35">
      <c r="A226" s="31" t="s">
        <v>12539</v>
      </c>
      <c r="B226" s="33" t="s">
        <v>13028</v>
      </c>
      <c r="C226" s="31" t="str">
        <f t="shared" si="15"/>
        <v>C00385  :1</v>
      </c>
      <c r="D226" s="31" t="str">
        <f t="shared" si="16"/>
        <v>C00385  :Xanthine</v>
      </c>
    </row>
    <row r="227" spans="1:4" x14ac:dyDescent="0.35">
      <c r="A227" s="31" t="s">
        <v>11990</v>
      </c>
      <c r="B227" s="33" t="s">
        <v>13029</v>
      </c>
      <c r="C227" s="31" t="str">
        <f t="shared" si="15"/>
        <v>C00387:1</v>
      </c>
      <c r="D227" s="31" t="str">
        <f t="shared" si="16"/>
        <v xml:space="preserve">C00387:Guanosine </v>
      </c>
    </row>
    <row r="228" spans="1:4" x14ac:dyDescent="0.35">
      <c r="A228" s="31" t="s">
        <v>12540</v>
      </c>
      <c r="B228" s="33" t="s">
        <v>13462</v>
      </c>
      <c r="C228" s="31" t="str">
        <f t="shared" si="15"/>
        <v>C00390  :1</v>
      </c>
      <c r="D228" s="31" t="str">
        <f t="shared" si="16"/>
        <v>C00390  :Ubiquinol</v>
      </c>
    </row>
    <row r="229" spans="1:4" ht="29" x14ac:dyDescent="0.35">
      <c r="A229" s="31" t="s">
        <v>12541</v>
      </c>
      <c r="B229" s="31" t="s">
        <v>13463</v>
      </c>
      <c r="C229" s="31" t="str">
        <f t="shared" si="15"/>
        <v> C00399  :1</v>
      </c>
      <c r="D229" s="31" t="str">
        <f t="shared" si="16"/>
        <v> C00399  :	
Ubiquinone</v>
      </c>
    </row>
    <row r="230" spans="1:4" ht="29" x14ac:dyDescent="0.35">
      <c r="A230" s="31" t="s">
        <v>12542</v>
      </c>
      <c r="B230" s="31" t="s">
        <v>13464</v>
      </c>
      <c r="C230" s="31" t="str">
        <f t="shared" si="15"/>
        <v>C00403:1</v>
      </c>
      <c r="D230" s="31" t="str">
        <f t="shared" si="16"/>
        <v>C00403:	
Polypeptide</v>
      </c>
    </row>
    <row r="231" spans="1:4" ht="29" x14ac:dyDescent="0.35">
      <c r="A231" s="31" t="s">
        <v>12543</v>
      </c>
      <c r="B231" s="31" t="s">
        <v>13465</v>
      </c>
      <c r="C231" s="31" t="str">
        <f t="shared" si="15"/>
        <v>C00404  :1</v>
      </c>
      <c r="D231" s="31" t="str">
        <f t="shared" si="16"/>
        <v>C00404  :	
Polyphosphate</v>
      </c>
    </row>
    <row r="232" spans="1:4" x14ac:dyDescent="0.35">
      <c r="A232" s="31" t="s">
        <v>11991</v>
      </c>
      <c r="B232" s="33" t="s">
        <v>13030</v>
      </c>
      <c r="C232" s="31" t="str">
        <f t="shared" si="15"/>
        <v>C00405:1</v>
      </c>
      <c r="D232" s="31" t="str">
        <f t="shared" si="16"/>
        <v>C00405:D-Amino acid</v>
      </c>
    </row>
    <row r="233" spans="1:4" x14ac:dyDescent="0.35">
      <c r="A233" s="31" t="s">
        <v>12544</v>
      </c>
      <c r="B233" s="33" t="s">
        <v>13031</v>
      </c>
      <c r="C233" s="31" t="str">
        <f>CONCATENATE(A233, ":", "1000")</f>
        <v>C00407  :1000</v>
      </c>
      <c r="D233" s="31" t="str">
        <f t="shared" si="16"/>
        <v>C00407  :L-Isoleucine</v>
      </c>
    </row>
    <row r="234" spans="1:4" x14ac:dyDescent="0.35">
      <c r="A234" s="31" t="s">
        <v>12316</v>
      </c>
      <c r="B234" s="33" t="s">
        <v>13032</v>
      </c>
      <c r="C234" s="31" t="str">
        <f t="shared" si="15"/>
        <v>C00415  :1</v>
      </c>
      <c r="D234" s="31" t="str">
        <f t="shared" si="16"/>
        <v>C00415  :Dihydrofolate</v>
      </c>
    </row>
    <row r="235" spans="1:4" x14ac:dyDescent="0.35">
      <c r="A235" s="31" t="s">
        <v>11992</v>
      </c>
      <c r="B235" s="33" t="s">
        <v>13033</v>
      </c>
      <c r="C235" s="31" t="str">
        <f t="shared" si="15"/>
        <v>C00416:1</v>
      </c>
      <c r="D235" s="31" t="str">
        <f t="shared" si="16"/>
        <v>C00416:Phosphatidate</v>
      </c>
    </row>
    <row r="236" spans="1:4" ht="29" x14ac:dyDescent="0.35">
      <c r="A236" s="31" t="s">
        <v>12545</v>
      </c>
      <c r="B236" s="31" t="s">
        <v>13466</v>
      </c>
      <c r="C236" s="31" t="str">
        <f t="shared" si="15"/>
        <v>C00417:1</v>
      </c>
      <c r="D236" s="31" t="str">
        <f t="shared" si="16"/>
        <v>C00417:	
cis-Aconitate</v>
      </c>
    </row>
    <row r="237" spans="1:4" x14ac:dyDescent="0.35">
      <c r="A237" s="31" t="s">
        <v>11993</v>
      </c>
      <c r="B237" s="33" t="s">
        <v>13034</v>
      </c>
      <c r="C237" s="31" t="str">
        <f t="shared" si="15"/>
        <v>C00418:1</v>
      </c>
      <c r="D237" s="31" t="str">
        <f t="shared" si="16"/>
        <v>C00418:( R )-Mevalonate</v>
      </c>
    </row>
    <row r="238" spans="1:4" ht="29" x14ac:dyDescent="0.35">
      <c r="A238" s="31" t="s">
        <v>12546</v>
      </c>
      <c r="B238" s="31" t="s">
        <v>13467</v>
      </c>
      <c r="C238" s="31" t="str">
        <f t="shared" si="15"/>
        <v xml:space="preserve"> C00430:1</v>
      </c>
      <c r="D238" s="31" t="str">
        <f t="shared" si="16"/>
        <v xml:space="preserve"> C00430:	
5-Aminolevulinate</v>
      </c>
    </row>
    <row r="239" spans="1:4" ht="29" x14ac:dyDescent="0.35">
      <c r="A239" s="31" t="s">
        <v>12396</v>
      </c>
      <c r="B239" s="31" t="s">
        <v>13468</v>
      </c>
      <c r="C239" s="31" t="str">
        <f t="shared" si="15"/>
        <v>C00437  :1</v>
      </c>
      <c r="D239" s="31" t="str">
        <f t="shared" si="16"/>
        <v>C00437  :	
N-Acetylornithine</v>
      </c>
    </row>
    <row r="240" spans="1:4" x14ac:dyDescent="0.35">
      <c r="A240" s="31" t="s">
        <v>11994</v>
      </c>
      <c r="B240" s="33" t="s">
        <v>13035</v>
      </c>
      <c r="C240" s="31" t="str">
        <f t="shared" si="15"/>
        <v>C00438:1</v>
      </c>
      <c r="D240" s="31" t="str">
        <f t="shared" si="16"/>
        <v>C00438:N-Carbamoyl-L-aspartate</v>
      </c>
    </row>
    <row r="241" spans="1:4" x14ac:dyDescent="0.35">
      <c r="A241" s="31" t="s">
        <v>12313</v>
      </c>
      <c r="B241" s="31" t="s">
        <v>13469</v>
      </c>
      <c r="C241" s="31" t="str">
        <f t="shared" si="15"/>
        <v>C00440 :1</v>
      </c>
      <c r="D241" s="31" t="str">
        <f t="shared" si="16"/>
        <v>C00440 :5-Methyltetrahydrofolate</v>
      </c>
    </row>
    <row r="242" spans="1:4" x14ac:dyDescent="0.35">
      <c r="A242" s="31" t="s">
        <v>12176</v>
      </c>
      <c r="B242" s="33" t="s">
        <v>13036</v>
      </c>
      <c r="C242" s="31" t="str">
        <f t="shared" si="15"/>
        <v>C00441 :1</v>
      </c>
      <c r="D242" s="31" t="str">
        <f t="shared" si="16"/>
        <v>C00441 :L-Aspartate 4-semialdehyde</v>
      </c>
    </row>
    <row r="243" spans="1:4" x14ac:dyDescent="0.35">
      <c r="A243" s="31" t="s">
        <v>12376</v>
      </c>
      <c r="B243" s="33" t="s">
        <v>13037</v>
      </c>
      <c r="C243" s="31" t="str">
        <f t="shared" si="15"/>
        <v>  C00445:1</v>
      </c>
      <c r="D243" s="31" t="str">
        <f t="shared" si="16"/>
        <v>  C00445:5,10-Methenyltetrahydrofolate</v>
      </c>
    </row>
    <row r="244" spans="1:4" x14ac:dyDescent="0.35">
      <c r="A244" s="31" t="s">
        <v>10828</v>
      </c>
      <c r="B244" s="33" t="s">
        <v>13038</v>
      </c>
      <c r="C244" s="31" t="str">
        <f t="shared" si="15"/>
        <v>C00447:1</v>
      </c>
      <c r="D244" s="31" t="str">
        <f t="shared" si="16"/>
        <v>C00447:Sedoheptulose 1,7-bisphosphate</v>
      </c>
    </row>
    <row r="245" spans="1:4" x14ac:dyDescent="0.35">
      <c r="A245" s="31" t="s">
        <v>12547</v>
      </c>
      <c r="B245" s="33" t="s">
        <v>13470</v>
      </c>
      <c r="C245" s="31" t="str">
        <f t="shared" si="15"/>
        <v>C00448:1</v>
      </c>
      <c r="D245" s="31" t="str">
        <f t="shared" si="16"/>
        <v>C00448:trans,trans-Farnesyl diphosphate</v>
      </c>
    </row>
    <row r="246" spans="1:4" x14ac:dyDescent="0.35">
      <c r="A246" s="31" t="s">
        <v>12548</v>
      </c>
      <c r="B246" s="33" t="s">
        <v>13039</v>
      </c>
      <c r="C246" s="31" t="str">
        <f t="shared" si="15"/>
        <v> C00454  :1</v>
      </c>
      <c r="D246" s="31" t="str">
        <f t="shared" si="16"/>
        <v> C00454  :NDP</v>
      </c>
    </row>
    <row r="247" spans="1:4" x14ac:dyDescent="0.35">
      <c r="A247" s="31" t="s">
        <v>12549</v>
      </c>
      <c r="B247" s="33" t="s">
        <v>13040</v>
      </c>
      <c r="C247" s="31" t="str">
        <f t="shared" si="15"/>
        <v xml:space="preserve">  C00455 :1</v>
      </c>
      <c r="D247" s="31" t="str">
        <f t="shared" si="16"/>
        <v xml:space="preserve">  C00455 :Nicotinamide-D-ribonucleotide</v>
      </c>
    </row>
    <row r="248" spans="1:4" x14ac:dyDescent="0.35">
      <c r="A248" s="31" t="s">
        <v>12550</v>
      </c>
      <c r="B248" s="33" t="s">
        <v>13041</v>
      </c>
      <c r="C248" s="31" t="str">
        <f t="shared" si="15"/>
        <v> C00458:1</v>
      </c>
      <c r="D248" s="31" t="str">
        <f t="shared" si="16"/>
        <v> C00458:dCTP</v>
      </c>
    </row>
    <row r="249" spans="1:4" x14ac:dyDescent="0.35">
      <c r="A249" s="31" t="s">
        <v>12551</v>
      </c>
      <c r="B249" s="33" t="s">
        <v>13042</v>
      </c>
      <c r="C249" s="31" t="str">
        <f t="shared" si="15"/>
        <v>  C00459:1</v>
      </c>
      <c r="D249" s="31" t="str">
        <f t="shared" si="16"/>
        <v>  C00459:dTTP</v>
      </c>
    </row>
    <row r="250" spans="1:4" x14ac:dyDescent="0.35">
      <c r="A250" s="31" t="s">
        <v>12552</v>
      </c>
      <c r="B250" s="33" t="s">
        <v>13043</v>
      </c>
      <c r="C250" s="31" t="str">
        <f t="shared" si="15"/>
        <v> C00460:1</v>
      </c>
      <c r="D250" s="31" t="str">
        <f t="shared" si="16"/>
        <v> C00460:dUTP</v>
      </c>
    </row>
    <row r="251" spans="1:4" ht="29" x14ac:dyDescent="0.35">
      <c r="A251" s="31" t="s">
        <v>12553</v>
      </c>
      <c r="B251" s="31" t="s">
        <v>13471</v>
      </c>
      <c r="C251" s="31" t="str">
        <f t="shared" si="15"/>
        <v xml:space="preserve"> C00463:1</v>
      </c>
      <c r="D251" s="31" t="str">
        <f t="shared" si="16"/>
        <v xml:space="preserve"> C00463:	
Indole</v>
      </c>
    </row>
    <row r="252" spans="1:4" x14ac:dyDescent="0.35">
      <c r="A252" s="31" t="s">
        <v>11995</v>
      </c>
      <c r="B252" s="33" t="s">
        <v>13044</v>
      </c>
      <c r="C252" s="31" t="str">
        <f t="shared" si="15"/>
        <v>C00469:1</v>
      </c>
      <c r="D252" s="31" t="str">
        <f t="shared" si="16"/>
        <v>C00469:Ethanol</v>
      </c>
    </row>
    <row r="253" spans="1:4" x14ac:dyDescent="0.35">
      <c r="A253" s="31" t="s">
        <v>11996</v>
      </c>
      <c r="B253" s="33" t="s">
        <v>13045</v>
      </c>
      <c r="C253" s="31" t="str">
        <f t="shared" si="15"/>
        <v>C00473:1</v>
      </c>
      <c r="D253" s="31" t="str">
        <f t="shared" si="16"/>
        <v>C00473:Retinol</v>
      </c>
    </row>
    <row r="254" spans="1:4" x14ac:dyDescent="0.35">
      <c r="A254" s="31" t="s">
        <v>12554</v>
      </c>
      <c r="B254" s="33" t="s">
        <v>13046</v>
      </c>
      <c r="C254" s="31" t="str">
        <f t="shared" si="15"/>
        <v>C00475  :1</v>
      </c>
      <c r="D254" s="31" t="str">
        <f t="shared" si="16"/>
        <v>C00475  :Cytidine</v>
      </c>
    </row>
    <row r="255" spans="1:4" ht="29" x14ac:dyDescent="0.35">
      <c r="A255" s="31" t="s">
        <v>12555</v>
      </c>
      <c r="B255" s="31" t="s">
        <v>13472</v>
      </c>
      <c r="C255" s="31" t="str">
        <f t="shared" ref="C255:C318" si="17">CONCATENATE(A255, ":", "1")</f>
        <v>C00490  :1</v>
      </c>
      <c r="D255" s="31" t="str">
        <f t="shared" si="16"/>
        <v>C00490  :	
Itaconate</v>
      </c>
    </row>
    <row r="256" spans="1:4" x14ac:dyDescent="0.35">
      <c r="A256" s="31" t="s">
        <v>12556</v>
      </c>
      <c r="B256" s="33" t="s">
        <v>13473</v>
      </c>
      <c r="C256" s="31" t="str">
        <f t="shared" si="17"/>
        <v>C00491:1</v>
      </c>
      <c r="D256" s="31" t="str">
        <f t="shared" si="16"/>
        <v>C00491:L-Cystine</v>
      </c>
    </row>
    <row r="257" spans="1:4" x14ac:dyDescent="0.35">
      <c r="A257" s="31" t="s">
        <v>12168</v>
      </c>
      <c r="B257" s="33" t="s">
        <v>13474</v>
      </c>
      <c r="C257" s="31" t="str">
        <f t="shared" si="17"/>
        <v>C00493:1</v>
      </c>
      <c r="D257" s="31" t="str">
        <f t="shared" si="16"/>
        <v>C00493:Shikimate</v>
      </c>
    </row>
    <row r="258" spans="1:4" x14ac:dyDescent="0.35">
      <c r="A258" s="31" t="s">
        <v>11997</v>
      </c>
      <c r="B258" s="33" t="s">
        <v>13047</v>
      </c>
      <c r="C258" s="31" t="str">
        <f t="shared" si="17"/>
        <v>C00498:1</v>
      </c>
      <c r="D258" s="31" t="str">
        <f t="shared" si="16"/>
        <v>C00498:ADP-glucose</v>
      </c>
    </row>
    <row r="259" spans="1:4" x14ac:dyDescent="0.35">
      <c r="A259" s="31" t="s">
        <v>12317</v>
      </c>
      <c r="B259" s="33" t="s">
        <v>13048</v>
      </c>
      <c r="C259" s="31" t="str">
        <f t="shared" si="17"/>
        <v> C00504  :1</v>
      </c>
      <c r="D259" s="31" t="str">
        <f t="shared" ref="D259:D322" si="18">CONCATENATE(A259,":",B259)</f>
        <v> C00504  :Folate</v>
      </c>
    </row>
    <row r="260" spans="1:4" ht="29" x14ac:dyDescent="0.35">
      <c r="A260" s="31" t="s">
        <v>12157</v>
      </c>
      <c r="B260" s="31" t="s">
        <v>13475</v>
      </c>
      <c r="C260" s="31" t="str">
        <f t="shared" si="17"/>
        <v>C00522:1</v>
      </c>
      <c r="D260" s="31" t="str">
        <f t="shared" si="18"/>
        <v>C00522:	
(R)-Pantoate</v>
      </c>
    </row>
    <row r="261" spans="1:4" x14ac:dyDescent="0.35">
      <c r="A261" s="31" t="s">
        <v>12557</v>
      </c>
      <c r="B261" s="33" t="s">
        <v>13049</v>
      </c>
      <c r="C261" s="31" t="str">
        <f t="shared" si="17"/>
        <v>C00526 :1</v>
      </c>
      <c r="D261" s="31" t="str">
        <f t="shared" si="18"/>
        <v>C00526 :Deoxyuridine</v>
      </c>
    </row>
    <row r="262" spans="1:4" ht="29" x14ac:dyDescent="0.35">
      <c r="A262" s="31" t="s">
        <v>12558</v>
      </c>
      <c r="B262" s="31" t="s">
        <v>13476</v>
      </c>
      <c r="C262" s="31" t="str">
        <f t="shared" si="17"/>
        <v>C00531:1</v>
      </c>
      <c r="D262" s="31" t="str">
        <f t="shared" si="18"/>
        <v>C00531:	
Itaconyl-CoA</v>
      </c>
    </row>
    <row r="263" spans="1:4" x14ac:dyDescent="0.35">
      <c r="A263" s="31" t="s">
        <v>12559</v>
      </c>
      <c r="B263" s="33" t="s">
        <v>13050</v>
      </c>
      <c r="C263" s="31" t="str">
        <f t="shared" si="17"/>
        <v> C00534:1</v>
      </c>
      <c r="D263" s="31" t="str">
        <f t="shared" si="18"/>
        <v> C00534:Pyridoxamine</v>
      </c>
    </row>
    <row r="264" spans="1:4" ht="29" x14ac:dyDescent="0.35">
      <c r="A264" s="31" t="s">
        <v>12560</v>
      </c>
      <c r="B264" s="31" t="s">
        <v>13477</v>
      </c>
      <c r="C264" s="31" t="str">
        <f t="shared" si="17"/>
        <v>C00536  :1</v>
      </c>
      <c r="D264" s="31" t="str">
        <f t="shared" si="18"/>
        <v>C00536  :	
Triphosphate</v>
      </c>
    </row>
    <row r="265" spans="1:4" ht="29" x14ac:dyDescent="0.35">
      <c r="A265" s="31" t="s">
        <v>12561</v>
      </c>
      <c r="B265" s="31" t="s">
        <v>13478</v>
      </c>
      <c r="C265" s="31" t="str">
        <f t="shared" si="17"/>
        <v xml:space="preserve"> C00541:1</v>
      </c>
      <c r="D265" s="31" t="str">
        <f t="shared" si="18"/>
        <v xml:space="preserve"> C00541:	
Cob(II)alamin</v>
      </c>
    </row>
    <row r="266" spans="1:4" ht="29" x14ac:dyDescent="0.35">
      <c r="A266" s="31" t="s">
        <v>12562</v>
      </c>
      <c r="B266" s="31" t="s">
        <v>13479</v>
      </c>
      <c r="C266" s="31" t="str">
        <f t="shared" si="17"/>
        <v>C00542:1</v>
      </c>
      <c r="D266" s="31" t="str">
        <f t="shared" si="18"/>
        <v>C00542:	
Cystathionine</v>
      </c>
    </row>
    <row r="267" spans="1:4" ht="29" x14ac:dyDescent="0.35">
      <c r="A267" s="31" t="s">
        <v>12563</v>
      </c>
      <c r="B267" s="31" t="s">
        <v>13480</v>
      </c>
      <c r="C267" s="31" t="str">
        <f t="shared" si="17"/>
        <v>C00558:1</v>
      </c>
      <c r="D267" s="31" t="str">
        <f t="shared" si="18"/>
        <v>C00558:	
D-Tagaturonate</v>
      </c>
    </row>
    <row r="268" spans="1:4" x14ac:dyDescent="0.35">
      <c r="A268" s="31" t="s">
        <v>12564</v>
      </c>
      <c r="B268" s="33" t="s">
        <v>13051</v>
      </c>
      <c r="C268" s="31" t="str">
        <f t="shared" si="17"/>
        <v xml:space="preserve"> C00559:1</v>
      </c>
      <c r="D268" s="31" t="str">
        <f t="shared" si="18"/>
        <v xml:space="preserve"> C00559:Deoxyadenosine</v>
      </c>
    </row>
    <row r="269" spans="1:4" ht="29" x14ac:dyDescent="0.35">
      <c r="A269" s="31" t="s">
        <v>12565</v>
      </c>
      <c r="B269" s="31" t="s">
        <v>13481</v>
      </c>
      <c r="C269" s="31" t="str">
        <f t="shared" si="17"/>
        <v>C00562:1</v>
      </c>
      <c r="D269" s="31" t="str">
        <f t="shared" si="18"/>
        <v>C00562:	
Phosphoprotein</v>
      </c>
    </row>
    <row r="270" spans="1:4" ht="29" x14ac:dyDescent="0.35">
      <c r="A270" s="31" t="s">
        <v>12566</v>
      </c>
      <c r="B270" s="31" t="s">
        <v>13482</v>
      </c>
      <c r="C270" s="31" t="str">
        <f t="shared" si="17"/>
        <v xml:space="preserve"> C00568:1</v>
      </c>
      <c r="D270" s="31" t="str">
        <f t="shared" si="18"/>
        <v xml:space="preserve"> C00568:	
4-Aminobenzoate</v>
      </c>
    </row>
    <row r="271" spans="1:4" x14ac:dyDescent="0.35">
      <c r="A271" s="31" t="s">
        <v>12132</v>
      </c>
      <c r="B271" s="33" t="s">
        <v>13052</v>
      </c>
      <c r="C271" s="31" t="str">
        <f t="shared" si="17"/>
        <v>C00576 :1</v>
      </c>
      <c r="D271" s="31" t="str">
        <f t="shared" si="18"/>
        <v xml:space="preserve">C00576 :Betaine aldehyde </v>
      </c>
    </row>
    <row r="272" spans="1:4" ht="29" x14ac:dyDescent="0.35">
      <c r="A272" s="31" t="s">
        <v>12567</v>
      </c>
      <c r="B272" s="31" t="s">
        <v>13483</v>
      </c>
      <c r="C272" s="31" t="str">
        <f t="shared" si="17"/>
        <v>C00577:1</v>
      </c>
      <c r="D272" s="31" t="str">
        <f t="shared" si="18"/>
        <v>C00577:	
D-Glyceraldehyde</v>
      </c>
    </row>
    <row r="273" spans="1:4" ht="29" x14ac:dyDescent="0.35">
      <c r="A273" s="31" t="s">
        <v>12333</v>
      </c>
      <c r="B273" s="31" t="s">
        <v>13484</v>
      </c>
      <c r="C273" s="31" t="str">
        <f t="shared" si="17"/>
        <v>C00579:1</v>
      </c>
      <c r="D273" s="31" t="str">
        <f t="shared" si="18"/>
        <v>C00579:	
Dihydrolipoamide</v>
      </c>
    </row>
    <row r="274" spans="1:4" x14ac:dyDescent="0.35">
      <c r="A274" s="31" t="s">
        <v>11998</v>
      </c>
      <c r="B274" s="33" t="s">
        <v>13053</v>
      </c>
      <c r="C274" s="31" t="str">
        <f t="shared" si="17"/>
        <v>C00585:1</v>
      </c>
      <c r="D274" s="31" t="str">
        <f t="shared" si="18"/>
        <v>C00585:Protein tyrosine</v>
      </c>
    </row>
    <row r="275" spans="1:4" ht="29" x14ac:dyDescent="0.35">
      <c r="A275" s="31" t="s">
        <v>12235</v>
      </c>
      <c r="B275" s="31" t="s">
        <v>13485</v>
      </c>
      <c r="C275" s="31" t="str">
        <f t="shared" si="17"/>
        <v>C00587:1</v>
      </c>
      <c r="D275" s="31" t="str">
        <f t="shared" si="18"/>
        <v>C00587:	
3-Hydroxybenzoate</v>
      </c>
    </row>
    <row r="276" spans="1:4" x14ac:dyDescent="0.35">
      <c r="A276" s="31" t="s">
        <v>12568</v>
      </c>
      <c r="B276" s="33" t="s">
        <v>13054</v>
      </c>
      <c r="C276" s="31" t="str">
        <f t="shared" si="17"/>
        <v xml:space="preserve"> C00615:1</v>
      </c>
      <c r="D276" s="31" t="str">
        <f t="shared" si="18"/>
        <v xml:space="preserve"> C00615:Protein histidine</v>
      </c>
    </row>
    <row r="277" spans="1:4" x14ac:dyDescent="0.35">
      <c r="A277" s="31" t="s">
        <v>12569</v>
      </c>
      <c r="B277" s="31" t="s">
        <v>13486</v>
      </c>
      <c r="C277" s="31" t="str">
        <f t="shared" si="17"/>
        <v>C00620:1</v>
      </c>
      <c r="D277" s="31" t="str">
        <f t="shared" si="18"/>
        <v>C00620:alpha-D-Ribose 1-phosphate</v>
      </c>
    </row>
    <row r="278" spans="1:4" ht="29" x14ac:dyDescent="0.35">
      <c r="A278" s="31" t="s">
        <v>9679</v>
      </c>
      <c r="B278" s="31" t="s">
        <v>13487</v>
      </c>
      <c r="C278" s="31" t="str">
        <f t="shared" si="17"/>
        <v>C00623:1</v>
      </c>
      <c r="D278" s="31" t="str">
        <f t="shared" si="18"/>
        <v>C00623:	
sn-Glycerol 1-phosphate</v>
      </c>
    </row>
    <row r="279" spans="1:4" ht="29" x14ac:dyDescent="0.35">
      <c r="A279" s="31" t="s">
        <v>12395</v>
      </c>
      <c r="B279" s="31" t="s">
        <v>13488</v>
      </c>
      <c r="C279" s="31" t="str">
        <f t="shared" si="17"/>
        <v>  C00624:1</v>
      </c>
      <c r="D279" s="31" t="str">
        <f t="shared" si="18"/>
        <v>  C00624:	
N-Acetyl-L-glutamate</v>
      </c>
    </row>
    <row r="280" spans="1:4" x14ac:dyDescent="0.35">
      <c r="A280" s="31" t="s">
        <v>12570</v>
      </c>
      <c r="B280" s="33" t="s">
        <v>13055</v>
      </c>
      <c r="C280" s="31" t="str">
        <f t="shared" si="17"/>
        <v> C00627:1</v>
      </c>
      <c r="D280" s="31" t="str">
        <f t="shared" si="18"/>
        <v> C00627:Pyridoxine phosphate</v>
      </c>
    </row>
    <row r="281" spans="1:4" ht="29" x14ac:dyDescent="0.35">
      <c r="A281" s="31" t="s">
        <v>12236</v>
      </c>
      <c r="B281" s="31" t="s">
        <v>13489</v>
      </c>
      <c r="C281" s="31" t="str">
        <f t="shared" si="17"/>
        <v xml:space="preserve"> C00628 :1</v>
      </c>
      <c r="D281" s="31" t="str">
        <f t="shared" si="18"/>
        <v xml:space="preserve"> C00628 :	
2,5-Dihydroxybenzoate</v>
      </c>
    </row>
    <row r="282" spans="1:4" x14ac:dyDescent="0.35">
      <c r="A282" s="31" t="s">
        <v>11999</v>
      </c>
      <c r="B282" s="33" t="s">
        <v>13056</v>
      </c>
      <c r="C282" s="31" t="str">
        <f t="shared" si="17"/>
        <v>C00631:1</v>
      </c>
      <c r="D282" s="31" t="str">
        <f t="shared" si="18"/>
        <v>C00631:2-Phospho-D-glycerate</v>
      </c>
    </row>
    <row r="283" spans="1:4" ht="29" x14ac:dyDescent="0.35">
      <c r="A283" s="31" t="s">
        <v>12204</v>
      </c>
      <c r="B283" s="31" t="s">
        <v>13490</v>
      </c>
      <c r="C283" s="31" t="str">
        <f t="shared" si="17"/>
        <v xml:space="preserve"> C00632   :1</v>
      </c>
      <c r="D283" s="31" t="str">
        <f t="shared" si="18"/>
        <v xml:space="preserve"> C00632   :	
3-Hydroxyanthranilate</v>
      </c>
    </row>
    <row r="284" spans="1:4" x14ac:dyDescent="0.35">
      <c r="A284" s="31" t="s">
        <v>12420</v>
      </c>
      <c r="B284" s="33" t="s">
        <v>13491</v>
      </c>
      <c r="C284" s="31" t="str">
        <f>CONCATENATE(A284, ":", "1000")</f>
        <v>C00638:1000</v>
      </c>
      <c r="D284" s="31" t="str">
        <f t="shared" si="18"/>
        <v>C00638:Long-chain fatty acid</v>
      </c>
    </row>
    <row r="285" spans="1:4" x14ac:dyDescent="0.35">
      <c r="A285" s="31" t="s">
        <v>12571</v>
      </c>
      <c r="B285" s="33" t="s">
        <v>13057</v>
      </c>
      <c r="C285" s="31" t="str">
        <f t="shared" si="17"/>
        <v>  C00647:1</v>
      </c>
      <c r="D285" s="31" t="str">
        <f t="shared" si="18"/>
        <v>  C00647:Pyridoxamine phosphate</v>
      </c>
    </row>
    <row r="286" spans="1:4" x14ac:dyDescent="0.35">
      <c r="A286" s="31" t="s">
        <v>12000</v>
      </c>
      <c r="B286" s="33" t="s">
        <v>13058</v>
      </c>
      <c r="C286" s="31" t="str">
        <f t="shared" si="17"/>
        <v>C00655:1</v>
      </c>
      <c r="D286" s="31" t="str">
        <f t="shared" si="18"/>
        <v>C00655:Xanthosine 5'-phosphate</v>
      </c>
    </row>
    <row r="287" spans="1:4" x14ac:dyDescent="0.35">
      <c r="A287" s="31" t="s">
        <v>12572</v>
      </c>
      <c r="B287" s="33" t="s">
        <v>13059</v>
      </c>
      <c r="C287" s="31" t="str">
        <f t="shared" si="17"/>
        <v>  C00666:1</v>
      </c>
      <c r="D287" s="31" t="str">
        <f t="shared" si="18"/>
        <v>  C00666:LL-2,6-Diaminoheptanedioate</v>
      </c>
    </row>
    <row r="288" spans="1:4" x14ac:dyDescent="0.35">
      <c r="A288" s="31" t="s">
        <v>12573</v>
      </c>
      <c r="B288" s="33" t="s">
        <v>13060</v>
      </c>
      <c r="C288" s="31" t="str">
        <f t="shared" si="17"/>
        <v xml:space="preserve"> C00668:1</v>
      </c>
      <c r="D288" s="31" t="str">
        <f t="shared" si="18"/>
        <v xml:space="preserve"> C00668:alpha-D-Glucose 6-phosphate </v>
      </c>
    </row>
    <row r="289" spans="1:4" ht="29" x14ac:dyDescent="0.35">
      <c r="A289" s="31" t="s">
        <v>12574</v>
      </c>
      <c r="B289" s="31" t="s">
        <v>13492</v>
      </c>
      <c r="C289" s="31" t="str">
        <f t="shared" si="17"/>
        <v>  C00669:1</v>
      </c>
      <c r="D289" s="31" t="str">
        <f t="shared" si="18"/>
        <v>  C00669:	
gamma-L-Glutamyl-L-cysteine</v>
      </c>
    </row>
    <row r="290" spans="1:4" x14ac:dyDescent="0.35">
      <c r="A290" s="31" t="s">
        <v>12575</v>
      </c>
      <c r="B290" s="33" t="s">
        <v>13061</v>
      </c>
      <c r="C290" s="31" t="str">
        <f t="shared" si="17"/>
        <v xml:space="preserve">  C00671:1</v>
      </c>
      <c r="D290" s="31" t="str">
        <f t="shared" si="18"/>
        <v xml:space="preserve">  C00671:(S)-3-Methyl-2-oxopentanoic acid</v>
      </c>
    </row>
    <row r="291" spans="1:4" x14ac:dyDescent="0.35">
      <c r="A291" s="31" t="s">
        <v>12001</v>
      </c>
      <c r="B291" s="33" t="s">
        <v>13062</v>
      </c>
      <c r="C291" s="31" t="str">
        <f t="shared" si="17"/>
        <v>C00673:1</v>
      </c>
      <c r="D291" s="31" t="str">
        <f t="shared" si="18"/>
        <v>C00673:2-Deoxy-D-ribose 5-phosphate</v>
      </c>
    </row>
    <row r="292" spans="1:4" x14ac:dyDescent="0.35">
      <c r="A292" s="31" t="s">
        <v>12576</v>
      </c>
      <c r="B292" s="33" t="s">
        <v>13063</v>
      </c>
      <c r="C292" s="31" t="str">
        <f t="shared" si="17"/>
        <v>C00677  :1</v>
      </c>
      <c r="D292" s="31" t="str">
        <f t="shared" si="18"/>
        <v>C00677  :Deoxynucleoside triphosphate</v>
      </c>
    </row>
    <row r="293" spans="1:4" x14ac:dyDescent="0.35">
      <c r="A293" s="31" t="s">
        <v>10758</v>
      </c>
      <c r="B293" s="33" t="s">
        <v>13064</v>
      </c>
      <c r="C293" s="31" t="str">
        <f t="shared" si="17"/>
        <v>C00680:1</v>
      </c>
      <c r="D293" s="31" t="str">
        <f t="shared" si="18"/>
        <v>C00680:meso-2,6-Diaminoheptanedioate</v>
      </c>
    </row>
    <row r="294" spans="1:4" x14ac:dyDescent="0.35">
      <c r="A294" s="31" t="s">
        <v>12002</v>
      </c>
      <c r="B294" s="33" t="s">
        <v>13065</v>
      </c>
      <c r="C294" s="31" t="str">
        <f t="shared" si="17"/>
        <v>C00681:1</v>
      </c>
      <c r="D294" s="31" t="str">
        <f t="shared" si="18"/>
        <v>C00681:1-Acyl-sn-glycerol 3-phosphate</v>
      </c>
    </row>
    <row r="295" spans="1:4" ht="29" x14ac:dyDescent="0.35">
      <c r="A295" s="31" t="s">
        <v>12577</v>
      </c>
      <c r="B295" s="31" t="s">
        <v>13493</v>
      </c>
      <c r="C295" s="31" t="str">
        <f t="shared" si="17"/>
        <v>C00683:1</v>
      </c>
      <c r="D295" s="31" t="str">
        <f t="shared" si="18"/>
        <v>C00683:	
(S)-Methylmalonyl-CoA</v>
      </c>
    </row>
    <row r="296" spans="1:4" x14ac:dyDescent="0.35">
      <c r="A296" s="31" t="s">
        <v>12138</v>
      </c>
      <c r="B296" s="33" t="s">
        <v>13494</v>
      </c>
      <c r="C296" s="31" t="str">
        <f t="shared" si="17"/>
        <v>C00685 :1</v>
      </c>
      <c r="D296" s="31" t="str">
        <f t="shared" si="18"/>
        <v>C00685 :3-Oxoacyl-[acyl-carrier protein]</v>
      </c>
    </row>
    <row r="297" spans="1:4" ht="29" x14ac:dyDescent="0.35">
      <c r="A297" s="31" t="s">
        <v>12578</v>
      </c>
      <c r="B297" s="31" t="s">
        <v>13495</v>
      </c>
      <c r="C297" s="31" t="str">
        <f t="shared" si="17"/>
        <v>C00686:1</v>
      </c>
      <c r="D297" s="31" t="str">
        <f t="shared" si="18"/>
        <v>C00686:	
N-Acyl-D-mannosamine 6-phosphate</v>
      </c>
    </row>
    <row r="298" spans="1:4" ht="29" x14ac:dyDescent="0.35">
      <c r="A298" s="31" t="s">
        <v>12579</v>
      </c>
      <c r="B298" s="33" t="s">
        <v>13496</v>
      </c>
      <c r="C298" s="31" t="str">
        <f t="shared" si="17"/>
        <v>C00689:1</v>
      </c>
      <c r="D298" s="31" t="str">
        <f t="shared" si="18"/>
        <v>C00689:alpha,alpha'-Trehalose 6-phosphate</v>
      </c>
    </row>
    <row r="299" spans="1:4" ht="29" x14ac:dyDescent="0.35">
      <c r="A299" s="31" t="s">
        <v>12160</v>
      </c>
      <c r="B299" s="31" t="s">
        <v>13497</v>
      </c>
      <c r="C299" s="31" t="str">
        <f t="shared" si="17"/>
        <v>C00691 :1</v>
      </c>
      <c r="D299" s="31" t="str">
        <f t="shared" si="18"/>
        <v>C00691 :	
2,4,6/3,5-Pentahydroxycyclohexanone</v>
      </c>
    </row>
    <row r="300" spans="1:4" ht="29" x14ac:dyDescent="0.35">
      <c r="A300" s="31" t="s">
        <v>12580</v>
      </c>
      <c r="B300" s="33" t="s">
        <v>13066</v>
      </c>
      <c r="C300" s="31" t="str">
        <f t="shared" si="17"/>
        <v>C00692  :1</v>
      </c>
      <c r="D300" s="31" t="str">
        <f t="shared" si="18"/>
        <v>C00692  :UDP-N-acetylmuramoyl-L-alanyl-D-glutamate</v>
      </c>
    </row>
    <row r="301" spans="1:4" x14ac:dyDescent="0.35">
      <c r="A301" s="31" t="s">
        <v>12276</v>
      </c>
      <c r="B301" s="31" t="s">
        <v>13498</v>
      </c>
      <c r="C301" s="31" t="str">
        <f t="shared" si="17"/>
        <v>C00698:1</v>
      </c>
      <c r="D301" s="31" t="str">
        <f t="shared" si="18"/>
        <v>C00698:Chloride</v>
      </c>
    </row>
    <row r="302" spans="1:4" ht="29" x14ac:dyDescent="0.35">
      <c r="A302" s="31" t="s">
        <v>12581</v>
      </c>
      <c r="B302" s="31" t="s">
        <v>13499</v>
      </c>
      <c r="C302" s="31" t="str">
        <f t="shared" si="17"/>
        <v>C00700  :1</v>
      </c>
      <c r="D302" s="31" t="str">
        <f t="shared" si="18"/>
        <v>C00700  :	
XTP</v>
      </c>
    </row>
    <row r="303" spans="1:4" ht="29" x14ac:dyDescent="0.35">
      <c r="A303" s="31" t="s">
        <v>12206</v>
      </c>
      <c r="B303" s="31" t="s">
        <v>13500</v>
      </c>
      <c r="C303" s="31" t="str">
        <f t="shared" si="17"/>
        <v>C00704  :1</v>
      </c>
      <c r="D303" s="31" t="str">
        <f t="shared" si="18"/>
        <v>C00704  :	
Superoxide</v>
      </c>
    </row>
    <row r="304" spans="1:4" x14ac:dyDescent="0.35">
      <c r="A304" s="31" t="s">
        <v>12003</v>
      </c>
      <c r="B304" s="33" t="s">
        <v>13067</v>
      </c>
      <c r="C304" s="31" t="str">
        <f t="shared" si="17"/>
        <v>C00705:1</v>
      </c>
      <c r="D304" s="31" t="str">
        <f t="shared" si="18"/>
        <v>C00705:dCDP</v>
      </c>
    </row>
    <row r="305" spans="1:4" x14ac:dyDescent="0.35">
      <c r="A305" s="31" t="s">
        <v>12004</v>
      </c>
      <c r="B305" s="33" t="s">
        <v>13068</v>
      </c>
      <c r="C305" s="31" t="str">
        <f t="shared" si="17"/>
        <v>C00718:1</v>
      </c>
      <c r="D305" s="31" t="str">
        <f t="shared" si="18"/>
        <v>C00718:Amylose</v>
      </c>
    </row>
    <row r="306" spans="1:4" ht="29" x14ac:dyDescent="0.35">
      <c r="A306" s="31" t="s">
        <v>12582</v>
      </c>
      <c r="B306" s="31" t="s">
        <v>13501</v>
      </c>
      <c r="C306" s="31" t="str">
        <f t="shared" si="17"/>
        <v> C00740 :1</v>
      </c>
      <c r="D306" s="31" t="str">
        <f t="shared" si="18"/>
        <v> C00740 :	
D-Serine</v>
      </c>
    </row>
    <row r="307" spans="1:4" x14ac:dyDescent="0.35">
      <c r="A307" s="31" t="s">
        <v>12005</v>
      </c>
      <c r="B307" s="33" t="s">
        <v>13069</v>
      </c>
      <c r="C307" s="31" t="str">
        <f t="shared" si="17"/>
        <v>C00756:1</v>
      </c>
      <c r="D307" s="31" t="str">
        <f t="shared" si="18"/>
        <v>C00756:1-Octanol</v>
      </c>
    </row>
    <row r="308" spans="1:4" x14ac:dyDescent="0.35">
      <c r="A308" s="31" t="s">
        <v>12136</v>
      </c>
      <c r="B308" s="33" t="s">
        <v>13070</v>
      </c>
      <c r="C308" s="31" t="str">
        <f t="shared" si="17"/>
        <v>C00772 :1</v>
      </c>
      <c r="D308" s="31" t="str">
        <f t="shared" si="18"/>
        <v>C00772 :Mevaldate</v>
      </c>
    </row>
    <row r="309" spans="1:4" x14ac:dyDescent="0.35">
      <c r="A309" s="31" t="s">
        <v>12006</v>
      </c>
      <c r="B309" s="33" t="s">
        <v>13071</v>
      </c>
      <c r="C309" s="31" t="str">
        <f t="shared" si="17"/>
        <v>C00787:1</v>
      </c>
      <c r="D309" s="31" t="str">
        <f t="shared" si="18"/>
        <v>C00787:tRNA(Tyr)</v>
      </c>
    </row>
    <row r="310" spans="1:4" x14ac:dyDescent="0.35">
      <c r="A310" s="31" t="s">
        <v>12308</v>
      </c>
      <c r="B310" s="33" t="s">
        <v>13502</v>
      </c>
      <c r="C310" s="31" t="str">
        <f t="shared" si="17"/>
        <v>C00797  :1</v>
      </c>
      <c r="D310" s="31" t="str">
        <f t="shared" si="18"/>
        <v>C00797  :Ethylamine</v>
      </c>
    </row>
    <row r="311" spans="1:4" ht="29" x14ac:dyDescent="0.35">
      <c r="A311" s="31" t="s">
        <v>12583</v>
      </c>
      <c r="B311" s="31" t="s">
        <v>13503</v>
      </c>
      <c r="C311" s="31" t="str">
        <f t="shared" si="17"/>
        <v>C00812  :1</v>
      </c>
      <c r="D311" s="31" t="str">
        <f t="shared" si="18"/>
        <v>C00812  :	
Alkyl thiol</v>
      </c>
    </row>
    <row r="312" spans="1:4" x14ac:dyDescent="0.35">
      <c r="A312" s="31" t="s">
        <v>12007</v>
      </c>
      <c r="B312" s="33" t="s">
        <v>13072</v>
      </c>
      <c r="C312" s="31" t="str">
        <f t="shared" si="17"/>
        <v>C00819:1</v>
      </c>
      <c r="D312" s="31" t="str">
        <f t="shared" si="18"/>
        <v>C00819:D-Glutamine</v>
      </c>
    </row>
    <row r="313" spans="1:4" ht="29" x14ac:dyDescent="0.35">
      <c r="A313" s="31" t="s">
        <v>12584</v>
      </c>
      <c r="B313" s="31" t="s">
        <v>13504</v>
      </c>
      <c r="C313" s="31" t="str">
        <f t="shared" si="17"/>
        <v>C00826:1</v>
      </c>
      <c r="D313" s="31" t="str">
        <f t="shared" si="18"/>
        <v>C00826:	
L-Arogenate</v>
      </c>
    </row>
    <row r="314" spans="1:4" ht="29" x14ac:dyDescent="0.35">
      <c r="A314" s="31" t="s">
        <v>12320</v>
      </c>
      <c r="B314" s="31" t="s">
        <v>13505</v>
      </c>
      <c r="C314" s="31" t="str">
        <f t="shared" si="17"/>
        <v>C00828  :1</v>
      </c>
      <c r="D314" s="31" t="str">
        <f t="shared" si="18"/>
        <v>C00828  :	
Menaquinone</v>
      </c>
    </row>
    <row r="315" spans="1:4" x14ac:dyDescent="0.35">
      <c r="A315" s="31" t="s">
        <v>12585</v>
      </c>
      <c r="B315" s="33" t="s">
        <v>13073</v>
      </c>
      <c r="C315" s="31" t="str">
        <f t="shared" si="17"/>
        <v>C00831 :1</v>
      </c>
      <c r="D315" s="31" t="str">
        <f t="shared" si="18"/>
        <v xml:space="preserve">C00831 :Pantethiene </v>
      </c>
    </row>
    <row r="316" spans="1:4" x14ac:dyDescent="0.35">
      <c r="A316" s="31" t="s">
        <v>12008</v>
      </c>
      <c r="B316" s="33" t="s">
        <v>13074</v>
      </c>
      <c r="C316" s="31" t="str">
        <f t="shared" si="17"/>
        <v>C00842:1</v>
      </c>
      <c r="D316" s="31" t="str">
        <f t="shared" si="18"/>
        <v>C00842:dTDP-glucose</v>
      </c>
    </row>
    <row r="317" spans="1:4" ht="29" x14ac:dyDescent="0.35">
      <c r="A317" s="31" t="s">
        <v>10410</v>
      </c>
      <c r="B317" s="31" t="s">
        <v>13506</v>
      </c>
      <c r="C317" s="31" t="str">
        <f t="shared" si="17"/>
        <v>C00846:1</v>
      </c>
      <c r="D317" s="31" t="str">
        <f t="shared" si="18"/>
        <v>C00846:	
3-Oxoadipate</v>
      </c>
    </row>
    <row r="318" spans="1:4" ht="29" x14ac:dyDescent="0.35">
      <c r="A318" s="31" t="s">
        <v>12586</v>
      </c>
      <c r="B318" s="31" t="s">
        <v>13507</v>
      </c>
      <c r="C318" s="31" t="str">
        <f t="shared" si="17"/>
        <v>C00853:1</v>
      </c>
      <c r="D318" s="31" t="str">
        <f t="shared" si="18"/>
        <v>C00853:	
Cob(I)alamin</v>
      </c>
    </row>
    <row r="319" spans="1:4" ht="29" x14ac:dyDescent="0.35">
      <c r="A319" s="31" t="s">
        <v>12367</v>
      </c>
      <c r="B319" s="31" t="s">
        <v>13508</v>
      </c>
      <c r="C319" s="31" t="str">
        <f t="shared" ref="C319:C382" si="19">CONCATENATE(A319, ":", "1")</f>
        <v>C00856  :1</v>
      </c>
      <c r="D319" s="31" t="str">
        <f t="shared" si="18"/>
        <v>C00856  :	
DNA cytosine</v>
      </c>
    </row>
    <row r="320" spans="1:4" x14ac:dyDescent="0.35">
      <c r="A320" s="31" t="s">
        <v>12587</v>
      </c>
      <c r="B320" s="33" t="s">
        <v>13075</v>
      </c>
      <c r="C320" s="31" t="str">
        <f t="shared" si="19"/>
        <v> C00857:1</v>
      </c>
      <c r="D320" s="31" t="str">
        <f t="shared" si="18"/>
        <v> C00857:Deamino-NAD+</v>
      </c>
    </row>
    <row r="321" spans="1:4" x14ac:dyDescent="0.35">
      <c r="A321" s="31" t="s">
        <v>12165</v>
      </c>
      <c r="B321" s="31" t="s">
        <v>13509</v>
      </c>
      <c r="C321" s="31" t="str">
        <f t="shared" si="19"/>
        <v>C00860   :1</v>
      </c>
      <c r="D321" s="31" t="str">
        <f t="shared" si="18"/>
        <v>C00860   :L-Histidinol</v>
      </c>
    </row>
    <row r="322" spans="1:4" x14ac:dyDescent="0.35">
      <c r="A322" s="31" t="s">
        <v>12009</v>
      </c>
      <c r="B322" s="33" t="s">
        <v>13076</v>
      </c>
      <c r="C322" s="31" t="str">
        <f t="shared" si="19"/>
        <v>C00864:1</v>
      </c>
      <c r="D322" s="31" t="str">
        <f t="shared" si="18"/>
        <v>C00864:Pantothenate</v>
      </c>
    </row>
    <row r="323" spans="1:4" x14ac:dyDescent="0.35">
      <c r="A323" s="31" t="s">
        <v>12588</v>
      </c>
      <c r="B323" s="33" t="s">
        <v>13077</v>
      </c>
      <c r="C323" s="31" t="str">
        <f t="shared" si="19"/>
        <v>C00868  :1</v>
      </c>
      <c r="D323" s="31" t="str">
        <f t="shared" ref="D323:D386" si="20">CONCATENATE(A323,":",B323)</f>
        <v>C00868  :tRNA uridine</v>
      </c>
    </row>
    <row r="324" spans="1:4" ht="29" x14ac:dyDescent="0.35">
      <c r="A324" s="31" t="s">
        <v>12589</v>
      </c>
      <c r="B324" s="31" t="s">
        <v>13510</v>
      </c>
      <c r="C324" s="31" t="str">
        <f t="shared" si="19"/>
        <v>C00870  :1</v>
      </c>
      <c r="D324" s="31" t="str">
        <f t="shared" si="20"/>
        <v>C00870  :	
4-Nitrophenol</v>
      </c>
    </row>
    <row r="325" spans="1:4" x14ac:dyDescent="0.35">
      <c r="A325" s="31" t="s">
        <v>12590</v>
      </c>
      <c r="B325" s="33" t="s">
        <v>13078</v>
      </c>
      <c r="C325" s="31" t="str">
        <f t="shared" si="19"/>
        <v>C00881  :1</v>
      </c>
      <c r="D325" s="31" t="str">
        <f t="shared" si="20"/>
        <v>C00881  :Deoxycytidine</v>
      </c>
    </row>
    <row r="326" spans="1:4" x14ac:dyDescent="0.35">
      <c r="A326" s="31" t="s">
        <v>12010</v>
      </c>
      <c r="B326" s="33" t="s">
        <v>13079</v>
      </c>
      <c r="C326" s="31" t="str">
        <f t="shared" si="19"/>
        <v>C00882:1</v>
      </c>
      <c r="D326" s="31" t="str">
        <f t="shared" si="20"/>
        <v>C00882:Dephospho-CoA</v>
      </c>
    </row>
    <row r="327" spans="1:4" ht="29" x14ac:dyDescent="0.35">
      <c r="A327" s="31" t="s">
        <v>12393</v>
      </c>
      <c r="B327" s="31" t="s">
        <v>13511</v>
      </c>
      <c r="C327" s="31" t="str">
        <f t="shared" si="19"/>
        <v>C00885 :1</v>
      </c>
      <c r="D327" s="31" t="str">
        <f t="shared" si="20"/>
        <v>C00885 :	
Isochorismate</v>
      </c>
    </row>
    <row r="328" spans="1:4" x14ac:dyDescent="0.35">
      <c r="A328" s="31" t="s">
        <v>12011</v>
      </c>
      <c r="B328" s="33" t="s">
        <v>13080</v>
      </c>
      <c r="C328" s="31" t="str">
        <f t="shared" si="19"/>
        <v>C00886:1</v>
      </c>
      <c r="D328" s="31" t="str">
        <f t="shared" si="20"/>
        <v>C00886:L-Alanyl-tRNA</v>
      </c>
    </row>
    <row r="329" spans="1:4" ht="29" x14ac:dyDescent="0.35">
      <c r="A329" s="31" t="s">
        <v>12192</v>
      </c>
      <c r="B329" s="31" t="s">
        <v>13512</v>
      </c>
      <c r="C329" s="31" t="str">
        <f t="shared" si="19"/>
        <v>C00900:1</v>
      </c>
      <c r="D329" s="31" t="str">
        <f t="shared" si="20"/>
        <v>C00900:	
2-Acetolactate</v>
      </c>
    </row>
    <row r="330" spans="1:4" x14ac:dyDescent="0.35">
      <c r="A330" s="31" t="s">
        <v>12591</v>
      </c>
      <c r="B330" s="33" t="s">
        <v>13513</v>
      </c>
      <c r="C330" s="31" t="str">
        <f t="shared" si="19"/>
        <v>C00905:1</v>
      </c>
      <c r="D330" s="31" t="str">
        <f t="shared" si="20"/>
        <v>C00905:D-Fructuronate</v>
      </c>
    </row>
    <row r="331" spans="1:4" x14ac:dyDescent="0.35">
      <c r="A331" s="31" t="s">
        <v>12592</v>
      </c>
      <c r="B331" s="33" t="s">
        <v>13081</v>
      </c>
      <c r="C331" s="31" t="str">
        <f t="shared" si="19"/>
        <v>C00911 :1</v>
      </c>
      <c r="D331" s="31" t="str">
        <f t="shared" si="20"/>
        <v>C00911 :Ribonucleoside</v>
      </c>
    </row>
    <row r="332" spans="1:4" ht="29" x14ac:dyDescent="0.35">
      <c r="A332" s="31" t="s">
        <v>12593</v>
      </c>
      <c r="B332" s="31" t="s">
        <v>13514</v>
      </c>
      <c r="C332" s="31" t="str">
        <f t="shared" si="19"/>
        <v>C00921:1</v>
      </c>
      <c r="D332" s="31" t="str">
        <f t="shared" si="20"/>
        <v>C00921:	
Dihydropteroate</v>
      </c>
    </row>
    <row r="333" spans="1:4" x14ac:dyDescent="0.35">
      <c r="A333" s="31" t="s">
        <v>12594</v>
      </c>
      <c r="B333" s="33" t="s">
        <v>13515</v>
      </c>
      <c r="C333" s="31" t="str">
        <f t="shared" si="19"/>
        <v>C00931  :1</v>
      </c>
      <c r="D333" s="31" t="str">
        <f t="shared" si="20"/>
        <v>C00931  :Porphobilinogen</v>
      </c>
    </row>
    <row r="334" spans="1:4" ht="29" x14ac:dyDescent="0.35">
      <c r="A334" s="31" t="s">
        <v>12595</v>
      </c>
      <c r="B334" s="31" t="s">
        <v>13516</v>
      </c>
      <c r="C334" s="31" t="str">
        <f t="shared" si="19"/>
        <v>C00935:1</v>
      </c>
      <c r="D334" s="31" t="str">
        <f t="shared" si="20"/>
        <v>C00935:	
UDP-L-arabinose</v>
      </c>
    </row>
    <row r="335" spans="1:4" x14ac:dyDescent="0.35">
      <c r="A335" s="31" t="s">
        <v>12596</v>
      </c>
      <c r="B335" s="33" t="s">
        <v>13517</v>
      </c>
      <c r="C335" s="31" t="str">
        <f t="shared" si="19"/>
        <v>C00944:1</v>
      </c>
      <c r="D335" s="31" t="str">
        <f t="shared" si="20"/>
        <v>C00944:3-Dehydroquinate</v>
      </c>
    </row>
    <row r="336" spans="1:4" x14ac:dyDescent="0.35">
      <c r="A336" s="31" t="s">
        <v>12173</v>
      </c>
      <c r="B336" s="33" t="s">
        <v>13082</v>
      </c>
      <c r="C336" s="31" t="str">
        <f t="shared" si="19"/>
        <v> C00957 :1</v>
      </c>
      <c r="D336" s="31" t="str">
        <f t="shared" si="20"/>
        <v> C00957 :Mercaptopyruvate</v>
      </c>
    </row>
    <row r="337" spans="1:4" x14ac:dyDescent="0.35">
      <c r="A337" s="31" t="s">
        <v>12158</v>
      </c>
      <c r="B337" s="33" t="s">
        <v>13518</v>
      </c>
      <c r="C337" s="31" t="str">
        <f t="shared" si="19"/>
        <v>C00966 :1</v>
      </c>
      <c r="D337" s="31" t="str">
        <f t="shared" si="20"/>
        <v>C00966 :2-Dehydropantoate</v>
      </c>
    </row>
    <row r="338" spans="1:4" x14ac:dyDescent="0.35">
      <c r="A338" s="31" t="s">
        <v>12012</v>
      </c>
      <c r="B338" s="33" t="s">
        <v>13083</v>
      </c>
      <c r="C338" s="31" t="str">
        <f t="shared" si="19"/>
        <v>C00979:1</v>
      </c>
      <c r="D338" s="31" t="str">
        <f t="shared" si="20"/>
        <v>C00979:O-Acetyl-L-serine</v>
      </c>
    </row>
    <row r="339" spans="1:4" x14ac:dyDescent="0.35">
      <c r="A339" s="31" t="s">
        <v>12597</v>
      </c>
      <c r="B339" s="33" t="s">
        <v>13084</v>
      </c>
      <c r="C339" s="31" t="str">
        <f t="shared" si="19"/>
        <v xml:space="preserve"> C00993 :1</v>
      </c>
      <c r="D339" s="31" t="str">
        <f t="shared" si="20"/>
        <v xml:space="preserve"> C00993 :D-Alanyl-D-alanine</v>
      </c>
    </row>
    <row r="340" spans="1:4" x14ac:dyDescent="0.35">
      <c r="A340" s="31" t="s">
        <v>12013</v>
      </c>
      <c r="B340" s="33" t="s">
        <v>13085</v>
      </c>
      <c r="C340" s="31" t="str">
        <f t="shared" si="19"/>
        <v>C01005:1</v>
      </c>
      <c r="D340" s="31" t="str">
        <f t="shared" si="20"/>
        <v>C01005:O-Phospho-L-serine</v>
      </c>
    </row>
    <row r="341" spans="1:4" ht="29" x14ac:dyDescent="0.35">
      <c r="A341" s="31" t="s">
        <v>12174</v>
      </c>
      <c r="B341" s="31" t="s">
        <v>13519</v>
      </c>
      <c r="C341" s="31" t="str">
        <f t="shared" si="19"/>
        <v>C01013:1</v>
      </c>
      <c r="D341" s="31" t="str">
        <f t="shared" si="20"/>
        <v>C01013:	
3-Hydroxypropanoate</v>
      </c>
    </row>
    <row r="342" spans="1:4" x14ac:dyDescent="0.35">
      <c r="A342" s="31" t="s">
        <v>12598</v>
      </c>
      <c r="B342" s="33" t="s">
        <v>13520</v>
      </c>
      <c r="C342" s="31" t="str">
        <f t="shared" si="19"/>
        <v>C01024 :1</v>
      </c>
      <c r="D342" s="31" t="str">
        <f t="shared" si="20"/>
        <v>C01024 :Hydroxymethylbilane</v>
      </c>
    </row>
    <row r="343" spans="1:4" ht="29" x14ac:dyDescent="0.35">
      <c r="A343" s="31" t="s">
        <v>12599</v>
      </c>
      <c r="B343" s="31" t="s">
        <v>13521</v>
      </c>
      <c r="C343" s="31" t="str">
        <f t="shared" si="19"/>
        <v>C01037:1</v>
      </c>
      <c r="D343" s="31" t="str">
        <f t="shared" si="20"/>
        <v>C01037:	
7,8-Diaminononanoate</v>
      </c>
    </row>
    <row r="344" spans="1:4" x14ac:dyDescent="0.35">
      <c r="A344" s="31" t="s">
        <v>12014</v>
      </c>
      <c r="B344" s="33" t="s">
        <v>13086</v>
      </c>
      <c r="C344" s="31" t="str">
        <f t="shared" si="19"/>
        <v>C01050:1</v>
      </c>
      <c r="D344" s="31" t="str">
        <f t="shared" si="20"/>
        <v>C01050:UDP-N-acetylmuramate</v>
      </c>
    </row>
    <row r="345" spans="1:4" x14ac:dyDescent="0.35">
      <c r="A345" s="31" t="s">
        <v>12349</v>
      </c>
      <c r="B345" s="31" t="s">
        <v>13522</v>
      </c>
      <c r="C345" s="31" t="str">
        <f t="shared" si="19"/>
        <v>C01051:1</v>
      </c>
      <c r="D345" s="31" t="str">
        <f t="shared" si="20"/>
        <v>C01051:Uroporphyrinogen III</v>
      </c>
    </row>
    <row r="346" spans="1:4" ht="29" x14ac:dyDescent="0.35">
      <c r="A346" s="31" t="s">
        <v>12417</v>
      </c>
      <c r="B346" s="31" t="s">
        <v>13523</v>
      </c>
      <c r="C346" s="31" t="str">
        <f t="shared" si="19"/>
        <v> C01077:1</v>
      </c>
      <c r="D346" s="31" t="str">
        <f t="shared" si="20"/>
        <v> C01077:	
O-Acetyl-L-homoserine</v>
      </c>
    </row>
    <row r="347" spans="1:4" x14ac:dyDescent="0.35">
      <c r="A347" s="31" t="s">
        <v>12290</v>
      </c>
      <c r="B347" s="31" t="s">
        <v>13524</v>
      </c>
      <c r="C347" s="31" t="str">
        <f t="shared" si="19"/>
        <v>C01079:1</v>
      </c>
      <c r="D347" s="31" t="str">
        <f t="shared" si="20"/>
        <v>C01079:Protoporphyrinogen IX</v>
      </c>
    </row>
    <row r="348" spans="1:4" ht="29" x14ac:dyDescent="0.35">
      <c r="A348" s="31" t="s">
        <v>12600</v>
      </c>
      <c r="B348" s="31" t="s">
        <v>13525</v>
      </c>
      <c r="C348" s="31" t="str">
        <f t="shared" si="19"/>
        <v>C01081:1</v>
      </c>
      <c r="D348" s="31" t="str">
        <f t="shared" si="20"/>
        <v>C01081:	
Thiamin monophosphate</v>
      </c>
    </row>
    <row r="349" spans="1:4" x14ac:dyDescent="0.35">
      <c r="A349" s="31" t="s">
        <v>12601</v>
      </c>
      <c r="B349" s="31" t="s">
        <v>13526</v>
      </c>
      <c r="C349" s="31" t="str">
        <f t="shared" si="19"/>
        <v>C01083 :1</v>
      </c>
      <c r="D349" s="31" t="str">
        <f t="shared" si="20"/>
        <v>C01083 :alpha,alpha-Trehalose</v>
      </c>
    </row>
    <row r="350" spans="1:4" ht="29" x14ac:dyDescent="0.35">
      <c r="A350" s="31" t="s">
        <v>12602</v>
      </c>
      <c r="B350" s="31" t="s">
        <v>13527</v>
      </c>
      <c r="C350" s="31" t="str">
        <f t="shared" si="19"/>
        <v xml:space="preserve"> C01092  :1</v>
      </c>
      <c r="D350" s="31" t="str">
        <f t="shared" si="20"/>
        <v xml:space="preserve"> C01092  :	
8-Amino-7-oxononanoate</v>
      </c>
    </row>
    <row r="351" spans="1:4" x14ac:dyDescent="0.35">
      <c r="A351" s="31" t="s">
        <v>12603</v>
      </c>
      <c r="B351" s="33" t="s">
        <v>13087</v>
      </c>
      <c r="C351" s="31" t="str">
        <f t="shared" si="19"/>
        <v xml:space="preserve"> C01094:1</v>
      </c>
      <c r="D351" s="31" t="str">
        <f t="shared" si="20"/>
        <v xml:space="preserve"> C01094:D-Fructose 1-phosphate</v>
      </c>
    </row>
    <row r="352" spans="1:4" x14ac:dyDescent="0.35">
      <c r="A352" s="31" t="s">
        <v>12015</v>
      </c>
      <c r="B352" s="33" t="s">
        <v>13088</v>
      </c>
      <c r="C352" s="31" t="str">
        <f t="shared" si="19"/>
        <v>C01097:1</v>
      </c>
      <c r="D352" s="31" t="str">
        <f t="shared" si="20"/>
        <v>C01097:D-Tagatose 6-phosphate</v>
      </c>
    </row>
    <row r="353" spans="1:4" ht="29" x14ac:dyDescent="0.35">
      <c r="A353" s="31" t="s">
        <v>12604</v>
      </c>
      <c r="B353" s="31" t="s">
        <v>13528</v>
      </c>
      <c r="C353" s="31" t="str">
        <f t="shared" si="19"/>
        <v>C01100 :1</v>
      </c>
      <c r="D353" s="31" t="str">
        <f t="shared" si="20"/>
        <v>C01100 :	
L-Histidinol phosphate</v>
      </c>
    </row>
    <row r="354" spans="1:4" x14ac:dyDescent="0.35">
      <c r="A354" s="31" t="s">
        <v>12605</v>
      </c>
      <c r="B354" s="33" t="s">
        <v>13089</v>
      </c>
      <c r="C354" s="31" t="str">
        <f t="shared" si="19"/>
        <v>  C01102:1</v>
      </c>
      <c r="D354" s="31" t="str">
        <f t="shared" si="20"/>
        <v>  C01102:O-Phospho-L-homoserine</v>
      </c>
    </row>
    <row r="355" spans="1:4" x14ac:dyDescent="0.35">
      <c r="A355" s="31" t="s">
        <v>12016</v>
      </c>
      <c r="B355" s="33" t="s">
        <v>13090</v>
      </c>
      <c r="C355" s="31" t="str">
        <f t="shared" si="19"/>
        <v>C01103:1</v>
      </c>
      <c r="D355" s="31" t="str">
        <f t="shared" si="20"/>
        <v xml:space="preserve">C01103:Orotidine 5'-phosphate </v>
      </c>
    </row>
    <row r="356" spans="1:4" ht="29" x14ac:dyDescent="0.35">
      <c r="A356" s="31" t="s">
        <v>12606</v>
      </c>
      <c r="B356" s="31" t="s">
        <v>13529</v>
      </c>
      <c r="C356" s="31" t="str">
        <f t="shared" si="19"/>
        <v>C01118:1</v>
      </c>
      <c r="D356" s="31" t="str">
        <f t="shared" si="20"/>
        <v>C01118:	
O-Succinyl-L-homoserine</v>
      </c>
    </row>
    <row r="357" spans="1:4" x14ac:dyDescent="0.35">
      <c r="A357" s="31" t="s">
        <v>12607</v>
      </c>
      <c r="B357" s="33" t="s">
        <v>13091</v>
      </c>
      <c r="C357" s="31" t="str">
        <f t="shared" si="19"/>
        <v> C01134:1</v>
      </c>
      <c r="D357" s="31" t="str">
        <f t="shared" si="20"/>
        <v> C01134:Pantetheine 4'-phosphate</v>
      </c>
    </row>
    <row r="358" spans="1:4" ht="29" x14ac:dyDescent="0.35">
      <c r="A358" s="31" t="s">
        <v>12608</v>
      </c>
      <c r="B358" s="31" t="s">
        <v>13530</v>
      </c>
      <c r="C358" s="31" t="str">
        <f t="shared" si="19"/>
        <v>C01137  :1</v>
      </c>
      <c r="D358" s="31" t="str">
        <f t="shared" si="20"/>
        <v>C01137  :	
S-Adenosylmethioninamine</v>
      </c>
    </row>
    <row r="359" spans="1:4" ht="29" x14ac:dyDescent="0.35">
      <c r="A359" s="31" t="s">
        <v>12609</v>
      </c>
      <c r="B359" s="31" t="s">
        <v>13531</v>
      </c>
      <c r="C359" s="31" t="str">
        <f t="shared" si="19"/>
        <v>C01153  :1</v>
      </c>
      <c r="D359" s="31" t="str">
        <f t="shared" si="20"/>
        <v>C01153  :	
Orthophosphoric monoester</v>
      </c>
    </row>
    <row r="360" spans="1:4" ht="29" x14ac:dyDescent="0.35">
      <c r="A360" s="31" t="s">
        <v>12311</v>
      </c>
      <c r="B360" s="31" t="s">
        <v>13532</v>
      </c>
      <c r="C360" s="31" t="str">
        <f t="shared" si="19"/>
        <v>C01157 :1</v>
      </c>
      <c r="D360" s="31" t="str">
        <f t="shared" si="20"/>
        <v>C01157 :	
Hydroxyproline</v>
      </c>
    </row>
    <row r="361" spans="1:4" ht="29" x14ac:dyDescent="0.35">
      <c r="A361" s="31" t="s">
        <v>12610</v>
      </c>
      <c r="B361" s="31" t="s">
        <v>13533</v>
      </c>
      <c r="C361" s="31" t="str">
        <f t="shared" si="19"/>
        <v>C01159:1</v>
      </c>
      <c r="D361" s="31" t="str">
        <f t="shared" si="20"/>
        <v>C01159:	
2,3-Bisphospho-D-glycerate</v>
      </c>
    </row>
    <row r="362" spans="1:4" ht="29" x14ac:dyDescent="0.35">
      <c r="A362" s="31" t="s">
        <v>11787</v>
      </c>
      <c r="B362" s="31" t="s">
        <v>13534</v>
      </c>
      <c r="C362" s="31" t="str">
        <f t="shared" si="19"/>
        <v>C01163:1</v>
      </c>
      <c r="D362" s="31" t="str">
        <f t="shared" si="20"/>
        <v>C01163:	
3-Carboxy-cis,cis-muconate</v>
      </c>
    </row>
    <row r="363" spans="1:4" ht="29" x14ac:dyDescent="0.35">
      <c r="A363" s="31" t="s">
        <v>12259</v>
      </c>
      <c r="B363" s="31" t="s">
        <v>13535</v>
      </c>
      <c r="C363" s="31" t="str">
        <f t="shared" si="19"/>
        <v>C01165:1</v>
      </c>
      <c r="D363" s="31" t="str">
        <f t="shared" si="20"/>
        <v>C01165:	
L-Glutamate 5-semialdehyde</v>
      </c>
    </row>
    <row r="364" spans="1:4" x14ac:dyDescent="0.35">
      <c r="A364" s="31" t="s">
        <v>12017</v>
      </c>
      <c r="B364" s="33" t="s">
        <v>13092</v>
      </c>
      <c r="C364" s="31" t="str">
        <f t="shared" si="19"/>
        <v>C01167:1</v>
      </c>
      <c r="D364" s="31" t="str">
        <f t="shared" si="20"/>
        <v>C01167:Protein tyrosine phosphate</v>
      </c>
    </row>
    <row r="365" spans="1:4" ht="29" x14ac:dyDescent="0.35">
      <c r="A365" s="31" t="s">
        <v>11208</v>
      </c>
      <c r="B365" s="31" t="s">
        <v>13536</v>
      </c>
      <c r="C365" s="31" t="str">
        <f t="shared" si="19"/>
        <v>C01171:1</v>
      </c>
      <c r="D365" s="31" t="str">
        <f t="shared" si="20"/>
        <v>C01171:	
alpha-D-Hexose 1-phosphate</v>
      </c>
    </row>
    <row r="366" spans="1:4" x14ac:dyDescent="0.35">
      <c r="A366" s="31" t="s">
        <v>11173</v>
      </c>
      <c r="B366" s="33" t="s">
        <v>13093</v>
      </c>
      <c r="C366" s="31" t="str">
        <f t="shared" si="19"/>
        <v>C01172:1</v>
      </c>
      <c r="D366" s="31" t="str">
        <f t="shared" si="20"/>
        <v>C01172:beta-D-Glucose 6-phosphate</v>
      </c>
    </row>
    <row r="367" spans="1:4" x14ac:dyDescent="0.35">
      <c r="A367" s="31" t="s">
        <v>12273</v>
      </c>
      <c r="B367" s="33" t="s">
        <v>13094</v>
      </c>
      <c r="C367" s="31" t="str">
        <f t="shared" si="19"/>
        <v>C01179  :1</v>
      </c>
      <c r="D367" s="31" t="str">
        <f t="shared" si="20"/>
        <v>C01179  :3-(4-Hydroxyphenyl)pyruvate</v>
      </c>
    </row>
    <row r="368" spans="1:4" x14ac:dyDescent="0.35">
      <c r="A368" s="31" t="s">
        <v>12018</v>
      </c>
      <c r="B368" s="33" t="s">
        <v>13095</v>
      </c>
      <c r="C368" s="31" t="str">
        <f t="shared" si="19"/>
        <v>C01185:1</v>
      </c>
      <c r="D368" s="31" t="str">
        <f t="shared" si="20"/>
        <v>C01185:Nicotinate D-ribonucleotide</v>
      </c>
    </row>
    <row r="369" spans="1:4" ht="29" x14ac:dyDescent="0.35">
      <c r="A369" s="31" t="s">
        <v>12422</v>
      </c>
      <c r="B369" s="31" t="s">
        <v>13537</v>
      </c>
      <c r="C369" s="31" t="str">
        <f t="shared" si="19"/>
        <v>  C01209:1</v>
      </c>
      <c r="D369" s="31" t="str">
        <f t="shared" si="20"/>
        <v>  C01209:	
Malonyl-[acyl-carrier protein]</v>
      </c>
    </row>
    <row r="370" spans="1:4" x14ac:dyDescent="0.35">
      <c r="A370" s="31" t="s">
        <v>12019</v>
      </c>
      <c r="B370" s="33" t="s">
        <v>13096</v>
      </c>
      <c r="C370" s="31" t="str">
        <f t="shared" si="19"/>
        <v>C01212:1</v>
      </c>
      <c r="D370" s="31" t="str">
        <f t="shared" si="20"/>
        <v>C01212:UDP-N-acetylmuramoyl-L-alanine</v>
      </c>
    </row>
    <row r="371" spans="1:4" ht="29" x14ac:dyDescent="0.35">
      <c r="A371" s="31" t="s">
        <v>12611</v>
      </c>
      <c r="B371" s="31" t="s">
        <v>13538</v>
      </c>
      <c r="C371" s="31" t="str">
        <f t="shared" si="19"/>
        <v>C01213 :1</v>
      </c>
      <c r="D371" s="31" t="str">
        <f t="shared" si="20"/>
        <v>C01213 :	
(R)-Methylmalonyl-CoA</v>
      </c>
    </row>
    <row r="372" spans="1:4" x14ac:dyDescent="0.35">
      <c r="A372" s="31" t="s">
        <v>12371</v>
      </c>
      <c r="B372" s="33" t="s">
        <v>13097</v>
      </c>
      <c r="C372" s="31" t="str">
        <f t="shared" si="19"/>
        <v xml:space="preserve">  C01217:1</v>
      </c>
      <c r="D372" s="31" t="str">
        <f t="shared" si="20"/>
        <v xml:space="preserve">  C01217:5,6,7,8-Tetrahydromethanopterin</v>
      </c>
    </row>
    <row r="373" spans="1:4" ht="29" x14ac:dyDescent="0.35">
      <c r="A373" s="31" t="s">
        <v>12612</v>
      </c>
      <c r="B373" s="31" t="s">
        <v>13539</v>
      </c>
      <c r="C373" s="31" t="str">
        <f t="shared" si="19"/>
        <v>C01222  :1</v>
      </c>
      <c r="D373" s="31" t="str">
        <f t="shared" si="20"/>
        <v>C01222  :	
GDP-4-dehydro-6-deoxy-D-mannose</v>
      </c>
    </row>
    <row r="374" spans="1:4" ht="29" x14ac:dyDescent="0.35">
      <c r="A374" s="31" t="s">
        <v>12020</v>
      </c>
      <c r="B374" s="33" t="s">
        <v>13098</v>
      </c>
      <c r="C374" s="31" t="str">
        <f t="shared" si="19"/>
        <v>C01236:1</v>
      </c>
      <c r="D374" s="31" t="str">
        <f t="shared" si="20"/>
        <v>C01236:D-Glucono-1,5-lactone 6-phosphate</v>
      </c>
    </row>
    <row r="375" spans="1:4" ht="29" x14ac:dyDescent="0.35">
      <c r="A375" s="31" t="s">
        <v>12184</v>
      </c>
      <c r="B375" s="31" t="s">
        <v>13540</v>
      </c>
      <c r="C375" s="31" t="str">
        <f t="shared" si="19"/>
        <v>C01244 :1</v>
      </c>
      <c r="D375" s="31" t="str">
        <f t="shared" si="20"/>
        <v>C01244 :3,5-Diiodo-4-hydroxyphenylpyruvate</v>
      </c>
    </row>
    <row r="376" spans="1:4" ht="29" x14ac:dyDescent="0.35">
      <c r="A376" s="31" t="s">
        <v>12257</v>
      </c>
      <c r="B376" s="31" t="s">
        <v>13541</v>
      </c>
      <c r="C376" s="31" t="str">
        <f t="shared" si="19"/>
        <v>C01250  :1</v>
      </c>
      <c r="D376" s="31" t="str">
        <f t="shared" si="20"/>
        <v>C01250  :	
N-Acetyl-L-glutamate 5-semialdehyde</v>
      </c>
    </row>
    <row r="377" spans="1:4" ht="29" x14ac:dyDescent="0.35">
      <c r="A377" s="31" t="s">
        <v>12613</v>
      </c>
      <c r="B377" s="31" t="s">
        <v>13542</v>
      </c>
      <c r="C377" s="31" t="str">
        <f t="shared" si="19"/>
        <v> C01267:1</v>
      </c>
      <c r="D377" s="31" t="str">
        <f t="shared" si="20"/>
        <v> C01267:3-(Imidazol-4-yl)-2-oxopropyl phosphate</v>
      </c>
    </row>
    <row r="378" spans="1:4" ht="29" x14ac:dyDescent="0.35">
      <c r="A378" s="31" t="s">
        <v>12162</v>
      </c>
      <c r="B378" s="31" t="s">
        <v>13543</v>
      </c>
      <c r="C378" s="31" t="str">
        <f t="shared" si="19"/>
        <v>C01268 :1</v>
      </c>
      <c r="D378" s="31" t="str">
        <f t="shared" si="20"/>
        <v>C01268 :	
5-Amino-6-(5'-phosphoribosylamino)uracil</v>
      </c>
    </row>
    <row r="379" spans="1:4" ht="29" x14ac:dyDescent="0.35">
      <c r="A379" s="31" t="s">
        <v>12614</v>
      </c>
      <c r="B379" s="31" t="s">
        <v>13544</v>
      </c>
      <c r="C379" s="31" t="str">
        <f t="shared" si="19"/>
        <v>C01269:1</v>
      </c>
      <c r="D379" s="31" t="str">
        <f t="shared" si="20"/>
        <v>C01269:5-O-(1-Carboxyvinyl)-3-phosphoshikimate</v>
      </c>
    </row>
    <row r="380" spans="1:4" ht="29" x14ac:dyDescent="0.35">
      <c r="A380" s="31" t="s">
        <v>12121</v>
      </c>
      <c r="B380" s="31" t="s">
        <v>13545</v>
      </c>
      <c r="C380" s="31" t="str">
        <f t="shared" si="19"/>
        <v>C01271:1</v>
      </c>
      <c r="D380" s="31" t="str">
        <f t="shared" si="20"/>
        <v>C01271:	
(3R)-3-Hydroxyacyl-[acyl-carrier protein]</v>
      </c>
    </row>
    <row r="381" spans="1:4" ht="43.5" x14ac:dyDescent="0.35">
      <c r="A381" s="31" t="s">
        <v>12615</v>
      </c>
      <c r="B381" s="31" t="s">
        <v>13546</v>
      </c>
      <c r="C381" s="31" t="str">
        <f t="shared" si="19"/>
        <v>C01278:1</v>
      </c>
      <c r="D381" s="31" t="str">
        <f t="shared" si="20"/>
        <v>C01278:	
2-Carboxy-2,5-dihydro-5-oxofuran-2-acetate</v>
      </c>
    </row>
    <row r="382" spans="1:4" ht="29" x14ac:dyDescent="0.35">
      <c r="A382" s="31" t="s">
        <v>12616</v>
      </c>
      <c r="B382" s="33" t="s">
        <v>13099</v>
      </c>
      <c r="C382" s="31" t="str">
        <f t="shared" si="19"/>
        <v xml:space="preserve"> C01279 :1</v>
      </c>
      <c r="D382" s="31" t="str">
        <f t="shared" si="20"/>
        <v xml:space="preserve"> C01279 :4-Amino-5-hydroxymethyl-2-methylpyrimidine</v>
      </c>
    </row>
    <row r="383" spans="1:4" ht="43.5" x14ac:dyDescent="0.35">
      <c r="A383" s="31" t="s">
        <v>12617</v>
      </c>
      <c r="B383" s="31" t="s">
        <v>13547</v>
      </c>
      <c r="C383" s="31" t="str">
        <f t="shared" ref="C383:C446" si="21">CONCATENATE(A383, ":", "1")</f>
        <v xml:space="preserve">  C01281 :1</v>
      </c>
      <c r="D383" s="31" t="str">
        <f t="shared" si="20"/>
        <v xml:space="preserve">  C01281 :	
[L-Glutamate:ammonia ligase (ADP-forming)]</v>
      </c>
    </row>
    <row r="384" spans="1:4" ht="43.5" x14ac:dyDescent="0.35">
      <c r="A384" s="31" t="s">
        <v>12618</v>
      </c>
      <c r="B384" s="31" t="s">
        <v>13548</v>
      </c>
      <c r="C384" s="31" t="str">
        <f t="shared" si="21"/>
        <v> C01299:1</v>
      </c>
      <c r="D384" s="31" t="str">
        <f t="shared" si="20"/>
        <v> C01299:	
Adenylyl-[L-glutamate:ammonia ligase (ADP-forming)]</v>
      </c>
    </row>
    <row r="385" spans="1:4" ht="29" x14ac:dyDescent="0.35">
      <c r="A385" s="31" t="s">
        <v>12619</v>
      </c>
      <c r="B385" s="31" t="s">
        <v>13549</v>
      </c>
      <c r="C385" s="31" t="str">
        <f t="shared" si="21"/>
        <v>C01300:1</v>
      </c>
      <c r="D385" s="31" t="str">
        <f t="shared" si="20"/>
        <v>C01300:	
6-(Hydroxymethyl)-7,8-dihydropterin</v>
      </c>
    </row>
    <row r="386" spans="1:4" ht="29" x14ac:dyDescent="0.35">
      <c r="A386" s="31" t="s">
        <v>10815</v>
      </c>
      <c r="B386" s="31" t="s">
        <v>13550</v>
      </c>
      <c r="C386" s="31" t="str">
        <f t="shared" si="21"/>
        <v>C01302:1</v>
      </c>
      <c r="D386" s="31" t="str">
        <f t="shared" si="20"/>
        <v>C01302:1-(2-Carboxyphenylamino)-1-deoxy-D-ribulose 5-phosphate</v>
      </c>
    </row>
    <row r="387" spans="1:4" ht="43.5" x14ac:dyDescent="0.35">
      <c r="A387" s="31" t="s">
        <v>12163</v>
      </c>
      <c r="B387" s="31" t="s">
        <v>13551</v>
      </c>
      <c r="C387" s="31" t="str">
        <f t="shared" si="21"/>
        <v>C01304:1</v>
      </c>
      <c r="D387" s="31" t="str">
        <f t="shared" ref="D387:D450" si="22">CONCATENATE(A387,":",B387)</f>
        <v>C01304:	
2,5-Diamino-6-(5-phospho-D-ribosylamino)pyrimidin-4(3H)-one</v>
      </c>
    </row>
    <row r="388" spans="1:4" ht="29" x14ac:dyDescent="0.35">
      <c r="A388" s="31" t="s">
        <v>12281</v>
      </c>
      <c r="B388" s="31" t="s">
        <v>13552</v>
      </c>
      <c r="C388" s="31" t="str">
        <f t="shared" si="21"/>
        <v>C01324:1</v>
      </c>
      <c r="D388" s="31" t="str">
        <f t="shared" si="22"/>
        <v>C01324:	
Bromide</v>
      </c>
    </row>
    <row r="389" spans="1:4" ht="29" x14ac:dyDescent="0.35">
      <c r="A389" s="31" t="s">
        <v>12279</v>
      </c>
      <c r="B389" s="31" t="s">
        <v>13553</v>
      </c>
      <c r="C389" s="31" t="str">
        <f t="shared" si="21"/>
        <v>C01327 :1</v>
      </c>
      <c r="D389" s="31" t="str">
        <f t="shared" si="22"/>
        <v>C01327 :	
Hydrochloric acid</v>
      </c>
    </row>
    <row r="390" spans="1:4" x14ac:dyDescent="0.35">
      <c r="A390" s="31" t="s">
        <v>12201</v>
      </c>
      <c r="B390" s="31" t="s">
        <v>13554</v>
      </c>
      <c r="C390" s="31" t="str">
        <f t="shared" si="21"/>
        <v>C01335:1</v>
      </c>
      <c r="D390" s="31" t="str">
        <f t="shared" si="22"/>
        <v>C01335:ROH</v>
      </c>
    </row>
    <row r="391" spans="1:4" ht="29" x14ac:dyDescent="0.35">
      <c r="A391" s="31" t="s">
        <v>12620</v>
      </c>
      <c r="B391" s="31" t="s">
        <v>13555</v>
      </c>
      <c r="C391" s="31" t="str">
        <f t="shared" si="21"/>
        <v>C01336:1</v>
      </c>
      <c r="D391" s="31" t="str">
        <f t="shared" si="22"/>
        <v>C01336:	
Aryl thiol</v>
      </c>
    </row>
    <row r="392" spans="1:4" x14ac:dyDescent="0.35">
      <c r="A392" s="31" t="s">
        <v>12621</v>
      </c>
      <c r="B392" s="31" t="s">
        <v>13556</v>
      </c>
      <c r="C392" s="31" t="str">
        <f t="shared" si="21"/>
        <v xml:space="preserve"> C01344 :1</v>
      </c>
      <c r="D392" s="31" t="str">
        <f t="shared" si="22"/>
        <v xml:space="preserve"> C01344 :dIDP</v>
      </c>
    </row>
    <row r="393" spans="1:4" ht="29" x14ac:dyDescent="0.35">
      <c r="A393" s="31" t="s">
        <v>12622</v>
      </c>
      <c r="B393" s="31" t="s">
        <v>13557</v>
      </c>
      <c r="C393" s="31" t="str">
        <f t="shared" si="21"/>
        <v>  C01345:1</v>
      </c>
      <c r="D393" s="31" t="str">
        <f t="shared" si="22"/>
        <v>  C01345:	
dITP</v>
      </c>
    </row>
    <row r="394" spans="1:4" x14ac:dyDescent="0.35">
      <c r="A394" s="31" t="s">
        <v>12021</v>
      </c>
      <c r="B394" s="33" t="s">
        <v>13100</v>
      </c>
      <c r="C394" s="31" t="str">
        <f t="shared" si="21"/>
        <v>C01346:1</v>
      </c>
      <c r="D394" s="31" t="str">
        <f t="shared" si="22"/>
        <v>C01346:dUDP</v>
      </c>
    </row>
    <row r="395" spans="1:4" x14ac:dyDescent="0.35">
      <c r="A395" s="31" t="s">
        <v>12199</v>
      </c>
      <c r="B395" s="31" t="s">
        <v>13558</v>
      </c>
      <c r="C395" s="31" t="str">
        <f t="shared" si="21"/>
        <v>C01352:1</v>
      </c>
      <c r="D395" s="31" t="str">
        <f t="shared" si="22"/>
        <v>C01352:FADH2</v>
      </c>
    </row>
    <row r="396" spans="1:4" ht="29" x14ac:dyDescent="0.35">
      <c r="A396" s="31" t="s">
        <v>12446</v>
      </c>
      <c r="B396" s="31" t="s">
        <v>14491</v>
      </c>
      <c r="C396" s="31" t="str">
        <f t="shared" si="21"/>
        <v>C01419  :1</v>
      </c>
      <c r="D396" s="31" t="str">
        <f t="shared" si="22"/>
        <v>C01419  :	
 L-Cysteinylglycine</v>
      </c>
    </row>
    <row r="397" spans="1:4" ht="29" x14ac:dyDescent="0.35">
      <c r="A397" s="31" t="s">
        <v>12214</v>
      </c>
      <c r="B397" s="31" t="s">
        <v>13559</v>
      </c>
      <c r="C397" s="31" t="str">
        <f t="shared" si="21"/>
        <v>C01424  :1</v>
      </c>
      <c r="D397" s="31" t="str">
        <f t="shared" si="22"/>
        <v>C01424  :	
Gallate</v>
      </c>
    </row>
    <row r="398" spans="1:4" x14ac:dyDescent="0.35">
      <c r="A398" s="31" t="s">
        <v>12022</v>
      </c>
      <c r="B398" s="33" t="s">
        <v>13101</v>
      </c>
      <c r="C398" s="31" t="str">
        <f t="shared" si="21"/>
        <v>C01450:1</v>
      </c>
      <c r="D398" s="31" t="str">
        <f t="shared" si="22"/>
        <v>C01450:Ketone</v>
      </c>
    </row>
    <row r="399" spans="1:4" x14ac:dyDescent="0.35">
      <c r="A399" s="31" t="s">
        <v>12337</v>
      </c>
      <c r="B399" s="33" t="s">
        <v>13102</v>
      </c>
      <c r="C399" s="31" t="str">
        <f t="shared" si="21"/>
        <v>C01528 :1</v>
      </c>
      <c r="D399" s="31" t="str">
        <f t="shared" si="22"/>
        <v>C01528 :Hydrogen Selenide</v>
      </c>
    </row>
    <row r="400" spans="1:4" x14ac:dyDescent="0.35">
      <c r="A400" s="31" t="s">
        <v>12125</v>
      </c>
      <c r="B400" s="33" t="s">
        <v>13103</v>
      </c>
      <c r="C400" s="31" t="str">
        <f t="shared" si="21"/>
        <v> C01545:1</v>
      </c>
      <c r="D400" s="31" t="str">
        <f t="shared" si="22"/>
        <v> C01545:Octanal</v>
      </c>
    </row>
    <row r="401" spans="1:4" x14ac:dyDescent="0.35">
      <c r="A401" s="31" t="s">
        <v>12623</v>
      </c>
      <c r="B401" s="33" t="s">
        <v>13104</v>
      </c>
      <c r="C401" s="31" t="str">
        <f t="shared" si="21"/>
        <v> C01563 :1</v>
      </c>
      <c r="D401" s="31" t="str">
        <f t="shared" si="22"/>
        <v> C01563 :Carbamate</v>
      </c>
    </row>
    <row r="402" spans="1:4" x14ac:dyDescent="0.35">
      <c r="A402" s="31" t="s">
        <v>12624</v>
      </c>
      <c r="B402" s="33" t="s">
        <v>13560</v>
      </c>
      <c r="C402" s="31" t="str">
        <f t="shared" si="21"/>
        <v>C01609:1</v>
      </c>
      <c r="D402" s="31" t="str">
        <f t="shared" si="22"/>
        <v>C01609:Protamine</v>
      </c>
    </row>
    <row r="403" spans="1:4" x14ac:dyDescent="0.35">
      <c r="A403" s="31" t="s">
        <v>12023</v>
      </c>
      <c r="B403" s="33" t="s">
        <v>13105</v>
      </c>
      <c r="C403" s="31" t="str">
        <f t="shared" si="21"/>
        <v>C01612:1</v>
      </c>
      <c r="D403" s="31" t="str">
        <f t="shared" si="22"/>
        <v>C01612:Secondary alcohol</v>
      </c>
    </row>
    <row r="404" spans="1:4" ht="29" x14ac:dyDescent="0.35">
      <c r="A404" s="31" t="s">
        <v>12322</v>
      </c>
      <c r="B404" s="31" t="s">
        <v>13561</v>
      </c>
      <c r="C404" s="31" t="str">
        <f t="shared" si="21"/>
        <v>C01628  :1</v>
      </c>
      <c r="D404" s="31" t="str">
        <f t="shared" si="22"/>
        <v>C01628  :	
Vitamin K</v>
      </c>
    </row>
    <row r="405" spans="1:4" x14ac:dyDescent="0.35">
      <c r="A405" s="31" t="s">
        <v>12024</v>
      </c>
      <c r="B405" s="33" t="s">
        <v>13106</v>
      </c>
      <c r="C405" s="31" t="str">
        <f t="shared" si="21"/>
        <v>C01635:1</v>
      </c>
      <c r="D405" s="31" t="str">
        <f t="shared" si="22"/>
        <v>C01635:tRNA(Ala)</v>
      </c>
    </row>
    <row r="406" spans="1:4" x14ac:dyDescent="0.35">
      <c r="A406" s="31" t="s">
        <v>12625</v>
      </c>
      <c r="B406" s="33" t="s">
        <v>13107</v>
      </c>
      <c r="C406" s="31" t="str">
        <f t="shared" si="21"/>
        <v> C01636:1</v>
      </c>
      <c r="D406" s="31" t="str">
        <f t="shared" si="22"/>
        <v> C01636:tRNA(Arg)</v>
      </c>
    </row>
    <row r="407" spans="1:4" ht="29" x14ac:dyDescent="0.35">
      <c r="A407" s="31" t="s">
        <v>12626</v>
      </c>
      <c r="B407" s="31" t="s">
        <v>13562</v>
      </c>
      <c r="C407" s="31" t="str">
        <f t="shared" si="21"/>
        <v>C01638  :1</v>
      </c>
      <c r="D407" s="31" t="str">
        <f t="shared" si="22"/>
        <v>C01638  :	
tRNA(Asp)</v>
      </c>
    </row>
    <row r="408" spans="1:4" x14ac:dyDescent="0.35">
      <c r="A408" s="31" t="s">
        <v>12025</v>
      </c>
      <c r="B408" s="33" t="s">
        <v>13108</v>
      </c>
      <c r="C408" s="31" t="str">
        <f t="shared" si="21"/>
        <v>C01639:1</v>
      </c>
      <c r="D408" s="31" t="str">
        <f t="shared" si="22"/>
        <v>C01639:tRNA(Cys)</v>
      </c>
    </row>
    <row r="409" spans="1:4" x14ac:dyDescent="0.35">
      <c r="A409" s="31" t="s">
        <v>12262</v>
      </c>
      <c r="B409" s="33" t="s">
        <v>13109</v>
      </c>
      <c r="C409" s="31" t="str">
        <f t="shared" si="21"/>
        <v>C01641  :1</v>
      </c>
      <c r="D409" s="31" t="str">
        <f t="shared" si="22"/>
        <v>C01641  :tRNA(Glu)</v>
      </c>
    </row>
    <row r="410" spans="1:4" x14ac:dyDescent="0.35">
      <c r="A410" s="31" t="s">
        <v>12026</v>
      </c>
      <c r="B410" s="33" t="s">
        <v>13110</v>
      </c>
      <c r="C410" s="31" t="str">
        <f t="shared" si="21"/>
        <v>C01642:1</v>
      </c>
      <c r="D410" s="31" t="str">
        <f t="shared" si="22"/>
        <v>C01642:tRNA(Gly)</v>
      </c>
    </row>
    <row r="411" spans="1:4" x14ac:dyDescent="0.35">
      <c r="A411" s="31" t="s">
        <v>12627</v>
      </c>
      <c r="B411" s="33" t="s">
        <v>13563</v>
      </c>
      <c r="C411" s="31" t="str">
        <f t="shared" si="21"/>
        <v>C01643:1</v>
      </c>
      <c r="D411" s="31" t="str">
        <f t="shared" si="22"/>
        <v>C01643:tRNA(His)</v>
      </c>
    </row>
    <row r="412" spans="1:4" x14ac:dyDescent="0.35">
      <c r="A412" s="31" t="s">
        <v>12628</v>
      </c>
      <c r="B412" s="33" t="s">
        <v>13111</v>
      </c>
      <c r="C412" s="31" t="str">
        <f t="shared" si="21"/>
        <v xml:space="preserve">  C01644:1</v>
      </c>
      <c r="D412" s="31" t="str">
        <f t="shared" si="22"/>
        <v xml:space="preserve">  C01644:tRNA(Ile)</v>
      </c>
    </row>
    <row r="413" spans="1:4" x14ac:dyDescent="0.35">
      <c r="A413" s="31" t="s">
        <v>12629</v>
      </c>
      <c r="B413" s="33" t="s">
        <v>13112</v>
      </c>
      <c r="C413" s="31" t="str">
        <f t="shared" si="21"/>
        <v xml:space="preserve"> C01645 :1</v>
      </c>
      <c r="D413" s="31" t="str">
        <f t="shared" si="22"/>
        <v xml:space="preserve"> C01645 :tRNA(Leu)</v>
      </c>
    </row>
    <row r="414" spans="1:4" x14ac:dyDescent="0.35">
      <c r="A414" s="31" t="s">
        <v>12630</v>
      </c>
      <c r="B414" s="33" t="s">
        <v>13113</v>
      </c>
      <c r="C414" s="31" t="str">
        <f t="shared" si="21"/>
        <v xml:space="preserve">  C01646:1</v>
      </c>
      <c r="D414" s="31" t="str">
        <f t="shared" si="22"/>
        <v xml:space="preserve">  C01646:tRNA(Lys)</v>
      </c>
    </row>
    <row r="415" spans="1:4" x14ac:dyDescent="0.35">
      <c r="A415" s="31" t="s">
        <v>12027</v>
      </c>
      <c r="B415" s="33" t="s">
        <v>13114</v>
      </c>
      <c r="C415" s="31" t="str">
        <f t="shared" si="21"/>
        <v>C01647:1</v>
      </c>
      <c r="D415" s="31" t="str">
        <f t="shared" si="22"/>
        <v>C01647:tRNA(Met)</v>
      </c>
    </row>
    <row r="416" spans="1:4" x14ac:dyDescent="0.35">
      <c r="A416" s="31" t="s">
        <v>12028</v>
      </c>
      <c r="B416" s="33" t="s">
        <v>13115</v>
      </c>
      <c r="C416" s="31" t="str">
        <f t="shared" si="21"/>
        <v>C01648:1</v>
      </c>
      <c r="D416" s="31" t="str">
        <f t="shared" si="22"/>
        <v>C01648:tRNA(Phe)</v>
      </c>
    </row>
    <row r="417" spans="1:4" x14ac:dyDescent="0.35">
      <c r="A417" s="31" t="s">
        <v>12029</v>
      </c>
      <c r="B417" s="33" t="s">
        <v>13116</v>
      </c>
      <c r="C417" s="31" t="str">
        <f t="shared" si="21"/>
        <v>C01649:1</v>
      </c>
      <c r="D417" s="31" t="str">
        <f t="shared" si="22"/>
        <v>C01649:tRNA(Pro)</v>
      </c>
    </row>
    <row r="418" spans="1:4" x14ac:dyDescent="0.35">
      <c r="A418" s="31" t="s">
        <v>12030</v>
      </c>
      <c r="B418" s="33" t="s">
        <v>13117</v>
      </c>
      <c r="C418" s="31" t="str">
        <f t="shared" si="21"/>
        <v>C01650:1</v>
      </c>
      <c r="D418" s="31" t="str">
        <f t="shared" si="22"/>
        <v>C01650:tRNA(Ser)</v>
      </c>
    </row>
    <row r="419" spans="1:4" x14ac:dyDescent="0.35">
      <c r="A419" s="31" t="s">
        <v>12031</v>
      </c>
      <c r="B419" s="33" t="s">
        <v>13118</v>
      </c>
      <c r="C419" s="31" t="str">
        <f t="shared" si="21"/>
        <v>C01651:1</v>
      </c>
      <c r="D419" s="31" t="str">
        <f t="shared" si="22"/>
        <v>C01651:tRNA(Thr)</v>
      </c>
    </row>
    <row r="420" spans="1:4" x14ac:dyDescent="0.35">
      <c r="A420" s="31" t="s">
        <v>12032</v>
      </c>
      <c r="B420" s="33" t="s">
        <v>13119</v>
      </c>
      <c r="C420" s="31" t="str">
        <f t="shared" si="21"/>
        <v>C01652:1</v>
      </c>
      <c r="D420" s="31" t="str">
        <f t="shared" si="22"/>
        <v>C01652:tRNA(Trp)</v>
      </c>
    </row>
    <row r="421" spans="1:4" x14ac:dyDescent="0.35">
      <c r="A421" s="31" t="s">
        <v>12033</v>
      </c>
      <c r="B421" s="33" t="s">
        <v>13120</v>
      </c>
      <c r="C421" s="31" t="str">
        <f t="shared" si="21"/>
        <v>C01653:1</v>
      </c>
      <c r="D421" s="31" t="str">
        <f t="shared" si="22"/>
        <v>C01653:tRNA(Val)</v>
      </c>
    </row>
    <row r="422" spans="1:4" ht="29" x14ac:dyDescent="0.35">
      <c r="A422" s="31" t="s">
        <v>12631</v>
      </c>
      <c r="B422" s="31" t="s">
        <v>13564</v>
      </c>
      <c r="C422" s="31" t="str">
        <f t="shared" si="21"/>
        <v>C01672 :1</v>
      </c>
      <c r="D422" s="31" t="str">
        <f t="shared" si="22"/>
        <v>C01672 :	
Cadaverine</v>
      </c>
    </row>
    <row r="423" spans="1:4" x14ac:dyDescent="0.35">
      <c r="A423" s="31" t="s">
        <v>12632</v>
      </c>
      <c r="B423" s="33" t="s">
        <v>13121</v>
      </c>
      <c r="C423" s="31" t="str">
        <f t="shared" si="21"/>
        <v>C01762  :1</v>
      </c>
      <c r="D423" s="31" t="str">
        <f t="shared" si="22"/>
        <v>C01762  :Xanthosine</v>
      </c>
    </row>
    <row r="424" spans="1:4" ht="29" x14ac:dyDescent="0.35">
      <c r="A424" s="31" t="s">
        <v>12217</v>
      </c>
      <c r="B424" s="31" t="s">
        <v>13565</v>
      </c>
      <c r="C424" s="31" t="str">
        <f t="shared" si="21"/>
        <v>C01847  :1</v>
      </c>
      <c r="D424" s="31" t="str">
        <f t="shared" si="22"/>
        <v>C01847  :	
Reduced FMN</v>
      </c>
    </row>
    <row r="425" spans="1:4" ht="29" x14ac:dyDescent="0.35">
      <c r="A425" s="31" t="s">
        <v>12633</v>
      </c>
      <c r="B425" s="31" t="s">
        <v>13566</v>
      </c>
      <c r="C425" s="31" t="str">
        <f t="shared" si="21"/>
        <v xml:space="preserve"> C01879:1</v>
      </c>
      <c r="D425" s="31" t="str">
        <f t="shared" si="22"/>
        <v xml:space="preserve"> C01879:	
5-Oxoproline</v>
      </c>
    </row>
    <row r="426" spans="1:4" ht="29" x14ac:dyDescent="0.35">
      <c r="A426" s="31" t="s">
        <v>12634</v>
      </c>
      <c r="B426" s="31" t="s">
        <v>13567</v>
      </c>
      <c r="C426" s="31" t="str">
        <f t="shared" si="21"/>
        <v>C01885  :1</v>
      </c>
      <c r="D426" s="31" t="str">
        <f t="shared" si="22"/>
        <v>C01885  :	
1-Acylglycerol</v>
      </c>
    </row>
    <row r="427" spans="1:4" x14ac:dyDescent="0.35">
      <c r="A427" s="31" t="s">
        <v>12635</v>
      </c>
      <c r="B427" s="31" t="s">
        <v>13568</v>
      </c>
      <c r="C427" s="31" t="str">
        <f t="shared" si="21"/>
        <v>C01909:1</v>
      </c>
      <c r="D427" s="31" t="str">
        <f t="shared" si="22"/>
        <v>C01909:Dethiobiotin</v>
      </c>
    </row>
    <row r="428" spans="1:4" x14ac:dyDescent="0.35">
      <c r="A428" s="31" t="s">
        <v>12167</v>
      </c>
      <c r="B428" s="31" t="s">
        <v>13569</v>
      </c>
      <c r="C428" s="31" t="str">
        <f t="shared" si="21"/>
        <v>C01929:1</v>
      </c>
      <c r="D428" s="31" t="str">
        <f t="shared" si="22"/>
        <v>C01929:L-Histidinal</v>
      </c>
    </row>
    <row r="429" spans="1:4" x14ac:dyDescent="0.35">
      <c r="A429" s="31" t="s">
        <v>12636</v>
      </c>
      <c r="B429" s="33" t="s">
        <v>13122</v>
      </c>
      <c r="C429" s="31" t="str">
        <f t="shared" si="21"/>
        <v>  C01931:1</v>
      </c>
      <c r="D429" s="31" t="str">
        <f t="shared" si="22"/>
        <v>  C01931:L-Lysyl-tRNA</v>
      </c>
    </row>
    <row r="430" spans="1:4" ht="29" x14ac:dyDescent="0.35">
      <c r="A430" s="31" t="s">
        <v>12637</v>
      </c>
      <c r="B430" s="31" t="s">
        <v>13570</v>
      </c>
      <c r="C430" s="31" t="str">
        <f t="shared" si="21"/>
        <v>C01935:1</v>
      </c>
      <c r="D430" s="31" t="str">
        <f t="shared" si="22"/>
        <v>C01935:	
Maltodextrin</v>
      </c>
    </row>
    <row r="431" spans="1:4" ht="29" x14ac:dyDescent="0.35">
      <c r="A431" s="31" t="s">
        <v>12638</v>
      </c>
      <c r="B431" s="31" t="s">
        <v>13571</v>
      </c>
      <c r="C431" s="31" t="str">
        <f t="shared" si="21"/>
        <v>C01962:1</v>
      </c>
      <c r="D431" s="31" t="str">
        <f t="shared" si="22"/>
        <v>C01962:	
Thiocysteine</v>
      </c>
    </row>
    <row r="432" spans="1:4" x14ac:dyDescent="0.35">
      <c r="A432" s="31" t="s">
        <v>12362</v>
      </c>
      <c r="B432" s="33" t="s">
        <v>13123</v>
      </c>
      <c r="C432" s="31" t="str">
        <f t="shared" si="21"/>
        <v>  C01977  :1</v>
      </c>
      <c r="D432" s="31" t="str">
        <f t="shared" si="22"/>
        <v>  C01977  :tRNA guanine</v>
      </c>
    </row>
    <row r="433" spans="1:4" x14ac:dyDescent="0.35">
      <c r="A433" s="31" t="s">
        <v>12415</v>
      </c>
      <c r="B433" s="33" t="s">
        <v>13124</v>
      </c>
      <c r="C433" s="31" t="str">
        <f t="shared" si="21"/>
        <v> C01997 :1</v>
      </c>
      <c r="D433" s="31" t="str">
        <f t="shared" si="22"/>
        <v> C01997 :Histone N6-acetyl-L-lysine</v>
      </c>
    </row>
    <row r="434" spans="1:4" x14ac:dyDescent="0.35">
      <c r="A434" s="31" t="s">
        <v>12639</v>
      </c>
      <c r="B434" s="33" t="s">
        <v>13125</v>
      </c>
      <c r="C434" s="31" t="str">
        <f t="shared" si="21"/>
        <v> C02047:1</v>
      </c>
      <c r="D434" s="31" t="str">
        <f t="shared" si="22"/>
        <v> C02047:L-Leucyl-tRNA</v>
      </c>
    </row>
    <row r="435" spans="1:4" ht="29" x14ac:dyDescent="0.35">
      <c r="A435" s="31" t="s">
        <v>12331</v>
      </c>
      <c r="B435" s="31" t="s">
        <v>13572</v>
      </c>
      <c r="C435" s="31" t="str">
        <f t="shared" si="21"/>
        <v> C02051  :1</v>
      </c>
      <c r="D435" s="31" t="str">
        <f t="shared" si="22"/>
        <v> C02051  :	
Lipoylprotein</v>
      </c>
    </row>
    <row r="436" spans="1:4" ht="29" x14ac:dyDescent="0.35">
      <c r="A436" s="31" t="s">
        <v>12324</v>
      </c>
      <c r="B436" s="31" t="s">
        <v>13573</v>
      </c>
      <c r="C436" s="31" t="str">
        <f t="shared" si="21"/>
        <v>C02059  :1</v>
      </c>
      <c r="D436" s="31" t="str">
        <f t="shared" si="22"/>
        <v>C02059  :	
Phylloquinone</v>
      </c>
    </row>
    <row r="437" spans="1:4" x14ac:dyDescent="0.35">
      <c r="A437" s="31" t="s">
        <v>12034</v>
      </c>
      <c r="B437" s="33" t="s">
        <v>13126</v>
      </c>
      <c r="C437" s="31" t="str">
        <f t="shared" si="21"/>
        <v>C02090:1</v>
      </c>
      <c r="D437" s="31" t="str">
        <f t="shared" si="22"/>
        <v>C02090:Trypanothione</v>
      </c>
    </row>
    <row r="438" spans="1:4" x14ac:dyDescent="0.35">
      <c r="A438" s="31" t="s">
        <v>11109</v>
      </c>
      <c r="B438" s="33" t="s">
        <v>13127</v>
      </c>
      <c r="C438" s="31" t="str">
        <f t="shared" si="21"/>
        <v> C02097:1</v>
      </c>
      <c r="D438" s="31" t="str">
        <f t="shared" si="22"/>
        <v> C02097:dTDP-galactose</v>
      </c>
    </row>
    <row r="439" spans="1:4" x14ac:dyDescent="0.35">
      <c r="A439" s="31" t="s">
        <v>12640</v>
      </c>
      <c r="B439" s="33" t="s">
        <v>13128</v>
      </c>
      <c r="C439" s="31" t="str">
        <f t="shared" si="21"/>
        <v xml:space="preserve"> C02128:1</v>
      </c>
      <c r="D439" s="31" t="str">
        <f t="shared" si="22"/>
        <v xml:space="preserve"> C02128:5'-Phospho-DNA</v>
      </c>
    </row>
    <row r="440" spans="1:4" x14ac:dyDescent="0.35">
      <c r="A440" s="31" t="s">
        <v>12035</v>
      </c>
      <c r="B440" s="33" t="s">
        <v>13129</v>
      </c>
      <c r="C440" s="31" t="str">
        <f t="shared" si="21"/>
        <v>C02133:1</v>
      </c>
      <c r="D440" s="31" t="str">
        <f t="shared" si="22"/>
        <v xml:space="preserve">C02133:Acyl phosphate </v>
      </c>
    </row>
    <row r="441" spans="1:4" x14ac:dyDescent="0.35">
      <c r="A441" s="31" t="s">
        <v>12036</v>
      </c>
      <c r="B441" s="33" t="s">
        <v>13130</v>
      </c>
      <c r="C441" s="31" t="str">
        <f t="shared" si="21"/>
        <v>C02163:1</v>
      </c>
      <c r="D441" s="31" t="str">
        <f t="shared" si="22"/>
        <v>C02163:L-Arginyl-tRNA(Arg)</v>
      </c>
    </row>
    <row r="442" spans="1:4" ht="29" x14ac:dyDescent="0.35">
      <c r="A442" s="31" t="s">
        <v>12450</v>
      </c>
      <c r="B442" s="31" t="s">
        <v>13574</v>
      </c>
      <c r="C442" s="31" t="str">
        <f t="shared" si="21"/>
        <v>C02166:1</v>
      </c>
      <c r="D442" s="31" t="str">
        <f t="shared" si="22"/>
        <v>C02166:	
Leukotriene C4</v>
      </c>
    </row>
    <row r="443" spans="1:4" ht="29" x14ac:dyDescent="0.35">
      <c r="A443" s="31" t="s">
        <v>12641</v>
      </c>
      <c r="B443" s="31" t="s">
        <v>13575</v>
      </c>
      <c r="C443" s="31" t="str">
        <f t="shared" si="21"/>
        <v>C02167:1</v>
      </c>
      <c r="D443" s="31" t="str">
        <f t="shared" si="22"/>
        <v>C02167:	
Maleylpyruvate</v>
      </c>
    </row>
    <row r="444" spans="1:4" x14ac:dyDescent="0.35">
      <c r="A444" s="31" t="s">
        <v>12413</v>
      </c>
      <c r="B444" s="33" t="s">
        <v>13131</v>
      </c>
      <c r="C444" s="31" t="str">
        <f t="shared" si="21"/>
        <v> C02188  :1</v>
      </c>
      <c r="D444" s="31" t="str">
        <f t="shared" si="22"/>
        <v> C02188  :Protein lysine</v>
      </c>
    </row>
    <row r="445" spans="1:4" ht="29" x14ac:dyDescent="0.35">
      <c r="A445" s="31" t="s">
        <v>12463</v>
      </c>
      <c r="B445" s="31" t="s">
        <v>13576</v>
      </c>
      <c r="C445" s="31" t="str">
        <f t="shared" si="21"/>
        <v>  C02189 :1</v>
      </c>
      <c r="D445" s="31" t="str">
        <f t="shared" si="22"/>
        <v>  C02189 :	
[Protein]-L-serine</v>
      </c>
    </row>
    <row r="446" spans="1:4" ht="29" x14ac:dyDescent="0.35">
      <c r="A446" s="31" t="s">
        <v>12291</v>
      </c>
      <c r="B446" s="31" t="s">
        <v>13577</v>
      </c>
      <c r="C446" s="31" t="str">
        <f t="shared" si="21"/>
        <v>C02191:1</v>
      </c>
      <c r="D446" s="31" t="str">
        <f t="shared" si="22"/>
        <v>C02191:	
Protoporphyrin</v>
      </c>
    </row>
    <row r="447" spans="1:4" x14ac:dyDescent="0.35">
      <c r="A447" s="31" t="s">
        <v>12642</v>
      </c>
      <c r="B447" s="33" t="s">
        <v>13132</v>
      </c>
      <c r="C447" s="31" t="str">
        <f t="shared" ref="C447:C510" si="23">CONCATENATE(A447, ":", "1")</f>
        <v>C02211  :1</v>
      </c>
      <c r="D447" s="31" t="str">
        <f t="shared" si="22"/>
        <v>C02211  :tRNA precursor</v>
      </c>
    </row>
    <row r="448" spans="1:4" ht="29" x14ac:dyDescent="0.35">
      <c r="A448" s="31" t="s">
        <v>12643</v>
      </c>
      <c r="B448" s="31" t="s">
        <v>13578</v>
      </c>
      <c r="C448" s="31" t="str">
        <f t="shared" si="23"/>
        <v>C02218 :1</v>
      </c>
      <c r="D448" s="31" t="str">
        <f t="shared" si="22"/>
        <v>C02218 :	
Dehydroalanine</v>
      </c>
    </row>
    <row r="449" spans="1:4" ht="29" x14ac:dyDescent="0.35">
      <c r="A449" s="31" t="s">
        <v>12274</v>
      </c>
      <c r="B449" s="31" t="s">
        <v>13579</v>
      </c>
      <c r="C449" s="31" t="str">
        <f t="shared" si="23"/>
        <v>C02222  :1</v>
      </c>
      <c r="D449" s="31" t="str">
        <f t="shared" si="22"/>
        <v>C02222  :	
2-Maleylacetate</v>
      </c>
    </row>
    <row r="450" spans="1:4" x14ac:dyDescent="0.35">
      <c r="A450" s="31" t="s">
        <v>12461</v>
      </c>
      <c r="B450" s="31" t="s">
        <v>13580</v>
      </c>
      <c r="C450" s="31" t="str">
        <f t="shared" si="23"/>
        <v>C02225  :1</v>
      </c>
      <c r="D450" s="31" t="str">
        <f t="shared" si="22"/>
        <v>C02225  :2-Methylcitrate</v>
      </c>
    </row>
    <row r="451" spans="1:4" x14ac:dyDescent="0.35">
      <c r="A451" s="31" t="s">
        <v>12644</v>
      </c>
      <c r="B451" s="31" t="s">
        <v>13581</v>
      </c>
      <c r="C451" s="31" t="str">
        <f t="shared" si="23"/>
        <v>C02291:1</v>
      </c>
      <c r="D451" s="31" t="str">
        <f t="shared" ref="D451:D514" si="24">CONCATENATE(A451,":",B451)</f>
        <v>C02291:L-Cystathionine</v>
      </c>
    </row>
    <row r="452" spans="1:4" x14ac:dyDescent="0.35">
      <c r="A452" s="31" t="s">
        <v>12454</v>
      </c>
      <c r="B452" s="31" t="s">
        <v>13582</v>
      </c>
      <c r="C452" s="31" t="str">
        <f t="shared" si="23"/>
        <v>C02320:1</v>
      </c>
      <c r="D452" s="31" t="str">
        <f t="shared" si="24"/>
        <v>C02320:R-S-Glutathione</v>
      </c>
    </row>
    <row r="453" spans="1:4" x14ac:dyDescent="0.35">
      <c r="A453" s="31" t="s">
        <v>12037</v>
      </c>
      <c r="B453" s="37" t="s">
        <v>13133</v>
      </c>
      <c r="C453" s="31" t="str">
        <f t="shared" si="23"/>
        <v>C02356:1</v>
      </c>
      <c r="D453" s="31" t="str">
        <f t="shared" si="24"/>
        <v>C02356:(S)-2-Aminobutanoate</v>
      </c>
    </row>
    <row r="454" spans="1:4" ht="29" x14ac:dyDescent="0.35">
      <c r="A454" s="31" t="s">
        <v>12223</v>
      </c>
      <c r="B454" s="31" t="s">
        <v>13583</v>
      </c>
      <c r="C454" s="31" t="str">
        <f t="shared" si="23"/>
        <v>C02359:1</v>
      </c>
      <c r="D454" s="31" t="str">
        <f t="shared" si="24"/>
        <v>C02359:	
2-Fluorobenzoate</v>
      </c>
    </row>
    <row r="455" spans="1:4" ht="29" x14ac:dyDescent="0.35">
      <c r="A455" s="31" t="s">
        <v>12226</v>
      </c>
      <c r="B455" s="31" t="s">
        <v>13584</v>
      </c>
      <c r="C455" s="31" t="str">
        <f t="shared" si="23"/>
        <v>C02364:1</v>
      </c>
      <c r="D455" s="31" t="str">
        <f t="shared" si="24"/>
        <v>C02364:	
3-Fluorobenzoate</v>
      </c>
    </row>
    <row r="456" spans="1:4" x14ac:dyDescent="0.35">
      <c r="A456" s="31" t="s">
        <v>12229</v>
      </c>
      <c r="B456" s="31" t="s">
        <v>13585</v>
      </c>
      <c r="C456" s="31" t="str">
        <f t="shared" si="23"/>
        <v>C02371  :1</v>
      </c>
      <c r="D456" s="31" t="str">
        <f t="shared" si="24"/>
        <v>C02371  :4-Fluorobenzoate</v>
      </c>
    </row>
    <row r="457" spans="1:4" ht="29" x14ac:dyDescent="0.35">
      <c r="A457" s="31" t="s">
        <v>12208</v>
      </c>
      <c r="B457" s="31" t="s">
        <v>13586</v>
      </c>
      <c r="C457" s="31" t="str">
        <f t="shared" si="23"/>
        <v>C02375  :1</v>
      </c>
      <c r="D457" s="31" t="str">
        <f t="shared" si="24"/>
        <v>C02375  :	
4-Chlorocatechol</v>
      </c>
    </row>
    <row r="458" spans="1:4" x14ac:dyDescent="0.35">
      <c r="A458" s="31" t="s">
        <v>12645</v>
      </c>
      <c r="B458" s="33" t="s">
        <v>13134</v>
      </c>
      <c r="C458" s="31" t="str">
        <f t="shared" si="23"/>
        <v>C02380 :1</v>
      </c>
      <c r="D458" s="31" t="str">
        <f t="shared" si="24"/>
        <v>C02380 :6-Mercaptopurine</v>
      </c>
    </row>
    <row r="459" spans="1:4" x14ac:dyDescent="0.35">
      <c r="A459" s="31" t="s">
        <v>12038</v>
      </c>
      <c r="B459" s="33" t="s">
        <v>13135</v>
      </c>
      <c r="C459" s="31" t="str">
        <f t="shared" si="23"/>
        <v>C02412:1</v>
      </c>
      <c r="D459" s="31" t="str">
        <f t="shared" si="24"/>
        <v>C02412:Glycyl-tRNA(Gly)</v>
      </c>
    </row>
    <row r="460" spans="1:4" x14ac:dyDescent="0.35">
      <c r="A460" s="31" t="s">
        <v>12416</v>
      </c>
      <c r="B460" s="33" t="s">
        <v>13136</v>
      </c>
      <c r="C460" s="31" t="str">
        <f t="shared" si="23"/>
        <v>C02415 :1</v>
      </c>
      <c r="D460" s="31" t="str">
        <f t="shared" si="24"/>
        <v>C02415 :Histone-L-lysine</v>
      </c>
    </row>
    <row r="461" spans="1:4" x14ac:dyDescent="0.35">
      <c r="A461" s="31" t="s">
        <v>12377</v>
      </c>
      <c r="B461" s="33" t="s">
        <v>13137</v>
      </c>
      <c r="C461" s="31" t="str">
        <f t="shared" si="23"/>
        <v>C02430 :1</v>
      </c>
      <c r="D461" s="31" t="str">
        <f t="shared" si="24"/>
        <v>C02430 :L-Methionyl-tRNA</v>
      </c>
    </row>
    <row r="462" spans="1:4" ht="29" x14ac:dyDescent="0.35">
      <c r="A462" s="31" t="s">
        <v>12348</v>
      </c>
      <c r="B462" s="31" t="s">
        <v>13587</v>
      </c>
      <c r="C462" s="31" t="str">
        <f t="shared" si="23"/>
        <v>C02463:1</v>
      </c>
      <c r="D462" s="31" t="str">
        <f t="shared" si="24"/>
        <v>C02463:	
Precorrin 2</v>
      </c>
    </row>
    <row r="463" spans="1:4" ht="29" x14ac:dyDescent="0.35">
      <c r="A463" s="31" t="s">
        <v>12351</v>
      </c>
      <c r="B463" s="31" t="s">
        <v>13588</v>
      </c>
      <c r="C463" s="31" t="str">
        <f t="shared" si="23"/>
        <v>C02469 :1</v>
      </c>
      <c r="D463" s="31" t="str">
        <f t="shared" si="24"/>
        <v>C02469 :	
Uroporphyrin III</v>
      </c>
    </row>
    <row r="464" spans="1:4" ht="29" x14ac:dyDescent="0.35">
      <c r="A464" s="31" t="s">
        <v>8902</v>
      </c>
      <c r="B464" s="31" t="s">
        <v>13589</v>
      </c>
      <c r="C464" s="31" t="str">
        <f t="shared" si="23"/>
        <v>C02480:1</v>
      </c>
      <c r="D464" s="31" t="str">
        <f t="shared" si="24"/>
        <v>C02480:	
cis,cis-Muconate</v>
      </c>
    </row>
    <row r="465" spans="1:4" x14ac:dyDescent="0.35">
      <c r="A465" s="31" t="s">
        <v>12460</v>
      </c>
      <c r="B465" s="31" t="s">
        <v>13590</v>
      </c>
      <c r="C465" s="31" t="str">
        <f t="shared" si="23"/>
        <v>C02504  :1</v>
      </c>
      <c r="D465" s="31" t="str">
        <f t="shared" si="24"/>
        <v>C02504  :alpha-Isopropylmalate</v>
      </c>
    </row>
    <row r="466" spans="1:4" ht="29" x14ac:dyDescent="0.35">
      <c r="A466" s="31" t="s">
        <v>12456</v>
      </c>
      <c r="B466" s="31" t="s">
        <v>13591</v>
      </c>
      <c r="C466" s="31" t="str">
        <f t="shared" si="23"/>
        <v>C02512:1</v>
      </c>
      <c r="D466" s="31" t="str">
        <f t="shared" si="24"/>
        <v>C02512:	
3-Cyano-L-alanine</v>
      </c>
    </row>
    <row r="467" spans="1:4" ht="29" x14ac:dyDescent="0.35">
      <c r="A467" s="31" t="s">
        <v>12646</v>
      </c>
      <c r="B467" s="31" t="s">
        <v>13592</v>
      </c>
      <c r="C467" s="31" t="str">
        <f t="shared" si="23"/>
        <v xml:space="preserve"> C02514:1</v>
      </c>
      <c r="D467" s="31" t="str">
        <f t="shared" si="24"/>
        <v xml:space="preserve"> C02514:	
3-Fumarylpyruvate</v>
      </c>
    </row>
    <row r="468" spans="1:4" x14ac:dyDescent="0.35">
      <c r="A468" s="31" t="s">
        <v>12039</v>
      </c>
      <c r="B468" s="33" t="s">
        <v>13138</v>
      </c>
      <c r="C468" s="31" t="str">
        <f t="shared" si="23"/>
        <v>C02520:1</v>
      </c>
      <c r="D468" s="31" t="str">
        <f t="shared" si="24"/>
        <v>C02520:5'-Ribonucleotide</v>
      </c>
    </row>
    <row r="469" spans="1:4" ht="29" x14ac:dyDescent="0.35">
      <c r="A469" s="31" t="s">
        <v>12647</v>
      </c>
      <c r="B469" s="31" t="s">
        <v>13593</v>
      </c>
      <c r="C469" s="31" t="str">
        <f t="shared" si="23"/>
        <v>C02532:1</v>
      </c>
      <c r="D469" s="31" t="str">
        <f t="shared" si="24"/>
        <v>C02532:	
O-Phospho-D-serine</v>
      </c>
    </row>
    <row r="470" spans="1:4" x14ac:dyDescent="0.35">
      <c r="A470" s="31" t="s">
        <v>12648</v>
      </c>
      <c r="B470" s="33" t="s">
        <v>13139</v>
      </c>
      <c r="C470" s="31" t="str">
        <f t="shared" si="23"/>
        <v xml:space="preserve"> C02553:1</v>
      </c>
      <c r="D470" s="31" t="str">
        <f t="shared" si="24"/>
        <v xml:space="preserve"> C02553:L-Seryl-tRNA(Ser)</v>
      </c>
    </row>
    <row r="471" spans="1:4" x14ac:dyDescent="0.35">
      <c r="A471" s="31" t="s">
        <v>12040</v>
      </c>
      <c r="B471" s="33" t="s">
        <v>13140</v>
      </c>
      <c r="C471" s="31" t="str">
        <f t="shared" si="23"/>
        <v>C02554:1</v>
      </c>
      <c r="D471" s="31" t="str">
        <f t="shared" si="24"/>
        <v xml:space="preserve">C02554:L-Valyl-tRNA(Val) </v>
      </c>
    </row>
    <row r="472" spans="1:4" x14ac:dyDescent="0.35">
      <c r="A472" s="31" t="s">
        <v>12363</v>
      </c>
      <c r="B472" s="33" t="s">
        <v>13141</v>
      </c>
      <c r="C472" s="31" t="str">
        <f t="shared" si="23"/>
        <v>C02583 :1</v>
      </c>
      <c r="D472" s="31" t="str">
        <f t="shared" si="24"/>
        <v>C02583 :Protein glutamine</v>
      </c>
    </row>
    <row r="473" spans="1:4" ht="29" x14ac:dyDescent="0.35">
      <c r="A473" s="31" t="s">
        <v>12196</v>
      </c>
      <c r="B473" s="31" t="s">
        <v>13594</v>
      </c>
      <c r="C473" s="31" t="str">
        <f t="shared" si="23"/>
        <v>C02630 :1</v>
      </c>
      <c r="D473" s="31" t="str">
        <f t="shared" si="24"/>
        <v>C02630 :	
2-Hydroxyglutarate</v>
      </c>
    </row>
    <row r="474" spans="1:4" ht="29" x14ac:dyDescent="0.35">
      <c r="A474" s="31" t="s">
        <v>12649</v>
      </c>
      <c r="B474" s="31" t="s">
        <v>13595</v>
      </c>
      <c r="C474" s="31" t="str">
        <f t="shared" si="23"/>
        <v>C02631 :1</v>
      </c>
      <c r="D474" s="31" t="str">
        <f t="shared" si="24"/>
        <v>C02631 :	
2-Isopropylmaleate</v>
      </c>
    </row>
    <row r="475" spans="1:4" ht="29" x14ac:dyDescent="0.35">
      <c r="A475" s="31" t="s">
        <v>12169</v>
      </c>
      <c r="B475" s="31" t="s">
        <v>13596</v>
      </c>
      <c r="C475" s="31" t="str">
        <f t="shared" si="23"/>
        <v>C02637 :1</v>
      </c>
      <c r="D475" s="31" t="str">
        <f t="shared" si="24"/>
        <v>C02637 :	
3-Dehydroshikimate</v>
      </c>
    </row>
    <row r="476" spans="1:4" x14ac:dyDescent="0.35">
      <c r="A476" s="31" t="s">
        <v>12041</v>
      </c>
      <c r="B476" s="33" t="s">
        <v>13142</v>
      </c>
      <c r="C476" s="31" t="str">
        <f t="shared" si="23"/>
        <v>C02702:1</v>
      </c>
      <c r="D476" s="31" t="str">
        <f t="shared" si="24"/>
        <v>C02702:L-Prolyl-tRNA(Pro)</v>
      </c>
    </row>
    <row r="477" spans="1:4" ht="29" x14ac:dyDescent="0.35">
      <c r="A477" s="31" t="s">
        <v>12650</v>
      </c>
      <c r="B477" s="31" t="s">
        <v>13597</v>
      </c>
      <c r="C477" s="31" t="str">
        <f t="shared" si="23"/>
        <v>C02729:1</v>
      </c>
      <c r="D477" s="31" t="str">
        <f t="shared" si="24"/>
        <v>C02729:	
O-Phosphoprotamine</v>
      </c>
    </row>
    <row r="478" spans="1:4" ht="29" x14ac:dyDescent="0.35">
      <c r="A478" s="31" t="s">
        <v>12651</v>
      </c>
      <c r="B478" s="31" t="s">
        <v>13598</v>
      </c>
      <c r="C478" s="31" t="str">
        <f t="shared" si="23"/>
        <v>C02730:1</v>
      </c>
      <c r="D478" s="31" t="str">
        <f t="shared" si="24"/>
        <v>C02730:	
2-Succinylbenzoate</v>
      </c>
    </row>
    <row r="479" spans="1:4" x14ac:dyDescent="0.35">
      <c r="A479" s="31" t="s">
        <v>12652</v>
      </c>
      <c r="B479" s="31" t="s">
        <v>13599</v>
      </c>
      <c r="C479" s="31" t="str">
        <f t="shared" si="23"/>
        <v>C02739:1</v>
      </c>
      <c r="D479" s="31" t="str">
        <f t="shared" si="24"/>
        <v>C02739:1-(5-Phospho-D-ribosyl)-ATP</v>
      </c>
    </row>
    <row r="480" spans="1:4" x14ac:dyDescent="0.35">
      <c r="A480" s="31" t="s">
        <v>12653</v>
      </c>
      <c r="B480" s="31" t="s">
        <v>13600</v>
      </c>
      <c r="C480" s="31" t="str">
        <f t="shared" si="23"/>
        <v>C02741:1</v>
      </c>
      <c r="D480" s="31" t="str">
        <f t="shared" si="24"/>
        <v>C02741:Phosphoribosyl-AMP</v>
      </c>
    </row>
    <row r="481" spans="1:4" x14ac:dyDescent="0.35">
      <c r="A481" s="31" t="s">
        <v>12368</v>
      </c>
      <c r="B481" s="33" t="s">
        <v>13143</v>
      </c>
      <c r="C481" s="31" t="str">
        <f t="shared" si="23"/>
        <v xml:space="preserve"> C02743:1</v>
      </c>
      <c r="D481" s="31" t="str">
        <f t="shared" si="24"/>
        <v xml:space="preserve"> C02743:[Protein]-L-cysteine </v>
      </c>
    </row>
    <row r="482" spans="1:4" ht="29" x14ac:dyDescent="0.35">
      <c r="A482" s="31" t="s">
        <v>12654</v>
      </c>
      <c r="B482" s="31" t="s">
        <v>13601</v>
      </c>
      <c r="C482" s="31" t="str">
        <f t="shared" si="23"/>
        <v>C02749:1</v>
      </c>
      <c r="D482" s="31" t="str">
        <f t="shared" si="24"/>
        <v>C02749:	
S-Alkyl-L-cysteine</v>
      </c>
    </row>
    <row r="483" spans="1:4" x14ac:dyDescent="0.35">
      <c r="A483" s="31" t="s">
        <v>12042</v>
      </c>
      <c r="B483" s="33" t="s">
        <v>13144</v>
      </c>
      <c r="C483" s="31" t="str">
        <f t="shared" si="23"/>
        <v>C02764:1</v>
      </c>
      <c r="D483" s="31" t="str">
        <f t="shared" si="24"/>
        <v>C02764:tRNA pseudouridine</v>
      </c>
    </row>
    <row r="484" spans="1:4" x14ac:dyDescent="0.35">
      <c r="A484" s="31" t="s">
        <v>12655</v>
      </c>
      <c r="B484" s="33" t="s">
        <v>13145</v>
      </c>
      <c r="C484" s="31" t="str">
        <f t="shared" si="23"/>
        <v> C02839:1</v>
      </c>
      <c r="D484" s="31" t="str">
        <f t="shared" si="24"/>
        <v> C02839:L-Tyrosyl-tRNA(Tyr)</v>
      </c>
    </row>
    <row r="485" spans="1:4" ht="29" x14ac:dyDescent="0.35">
      <c r="A485" s="31" t="s">
        <v>12465</v>
      </c>
      <c r="B485" s="31" t="s">
        <v>13602</v>
      </c>
      <c r="C485" s="31" t="str">
        <f t="shared" si="23"/>
        <v> C02863:1</v>
      </c>
      <c r="D485" s="31" t="str">
        <f t="shared" si="24"/>
        <v> C02863:	
3-O-(alpha-D-Mannosyl)-L-serinyl-[protein]</v>
      </c>
    </row>
    <row r="486" spans="1:4" x14ac:dyDescent="0.35">
      <c r="A486" s="31" t="s">
        <v>12419</v>
      </c>
      <c r="B486" s="33" t="s">
        <v>13146</v>
      </c>
      <c r="C486" s="31" t="str">
        <f t="shared" si="23"/>
        <v> C02876  :1</v>
      </c>
      <c r="D486" s="31" t="str">
        <f t="shared" si="24"/>
        <v> C02876  :Propanoyl phosphate</v>
      </c>
    </row>
    <row r="487" spans="1:4" ht="29" x14ac:dyDescent="0.35">
      <c r="A487" s="31" t="s">
        <v>12656</v>
      </c>
      <c r="B487" s="31" t="s">
        <v>13603</v>
      </c>
      <c r="C487" s="31" t="str">
        <f t="shared" si="23"/>
        <v>C02882:1</v>
      </c>
      <c r="D487" s="31" t="str">
        <f t="shared" si="24"/>
        <v>C02882:	
L-Cysteine-S-conjugate</v>
      </c>
    </row>
    <row r="488" spans="1:4" x14ac:dyDescent="0.35">
      <c r="A488" s="31" t="s">
        <v>12043</v>
      </c>
      <c r="B488" s="33" t="s">
        <v>13147</v>
      </c>
      <c r="C488" s="31" t="str">
        <f t="shared" si="23"/>
        <v>C02909:1</v>
      </c>
      <c r="D488" s="31" t="str">
        <f t="shared" si="24"/>
        <v>C02909:(2-Naphthyl)methanol</v>
      </c>
    </row>
    <row r="489" spans="1:4" x14ac:dyDescent="0.35">
      <c r="A489" s="31" t="s">
        <v>12319</v>
      </c>
      <c r="B489" s="33" t="s">
        <v>13148</v>
      </c>
      <c r="C489" s="31" t="str">
        <f t="shared" si="23"/>
        <v>C02953 :1</v>
      </c>
      <c r="D489" s="31" t="str">
        <f t="shared" si="24"/>
        <v>C02953 :7,8-Dihydrobiopterin</v>
      </c>
    </row>
    <row r="490" spans="1:4" x14ac:dyDescent="0.35">
      <c r="A490" s="31" t="s">
        <v>12044</v>
      </c>
      <c r="B490" s="33" t="s">
        <v>13149</v>
      </c>
      <c r="C490" s="31" t="str">
        <f t="shared" si="23"/>
        <v>C02962:1</v>
      </c>
      <c r="D490" s="31" t="str">
        <f t="shared" si="24"/>
        <v>C02962:D-Allose 6-phosphate</v>
      </c>
    </row>
    <row r="491" spans="1:4" ht="29" x14ac:dyDescent="0.35">
      <c r="A491" s="31" t="s">
        <v>12366</v>
      </c>
      <c r="B491" s="31" t="s">
        <v>13604</v>
      </c>
      <c r="C491" s="31" t="str">
        <f t="shared" si="23"/>
        <v>C02967:1</v>
      </c>
      <c r="D491" s="31" t="str">
        <f t="shared" si="24"/>
        <v>C02967:	
5-Methylcytosine in DNA</v>
      </c>
    </row>
    <row r="492" spans="1:4" ht="29" x14ac:dyDescent="0.35">
      <c r="A492" s="31" t="s">
        <v>12657</v>
      </c>
      <c r="B492" s="31" t="s">
        <v>13605</v>
      </c>
      <c r="C492" s="31" t="str">
        <f t="shared" si="23"/>
        <v>C02970 :1</v>
      </c>
      <c r="D492" s="31" t="str">
        <f t="shared" si="24"/>
        <v>C02970 :	
Decaprenol phosphate</v>
      </c>
    </row>
    <row r="493" spans="1:4" ht="29" x14ac:dyDescent="0.35">
      <c r="A493" s="31" t="s">
        <v>12330</v>
      </c>
      <c r="B493" s="31" t="s">
        <v>13606</v>
      </c>
      <c r="C493" s="31" t="str">
        <f t="shared" si="23"/>
        <v>C02972 :1</v>
      </c>
      <c r="D493" s="31" t="str">
        <f t="shared" si="24"/>
        <v>C02972 :	
Dihydrolipoylprotein</v>
      </c>
    </row>
    <row r="494" spans="1:4" x14ac:dyDescent="0.35">
      <c r="A494" s="31" t="s">
        <v>12658</v>
      </c>
      <c r="B494" s="33" t="s">
        <v>13150</v>
      </c>
      <c r="C494" s="31" t="str">
        <f t="shared" si="23"/>
        <v>C02984  :1</v>
      </c>
      <c r="D494" s="31" t="str">
        <f t="shared" si="24"/>
        <v>C02984  :L-Aspartyl-tRNA(Asp)</v>
      </c>
    </row>
    <row r="495" spans="1:4" x14ac:dyDescent="0.35">
      <c r="A495" s="31" t="s">
        <v>12045</v>
      </c>
      <c r="B495" s="33" t="s">
        <v>13151</v>
      </c>
      <c r="C495" s="31" t="str">
        <f t="shared" si="23"/>
        <v>C02987:1</v>
      </c>
      <c r="D495" s="31" t="str">
        <f t="shared" si="24"/>
        <v>C02987:L-Glutamyl-tRNA(Glu)</v>
      </c>
    </row>
    <row r="496" spans="1:4" ht="29" x14ac:dyDescent="0.35">
      <c r="A496" s="31" t="s">
        <v>12659</v>
      </c>
      <c r="B496" s="31" t="s">
        <v>13607</v>
      </c>
      <c r="C496" s="31" t="str">
        <f t="shared" si="23"/>
        <v> C02988:1</v>
      </c>
      <c r="D496" s="31" t="str">
        <f t="shared" si="24"/>
        <v> C02988:	
L-Histidyl-tRNA(His)</v>
      </c>
    </row>
    <row r="497" spans="1:4" x14ac:dyDescent="0.35">
      <c r="A497" s="31" t="s">
        <v>12660</v>
      </c>
      <c r="B497" s="33" t="s">
        <v>13152</v>
      </c>
      <c r="C497" s="31" t="str">
        <f t="shared" si="23"/>
        <v> C02992:1</v>
      </c>
      <c r="D497" s="31" t="str">
        <f t="shared" si="24"/>
        <v> C02992:L-Threonyl-tRNA(Thr)</v>
      </c>
    </row>
    <row r="498" spans="1:4" x14ac:dyDescent="0.35">
      <c r="A498" s="31" t="s">
        <v>12339</v>
      </c>
      <c r="B498" s="31" t="s">
        <v>13153</v>
      </c>
      <c r="C498" s="31" t="str">
        <f t="shared" si="23"/>
        <v>C03023 :1</v>
      </c>
      <c r="D498" s="31" t="str">
        <f t="shared" si="24"/>
        <v xml:space="preserve">C03023 :Peptide-L-methionine </v>
      </c>
    </row>
    <row r="499" spans="1:4" ht="29" x14ac:dyDescent="0.35">
      <c r="A499" s="31" t="s">
        <v>12661</v>
      </c>
      <c r="B499" s="31" t="s">
        <v>13608</v>
      </c>
      <c r="C499" s="31" t="str">
        <f t="shared" si="23"/>
        <v xml:space="preserve">  C03024 :1</v>
      </c>
      <c r="D499" s="31" t="str">
        <f t="shared" si="24"/>
        <v xml:space="preserve">  C03024 :	
[Reduced NADPH---hemoprotein reductase]</v>
      </c>
    </row>
    <row r="500" spans="1:4" x14ac:dyDescent="0.35">
      <c r="A500" s="31" t="s">
        <v>12662</v>
      </c>
      <c r="B500" s="31" t="s">
        <v>13154</v>
      </c>
      <c r="C500" s="31" t="str">
        <f t="shared" si="23"/>
        <v>C03028  :1</v>
      </c>
      <c r="D500" s="31" t="str">
        <f t="shared" si="24"/>
        <v xml:space="preserve">C03028  :Thiamine Triphosphate </v>
      </c>
    </row>
    <row r="501" spans="1:4" x14ac:dyDescent="0.35">
      <c r="A501" s="31" t="s">
        <v>12255</v>
      </c>
      <c r="B501" s="33" t="s">
        <v>13155</v>
      </c>
      <c r="C501" s="31" t="str">
        <f t="shared" si="23"/>
        <v>C03082  :1</v>
      </c>
      <c r="D501" s="31" t="str">
        <f t="shared" si="24"/>
        <v>C03082  :4-Phospho-L-aspartate</v>
      </c>
    </row>
    <row r="502" spans="1:4" x14ac:dyDescent="0.35">
      <c r="A502" s="31" t="s">
        <v>12046</v>
      </c>
      <c r="B502" s="33" t="s">
        <v>13156</v>
      </c>
      <c r="C502" s="31" t="str">
        <f t="shared" si="23"/>
        <v>C03090:1</v>
      </c>
      <c r="D502" s="31" t="str">
        <f t="shared" si="24"/>
        <v>C03090:5-Phosphoribosylamine</v>
      </c>
    </row>
    <row r="503" spans="1:4" ht="29" x14ac:dyDescent="0.35">
      <c r="A503" s="31" t="s">
        <v>12663</v>
      </c>
      <c r="B503" s="31" t="s">
        <v>13609</v>
      </c>
      <c r="C503" s="31" t="str">
        <f t="shared" si="23"/>
        <v>C03114:1</v>
      </c>
      <c r="D503" s="31" t="str">
        <f t="shared" si="24"/>
        <v>C03114:	
Dimethylbenzimidazole</v>
      </c>
    </row>
    <row r="504" spans="1:4" x14ac:dyDescent="0.35">
      <c r="A504" s="31" t="s">
        <v>12047</v>
      </c>
      <c r="B504" s="31" t="s">
        <v>13157</v>
      </c>
      <c r="C504" s="31" t="str">
        <f t="shared" si="23"/>
        <v>C03125:1</v>
      </c>
      <c r="D504" s="31" t="str">
        <f t="shared" si="24"/>
        <v>C03125:L-Cysteinyl-tRNA(Cys)</v>
      </c>
    </row>
    <row r="505" spans="1:4" x14ac:dyDescent="0.35">
      <c r="A505" s="31" t="s">
        <v>12664</v>
      </c>
      <c r="B505" s="33" t="s">
        <v>13158</v>
      </c>
      <c r="C505" s="31" t="str">
        <f t="shared" si="23"/>
        <v> C03127:1</v>
      </c>
      <c r="D505" s="31" t="str">
        <f t="shared" si="24"/>
        <v> C03127:L-Isoleucyl-tRNA(Ile)</v>
      </c>
    </row>
    <row r="506" spans="1:4" x14ac:dyDescent="0.35">
      <c r="A506" s="31" t="s">
        <v>12048</v>
      </c>
      <c r="B506" s="33" t="s">
        <v>13159</v>
      </c>
      <c r="C506" s="31" t="str">
        <f t="shared" si="23"/>
        <v>C03150:1</v>
      </c>
      <c r="D506" s="31" t="str">
        <f t="shared" si="24"/>
        <v>C03150:Nicotinamide-beta-riboside</v>
      </c>
    </row>
    <row r="507" spans="1:4" ht="29" x14ac:dyDescent="0.35">
      <c r="A507" s="31" t="s">
        <v>12665</v>
      </c>
      <c r="B507" s="31" t="s">
        <v>13610</v>
      </c>
      <c r="C507" s="31" t="str">
        <f t="shared" si="23"/>
        <v>C03160 :1</v>
      </c>
      <c r="D507" s="31" t="str">
        <f t="shared" si="24"/>
        <v>C03160 :	
2-Succinylbenzoyl-CoA</v>
      </c>
    </row>
    <row r="508" spans="1:4" ht="29" x14ac:dyDescent="0.35">
      <c r="A508" s="31" t="s">
        <v>12666</v>
      </c>
      <c r="B508" s="31" t="s">
        <v>13611</v>
      </c>
      <c r="C508" s="31" t="str">
        <f t="shared" si="23"/>
        <v> C03161:1</v>
      </c>
      <c r="D508" s="31" t="str">
        <f t="shared" si="24"/>
        <v> C03161:	
[Oxidized NADPH---hemoprotein reductase]</v>
      </c>
    </row>
    <row r="509" spans="1:4" x14ac:dyDescent="0.35">
      <c r="A509" s="31" t="s">
        <v>12242</v>
      </c>
      <c r="B509" s="33" t="s">
        <v>13160</v>
      </c>
      <c r="C509" s="31" t="str">
        <f t="shared" si="23"/>
        <v xml:space="preserve"> C03170:1</v>
      </c>
      <c r="D509" s="31" t="str">
        <f t="shared" si="24"/>
        <v xml:space="preserve"> C03170:Trypanothione disulfide</v>
      </c>
    </row>
    <row r="510" spans="1:4" x14ac:dyDescent="0.35">
      <c r="A510" s="31" t="s">
        <v>12667</v>
      </c>
      <c r="B510" s="33" t="s">
        <v>13612</v>
      </c>
      <c r="C510" s="31" t="str">
        <f t="shared" si="23"/>
        <v xml:space="preserve">  C03175:1</v>
      </c>
      <c r="D510" s="31" t="str">
        <f t="shared" si="24"/>
        <v xml:space="preserve">  C03175:Shikimate 3-phosphate</v>
      </c>
    </row>
    <row r="511" spans="1:4" ht="29" x14ac:dyDescent="0.35">
      <c r="A511" s="31" t="s">
        <v>12441</v>
      </c>
      <c r="B511" s="31" t="s">
        <v>13613</v>
      </c>
      <c r="C511" s="31" t="str">
        <f t="shared" ref="C511:C574" si="25">CONCATENATE(A511, ":", "1")</f>
        <v>C03193 :1</v>
      </c>
      <c r="D511" s="31" t="str">
        <f t="shared" si="24"/>
        <v>C03193 :	
(5-L-Glutamyl)-peptide</v>
      </c>
    </row>
    <row r="512" spans="1:4" x14ac:dyDescent="0.35">
      <c r="A512" s="31" t="s">
        <v>12195</v>
      </c>
      <c r="B512" s="31" t="s">
        <v>13614</v>
      </c>
      <c r="C512" s="31" t="str">
        <f t="shared" si="25"/>
        <v>C03232:1</v>
      </c>
      <c r="D512" s="31" t="str">
        <f t="shared" si="24"/>
        <v>C03232:3-Phosphonooxypyruvate</v>
      </c>
    </row>
    <row r="513" spans="1:4" ht="29" x14ac:dyDescent="0.35">
      <c r="A513" s="31" t="s">
        <v>12668</v>
      </c>
      <c r="B513" s="31" t="s">
        <v>13615</v>
      </c>
      <c r="C513" s="31" t="str">
        <f t="shared" si="25"/>
        <v xml:space="preserve">  C03263 :1</v>
      </c>
      <c r="D513" s="31" t="str">
        <f t="shared" si="24"/>
        <v xml:space="preserve">  C03263 :	
Coproporphyrinogen III</v>
      </c>
    </row>
    <row r="514" spans="1:4" ht="29" x14ac:dyDescent="0.35">
      <c r="A514" s="31" t="s">
        <v>12260</v>
      </c>
      <c r="B514" s="31" t="s">
        <v>13616</v>
      </c>
      <c r="C514" s="31" t="str">
        <f t="shared" si="25"/>
        <v>C03287  :1</v>
      </c>
      <c r="D514" s="31" t="str">
        <f t="shared" si="24"/>
        <v>C03287  :	
L-Glutamyl 5-phosphate</v>
      </c>
    </row>
    <row r="515" spans="1:4" x14ac:dyDescent="0.35">
      <c r="A515" s="31" t="s">
        <v>12049</v>
      </c>
      <c r="B515" s="33" t="s">
        <v>13161</v>
      </c>
      <c r="C515" s="31" t="str">
        <f t="shared" si="25"/>
        <v>C03294:1</v>
      </c>
      <c r="D515" s="31" t="str">
        <f t="shared" ref="D515:D578" si="26">CONCATENATE(A515,":",B515)</f>
        <v>C03294:N-Formylmethionyl-tRNA</v>
      </c>
    </row>
    <row r="516" spans="1:4" x14ac:dyDescent="0.35">
      <c r="A516" s="31" t="s">
        <v>12325</v>
      </c>
      <c r="B516" s="31" t="s">
        <v>13617</v>
      </c>
      <c r="C516" s="31" t="str">
        <f t="shared" si="25"/>
        <v>C03313  :1</v>
      </c>
      <c r="D516" s="31" t="str">
        <f t="shared" si="26"/>
        <v>C03313  :Phylloquinol</v>
      </c>
    </row>
    <row r="517" spans="1:4" ht="29" x14ac:dyDescent="0.35">
      <c r="A517" s="31" t="s">
        <v>12438</v>
      </c>
      <c r="B517" s="31" t="s">
        <v>13618</v>
      </c>
      <c r="C517" s="31" t="str">
        <f t="shared" si="25"/>
        <v> C03344:1</v>
      </c>
      <c r="D517" s="31" t="str">
        <f t="shared" si="26"/>
        <v> C03344:	
2-Methylacetoacetyl-CoA</v>
      </c>
    </row>
    <row r="518" spans="1:4" x14ac:dyDescent="0.35">
      <c r="A518" s="31" t="s">
        <v>12050</v>
      </c>
      <c r="B518" s="33" t="s">
        <v>13162</v>
      </c>
      <c r="C518" s="31" t="str">
        <f t="shared" si="25"/>
        <v>C03356:1</v>
      </c>
      <c r="D518" s="31" t="str">
        <f t="shared" si="26"/>
        <v>C03356:3-Phospho-D-erythronate</v>
      </c>
    </row>
    <row r="519" spans="1:4" ht="29" x14ac:dyDescent="0.35">
      <c r="A519" s="31" t="s">
        <v>12669</v>
      </c>
      <c r="B519" s="31" t="s">
        <v>13619</v>
      </c>
      <c r="C519" s="31" t="str">
        <f t="shared" si="25"/>
        <v>C03360:1</v>
      </c>
      <c r="D519" s="31" t="str">
        <f t="shared" si="26"/>
        <v>C03360:	
4-Nitrophenyl phosphate</v>
      </c>
    </row>
    <row r="520" spans="1:4" ht="29" x14ac:dyDescent="0.35">
      <c r="A520" s="31" t="s">
        <v>12444</v>
      </c>
      <c r="B520" s="31" t="s">
        <v>13620</v>
      </c>
      <c r="C520" s="31" t="str">
        <f t="shared" si="25"/>
        <v>C03363:1</v>
      </c>
      <c r="D520" s="31" t="str">
        <f t="shared" si="26"/>
        <v>C03363:	
5-L-Glutamyl amino acid</v>
      </c>
    </row>
    <row r="521" spans="1:4" x14ac:dyDescent="0.35">
      <c r="A521" s="31" t="s">
        <v>12670</v>
      </c>
      <c r="B521" s="33" t="s">
        <v>13163</v>
      </c>
      <c r="C521" s="31" t="str">
        <f t="shared" si="25"/>
        <v> C03373 :1</v>
      </c>
      <c r="D521" s="31" t="str">
        <f t="shared" si="26"/>
        <v> C03373 :Aminoimidazole Ribotide</v>
      </c>
    </row>
    <row r="522" spans="1:4" ht="29" x14ac:dyDescent="0.35">
      <c r="A522" s="31" t="s">
        <v>12671</v>
      </c>
      <c r="B522" s="31" t="s">
        <v>13621</v>
      </c>
      <c r="C522" s="31" t="str">
        <f t="shared" si="25"/>
        <v>C03406 :1</v>
      </c>
      <c r="D522" s="31" t="str">
        <f t="shared" si="26"/>
        <v>C03406 :	
N-(L-Arginino)succinate</v>
      </c>
    </row>
    <row r="523" spans="1:4" x14ac:dyDescent="0.35">
      <c r="A523" s="31" t="s">
        <v>12672</v>
      </c>
      <c r="B523" s="33" t="s">
        <v>13164</v>
      </c>
      <c r="C523" s="31" t="str">
        <f t="shared" si="25"/>
        <v xml:space="preserve"> C03479:1</v>
      </c>
      <c r="D523" s="31" t="str">
        <f t="shared" si="26"/>
        <v xml:space="preserve"> C03479:Folinic Acid</v>
      </c>
    </row>
    <row r="524" spans="1:4" x14ac:dyDescent="0.35">
      <c r="A524" s="31" t="s">
        <v>12673</v>
      </c>
      <c r="B524" s="33" t="s">
        <v>13165</v>
      </c>
      <c r="C524" s="31" t="str">
        <f t="shared" si="25"/>
        <v> C03492:1</v>
      </c>
      <c r="D524" s="31" t="str">
        <f t="shared" si="26"/>
        <v> C03492:D-4'-Phosphopantothenate</v>
      </c>
    </row>
    <row r="525" spans="1:4" ht="29" x14ac:dyDescent="0.35">
      <c r="A525" s="31" t="s">
        <v>12674</v>
      </c>
      <c r="B525" s="31" t="s">
        <v>13622</v>
      </c>
      <c r="C525" s="31" t="str">
        <f t="shared" si="25"/>
        <v> C03506 :1</v>
      </c>
      <c r="D525" s="31" t="str">
        <f t="shared" si="26"/>
        <v> C03506 :	
Indoleglycerol phosphate</v>
      </c>
    </row>
    <row r="526" spans="1:4" x14ac:dyDescent="0.35">
      <c r="A526" s="31" t="s">
        <v>12051</v>
      </c>
      <c r="B526" s="33" t="s">
        <v>13166</v>
      </c>
      <c r="C526" s="31" t="str">
        <f t="shared" si="25"/>
        <v>C03511:1</v>
      </c>
      <c r="D526" s="31" t="str">
        <f t="shared" si="26"/>
        <v>C03511:L-Phenylalanyl-tRNA(Phe)</v>
      </c>
    </row>
    <row r="527" spans="1:4" x14ac:dyDescent="0.35">
      <c r="A527" s="31" t="s">
        <v>12675</v>
      </c>
      <c r="B527" s="33" t="s">
        <v>13167</v>
      </c>
      <c r="C527" s="31" t="str">
        <f t="shared" si="25"/>
        <v>  C03512:1</v>
      </c>
      <c r="D527" s="31" t="str">
        <f t="shared" si="26"/>
        <v>  C03512:L-Tryptophanyl-tRNA(Trp)</v>
      </c>
    </row>
    <row r="528" spans="1:4" x14ac:dyDescent="0.35">
      <c r="A528" s="31" t="s">
        <v>12052</v>
      </c>
      <c r="B528" s="31" t="s">
        <v>13168</v>
      </c>
      <c r="C528" s="31" t="str">
        <f t="shared" si="25"/>
        <v>C03523:1</v>
      </c>
      <c r="D528" s="31" t="str">
        <f t="shared" si="26"/>
        <v xml:space="preserve">C03523:N-Substituted amino acid </v>
      </c>
    </row>
    <row r="529" spans="1:4" ht="29" x14ac:dyDescent="0.35">
      <c r="A529" s="31" t="s">
        <v>12676</v>
      </c>
      <c r="B529" s="31" t="s">
        <v>13623</v>
      </c>
      <c r="C529" s="31" t="str">
        <f t="shared" si="25"/>
        <v>C03541:1</v>
      </c>
      <c r="D529" s="31" t="str">
        <f t="shared" si="26"/>
        <v>C03541:	
THF-polyglutamate</v>
      </c>
    </row>
    <row r="530" spans="1:4" ht="29" x14ac:dyDescent="0.35">
      <c r="A530" s="31" t="s">
        <v>8903</v>
      </c>
      <c r="B530" s="31" t="s">
        <v>13624</v>
      </c>
      <c r="C530" s="31" t="str">
        <f t="shared" si="25"/>
        <v>C03585:1</v>
      </c>
      <c r="D530" s="31" t="str">
        <f t="shared" si="26"/>
        <v>C03585:	
3-Chloro-cis,cis-muconate</v>
      </c>
    </row>
    <row r="531" spans="1:4" ht="29" x14ac:dyDescent="0.35">
      <c r="A531" s="31" t="s">
        <v>12677</v>
      </c>
      <c r="B531" s="31" t="s">
        <v>13625</v>
      </c>
      <c r="C531" s="31" t="str">
        <f t="shared" si="25"/>
        <v>C03586  :1</v>
      </c>
      <c r="D531" s="31" t="str">
        <f t="shared" si="26"/>
        <v>C03586  :	
2-Oxo-2,3-dihydrofuran-5-acetate</v>
      </c>
    </row>
    <row r="532" spans="1:4" x14ac:dyDescent="0.35">
      <c r="A532" s="31" t="s">
        <v>12053</v>
      </c>
      <c r="B532" s="33" t="s">
        <v>13169</v>
      </c>
      <c r="C532" s="31" t="str">
        <f t="shared" si="25"/>
        <v>C03617:1</v>
      </c>
      <c r="D532" s="31" t="str">
        <f t="shared" si="26"/>
        <v>C03617:L-Methionylaminoacyl-tRNA</v>
      </c>
    </row>
    <row r="533" spans="1:4" x14ac:dyDescent="0.35">
      <c r="A533" s="31" t="s">
        <v>12678</v>
      </c>
      <c r="B533" s="33" t="s">
        <v>13170</v>
      </c>
      <c r="C533" s="31" t="str">
        <f t="shared" si="25"/>
        <v xml:space="preserve"> C03633:1</v>
      </c>
      <c r="D533" s="31" t="str">
        <f t="shared" si="26"/>
        <v xml:space="preserve"> C03633:Peptidylproline (omega=0)</v>
      </c>
    </row>
    <row r="534" spans="1:4" ht="29" x14ac:dyDescent="0.35">
      <c r="A534" s="31" t="s">
        <v>12679</v>
      </c>
      <c r="B534" s="31" t="s">
        <v>13626</v>
      </c>
      <c r="C534" s="31" t="str">
        <f t="shared" si="25"/>
        <v xml:space="preserve">  C03657:1</v>
      </c>
      <c r="D534" s="31" t="str">
        <f t="shared" si="26"/>
        <v xml:space="preserve">  C03657:	
1,4-Dihydroxy-2-naphthoate</v>
      </c>
    </row>
    <row r="535" spans="1:4" ht="29" x14ac:dyDescent="0.35">
      <c r="A535" s="31" t="s">
        <v>12215</v>
      </c>
      <c r="B535" s="31" t="s">
        <v>13627</v>
      </c>
      <c r="C535" s="31" t="str">
        <f t="shared" si="25"/>
        <v>C03671 :1</v>
      </c>
      <c r="D535" s="31" t="str">
        <f t="shared" si="26"/>
        <v>C03671 :	
2-Pyrone-4,6-dicarboxylate</v>
      </c>
    </row>
    <row r="536" spans="1:4" x14ac:dyDescent="0.35">
      <c r="A536" s="31" t="s">
        <v>12054</v>
      </c>
      <c r="B536" s="33" t="s">
        <v>13171</v>
      </c>
      <c r="C536" s="31" t="str">
        <f t="shared" si="25"/>
        <v>C03688:1</v>
      </c>
      <c r="D536" s="31" t="str">
        <f t="shared" si="26"/>
        <v>C03688:Apo-[acyl-carrier protein]</v>
      </c>
    </row>
    <row r="537" spans="1:4" ht="29" x14ac:dyDescent="0.35">
      <c r="A537" s="31" t="s">
        <v>12680</v>
      </c>
      <c r="B537" s="31" t="s">
        <v>13628</v>
      </c>
      <c r="C537" s="31" t="str">
        <f t="shared" si="25"/>
        <v>C03722  :1</v>
      </c>
      <c r="D537" s="31" t="str">
        <f t="shared" si="26"/>
        <v>C03722  :	
Quinolinate</v>
      </c>
    </row>
    <row r="538" spans="1:4" x14ac:dyDescent="0.35">
      <c r="A538" s="31" t="s">
        <v>12238</v>
      </c>
      <c r="B538" s="33" t="s">
        <v>13172</v>
      </c>
      <c r="C538" s="31" t="str">
        <f t="shared" si="25"/>
        <v>C03723  :1</v>
      </c>
      <c r="D538" s="31" t="str">
        <f t="shared" si="26"/>
        <v>C03723  :Ribonucleoside diphosphate</v>
      </c>
    </row>
    <row r="539" spans="1:4" ht="29" x14ac:dyDescent="0.35">
      <c r="A539" s="31" t="s">
        <v>11252</v>
      </c>
      <c r="B539" s="31" t="s">
        <v>13407</v>
      </c>
      <c r="C539" s="31" t="str">
        <f t="shared" si="25"/>
        <v> C03733:1</v>
      </c>
      <c r="D539" s="31" t="str">
        <f t="shared" si="26"/>
        <v> C03733:	
UDP-alpha-D-galactofuranose</v>
      </c>
    </row>
    <row r="540" spans="1:4" ht="29" x14ac:dyDescent="0.35">
      <c r="A540" s="31" t="s">
        <v>11209</v>
      </c>
      <c r="B540" s="31" t="s">
        <v>13629</v>
      </c>
      <c r="C540" s="31" t="str">
        <f t="shared" si="25"/>
        <v>C03735:1</v>
      </c>
      <c r="D540" s="31" t="str">
        <f t="shared" si="26"/>
        <v>C03735:	
alpha-D-Hexose 6-phosphate</v>
      </c>
    </row>
    <row r="541" spans="1:4" ht="29" x14ac:dyDescent="0.35">
      <c r="A541" s="31" t="s">
        <v>12447</v>
      </c>
      <c r="B541" s="31" t="s">
        <v>13630</v>
      </c>
      <c r="C541" s="31" t="str">
        <f t="shared" si="25"/>
        <v>C03740:1</v>
      </c>
      <c r="D541" s="31" t="str">
        <f t="shared" si="26"/>
        <v>C03740:	
(5-L-Glutamyl)-L-amino acid</v>
      </c>
    </row>
    <row r="542" spans="1:4" ht="29" x14ac:dyDescent="0.35">
      <c r="A542" s="31" t="s">
        <v>12261</v>
      </c>
      <c r="B542" s="31" t="s">
        <v>13631</v>
      </c>
      <c r="C542" s="31" t="str">
        <f t="shared" si="25"/>
        <v>C03741  :1</v>
      </c>
      <c r="D542" s="31" t="str">
        <f t="shared" si="26"/>
        <v>C03741  :	
(S)-4-Amino-5-oxopentanoate</v>
      </c>
    </row>
    <row r="543" spans="1:4" x14ac:dyDescent="0.35">
      <c r="A543" s="31" t="s">
        <v>12055</v>
      </c>
      <c r="B543" s="33" t="s">
        <v>13173</v>
      </c>
      <c r="C543" s="31" t="str">
        <f t="shared" si="25"/>
        <v>C03785:1</v>
      </c>
      <c r="D543" s="31" t="str">
        <f t="shared" si="26"/>
        <v>C03785:D-Tagatose 1,6-bisphosphate</v>
      </c>
    </row>
    <row r="544" spans="1:4" x14ac:dyDescent="0.35">
      <c r="A544" s="31" t="s">
        <v>12056</v>
      </c>
      <c r="B544" s="33" t="s">
        <v>13174</v>
      </c>
      <c r="C544" s="31" t="str">
        <f t="shared" si="25"/>
        <v>C03794:1</v>
      </c>
      <c r="D544" s="31" t="str">
        <f t="shared" si="26"/>
        <v>C03794:N6-(1,2-Dicarboxyethyl)-AMP</v>
      </c>
    </row>
    <row r="545" spans="1:4" x14ac:dyDescent="0.35">
      <c r="A545" s="31" t="s">
        <v>12057</v>
      </c>
      <c r="B545" s="33" t="s">
        <v>13175</v>
      </c>
      <c r="C545" s="31" t="str">
        <f t="shared" si="25"/>
        <v>C03798:1</v>
      </c>
      <c r="D545" s="31" t="str">
        <f t="shared" si="26"/>
        <v>C03798:Peptidylproline (omega=180)</v>
      </c>
    </row>
    <row r="546" spans="1:4" x14ac:dyDescent="0.35">
      <c r="A546" s="31" t="s">
        <v>12369</v>
      </c>
      <c r="B546" s="33" t="s">
        <v>13176</v>
      </c>
      <c r="C546" s="31" t="str">
        <f t="shared" si="25"/>
        <v xml:space="preserve"> C03800:1</v>
      </c>
      <c r="D546" s="31" t="str">
        <f t="shared" si="26"/>
        <v xml:space="preserve"> C03800:Protein S-methyl-L-cysteine</v>
      </c>
    </row>
    <row r="547" spans="1:4" x14ac:dyDescent="0.35">
      <c r="A547" s="31" t="s">
        <v>12058</v>
      </c>
      <c r="B547" s="33" t="s">
        <v>13177</v>
      </c>
      <c r="C547" s="31" t="str">
        <f t="shared" si="25"/>
        <v>C03803:1</v>
      </c>
      <c r="D547" s="31" t="str">
        <f t="shared" si="26"/>
        <v>C03803:Ribosomal-protein L-alanine</v>
      </c>
    </row>
    <row r="548" spans="1:4" x14ac:dyDescent="0.35">
      <c r="A548" s="31" t="s">
        <v>12059</v>
      </c>
      <c r="B548" s="33" t="s">
        <v>13178</v>
      </c>
      <c r="C548" s="31" t="str">
        <f t="shared" si="25"/>
        <v>C03838:1</v>
      </c>
      <c r="D548" s="31" t="str">
        <f t="shared" si="26"/>
        <v>C03838:5'-Phosphoribosylglycinamide</v>
      </c>
    </row>
    <row r="549" spans="1:4" ht="29" x14ac:dyDescent="0.35">
      <c r="A549" s="31" t="s">
        <v>12462</v>
      </c>
      <c r="B549" s="31" t="s">
        <v>13632</v>
      </c>
      <c r="C549" s="31" t="str">
        <f t="shared" si="25"/>
        <v>C03862:1</v>
      </c>
      <c r="D549" s="31" t="str">
        <f t="shared" si="26"/>
        <v>C03862:	
Dolichyl phosphate D-mannose</v>
      </c>
    </row>
    <row r="550" spans="1:4" ht="29" x14ac:dyDescent="0.35">
      <c r="A550" s="31" t="s">
        <v>12298</v>
      </c>
      <c r="B550" s="31" t="s">
        <v>13633</v>
      </c>
      <c r="C550" s="31" t="str">
        <f t="shared" si="25"/>
        <v>C03871:1</v>
      </c>
      <c r="D550" s="31" t="str">
        <f t="shared" si="26"/>
        <v>C03871:	
L-2-Amino-6-oxoheptanedioate</v>
      </c>
    </row>
    <row r="551" spans="1:4" x14ac:dyDescent="0.35">
      <c r="A551" s="31" t="s">
        <v>12060</v>
      </c>
      <c r="B551" s="33" t="s">
        <v>13179</v>
      </c>
      <c r="C551" s="31" t="str">
        <f t="shared" si="25"/>
        <v>C03880:1</v>
      </c>
      <c r="D551" s="31" t="str">
        <f t="shared" si="26"/>
        <v>C03880:N-Substituted aminoacyl-tRNA</v>
      </c>
    </row>
    <row r="552" spans="1:4" x14ac:dyDescent="0.35">
      <c r="A552" s="31" t="s">
        <v>12681</v>
      </c>
      <c r="B552" s="33" t="s">
        <v>13180</v>
      </c>
      <c r="C552" s="31" t="str">
        <f t="shared" si="25"/>
        <v> C03892:1</v>
      </c>
      <c r="D552" s="31" t="str">
        <f t="shared" si="26"/>
        <v> C03892:Phosphatidylglycerophosphate</v>
      </c>
    </row>
    <row r="553" spans="1:4" x14ac:dyDescent="0.35">
      <c r="A553" s="31" t="s">
        <v>12340</v>
      </c>
      <c r="B553" s="33" t="s">
        <v>13181</v>
      </c>
      <c r="C553" s="31" t="str">
        <f t="shared" si="25"/>
        <v>C03895 :1</v>
      </c>
      <c r="D553" s="31" t="str">
        <f t="shared" si="26"/>
        <v>C03895 :Peptide-L-methionine (S)-S-oxide</v>
      </c>
    </row>
    <row r="554" spans="1:4" x14ac:dyDescent="0.35">
      <c r="A554" s="31" t="s">
        <v>12310</v>
      </c>
      <c r="B554" s="33" t="s">
        <v>13634</v>
      </c>
      <c r="C554" s="31" t="str">
        <f t="shared" si="25"/>
        <v>C03912:1</v>
      </c>
      <c r="D554" s="31" t="str">
        <f t="shared" si="26"/>
        <v>C03912:(S)-1-Pyrroline-5-carboxylate</v>
      </c>
    </row>
    <row r="555" spans="1:4" x14ac:dyDescent="0.35">
      <c r="A555" s="31" t="s">
        <v>12421</v>
      </c>
      <c r="B555" s="33" t="s">
        <v>13635</v>
      </c>
      <c r="C555" s="31" t="str">
        <f t="shared" si="25"/>
        <v>C03939:1</v>
      </c>
      <c r="D555" s="31" t="str">
        <f t="shared" si="26"/>
        <v>C03939:Acetyl-[acyl-carrier protein]</v>
      </c>
    </row>
    <row r="556" spans="1:4" x14ac:dyDescent="0.35">
      <c r="A556" s="31" t="s">
        <v>12061</v>
      </c>
      <c r="B556" s="33" t="s">
        <v>13182</v>
      </c>
      <c r="C556" s="31" t="str">
        <f t="shared" si="25"/>
        <v>C03972:1</v>
      </c>
      <c r="D556" s="31" t="str">
        <f t="shared" si="26"/>
        <v>C03972:2,3,4,5-Tetrahydrodipicolinate</v>
      </c>
    </row>
    <row r="557" spans="1:4" ht="29" x14ac:dyDescent="0.35">
      <c r="A557" s="31" t="s">
        <v>12682</v>
      </c>
      <c r="B557" s="31" t="s">
        <v>13636</v>
      </c>
      <c r="C557" s="31" t="str">
        <f t="shared" si="25"/>
        <v xml:space="preserve">  C04006 :1</v>
      </c>
      <c r="D557" s="31" t="str">
        <f t="shared" si="26"/>
        <v xml:space="preserve">  C04006 :	
1D-myo-Inositol 3-phosphate</v>
      </c>
    </row>
    <row r="558" spans="1:4" x14ac:dyDescent="0.35">
      <c r="A558" s="31" t="s">
        <v>10957</v>
      </c>
      <c r="B558" s="33" t="s">
        <v>13637</v>
      </c>
      <c r="C558" s="31" t="str">
        <f t="shared" si="25"/>
        <v>C04039:1</v>
      </c>
      <c r="D558" s="31" t="str">
        <f t="shared" si="26"/>
        <v>C04039:2,3-Dihydroxy-3-methylbutanoate</v>
      </c>
    </row>
    <row r="559" spans="1:4" ht="29" x14ac:dyDescent="0.35">
      <c r="A559" s="31" t="s">
        <v>12232</v>
      </c>
      <c r="B559" s="31" t="s">
        <v>13638</v>
      </c>
      <c r="C559" s="31" t="str">
        <f t="shared" si="25"/>
        <v xml:space="preserve"> C04044:1</v>
      </c>
      <c r="D559" s="31" t="str">
        <f t="shared" si="26"/>
        <v xml:space="preserve"> C04044:	
3-(2,3-Dihydroxyphenyl)propanoate</v>
      </c>
    </row>
    <row r="560" spans="1:4" ht="29" x14ac:dyDescent="0.35">
      <c r="A560" s="31" t="s">
        <v>12683</v>
      </c>
      <c r="B560" s="31" t="s">
        <v>13183</v>
      </c>
      <c r="C560" s="31" t="str">
        <f t="shared" si="25"/>
        <v> C04051 :1</v>
      </c>
      <c r="D560" s="31" t="str">
        <f t="shared" si="26"/>
        <v> C04051 :5-Amino-4-imidazolecarboxyamide</v>
      </c>
    </row>
    <row r="561" spans="1:4" x14ac:dyDescent="0.35">
      <c r="A561" s="31" t="s">
        <v>12684</v>
      </c>
      <c r="B561" s="33" t="s">
        <v>13184</v>
      </c>
      <c r="C561" s="31" t="str">
        <f t="shared" si="25"/>
        <v xml:space="preserve"> C04079:1</v>
      </c>
      <c r="D561" s="31" t="str">
        <f t="shared" si="26"/>
        <v xml:space="preserve"> C04079:N-((R)-Pantothenoyl)-L-cysteine</v>
      </c>
    </row>
    <row r="562" spans="1:4" ht="29" x14ac:dyDescent="0.35">
      <c r="A562" s="31" t="s">
        <v>12685</v>
      </c>
      <c r="B562" s="31" t="s">
        <v>13639</v>
      </c>
      <c r="C562" s="31" t="str">
        <f t="shared" si="25"/>
        <v>C04105:1</v>
      </c>
      <c r="D562" s="31" t="str">
        <f t="shared" si="26"/>
        <v>C04105:	
2,5-Dihydro-5-oxofuran-2-acetate</v>
      </c>
    </row>
    <row r="563" spans="1:4" ht="29" x14ac:dyDescent="0.35">
      <c r="A563" s="31" t="s">
        <v>8904</v>
      </c>
      <c r="B563" s="31" t="s">
        <v>13640</v>
      </c>
      <c r="C563" s="31" t="str">
        <f t="shared" si="25"/>
        <v>C04112:1</v>
      </c>
      <c r="D563" s="31" t="str">
        <f t="shared" si="26"/>
        <v>C04112:	
3-Methyl-cis,cis-hexadienedioate</v>
      </c>
    </row>
    <row r="564" spans="1:4" ht="29" x14ac:dyDescent="0.35">
      <c r="A564" s="31" t="s">
        <v>12258</v>
      </c>
      <c r="B564" s="31" t="s">
        <v>13641</v>
      </c>
      <c r="C564" s="31" t="str">
        <f t="shared" si="25"/>
        <v>C04133:1</v>
      </c>
      <c r="D564" s="31" t="str">
        <f t="shared" si="26"/>
        <v>C04133:	
N-Acetyl-L-glutamate 5-phosphate</v>
      </c>
    </row>
    <row r="565" spans="1:4" ht="29" x14ac:dyDescent="0.35">
      <c r="A565" s="31" t="s">
        <v>11113</v>
      </c>
      <c r="B565" s="31" t="s">
        <v>13642</v>
      </c>
      <c r="C565" s="31" t="str">
        <f t="shared" si="25"/>
        <v> C04136:1</v>
      </c>
      <c r="D565" s="31" t="str">
        <f t="shared" si="26"/>
        <v> C04136:N-Acyl-D-glucosamine 6-phosphate</v>
      </c>
    </row>
    <row r="566" spans="1:4" x14ac:dyDescent="0.35">
      <c r="A566" s="31" t="s">
        <v>12062</v>
      </c>
      <c r="B566" s="33" t="s">
        <v>13185</v>
      </c>
      <c r="C566" s="31" t="str">
        <f t="shared" si="25"/>
        <v>C04144:1</v>
      </c>
      <c r="D566" s="31" t="str">
        <f t="shared" si="26"/>
        <v>C04144:Tetrahydropteroyltri-L-glutamate</v>
      </c>
    </row>
    <row r="567" spans="1:4" x14ac:dyDescent="0.35">
      <c r="A567" s="31" t="s">
        <v>12063</v>
      </c>
      <c r="B567" s="31" t="s">
        <v>13186</v>
      </c>
      <c r="C567" s="31" t="str">
        <f t="shared" si="25"/>
        <v>C04153:1</v>
      </c>
      <c r="D567" s="31" t="str">
        <f t="shared" si="26"/>
        <v>C04153:rRNA containing N2-methylguanine</v>
      </c>
    </row>
    <row r="568" spans="1:4" x14ac:dyDescent="0.35">
      <c r="A568" s="31" t="s">
        <v>12064</v>
      </c>
      <c r="B568" s="33" t="s">
        <v>13187</v>
      </c>
      <c r="C568" s="31" t="str">
        <f t="shared" si="25"/>
        <v>C04157:1</v>
      </c>
      <c r="D568" s="31" t="str">
        <f t="shared" si="26"/>
        <v>C04157:tRNA containing N1-methylguanine</v>
      </c>
    </row>
    <row r="569" spans="1:4" x14ac:dyDescent="0.35">
      <c r="A569" s="31" t="s">
        <v>12065</v>
      </c>
      <c r="B569" s="33" t="s">
        <v>13188</v>
      </c>
      <c r="C569" s="31" t="str">
        <f t="shared" si="25"/>
        <v>C04160:1</v>
      </c>
      <c r="D569" s="31" t="str">
        <f t="shared" si="26"/>
        <v>C04160:tRNA containing N7-methylguanine</v>
      </c>
    </row>
    <row r="570" spans="1:4" ht="29" x14ac:dyDescent="0.35">
      <c r="A570" s="31" t="s">
        <v>11737</v>
      </c>
      <c r="B570" s="31" t="s">
        <v>13643</v>
      </c>
      <c r="C570" s="31" t="str">
        <f t="shared" si="25"/>
        <v>C04181:1</v>
      </c>
      <c r="D570" s="31" t="str">
        <f t="shared" si="26"/>
        <v>C04181:	
3-Hydroxy-3-methyl-2-oxobutanoic acid</v>
      </c>
    </row>
    <row r="571" spans="1:4" ht="29" x14ac:dyDescent="0.35">
      <c r="A571" s="31" t="s">
        <v>12686</v>
      </c>
      <c r="B571" s="31" t="s">
        <v>13644</v>
      </c>
      <c r="C571" s="31" t="str">
        <f t="shared" si="25"/>
        <v>C04225  :1</v>
      </c>
      <c r="D571" s="31" t="str">
        <f t="shared" si="26"/>
        <v>C04225  :	
(Z)-But-2-ene-1,2,3-tricarboxylate</v>
      </c>
    </row>
    <row r="572" spans="1:4" ht="29" x14ac:dyDescent="0.35">
      <c r="A572" s="31" t="s">
        <v>12066</v>
      </c>
      <c r="B572" s="33" t="s">
        <v>13189</v>
      </c>
      <c r="C572" s="31" t="str">
        <f t="shared" si="25"/>
        <v>C04232:1</v>
      </c>
      <c r="D572" s="31" t="str">
        <f t="shared" si="26"/>
        <v>C04232:2'-Deoxyribonucleoside diphosphate</v>
      </c>
    </row>
    <row r="573" spans="1:4" ht="29" x14ac:dyDescent="0.35">
      <c r="A573" s="31" t="s">
        <v>8893</v>
      </c>
      <c r="B573" s="31" t="s">
        <v>13645</v>
      </c>
      <c r="C573" s="31" t="str">
        <f t="shared" si="25"/>
        <v>C04236:1</v>
      </c>
      <c r="D573" s="31" t="str">
        <f t="shared" si="26"/>
        <v>C04236:	
(2S)-2-Isopropyl-3-oxosuccinate</v>
      </c>
    </row>
    <row r="574" spans="1:4" ht="29" x14ac:dyDescent="0.35">
      <c r="A574" s="31" t="s">
        <v>12687</v>
      </c>
      <c r="B574" s="33" t="s">
        <v>13190</v>
      </c>
      <c r="C574" s="31" t="str">
        <f t="shared" si="25"/>
        <v> C04242:1</v>
      </c>
      <c r="D574" s="31" t="str">
        <f t="shared" si="26"/>
        <v> C04242:5-Fluorodeoxyuridine monophosphate</v>
      </c>
    </row>
    <row r="575" spans="1:4" ht="29" x14ac:dyDescent="0.35">
      <c r="A575" s="31" t="s">
        <v>12425</v>
      </c>
      <c r="B575" s="31" t="s">
        <v>13646</v>
      </c>
      <c r="C575" s="31" t="str">
        <f t="shared" ref="C575:C638" si="27">CONCATENATE(A575, ":", "1")</f>
        <v xml:space="preserve"> C04246 :1</v>
      </c>
      <c r="D575" s="31" t="str">
        <f t="shared" si="26"/>
        <v xml:space="preserve"> C04246 :	
But-2-enoyl-[acyl-carrier protein]</v>
      </c>
    </row>
    <row r="576" spans="1:4" x14ac:dyDescent="0.35">
      <c r="A576" s="31" t="s">
        <v>12067</v>
      </c>
      <c r="B576" s="33" t="s">
        <v>13191</v>
      </c>
      <c r="C576" s="31" t="str">
        <f t="shared" si="27"/>
        <v>C04250:1</v>
      </c>
      <c r="D576" s="31" t="str">
        <f t="shared" si="26"/>
        <v>C04250:DNA containing 6-O-methylguanine</v>
      </c>
    </row>
    <row r="577" spans="1:4" ht="29" x14ac:dyDescent="0.35">
      <c r="A577" s="31" t="s">
        <v>11116</v>
      </c>
      <c r="B577" s="31" t="s">
        <v>13647</v>
      </c>
      <c r="C577" s="31" t="str">
        <f t="shared" si="27"/>
        <v> C04257:1</v>
      </c>
      <c r="D577" s="31" t="str">
        <f t="shared" si="26"/>
        <v> C04257:	
N-Acetyl-D-mannosamine 6-phosphate</v>
      </c>
    </row>
    <row r="578" spans="1:4" ht="29" x14ac:dyDescent="0.35">
      <c r="A578" s="31" t="s">
        <v>12688</v>
      </c>
      <c r="B578" s="33" t="s">
        <v>13192</v>
      </c>
      <c r="C578" s="31" t="str">
        <f t="shared" si="27"/>
        <v>C04258  :1</v>
      </c>
      <c r="D578" s="31" t="str">
        <f t="shared" si="26"/>
        <v>C04258  :N-Formyl-L-methionylaminoacyl-tRNA</v>
      </c>
    </row>
    <row r="579" spans="1:4" x14ac:dyDescent="0.35">
      <c r="A579" s="31" t="s">
        <v>12689</v>
      </c>
      <c r="B579" s="33" t="s">
        <v>13193</v>
      </c>
      <c r="C579" s="31" t="str">
        <f t="shared" si="27"/>
        <v xml:space="preserve">  C04261:1</v>
      </c>
      <c r="D579" s="31" t="str">
        <f t="shared" ref="D579:D642" si="28">CONCATENATE(A579,":",B579)</f>
        <v xml:space="preserve">  C04261:Protein N(pi)-phospho-L-histidine</v>
      </c>
    </row>
    <row r="580" spans="1:4" ht="29" x14ac:dyDescent="0.35">
      <c r="A580" s="31" t="s">
        <v>12690</v>
      </c>
      <c r="B580" s="31" t="s">
        <v>13648</v>
      </c>
      <c r="C580" s="31" t="str">
        <f t="shared" si="27"/>
        <v> C04262:1</v>
      </c>
      <c r="D580" s="31" t="str">
        <f t="shared" si="28"/>
        <v> C04262:	
Protein N(tau)-phospho-L-histidine</v>
      </c>
    </row>
    <row r="581" spans="1:4" ht="29" x14ac:dyDescent="0.35">
      <c r="A581" s="31" t="s">
        <v>12190</v>
      </c>
      <c r="B581" s="31" t="s">
        <v>13649</v>
      </c>
      <c r="C581" s="31" t="str">
        <f t="shared" si="27"/>
        <v>C04272:1</v>
      </c>
      <c r="D581" s="31" t="str">
        <f t="shared" si="28"/>
        <v>C04272:	
(R)-2,3-Dihydroxy-3-methylbutanoate</v>
      </c>
    </row>
    <row r="582" spans="1:4" ht="29" x14ac:dyDescent="0.35">
      <c r="A582" s="31" t="s">
        <v>12312</v>
      </c>
      <c r="B582" s="31" t="s">
        <v>13650</v>
      </c>
      <c r="C582" s="31" t="str">
        <f t="shared" si="27"/>
        <v>C04281 :1</v>
      </c>
      <c r="D582" s="31" t="str">
        <f t="shared" si="28"/>
        <v>C04281 :	
L-1-Pyrroline-3-hydroxy-5-carboxylate</v>
      </c>
    </row>
    <row r="583" spans="1:4" ht="29" x14ac:dyDescent="0.35">
      <c r="A583" s="31" t="s">
        <v>12691</v>
      </c>
      <c r="B583" s="31" t="s">
        <v>13651</v>
      </c>
      <c r="C583" s="31" t="str">
        <f t="shared" si="27"/>
        <v>C04287  :1</v>
      </c>
      <c r="D583" s="31" t="str">
        <f t="shared" si="28"/>
        <v>C04287  :3D-3,5/4-Trihydroxycyclohexane-1,2-dione</v>
      </c>
    </row>
    <row r="584" spans="1:4" ht="29" x14ac:dyDescent="0.35">
      <c r="A584" s="31" t="s">
        <v>12692</v>
      </c>
      <c r="B584" s="31" t="s">
        <v>13652</v>
      </c>
      <c r="C584" s="31" t="str">
        <f t="shared" si="27"/>
        <v>C04294 :1</v>
      </c>
      <c r="D584" s="31" t="str">
        <f t="shared" si="28"/>
        <v>C04294 :	
5-(2-Hydroxyethyl)-4-methylthiazole</v>
      </c>
    </row>
    <row r="585" spans="1:4" ht="29" x14ac:dyDescent="0.35">
      <c r="A585" s="31" t="s">
        <v>12693</v>
      </c>
      <c r="B585" s="31" t="s">
        <v>13653</v>
      </c>
      <c r="C585" s="31" t="str">
        <f t="shared" si="27"/>
        <v>C04302:1</v>
      </c>
      <c r="D585" s="31" t="str">
        <f t="shared" si="28"/>
        <v>C04302:	
N-(5-Phospho-D-ribosyl)anthranilate</v>
      </c>
    </row>
    <row r="586" spans="1:4" ht="29" x14ac:dyDescent="0.35">
      <c r="A586" s="31" t="s">
        <v>12694</v>
      </c>
      <c r="B586" s="31" t="s">
        <v>13654</v>
      </c>
      <c r="C586" s="31" t="str">
        <f t="shared" si="27"/>
        <v>C04309  :1</v>
      </c>
      <c r="D586" s="31" t="str">
        <f t="shared" si="28"/>
        <v>C04309  :	
Phosphoenol-4-deoxy-3-tetrulosonate</v>
      </c>
    </row>
    <row r="587" spans="1:4" ht="29" x14ac:dyDescent="0.35">
      <c r="A587" s="31" t="s">
        <v>12695</v>
      </c>
      <c r="B587" s="31" t="s">
        <v>13655</v>
      </c>
      <c r="C587" s="31" t="str">
        <f t="shared" si="27"/>
        <v xml:space="preserve">  C04327:1</v>
      </c>
      <c r="D587" s="31" t="str">
        <f t="shared" si="28"/>
        <v xml:space="preserve">  C04327:	
4-Methyl-5-(2-phosphooxyethyl)thiazole</v>
      </c>
    </row>
    <row r="588" spans="1:4" ht="29" x14ac:dyDescent="0.35">
      <c r="A588" s="31" t="s">
        <v>12696</v>
      </c>
      <c r="B588" s="31" t="s">
        <v>13656</v>
      </c>
      <c r="C588" s="31" t="str">
        <f t="shared" si="27"/>
        <v>C04332:1</v>
      </c>
      <c r="D588" s="31" t="str">
        <f t="shared" si="28"/>
        <v>C04332:	
6,7-Dimethyl-8-(D-ribityl)lumazine</v>
      </c>
    </row>
    <row r="589" spans="1:4" ht="29" x14ac:dyDescent="0.35">
      <c r="A589" s="31" t="s">
        <v>12410</v>
      </c>
      <c r="B589" s="31" t="s">
        <v>13657</v>
      </c>
      <c r="C589" s="31" t="str">
        <f t="shared" si="27"/>
        <v>  C04341:1</v>
      </c>
      <c r="D589" s="31" t="str">
        <f t="shared" si="28"/>
        <v>  C04341:	
Ribosomal-protein N-acetyl-L-alanine</v>
      </c>
    </row>
    <row r="590" spans="1:4" ht="29" x14ac:dyDescent="0.35">
      <c r="A590" s="31" t="s">
        <v>12697</v>
      </c>
      <c r="B590" s="31" t="s">
        <v>13658</v>
      </c>
      <c r="C590" s="31" t="str">
        <f t="shared" si="27"/>
        <v> C04352:1</v>
      </c>
      <c r="D590" s="31" t="str">
        <f t="shared" si="28"/>
        <v> C04352:	
(R)-4'-Phosphopantothenoyl-L-cysteine</v>
      </c>
    </row>
    <row r="591" spans="1:4" ht="29" x14ac:dyDescent="0.35">
      <c r="A591" s="31" t="s">
        <v>12183</v>
      </c>
      <c r="B591" s="31" t="s">
        <v>13659</v>
      </c>
      <c r="C591" s="31" t="str">
        <f t="shared" si="27"/>
        <v>C04367:1</v>
      </c>
      <c r="D591" s="31" t="str">
        <f t="shared" si="28"/>
        <v>C04367:	
3-(3,5-Diiodo-4-hydroxyphenyl)lactate</v>
      </c>
    </row>
    <row r="592" spans="1:4" ht="29" x14ac:dyDescent="0.35">
      <c r="A592" s="31" t="s">
        <v>12375</v>
      </c>
      <c r="B592" s="31" t="s">
        <v>13660</v>
      </c>
      <c r="C592" s="31" t="str">
        <f t="shared" si="27"/>
        <v> C04376:1</v>
      </c>
      <c r="D592" s="31" t="str">
        <f t="shared" si="28"/>
        <v> C04376:	
5'-Phosphoribosyl-N-formylglycinamide</v>
      </c>
    </row>
    <row r="593" spans="1:4" ht="29" x14ac:dyDescent="0.35">
      <c r="A593" s="31" t="s">
        <v>12372</v>
      </c>
      <c r="B593" s="31" t="s">
        <v>13661</v>
      </c>
      <c r="C593" s="31" t="str">
        <f t="shared" si="27"/>
        <v>C04377  :1</v>
      </c>
      <c r="D593" s="31" t="str">
        <f t="shared" si="28"/>
        <v>C04377  :	
5,10-Methylenetetrahydromethanopterin</v>
      </c>
    </row>
    <row r="594" spans="1:4" x14ac:dyDescent="0.35">
      <c r="A594" s="31" t="s">
        <v>12188</v>
      </c>
      <c r="B594" s="31" t="s">
        <v>13662</v>
      </c>
      <c r="C594" s="31" t="str">
        <f t="shared" si="27"/>
        <v>C04411:1</v>
      </c>
      <c r="D594" s="31" t="str">
        <f t="shared" si="28"/>
        <v>C04411:(2R,3S)-3-Isopropylmalate</v>
      </c>
    </row>
    <row r="595" spans="1:4" ht="29" x14ac:dyDescent="0.35">
      <c r="A595" s="31" t="s">
        <v>12379</v>
      </c>
      <c r="B595" s="31" t="s">
        <v>13663</v>
      </c>
      <c r="C595" s="31" t="str">
        <f t="shared" si="27"/>
        <v> C04419 :1</v>
      </c>
      <c r="D595" s="31" t="str">
        <f t="shared" si="28"/>
        <v> C04419 :	
Carboxybiotin-carboxyl-carrier protein</v>
      </c>
    </row>
    <row r="596" spans="1:4" ht="29" x14ac:dyDescent="0.35">
      <c r="A596" s="31" t="s">
        <v>12698</v>
      </c>
      <c r="B596" s="31" t="s">
        <v>13664</v>
      </c>
      <c r="C596" s="31" t="str">
        <f t="shared" si="27"/>
        <v>C04421:1</v>
      </c>
      <c r="D596" s="31" t="str">
        <f t="shared" si="28"/>
        <v>C04421:N-Succinyl-LL-2,6-diaminoheptanedioate</v>
      </c>
    </row>
    <row r="597" spans="1:4" ht="29" x14ac:dyDescent="0.35">
      <c r="A597" s="31" t="s">
        <v>12699</v>
      </c>
      <c r="B597" s="31" t="s">
        <v>13665</v>
      </c>
      <c r="C597" s="31" t="str">
        <f t="shared" si="27"/>
        <v>C04425  :1</v>
      </c>
      <c r="D597" s="31" t="str">
        <f t="shared" si="28"/>
        <v>C04425  :	
S-Adenosyl-4-methylthio-2-oxobutanoate</v>
      </c>
    </row>
    <row r="598" spans="1:4" ht="29" x14ac:dyDescent="0.35">
      <c r="A598" s="31" t="s">
        <v>12700</v>
      </c>
      <c r="B598" s="31" t="s">
        <v>13666</v>
      </c>
      <c r="C598" s="31" t="str">
        <f t="shared" si="27"/>
        <v> C04432:1</v>
      </c>
      <c r="D598" s="31" t="str">
        <f t="shared" si="28"/>
        <v> C04432:	
tRNA containing 6-isopentenyladenosine</v>
      </c>
    </row>
    <row r="599" spans="1:4" ht="43.5" x14ac:dyDescent="0.35">
      <c r="A599" s="31" t="s">
        <v>12161</v>
      </c>
      <c r="B599" s="31" t="s">
        <v>13667</v>
      </c>
      <c r="C599" s="31" t="str">
        <f t="shared" si="27"/>
        <v>C04454:1</v>
      </c>
      <c r="D599" s="31" t="str">
        <f t="shared" si="28"/>
        <v>C04454:	
5-Amino-6-(5'-phospho-D-ribitylamino)uracil</v>
      </c>
    </row>
    <row r="600" spans="1:4" ht="29" x14ac:dyDescent="0.35">
      <c r="A600" s="31" t="s">
        <v>12398</v>
      </c>
      <c r="B600" s="31" t="s">
        <v>13668</v>
      </c>
      <c r="C600" s="31" t="str">
        <f t="shared" si="27"/>
        <v>C04462:1</v>
      </c>
      <c r="D600" s="31" t="str">
        <f t="shared" si="28"/>
        <v>C04462:N-Succinyl-2-L-amino-6-oxoheptanedioate</v>
      </c>
    </row>
    <row r="601" spans="1:4" ht="29" x14ac:dyDescent="0.35">
      <c r="A601" s="31" t="s">
        <v>12068</v>
      </c>
      <c r="B601" s="33" t="s">
        <v>13194</v>
      </c>
      <c r="C601" s="31" t="str">
        <f t="shared" si="27"/>
        <v>C04489:1</v>
      </c>
      <c r="D601" s="31" t="str">
        <f t="shared" si="28"/>
        <v>C04489:5-Methyltetrahydropteroyltri-L-glutamate</v>
      </c>
    </row>
    <row r="602" spans="1:4" ht="29" x14ac:dyDescent="0.35">
      <c r="A602" s="31" t="s">
        <v>12701</v>
      </c>
      <c r="B602" s="31" t="s">
        <v>13669</v>
      </c>
      <c r="C602" s="31" t="str">
        <f t="shared" si="27"/>
        <v> C04494:1</v>
      </c>
      <c r="D602" s="31" t="str">
        <f t="shared" si="28"/>
        <v> C04494:	
Guanosine 3'-diphosphate 5'-triphosphate</v>
      </c>
    </row>
    <row r="603" spans="1:4" ht="29" x14ac:dyDescent="0.35">
      <c r="A603" s="31" t="s">
        <v>12069</v>
      </c>
      <c r="B603" s="31" t="s">
        <v>13195</v>
      </c>
      <c r="C603" s="31" t="str">
        <f t="shared" si="27"/>
        <v>C04501:1</v>
      </c>
      <c r="D603" s="31" t="str">
        <f t="shared" si="28"/>
        <v>C04501:N-Acetyl-alpha-D-glucosamine 1-phosphate</v>
      </c>
    </row>
    <row r="604" spans="1:4" ht="29" x14ac:dyDescent="0.35">
      <c r="A604" s="31" t="s">
        <v>12070</v>
      </c>
      <c r="B604" s="33" t="s">
        <v>13196</v>
      </c>
      <c r="C604" s="31" t="str">
        <f t="shared" si="27"/>
        <v>C04556:1</v>
      </c>
      <c r="D604" s="31" t="str">
        <f t="shared" si="28"/>
        <v>C04556:4-Amino-2-methyl-5-(phosphooxymethyl)pyrimidine</v>
      </c>
    </row>
    <row r="605" spans="1:4" ht="29" x14ac:dyDescent="0.35">
      <c r="A605" s="31" t="s">
        <v>12071</v>
      </c>
      <c r="B605" s="33" t="s">
        <v>13197</v>
      </c>
      <c r="C605" s="31" t="str">
        <f t="shared" si="27"/>
        <v>C04574:1</v>
      </c>
      <c r="D605" s="31" t="str">
        <f t="shared" si="28"/>
        <v>C04574:di-trans,poly-cis-Undecaprenyl diphosphate</v>
      </c>
    </row>
    <row r="606" spans="1:4" ht="29" x14ac:dyDescent="0.35">
      <c r="A606" s="31" t="s">
        <v>12702</v>
      </c>
      <c r="B606" s="33" t="s">
        <v>13670</v>
      </c>
      <c r="C606" s="31" t="str">
        <f t="shared" si="27"/>
        <v>C04593:1</v>
      </c>
      <c r="D606" s="31" t="str">
        <f t="shared" si="28"/>
        <v>C04593:(2S,3R)-3-Hydroxybutane-1,2,3-tricarboxylate</v>
      </c>
    </row>
    <row r="607" spans="1:4" ht="43.5" x14ac:dyDescent="0.35">
      <c r="A607" s="31" t="s">
        <v>12139</v>
      </c>
      <c r="B607" s="31" t="s">
        <v>13671</v>
      </c>
      <c r="C607" s="31" t="str">
        <f t="shared" si="27"/>
        <v>C04618:1</v>
      </c>
      <c r="D607" s="31" t="str">
        <f t="shared" si="28"/>
        <v>C04618:	
(3R)-3-Hydroxybutanoyl-[acyl-carrier protein]</v>
      </c>
    </row>
    <row r="608" spans="1:4" ht="29" x14ac:dyDescent="0.35">
      <c r="A608" s="31" t="s">
        <v>12141</v>
      </c>
      <c r="B608" s="33" t="s">
        <v>13672</v>
      </c>
      <c r="C608" s="31" t="str">
        <f t="shared" si="27"/>
        <v>C04619:1</v>
      </c>
      <c r="D608" s="31" t="str">
        <f t="shared" si="28"/>
        <v>C04619:(3R)-3-Hydroxydecanoyl-[acyl-carrier protein]</v>
      </c>
    </row>
    <row r="609" spans="1:4" ht="43.5" x14ac:dyDescent="0.35">
      <c r="A609" s="31" t="s">
        <v>12143</v>
      </c>
      <c r="B609" s="31" t="s">
        <v>13673</v>
      </c>
      <c r="C609" s="31" t="str">
        <f t="shared" si="27"/>
        <v>C04620:1</v>
      </c>
      <c r="D609" s="31" t="str">
        <f t="shared" si="28"/>
        <v>C04620:	
(3R)-3-Hydroxyoctanoyl-[acyl-carrier protein]</v>
      </c>
    </row>
    <row r="610" spans="1:4" ht="29" x14ac:dyDescent="0.35">
      <c r="A610" s="31" t="s">
        <v>12289</v>
      </c>
      <c r="B610" s="33" t="s">
        <v>13198</v>
      </c>
      <c r="C610" s="31" t="str">
        <f t="shared" si="27"/>
        <v>C04631  :1</v>
      </c>
      <c r="D610" s="31" t="str">
        <f t="shared" si="28"/>
        <v>C04631  :UDP-N-acetyl-3-(1-carboxyvinyl)-D-glucosamine</v>
      </c>
    </row>
    <row r="611" spans="1:4" ht="43.5" x14ac:dyDescent="0.35">
      <c r="A611" s="31" t="s">
        <v>12145</v>
      </c>
      <c r="B611" s="31" t="s">
        <v>13674</v>
      </c>
      <c r="C611" s="31" t="str">
        <f t="shared" si="27"/>
        <v>C04633:1</v>
      </c>
      <c r="D611" s="31" t="str">
        <f t="shared" si="28"/>
        <v>C04633:	
(3R)-3-Hydroxypalmitoyl-[acyl-carrier protein]</v>
      </c>
    </row>
    <row r="612" spans="1:4" ht="43.5" x14ac:dyDescent="0.35">
      <c r="A612" s="31" t="s">
        <v>12221</v>
      </c>
      <c r="B612" s="31" t="s">
        <v>13675</v>
      </c>
      <c r="C612" s="31" t="str">
        <f t="shared" si="27"/>
        <v>C04634 :1</v>
      </c>
      <c r="D612" s="31" t="str">
        <f t="shared" si="28"/>
        <v>C04634 :	
1,6-Dihydroxycyclohexa-2,4-diene-1-carboxylate</v>
      </c>
    </row>
    <row r="613" spans="1:4" ht="29" x14ac:dyDescent="0.35">
      <c r="A613" s="31" t="s">
        <v>12703</v>
      </c>
      <c r="B613" s="33" t="s">
        <v>13199</v>
      </c>
      <c r="C613" s="31" t="str">
        <f t="shared" si="27"/>
        <v>C04640 :1</v>
      </c>
      <c r="D613" s="31" t="str">
        <f t="shared" si="28"/>
        <v>C04640 :2-(Formamido)-N1-(5'-phosphoribosyl)acetamidine</v>
      </c>
    </row>
    <row r="614" spans="1:4" x14ac:dyDescent="0.35">
      <c r="A614" s="31" t="s">
        <v>12072</v>
      </c>
      <c r="B614" s="33" t="s">
        <v>13200</v>
      </c>
      <c r="C614" s="31" t="str">
        <f t="shared" si="27"/>
        <v>C04646:1</v>
      </c>
      <c r="D614" s="31" t="str">
        <f t="shared" si="28"/>
        <v>C04646:6-Thioinosine-5'-monophosphate</v>
      </c>
    </row>
    <row r="615" spans="1:4" ht="43.5" x14ac:dyDescent="0.35">
      <c r="A615" s="31" t="s">
        <v>12704</v>
      </c>
      <c r="B615" s="31" t="s">
        <v>13676</v>
      </c>
      <c r="C615" s="31" t="str">
        <f t="shared" si="27"/>
        <v>C04666:1</v>
      </c>
      <c r="D615" s="31" t="str">
        <f t="shared" si="28"/>
        <v>C04666:	
D-erythro-1-(Imidazol-4-yl)glycerol 3-phosphate</v>
      </c>
    </row>
    <row r="616" spans="1:4" ht="29" x14ac:dyDescent="0.35">
      <c r="A616" s="31" t="s">
        <v>12073</v>
      </c>
      <c r="B616" s="33" t="s">
        <v>13201</v>
      </c>
      <c r="C616" s="31" t="str">
        <f t="shared" si="27"/>
        <v>C04677:1</v>
      </c>
      <c r="D616" s="31" t="str">
        <f t="shared" si="28"/>
        <v>C04677:1-(5'-Phosphoribosyl)-5-amino-4-imidazolecarboxamide</v>
      </c>
    </row>
    <row r="617" spans="1:4" ht="29" x14ac:dyDescent="0.35">
      <c r="A617" s="31" t="s">
        <v>12705</v>
      </c>
      <c r="B617" s="33" t="s">
        <v>13677</v>
      </c>
      <c r="C617" s="31" t="str">
        <f t="shared" si="27"/>
        <v xml:space="preserve"> C04681:1</v>
      </c>
      <c r="D617" s="31" t="str">
        <f t="shared" si="28"/>
        <v xml:space="preserve"> C04681:[Acetyl-CoA:carbon-dioxide ligase (ADP-forming)]</v>
      </c>
    </row>
    <row r="618" spans="1:4" ht="43.5" x14ac:dyDescent="0.35">
      <c r="A618" s="31" t="s">
        <v>9407</v>
      </c>
      <c r="B618" s="31" t="s">
        <v>13678</v>
      </c>
      <c r="C618" s="31" t="str">
        <f t="shared" si="27"/>
        <v>C04688:1</v>
      </c>
      <c r="D618" s="31" t="str">
        <f t="shared" si="28"/>
        <v>C04688:	
(3R)-3-Hydroxytetradecanoyl-[acyl-carrier protein]</v>
      </c>
    </row>
    <row r="619" spans="1:4" ht="29" x14ac:dyDescent="0.35">
      <c r="A619" s="31" t="s">
        <v>12706</v>
      </c>
      <c r="B619" s="33" t="s">
        <v>13679</v>
      </c>
      <c r="C619" s="31" t="str">
        <f t="shared" si="27"/>
        <v>C04691  :1</v>
      </c>
      <c r="D619" s="31" t="str">
        <f t="shared" si="28"/>
        <v>C04691  :2-Dehydro-3-deoxy-D-arabino-heptonate 7-phosphate</v>
      </c>
    </row>
    <row r="620" spans="1:4" ht="29" x14ac:dyDescent="0.35">
      <c r="A620" s="31" t="s">
        <v>12074</v>
      </c>
      <c r="B620" s="33" t="s">
        <v>13202</v>
      </c>
      <c r="C620" s="31" t="str">
        <f t="shared" si="27"/>
        <v>C04702:1</v>
      </c>
      <c r="D620" s="31" t="str">
        <f t="shared" si="28"/>
        <v>C04702:UDPMurNAc(oyl-L-Ala-D-gamma-Glu-L-Lys-D-Ala-D-Ala)</v>
      </c>
    </row>
    <row r="621" spans="1:4" ht="29" x14ac:dyDescent="0.35">
      <c r="A621" s="31" t="s">
        <v>12707</v>
      </c>
      <c r="B621" s="31" t="s">
        <v>13680</v>
      </c>
      <c r="C621" s="31" t="str">
        <f t="shared" si="27"/>
        <v>C04732:1</v>
      </c>
      <c r="D621" s="31" t="str">
        <f t="shared" si="28"/>
        <v>C04732:	
5-Amino-6-(1-D-ribitylamino)uracil</v>
      </c>
    </row>
    <row r="622" spans="1:4" ht="29" x14ac:dyDescent="0.35">
      <c r="A622" s="31" t="s">
        <v>9238</v>
      </c>
      <c r="B622" s="33" t="s">
        <v>13203</v>
      </c>
      <c r="C622" s="31" t="str">
        <f t="shared" si="27"/>
        <v>C04734:1</v>
      </c>
      <c r="D622" s="31" t="str">
        <f t="shared" si="28"/>
        <v>C04734:1-(5'-Phosphoribosyl)-5-formamido-4-imidazolecarboxamide</v>
      </c>
    </row>
    <row r="623" spans="1:4" ht="43.5" x14ac:dyDescent="0.35">
      <c r="A623" s="31" t="s">
        <v>12708</v>
      </c>
      <c r="B623" s="31" t="s">
        <v>13681</v>
      </c>
      <c r="C623" s="31" t="str">
        <f t="shared" si="27"/>
        <v>C04735:1</v>
      </c>
      <c r="D623" s="31" t="str">
        <f t="shared" si="28"/>
        <v>C04735:	
Apo-[acetyl-CoA:carbon-dioxide ligase (ADP-forming)]</v>
      </c>
    </row>
    <row r="624" spans="1:4" ht="29" x14ac:dyDescent="0.35">
      <c r="A624" s="31" t="s">
        <v>10769</v>
      </c>
      <c r="B624" s="33" t="s">
        <v>13204</v>
      </c>
      <c r="C624" s="31" t="str">
        <f t="shared" si="27"/>
        <v>C04751:1</v>
      </c>
      <c r="D624" s="31" t="str">
        <f t="shared" si="28"/>
        <v>C04751:1-(5-Phospho-D-ribosyl)-5-amino-4-imidazolecarboxylate</v>
      </c>
    </row>
    <row r="625" spans="1:4" ht="29" x14ac:dyDescent="0.35">
      <c r="A625" s="31" t="s">
        <v>12075</v>
      </c>
      <c r="B625" s="33" t="s">
        <v>13205</v>
      </c>
      <c r="C625" s="31" t="str">
        <f t="shared" si="27"/>
        <v>C04752:1</v>
      </c>
      <c r="D625" s="31" t="str">
        <f t="shared" si="28"/>
        <v>C04752:4-Amino-5-hydroxymethyl-2-methylpyrimidine diphosphate</v>
      </c>
    </row>
    <row r="626" spans="1:4" ht="43.5" x14ac:dyDescent="0.35">
      <c r="A626" s="31" t="s">
        <v>12709</v>
      </c>
      <c r="B626" s="31" t="s">
        <v>13682</v>
      </c>
      <c r="C626" s="31" t="str">
        <f t="shared" si="27"/>
        <v>C04778  :1</v>
      </c>
      <c r="D626" s="31" t="str">
        <f t="shared" si="28"/>
        <v>C04778  :	
N1-(5-Phospho-alpha-D-ribosyl)-5,6-dimethylbenzimidazole</v>
      </c>
    </row>
    <row r="627" spans="1:4" ht="43.5" x14ac:dyDescent="0.35">
      <c r="A627" s="31" t="s">
        <v>12710</v>
      </c>
      <c r="B627" s="31" t="s">
        <v>13683</v>
      </c>
      <c r="C627" s="31" t="str">
        <f t="shared" si="27"/>
        <v>C04807:1</v>
      </c>
      <c r="D627" s="31" t="str">
        <f t="shared" si="28"/>
        <v>C04807:	
6-Hydroxymethyl-7,8-dihydropterin diphosphate</v>
      </c>
    </row>
    <row r="628" spans="1:4" ht="29" x14ac:dyDescent="0.35">
      <c r="A628" s="31" t="s">
        <v>12076</v>
      </c>
      <c r="B628" s="33" t="s">
        <v>13206</v>
      </c>
      <c r="C628" s="31" t="str">
        <f t="shared" si="27"/>
        <v>C04823:1</v>
      </c>
      <c r="D628" s="31" t="str">
        <f t="shared" si="28"/>
        <v>C04823:1-(5'-Phosphoribosyl)-5-amino-4-(N-succinocarboxamide)-imidazole</v>
      </c>
    </row>
    <row r="629" spans="1:4" ht="29" x14ac:dyDescent="0.35">
      <c r="A629" s="31" t="s">
        <v>12077</v>
      </c>
      <c r="B629" s="33" t="s">
        <v>13207</v>
      </c>
      <c r="C629" s="31" t="str">
        <f t="shared" si="27"/>
        <v>C04851:1</v>
      </c>
      <c r="D629" s="31" t="str">
        <f t="shared" si="28"/>
        <v>C04851:MurAc(oyl-L-Ala-D-gamma-Glu-L-Lys-D-Ala-D-Ala)-diphospho-undecaprenol</v>
      </c>
    </row>
    <row r="630" spans="1:4" ht="29" x14ac:dyDescent="0.35">
      <c r="A630" s="31" t="s">
        <v>12711</v>
      </c>
      <c r="B630" s="31" t="s">
        <v>13684</v>
      </c>
      <c r="C630" s="31" t="str">
        <f t="shared" si="27"/>
        <v>C04874 :1</v>
      </c>
      <c r="D630" s="31" t="str">
        <f t="shared" si="28"/>
        <v>C04874 :	
7,8-Dihydroneopterin</v>
      </c>
    </row>
    <row r="631" spans="1:4" ht="43.5" x14ac:dyDescent="0.35">
      <c r="A631" s="31" t="s">
        <v>12712</v>
      </c>
      <c r="B631" s="33" t="s">
        <v>13208</v>
      </c>
      <c r="C631" s="31" t="str">
        <f t="shared" si="27"/>
        <v xml:space="preserve"> C04877:1</v>
      </c>
      <c r="D631" s="31" t="str">
        <f t="shared" si="28"/>
        <v xml:space="preserve"> C04877:UDP-N-acetylmuramoyl-L-alanyl-gamma-D-glutamyl-meso-2,6-diaminopimelate</v>
      </c>
    </row>
    <row r="632" spans="1:4" ht="43.5" x14ac:dyDescent="0.35">
      <c r="A632" s="31" t="s">
        <v>12713</v>
      </c>
      <c r="B632" s="33" t="s">
        <v>13209</v>
      </c>
      <c r="C632" s="31" t="str">
        <f t="shared" si="27"/>
        <v>C04882  :1</v>
      </c>
      <c r="D632" s="31" t="str">
        <f t="shared" si="28"/>
        <v xml:space="preserve">C04882  :UDP-N-acetylmuramoyl-L-alanyl-D-glutamyl-6-carboxyl-L-lysyl-D-alanyl-D-alanine </v>
      </c>
    </row>
    <row r="633" spans="1:4" ht="29" x14ac:dyDescent="0.35">
      <c r="A633" s="31" t="s">
        <v>12714</v>
      </c>
      <c r="B633" s="33" t="s">
        <v>13685</v>
      </c>
      <c r="C633" s="31" t="str">
        <f t="shared" si="27"/>
        <v>C04895  :1</v>
      </c>
      <c r="D633" s="31" t="str">
        <f t="shared" si="28"/>
        <v>C04895  :7,8-Dihydroneopterin 3'-triphosphate</v>
      </c>
    </row>
    <row r="634" spans="1:4" ht="58" x14ac:dyDescent="0.35">
      <c r="A634" s="31" t="s">
        <v>10638</v>
      </c>
      <c r="B634" s="31" t="s">
        <v>13686</v>
      </c>
      <c r="C634" s="31" t="str">
        <f t="shared" si="27"/>
        <v>C04896:1</v>
      </c>
      <c r="D634" s="31" t="str">
        <f t="shared" si="28"/>
        <v>C04896:	
5-(5-Phospho-D-ribosylaminoformimino)-1-(5-phosphoribosyl)-imidazole-4-carboxamide</v>
      </c>
    </row>
    <row r="635" spans="1:4" ht="58" x14ac:dyDescent="0.35">
      <c r="A635" s="31" t="s">
        <v>11147</v>
      </c>
      <c r="B635" s="31" t="s">
        <v>13687</v>
      </c>
      <c r="C635" s="31" t="str">
        <f t="shared" si="27"/>
        <v>C04916:1</v>
      </c>
      <c r="D635" s="31" t="str">
        <f t="shared" si="28"/>
        <v>C04916:	
N-(5'-Phospho-D-1'-ribulosylformimino)-5-amino-1-(5''-phospho-D-ribosyl)-4-imidazolecarboxamide</v>
      </c>
    </row>
    <row r="636" spans="1:4" ht="43.5" x14ac:dyDescent="0.35">
      <c r="A636" s="31" t="s">
        <v>12267</v>
      </c>
      <c r="B636" s="31" t="s">
        <v>13688</v>
      </c>
      <c r="C636" s="31" t="str">
        <f t="shared" si="27"/>
        <v>C05125:1</v>
      </c>
      <c r="D636" s="31" t="str">
        <f t="shared" si="28"/>
        <v>C05125:	
2-(alpha-Hydroxyethyl)thiamine diphosphate</v>
      </c>
    </row>
    <row r="637" spans="1:4" ht="29" x14ac:dyDescent="0.35">
      <c r="A637" s="31" t="s">
        <v>12299</v>
      </c>
      <c r="B637" s="31" t="s">
        <v>13689</v>
      </c>
      <c r="C637" s="31" t="str">
        <f>CONCATENATE(A637, ":", "1000")</f>
        <v>C05167:1000</v>
      </c>
      <c r="D637" s="31" t="str">
        <f t="shared" si="28"/>
        <v>C05167:	
alpha-Amino acid</v>
      </c>
    </row>
    <row r="638" spans="1:4" x14ac:dyDescent="0.35">
      <c r="A638" s="31" t="s">
        <v>12078</v>
      </c>
      <c r="B638" s="33" t="s">
        <v>13210</v>
      </c>
      <c r="C638" s="31" t="str">
        <f t="shared" si="27"/>
        <v>C05198:1</v>
      </c>
      <c r="D638" s="31" t="str">
        <f t="shared" si="28"/>
        <v>C05198:5'-Deoxyadenosine</v>
      </c>
    </row>
    <row r="639" spans="1:4" x14ac:dyDescent="0.35">
      <c r="A639" s="31" t="s">
        <v>12431</v>
      </c>
      <c r="B639" s="31" t="s">
        <v>13690</v>
      </c>
      <c r="C639" s="31" t="str">
        <f t="shared" ref="C639:C702" si="29">CONCATENATE(A639, ":", "1")</f>
        <v>C05223  :1</v>
      </c>
      <c r="D639" s="31" t="str">
        <f t="shared" si="28"/>
        <v>C05223  :Dodecanoyl-[acyl-carrier protein]</v>
      </c>
    </row>
    <row r="640" spans="1:4" ht="29" x14ac:dyDescent="0.35">
      <c r="A640" s="31" t="s">
        <v>12715</v>
      </c>
      <c r="B640" s="31" t="s">
        <v>13691</v>
      </c>
      <c r="C640" s="31" t="str">
        <f t="shared" si="29"/>
        <v>C05250:1</v>
      </c>
      <c r="D640" s="31" t="str">
        <f t="shared" si="28"/>
        <v>C05250:	
[Protein-PII]</v>
      </c>
    </row>
    <row r="641" spans="1:4" ht="29" x14ac:dyDescent="0.35">
      <c r="A641" s="31" t="s">
        <v>12440</v>
      </c>
      <c r="B641" s="31" t="s">
        <v>13692</v>
      </c>
      <c r="C641" s="31" t="str">
        <f t="shared" si="29"/>
        <v> C05269:1</v>
      </c>
      <c r="D641" s="31" t="str">
        <f t="shared" si="28"/>
        <v> C05269:	
3-Oxohexanoyl-CoA</v>
      </c>
    </row>
    <row r="642" spans="1:4" ht="29" x14ac:dyDescent="0.35">
      <c r="A642" s="31" t="s">
        <v>12326</v>
      </c>
      <c r="B642" s="31" t="s">
        <v>13693</v>
      </c>
      <c r="C642" s="31" t="str">
        <f t="shared" si="29"/>
        <v>C05309  :1</v>
      </c>
      <c r="D642" s="31" t="str">
        <f t="shared" si="28"/>
        <v>C05309  :	
Semiquinone</v>
      </c>
    </row>
    <row r="643" spans="1:4" ht="29" x14ac:dyDescent="0.35">
      <c r="A643" s="31" t="s">
        <v>12716</v>
      </c>
      <c r="B643" s="31" t="s">
        <v>13694</v>
      </c>
      <c r="C643" s="31" t="str">
        <f t="shared" si="29"/>
        <v xml:space="preserve"> C05326:1</v>
      </c>
      <c r="D643" s="31" t="str">
        <f t="shared" ref="D643:D706" si="30">CONCATENATE(A643,":",B643)</f>
        <v xml:space="preserve"> C05326:	
Uridylyl-[protein-PII]</v>
      </c>
    </row>
    <row r="644" spans="1:4" x14ac:dyDescent="0.35">
      <c r="A644" s="31" t="s">
        <v>12354</v>
      </c>
      <c r="B644" s="33" t="s">
        <v>13211</v>
      </c>
      <c r="C644" s="31" t="str">
        <f t="shared" si="29"/>
        <v>C05335  :1</v>
      </c>
      <c r="D644" s="31" t="str">
        <f t="shared" si="30"/>
        <v>C05335  :L-Selenomethionine</v>
      </c>
    </row>
    <row r="645" spans="1:4" x14ac:dyDescent="0.35">
      <c r="A645" s="31" t="s">
        <v>12079</v>
      </c>
      <c r="B645" s="33" t="s">
        <v>13212</v>
      </c>
      <c r="C645" s="31" t="str">
        <f t="shared" si="29"/>
        <v>C05336:1</v>
      </c>
      <c r="D645" s="31" t="str">
        <f t="shared" si="30"/>
        <v>C05336:Selenomethionyl-tRNA(Met)</v>
      </c>
    </row>
    <row r="646" spans="1:4" x14ac:dyDescent="0.35">
      <c r="A646" s="31" t="s">
        <v>12389</v>
      </c>
      <c r="B646" s="33" t="s">
        <v>13213</v>
      </c>
      <c r="C646" s="31" t="str">
        <f t="shared" si="29"/>
        <v>C05345  :1</v>
      </c>
      <c r="D646" s="31" t="str">
        <f t="shared" si="30"/>
        <v>C05345  :beta-D-Fructose 6-phosphate</v>
      </c>
    </row>
    <row r="647" spans="1:4" x14ac:dyDescent="0.35">
      <c r="A647" s="31" t="s">
        <v>12717</v>
      </c>
      <c r="B647" s="33" t="s">
        <v>13695</v>
      </c>
      <c r="C647" s="31" t="str">
        <f t="shared" si="29"/>
        <v>C05359:1</v>
      </c>
      <c r="D647" s="31" t="str">
        <f t="shared" si="30"/>
        <v>C05359:Electron</v>
      </c>
    </row>
    <row r="648" spans="1:4" x14ac:dyDescent="0.35">
      <c r="A648" s="31" t="s">
        <v>12718</v>
      </c>
      <c r="B648" s="33" t="s">
        <v>13214</v>
      </c>
      <c r="C648" s="31" t="str">
        <f t="shared" si="29"/>
        <v> C05378:1</v>
      </c>
      <c r="D648" s="31" t="str">
        <f t="shared" si="30"/>
        <v> C05378:beta-D-Fructose 1,6-bisphosphate</v>
      </c>
    </row>
    <row r="649" spans="1:4" ht="29" x14ac:dyDescent="0.35">
      <c r="A649" s="31" t="s">
        <v>8892</v>
      </c>
      <c r="B649" s="31" t="s">
        <v>13696</v>
      </c>
      <c r="C649" s="31" t="str">
        <f t="shared" si="29"/>
        <v>C05379:1</v>
      </c>
      <c r="D649" s="31" t="str">
        <f t="shared" si="30"/>
        <v>C05379:	
Oxalosuccinate</v>
      </c>
    </row>
    <row r="650" spans="1:4" x14ac:dyDescent="0.35">
      <c r="A650" s="31" t="s">
        <v>12385</v>
      </c>
      <c r="B650" s="33" t="s">
        <v>13215</v>
      </c>
      <c r="C650" s="31" t="str">
        <f t="shared" si="29"/>
        <v>C05382 :1</v>
      </c>
      <c r="D650" s="31" t="str">
        <f t="shared" si="30"/>
        <v>C05382 :Sedoheptulose 7-phosphate</v>
      </c>
    </row>
    <row r="651" spans="1:4" ht="29" x14ac:dyDescent="0.35">
      <c r="A651" s="31" t="s">
        <v>12288</v>
      </c>
      <c r="B651" s="31" t="s">
        <v>13697</v>
      </c>
      <c r="C651" s="31" t="str">
        <f t="shared" si="29"/>
        <v>C05427 :1</v>
      </c>
      <c r="D651" s="31" t="str">
        <f t="shared" si="30"/>
        <v>C05427 :	
Phytyl diphosphate</v>
      </c>
    </row>
    <row r="652" spans="1:4" ht="29" x14ac:dyDescent="0.35">
      <c r="A652" s="31" t="s">
        <v>12080</v>
      </c>
      <c r="B652" s="33" t="s">
        <v>13216</v>
      </c>
      <c r="C652" s="31" t="str">
        <f t="shared" si="29"/>
        <v>C05444:1</v>
      </c>
      <c r="D652" s="31" t="str">
        <f t="shared" si="30"/>
        <v>C05444:3alpha,7alpha,26-Trihydroxy-5beta-cholestane</v>
      </c>
    </row>
    <row r="653" spans="1:4" ht="29" x14ac:dyDescent="0.35">
      <c r="A653" s="31" t="s">
        <v>12126</v>
      </c>
      <c r="B653" s="33" t="s">
        <v>13217</v>
      </c>
      <c r="C653" s="31" t="str">
        <f t="shared" si="29"/>
        <v xml:space="preserve"> C05445 :1</v>
      </c>
      <c r="D653" s="31" t="str">
        <f t="shared" si="30"/>
        <v xml:space="preserve"> C05445 :3alpha,7alpha-Dihydroxy-5beta-cholestan-26-al</v>
      </c>
    </row>
    <row r="654" spans="1:4" x14ac:dyDescent="0.35">
      <c r="A654" s="31" t="s">
        <v>12719</v>
      </c>
      <c r="B654" s="33" t="s">
        <v>13218</v>
      </c>
      <c r="C654" s="31" t="str">
        <f t="shared" si="29"/>
        <v>C05512 :1</v>
      </c>
      <c r="D654" s="31" t="str">
        <f t="shared" si="30"/>
        <v>C05512 :Deoxyinosine</v>
      </c>
    </row>
    <row r="655" spans="1:4" x14ac:dyDescent="0.35">
      <c r="A655" s="31" t="s">
        <v>12336</v>
      </c>
      <c r="B655" s="33" t="s">
        <v>13219</v>
      </c>
      <c r="C655" s="31" t="str">
        <f t="shared" si="29"/>
        <v>C05526 :1</v>
      </c>
      <c r="D655" s="31" t="str">
        <f t="shared" si="30"/>
        <v>C05526 :S-Glutathionyl-L-cysteine</v>
      </c>
    </row>
    <row r="656" spans="1:4" x14ac:dyDescent="0.35">
      <c r="A656" s="31" t="s">
        <v>12186</v>
      </c>
      <c r="B656" s="33" t="s">
        <v>13220</v>
      </c>
      <c r="C656" s="31" t="str">
        <f t="shared" si="29"/>
        <v>C05528 :1</v>
      </c>
      <c r="D656" s="31" t="str">
        <f t="shared" si="30"/>
        <v>C05528 :3-Sulfopyruvate</v>
      </c>
    </row>
    <row r="657" spans="1:4" x14ac:dyDescent="0.35">
      <c r="A657" s="31" t="s">
        <v>12081</v>
      </c>
      <c r="B657" s="33" t="s">
        <v>13221</v>
      </c>
      <c r="C657" s="31" t="str">
        <f t="shared" si="29"/>
        <v>C05576:1</v>
      </c>
      <c r="D657" s="31" t="str">
        <f t="shared" si="30"/>
        <v>C05576:3,4-Dihydroxyphenylethyleneglycol</v>
      </c>
    </row>
    <row r="658" spans="1:4" x14ac:dyDescent="0.35">
      <c r="A658" s="31" t="s">
        <v>12082</v>
      </c>
      <c r="B658" s="33" t="s">
        <v>13222</v>
      </c>
      <c r="C658" s="31" t="str">
        <f t="shared" si="29"/>
        <v>C05577:1</v>
      </c>
      <c r="D658" s="31" t="str">
        <f t="shared" si="30"/>
        <v>C05577:3,4-Dihydroxymandelaldehyde</v>
      </c>
    </row>
    <row r="659" spans="1:4" ht="29" x14ac:dyDescent="0.35">
      <c r="A659" s="31" t="s">
        <v>12205</v>
      </c>
      <c r="B659" s="31" t="s">
        <v>13698</v>
      </c>
      <c r="C659" s="31" t="str">
        <f t="shared" si="29"/>
        <v>C05640 :1</v>
      </c>
      <c r="D659" s="31" t="str">
        <f t="shared" si="30"/>
        <v>C05640 :	
Cinnavalininate</v>
      </c>
    </row>
    <row r="660" spans="1:4" ht="29" x14ac:dyDescent="0.35">
      <c r="A660" s="31" t="s">
        <v>12458</v>
      </c>
      <c r="B660" s="31" t="s">
        <v>13699</v>
      </c>
      <c r="C660" s="31" t="str">
        <f t="shared" si="29"/>
        <v>C05670:1</v>
      </c>
      <c r="D660" s="31" t="str">
        <f t="shared" si="30"/>
        <v>C05670:	
3-Aminopropiononitrile</v>
      </c>
    </row>
    <row r="661" spans="1:4" x14ac:dyDescent="0.35">
      <c r="A661" s="31" t="s">
        <v>12083</v>
      </c>
      <c r="B661" s="33" t="s">
        <v>13223</v>
      </c>
      <c r="C661" s="31" t="str">
        <f t="shared" si="29"/>
        <v>C05684:1</v>
      </c>
      <c r="D661" s="31" t="str">
        <f t="shared" si="30"/>
        <v>C05684:Selenite</v>
      </c>
    </row>
    <row r="662" spans="1:4" ht="29" x14ac:dyDescent="0.35">
      <c r="A662" s="31" t="s">
        <v>12720</v>
      </c>
      <c r="B662" s="31" t="s">
        <v>13700</v>
      </c>
      <c r="C662" s="31" t="str">
        <f t="shared" si="29"/>
        <v>C05686:1</v>
      </c>
      <c r="D662" s="31" t="str">
        <f t="shared" si="30"/>
        <v>C05686:	
Adenylyl selenate</v>
      </c>
    </row>
    <row r="663" spans="1:4" ht="29" x14ac:dyDescent="0.35">
      <c r="A663" s="31" t="s">
        <v>12721</v>
      </c>
      <c r="B663" s="31" t="s">
        <v>13701</v>
      </c>
      <c r="C663" s="31" t="str">
        <f t="shared" si="29"/>
        <v>  C05688 :1</v>
      </c>
      <c r="D663" s="31" t="str">
        <f t="shared" si="30"/>
        <v>  C05688 :	
L-Selenocysteine</v>
      </c>
    </row>
    <row r="664" spans="1:4" x14ac:dyDescent="0.35">
      <c r="A664" s="31" t="s">
        <v>12452</v>
      </c>
      <c r="B664" s="31" t="s">
        <v>13702</v>
      </c>
      <c r="C664" s="31" t="str">
        <f t="shared" si="29"/>
        <v>C05689 :1</v>
      </c>
      <c r="D664" s="31" t="str">
        <f t="shared" si="30"/>
        <v>C05689 :Se-Methyl-L-selenocysteine</v>
      </c>
    </row>
    <row r="665" spans="1:4" x14ac:dyDescent="0.35">
      <c r="A665" s="31" t="s">
        <v>12084</v>
      </c>
      <c r="B665" s="33" t="s">
        <v>13224</v>
      </c>
      <c r="C665" s="31" t="str">
        <f t="shared" si="29"/>
        <v>C05691:1</v>
      </c>
      <c r="D665" s="31" t="str">
        <f t="shared" si="30"/>
        <v>C05691:Se-Adenosylselenomethionine</v>
      </c>
    </row>
    <row r="666" spans="1:4" ht="29" x14ac:dyDescent="0.35">
      <c r="A666" s="31" t="s">
        <v>12453</v>
      </c>
      <c r="B666" s="31" t="s">
        <v>13703</v>
      </c>
      <c r="C666" s="31" t="str">
        <f t="shared" si="29"/>
        <v> C05695:1</v>
      </c>
      <c r="D666" s="31" t="str">
        <f t="shared" si="30"/>
        <v> C05695:	
gamma-Glutamyl-Se-methylselenocysteine</v>
      </c>
    </row>
    <row r="667" spans="1:4" ht="29" x14ac:dyDescent="0.35">
      <c r="A667" s="31" t="s">
        <v>12722</v>
      </c>
      <c r="B667" s="31" t="s">
        <v>13704</v>
      </c>
      <c r="C667" s="31" t="str">
        <f t="shared" si="29"/>
        <v>C05697:1</v>
      </c>
      <c r="D667" s="31" t="str">
        <f t="shared" si="30"/>
        <v>C05697:	
Selenate</v>
      </c>
    </row>
    <row r="668" spans="1:4" x14ac:dyDescent="0.35">
      <c r="A668" s="31" t="s">
        <v>12353</v>
      </c>
      <c r="B668" s="33" t="s">
        <v>13225</v>
      </c>
      <c r="C668" s="31" t="str">
        <f t="shared" si="29"/>
        <v>C05698 :1</v>
      </c>
      <c r="D668" s="31" t="str">
        <f t="shared" si="30"/>
        <v>C05698 :Selenohomocysteine</v>
      </c>
    </row>
    <row r="669" spans="1:4" x14ac:dyDescent="0.35">
      <c r="A669" s="31" t="s">
        <v>12723</v>
      </c>
      <c r="B669" s="31" t="s">
        <v>13705</v>
      </c>
      <c r="C669" s="31" t="str">
        <f t="shared" si="29"/>
        <v xml:space="preserve">  C05699  :1</v>
      </c>
      <c r="D669" s="31" t="str">
        <f t="shared" si="30"/>
        <v xml:space="preserve">  C05699  :L-Selenocystathionine</v>
      </c>
    </row>
    <row r="670" spans="1:4" ht="29" x14ac:dyDescent="0.35">
      <c r="A670" s="31" t="s">
        <v>12724</v>
      </c>
      <c r="B670" s="31" t="s">
        <v>13706</v>
      </c>
      <c r="C670" s="31" t="str">
        <f t="shared" si="29"/>
        <v>C05702:1</v>
      </c>
      <c r="D670" s="31" t="str">
        <f t="shared" si="30"/>
        <v>C05702:	
O-Phosphorylhomoserine</v>
      </c>
    </row>
    <row r="671" spans="1:4" x14ac:dyDescent="0.35">
      <c r="A671" s="31" t="s">
        <v>12338</v>
      </c>
      <c r="B671" s="33" t="s">
        <v>13226</v>
      </c>
      <c r="C671" s="31" t="str">
        <f t="shared" si="29"/>
        <v> C05703:1</v>
      </c>
      <c r="D671" s="31" t="str">
        <f t="shared" si="30"/>
        <v> C05703:Methaneselenol</v>
      </c>
    </row>
    <row r="672" spans="1:4" ht="29" x14ac:dyDescent="0.35">
      <c r="A672" s="31" t="s">
        <v>12457</v>
      </c>
      <c r="B672" s="31" t="s">
        <v>13707</v>
      </c>
      <c r="C672" s="31" t="str">
        <f t="shared" si="29"/>
        <v>C05711:1</v>
      </c>
      <c r="D672" s="31" t="str">
        <f t="shared" si="30"/>
        <v>C05711:	
gamma-Glutamyl-beta-cyanoalanine</v>
      </c>
    </row>
    <row r="673" spans="1:4" ht="29" x14ac:dyDescent="0.35">
      <c r="A673" s="31" t="s">
        <v>12725</v>
      </c>
      <c r="B673" s="31" t="s">
        <v>13708</v>
      </c>
      <c r="C673" s="31" t="str">
        <f t="shared" si="29"/>
        <v>C05726:1</v>
      </c>
      <c r="D673" s="31" t="str">
        <f t="shared" si="30"/>
        <v>C05726:	
S-Substituted L-cysteine</v>
      </c>
    </row>
    <row r="674" spans="1:4" x14ac:dyDescent="0.35">
      <c r="A674" s="31" t="s">
        <v>12455</v>
      </c>
      <c r="B674" s="31" t="s">
        <v>13709</v>
      </c>
      <c r="C674" s="31" t="str">
        <f t="shared" si="29"/>
        <v>C05729:1</v>
      </c>
      <c r="D674" s="31" t="str">
        <f t="shared" si="30"/>
        <v>C05729:R-S-Cysteinylglycine</v>
      </c>
    </row>
    <row r="675" spans="1:4" ht="29" x14ac:dyDescent="0.35">
      <c r="A675" s="31" t="s">
        <v>12140</v>
      </c>
      <c r="B675" s="31" t="s">
        <v>13710</v>
      </c>
      <c r="C675" s="31" t="str">
        <f t="shared" si="29"/>
        <v>C05744 :1</v>
      </c>
      <c r="D675" s="31" t="str">
        <f t="shared" si="30"/>
        <v>C05744 :	
Acetoacetyl-[acp]</v>
      </c>
    </row>
    <row r="676" spans="1:4" ht="29" x14ac:dyDescent="0.35">
      <c r="A676" s="31" t="s">
        <v>12426</v>
      </c>
      <c r="B676" s="31" t="s">
        <v>13711</v>
      </c>
      <c r="C676" s="31" t="str">
        <f t="shared" si="29"/>
        <v>C05745:1</v>
      </c>
      <c r="D676" s="31" t="str">
        <f t="shared" si="30"/>
        <v>C05745:	
Butyryl-[acp]</v>
      </c>
    </row>
    <row r="677" spans="1:4" ht="29" x14ac:dyDescent="0.35">
      <c r="A677" s="31" t="s">
        <v>12148</v>
      </c>
      <c r="B677" s="31" t="s">
        <v>13712</v>
      </c>
      <c r="C677" s="31" t="str">
        <f t="shared" si="29"/>
        <v>C05746 :1</v>
      </c>
      <c r="D677" s="31" t="str">
        <f t="shared" si="30"/>
        <v>C05746 :	
3-Oxohexanoyl-[acp]</v>
      </c>
    </row>
    <row r="678" spans="1:4" ht="29" x14ac:dyDescent="0.35">
      <c r="A678" s="31" t="s">
        <v>9421</v>
      </c>
      <c r="B678" s="31" t="s">
        <v>13713</v>
      </c>
      <c r="C678" s="31" t="str">
        <f t="shared" si="29"/>
        <v>C05747:1</v>
      </c>
      <c r="D678" s="31" t="str">
        <f t="shared" si="30"/>
        <v>C05747:(3R)-3-Hydroxyhexanoyl-[acyl-carrier protein]</v>
      </c>
    </row>
    <row r="679" spans="1:4" x14ac:dyDescent="0.35">
      <c r="A679" s="31" t="s">
        <v>12433</v>
      </c>
      <c r="B679" s="31" t="s">
        <v>13714</v>
      </c>
      <c r="C679" s="31" t="str">
        <f t="shared" si="29"/>
        <v> C05748 :1</v>
      </c>
      <c r="D679" s="31" t="str">
        <f t="shared" si="30"/>
        <v> C05748 :trans-Hex-2-enoyl-[acp]</v>
      </c>
    </row>
    <row r="680" spans="1:4" x14ac:dyDescent="0.35">
      <c r="A680" s="31" t="s">
        <v>12434</v>
      </c>
      <c r="B680" s="31" t="s">
        <v>13715</v>
      </c>
      <c r="C680" s="31" t="str">
        <f t="shared" si="29"/>
        <v>C05749  :1</v>
      </c>
      <c r="D680" s="31" t="str">
        <f t="shared" si="30"/>
        <v>C05749  :Hexanoyl-[acp]</v>
      </c>
    </row>
    <row r="681" spans="1:4" ht="29" x14ac:dyDescent="0.35">
      <c r="A681" s="31" t="s">
        <v>12144</v>
      </c>
      <c r="B681" s="31" t="s">
        <v>13716</v>
      </c>
      <c r="C681" s="31" t="str">
        <f t="shared" si="29"/>
        <v>C05750 :1</v>
      </c>
      <c r="D681" s="31" t="str">
        <f t="shared" si="30"/>
        <v>C05750 :	
3-Oxooctanoyl-[acp]</v>
      </c>
    </row>
    <row r="682" spans="1:4" ht="29" x14ac:dyDescent="0.35">
      <c r="A682" s="31" t="s">
        <v>12428</v>
      </c>
      <c r="B682" s="31" t="s">
        <v>13717</v>
      </c>
      <c r="C682" s="31" t="str">
        <f t="shared" si="29"/>
        <v>C05751 :1</v>
      </c>
      <c r="D682" s="31" t="str">
        <f t="shared" si="30"/>
        <v>C05751 :	
trans-Oct-2-enoyl-[acp]</v>
      </c>
    </row>
    <row r="683" spans="1:4" ht="29" x14ac:dyDescent="0.35">
      <c r="A683" s="31" t="s">
        <v>12399</v>
      </c>
      <c r="B683" s="31" t="s">
        <v>13718</v>
      </c>
      <c r="C683" s="31" t="str">
        <f t="shared" si="29"/>
        <v>C05752:1</v>
      </c>
      <c r="D683" s="31" t="str">
        <f t="shared" si="30"/>
        <v>C05752:	
Octanoyl-[acp]</v>
      </c>
    </row>
    <row r="684" spans="1:4" ht="29" x14ac:dyDescent="0.35">
      <c r="A684" s="31" t="s">
        <v>12142</v>
      </c>
      <c r="B684" s="31" t="s">
        <v>13719</v>
      </c>
      <c r="C684" s="31" t="str">
        <f t="shared" si="29"/>
        <v>C05753:1</v>
      </c>
      <c r="D684" s="31" t="str">
        <f t="shared" si="30"/>
        <v>C05753:	
3-Oxodecanoyl-[acp]</v>
      </c>
    </row>
    <row r="685" spans="1:4" ht="29" x14ac:dyDescent="0.35">
      <c r="A685" s="31" t="s">
        <v>12427</v>
      </c>
      <c r="B685" s="31" t="s">
        <v>13720</v>
      </c>
      <c r="C685" s="31" t="str">
        <f t="shared" si="29"/>
        <v>C05754  :1</v>
      </c>
      <c r="D685" s="31" t="str">
        <f t="shared" si="30"/>
        <v>C05754  :	
trans-Dec-2-enoyl-[acp]</v>
      </c>
    </row>
    <row r="686" spans="1:4" ht="29" x14ac:dyDescent="0.35">
      <c r="A686" s="31" t="s">
        <v>12435</v>
      </c>
      <c r="B686" s="31" t="s">
        <v>13721</v>
      </c>
      <c r="C686" s="31" t="str">
        <f t="shared" si="29"/>
        <v>C05755  :1</v>
      </c>
      <c r="D686" s="31" t="str">
        <f t="shared" si="30"/>
        <v>C05755  :	
Decanoyl-[acp]</v>
      </c>
    </row>
    <row r="687" spans="1:4" ht="29" x14ac:dyDescent="0.35">
      <c r="A687" s="31" t="s">
        <v>12150</v>
      </c>
      <c r="B687" s="31" t="s">
        <v>13722</v>
      </c>
      <c r="C687" s="31" t="str">
        <f t="shared" si="29"/>
        <v>C05756 :1</v>
      </c>
      <c r="D687" s="31" t="str">
        <f t="shared" si="30"/>
        <v>C05756 :	
3-Oxododecanoyl-[acp]</v>
      </c>
    </row>
    <row r="688" spans="1:4" ht="43.5" x14ac:dyDescent="0.35">
      <c r="A688" s="31" t="s">
        <v>12149</v>
      </c>
      <c r="B688" s="31" t="s">
        <v>13723</v>
      </c>
      <c r="C688" s="31" t="str">
        <f t="shared" si="29"/>
        <v>C05757:1</v>
      </c>
      <c r="D688" s="31" t="str">
        <f t="shared" si="30"/>
        <v>C05757:	
(3R)-3-Hydroxydodecanoyl-[acyl-carrier protein]</v>
      </c>
    </row>
    <row r="689" spans="1:4" x14ac:dyDescent="0.35">
      <c r="A689" s="31" t="s">
        <v>12432</v>
      </c>
      <c r="B689" s="31" t="s">
        <v>13724</v>
      </c>
      <c r="C689" s="31" t="str">
        <f t="shared" si="29"/>
        <v>C05758  :1</v>
      </c>
      <c r="D689" s="31" t="str">
        <f t="shared" si="30"/>
        <v>C05758  :trans-Dodec-2-enoyl-[acp]</v>
      </c>
    </row>
    <row r="690" spans="1:4" ht="29" x14ac:dyDescent="0.35">
      <c r="A690" s="31" t="s">
        <v>12147</v>
      </c>
      <c r="B690" s="31" t="s">
        <v>13725</v>
      </c>
      <c r="C690" s="31" t="str">
        <f t="shared" si="29"/>
        <v>C05759 :1</v>
      </c>
      <c r="D690" s="31" t="str">
        <f t="shared" si="30"/>
        <v>C05759 :	
3-Oxotetradecanoyl-[acp]</v>
      </c>
    </row>
    <row r="691" spans="1:4" ht="29" x14ac:dyDescent="0.35">
      <c r="A691" s="31" t="s">
        <v>12430</v>
      </c>
      <c r="B691" s="31" t="s">
        <v>13726</v>
      </c>
      <c r="C691" s="31" t="str">
        <f t="shared" si="29"/>
        <v>C05760:1</v>
      </c>
      <c r="D691" s="31" t="str">
        <f t="shared" si="30"/>
        <v>C05760:	
trans-Tetradec-2-enoyl-[acp]</v>
      </c>
    </row>
    <row r="692" spans="1:4" ht="29" x14ac:dyDescent="0.35">
      <c r="A692" s="31" t="s">
        <v>12436</v>
      </c>
      <c r="B692" s="31" t="s">
        <v>13727</v>
      </c>
      <c r="C692" s="31" t="str">
        <f t="shared" si="29"/>
        <v>C05761:1</v>
      </c>
      <c r="D692" s="31" t="str">
        <f t="shared" si="30"/>
        <v>C05761:	
Tetradecanoyl-[acp]</v>
      </c>
    </row>
    <row r="693" spans="1:4" x14ac:dyDescent="0.35">
      <c r="A693" s="31" t="s">
        <v>12146</v>
      </c>
      <c r="B693" s="31" t="s">
        <v>13728</v>
      </c>
      <c r="C693" s="31" t="str">
        <f t="shared" si="29"/>
        <v>C05762 :1</v>
      </c>
      <c r="D693" s="31" t="str">
        <f t="shared" si="30"/>
        <v>C05762 :3-Oxohexadecanoyl-[acp]</v>
      </c>
    </row>
    <row r="694" spans="1:4" ht="29" x14ac:dyDescent="0.35">
      <c r="A694" s="31" t="s">
        <v>12429</v>
      </c>
      <c r="B694" s="31" t="s">
        <v>13729</v>
      </c>
      <c r="C694" s="31" t="str">
        <f t="shared" si="29"/>
        <v xml:space="preserve">  C05763  :1</v>
      </c>
      <c r="D694" s="31" t="str">
        <f t="shared" si="30"/>
        <v xml:space="preserve">  C05763  :	
trans-Hexadec-2-enoyl-[acp]</v>
      </c>
    </row>
    <row r="695" spans="1:4" ht="29" x14ac:dyDescent="0.35">
      <c r="A695" s="31" t="s">
        <v>12423</v>
      </c>
      <c r="B695" s="31" t="s">
        <v>13730</v>
      </c>
      <c r="C695" s="31" t="str">
        <f t="shared" si="29"/>
        <v>C05764  :1</v>
      </c>
      <c r="D695" s="31" t="str">
        <f t="shared" si="30"/>
        <v>C05764  :	
Hexadecanoyl-[acp]</v>
      </c>
    </row>
    <row r="696" spans="1:4" ht="29" x14ac:dyDescent="0.35">
      <c r="A696" s="31" t="s">
        <v>12726</v>
      </c>
      <c r="B696" s="31" t="s">
        <v>13731</v>
      </c>
      <c r="C696" s="31" t="str">
        <f t="shared" si="29"/>
        <v>C05766:1</v>
      </c>
      <c r="D696" s="31" t="str">
        <f t="shared" si="30"/>
        <v>C05766:	
Uroporphyrinogen I</v>
      </c>
    </row>
    <row r="697" spans="1:4" x14ac:dyDescent="0.35">
      <c r="A697" s="31" t="s">
        <v>12727</v>
      </c>
      <c r="B697" s="31" t="s">
        <v>13732</v>
      </c>
      <c r="C697" s="31" t="str">
        <f t="shared" si="29"/>
        <v>C05768 :1</v>
      </c>
      <c r="D697" s="31" t="str">
        <f t="shared" si="30"/>
        <v>C05768 :Coproporphyrinogen I</v>
      </c>
    </row>
    <row r="698" spans="1:4" ht="29" x14ac:dyDescent="0.35">
      <c r="A698" s="31" t="s">
        <v>12728</v>
      </c>
      <c r="B698" s="31" t="s">
        <v>13733</v>
      </c>
      <c r="C698" s="31" t="str">
        <f t="shared" si="29"/>
        <v xml:space="preserve"> C05774:1</v>
      </c>
      <c r="D698" s="31" t="str">
        <f t="shared" si="30"/>
        <v xml:space="preserve"> C05774:	
Cobinamide</v>
      </c>
    </row>
    <row r="699" spans="1:4" ht="29" x14ac:dyDescent="0.35">
      <c r="A699" s="31" t="s">
        <v>12729</v>
      </c>
      <c r="B699" s="31" t="s">
        <v>13734</v>
      </c>
      <c r="C699" s="31" t="str">
        <f t="shared" si="29"/>
        <v>C05775:1</v>
      </c>
      <c r="D699" s="31" t="str">
        <f t="shared" si="30"/>
        <v>C05775:	
alpha-Ribazole</v>
      </c>
    </row>
    <row r="700" spans="1:4" ht="29" x14ac:dyDescent="0.35">
      <c r="A700" s="31" t="s">
        <v>12352</v>
      </c>
      <c r="B700" s="31" t="s">
        <v>13735</v>
      </c>
      <c r="C700" s="31" t="str">
        <f t="shared" si="29"/>
        <v> C05778:1</v>
      </c>
      <c r="D700" s="31" t="str">
        <f t="shared" si="30"/>
        <v> C05778:	
Sirohydrochlorin</v>
      </c>
    </row>
    <row r="701" spans="1:4" ht="43.5" x14ac:dyDescent="0.35">
      <c r="A701" s="31" t="s">
        <v>12730</v>
      </c>
      <c r="B701" s="31" t="s">
        <v>13736</v>
      </c>
      <c r="C701" s="31" t="str">
        <f t="shared" si="29"/>
        <v xml:space="preserve">  C05817:1</v>
      </c>
      <c r="D701" s="31" t="str">
        <f t="shared" si="30"/>
        <v xml:space="preserve">  C05817:	
(1R,6R)-6-Hydroxy-2-succinylcyclohexa-2,4-diene-1-carboxylate</v>
      </c>
    </row>
    <row r="702" spans="1:4" ht="29" x14ac:dyDescent="0.35">
      <c r="A702" s="31" t="s">
        <v>12321</v>
      </c>
      <c r="B702" s="31" t="s">
        <v>13737</v>
      </c>
      <c r="C702" s="31" t="str">
        <f t="shared" si="29"/>
        <v>C05819  :1</v>
      </c>
      <c r="D702" s="31" t="str">
        <f t="shared" si="30"/>
        <v>C05819  :	
Menaquinol</v>
      </c>
    </row>
    <row r="703" spans="1:4" x14ac:dyDescent="0.35">
      <c r="A703" s="31" t="s">
        <v>12085</v>
      </c>
      <c r="B703" s="33" t="s">
        <v>13227</v>
      </c>
      <c r="C703" s="31" t="str">
        <f t="shared" ref="C703:C766" si="31">CONCATENATE(A703, ":", "1")</f>
        <v>C05823:1</v>
      </c>
      <c r="D703" s="31" t="str">
        <f t="shared" si="30"/>
        <v>C05823:3-Mercaptolactate</v>
      </c>
    </row>
    <row r="704" spans="1:4" ht="29" x14ac:dyDescent="0.35">
      <c r="A704" s="31" t="s">
        <v>12731</v>
      </c>
      <c r="B704" s="31" t="s">
        <v>13738</v>
      </c>
      <c r="C704" s="31" t="str">
        <f t="shared" si="31"/>
        <v>C05840 :1</v>
      </c>
      <c r="D704" s="31" t="str">
        <f t="shared" si="30"/>
        <v>C05840 :	
Iminoaspartate</v>
      </c>
    </row>
    <row r="705" spans="1:4" x14ac:dyDescent="0.35">
      <c r="A705" s="31" t="s">
        <v>12732</v>
      </c>
      <c r="B705" s="33" t="s">
        <v>13228</v>
      </c>
      <c r="C705" s="31" t="str">
        <f t="shared" si="31"/>
        <v>C05841  :1</v>
      </c>
      <c r="D705" s="31" t="str">
        <f t="shared" si="30"/>
        <v>C05841  :Nicotinate D-ribonucleoside</v>
      </c>
    </row>
    <row r="706" spans="1:4" ht="29" x14ac:dyDescent="0.35">
      <c r="A706" s="31" t="s">
        <v>12449</v>
      </c>
      <c r="B706" s="31" t="s">
        <v>13739</v>
      </c>
      <c r="C706" s="31" t="str">
        <f t="shared" si="31"/>
        <v>C05844:1</v>
      </c>
      <c r="D706" s="31" t="str">
        <f t="shared" si="30"/>
        <v>C05844:	
5-L-Glutamyl-taurine</v>
      </c>
    </row>
    <row r="707" spans="1:4" ht="29" x14ac:dyDescent="0.35">
      <c r="A707" s="31" t="s">
        <v>12733</v>
      </c>
      <c r="B707" s="31" t="s">
        <v>13740</v>
      </c>
      <c r="C707" s="31" t="str">
        <f t="shared" si="31"/>
        <v>C05847:1</v>
      </c>
      <c r="D707" s="31" t="str">
        <f t="shared" ref="D707:D770" si="32">CONCATENATE(A707,":",B707)</f>
        <v>C05847:	
all-trans-Polyprenyl diphosphate</v>
      </c>
    </row>
    <row r="708" spans="1:4" ht="29" x14ac:dyDescent="0.35">
      <c r="A708" s="31" t="s">
        <v>12323</v>
      </c>
      <c r="B708" s="31" t="s">
        <v>13741</v>
      </c>
      <c r="C708" s="31" t="str">
        <f t="shared" si="31"/>
        <v>C05850 :1</v>
      </c>
      <c r="D708" s="31" t="str">
        <f t="shared" si="32"/>
        <v>C05850 :	
Reduced Vitamin K</v>
      </c>
    </row>
    <row r="709" spans="1:4" ht="29" x14ac:dyDescent="0.35">
      <c r="A709" s="31" t="s">
        <v>12734</v>
      </c>
      <c r="B709" s="33" t="s">
        <v>13229</v>
      </c>
      <c r="C709" s="31" t="str">
        <f t="shared" si="31"/>
        <v xml:space="preserve"> C05892:1</v>
      </c>
      <c r="D709" s="31" t="str">
        <f t="shared" si="32"/>
        <v xml:space="preserve"> C05892:UDP-N-acetylmuramoyl-L-alanyl-gamma-D-glutamyl-L-lysine</v>
      </c>
    </row>
    <row r="710" spans="1:4" ht="58" x14ac:dyDescent="0.35">
      <c r="A710" s="31" t="s">
        <v>12735</v>
      </c>
      <c r="B710" s="33" t="s">
        <v>13230</v>
      </c>
      <c r="C710" s="31" t="str">
        <f t="shared" si="31"/>
        <v>C05893 :1</v>
      </c>
      <c r="D710" s="31" t="str">
        <f t="shared" si="32"/>
        <v>C05893 :Undecaprenyl-diphospho-N-acetylmuramoyl-(N-acetylglucosamine)-L-alanyl-gamma-D-glutamyl-L-lysyl-D-alanyl-D-alanine</v>
      </c>
    </row>
    <row r="711" spans="1:4" ht="43.5" x14ac:dyDescent="0.35">
      <c r="A711" s="31" t="s">
        <v>12736</v>
      </c>
      <c r="B711" s="33" t="s">
        <v>13231</v>
      </c>
      <c r="C711" s="31" t="str">
        <f t="shared" si="31"/>
        <v>C05897  :1</v>
      </c>
      <c r="D711" s="31" t="str">
        <f t="shared" si="32"/>
        <v>C05897  :Undecaprenyl-diphospho-N-acetylmuramoyl-L-alanyl-D-glutamyl-meso-2,6-diaminopimeloyl-D-alanyl-D-alanine</v>
      </c>
    </row>
    <row r="712" spans="1:4" ht="58" x14ac:dyDescent="0.35">
      <c r="A712" s="31" t="s">
        <v>12737</v>
      </c>
      <c r="B712" s="33" t="s">
        <v>13232</v>
      </c>
      <c r="C712" s="31" t="str">
        <f t="shared" si="31"/>
        <v>C05898  :1</v>
      </c>
      <c r="D712" s="31" t="str">
        <f t="shared" si="32"/>
        <v>C05898  :Undecaprenyl-diphospho-N-acetylmuramoyl-(N-acetylglucosamine)-L-alanyl-D-glutamyl-meso-2,6-diaminopimeloyl-D-alanyl-D-alanine</v>
      </c>
    </row>
    <row r="713" spans="1:4" x14ac:dyDescent="0.35">
      <c r="A713" s="31" t="s">
        <v>12738</v>
      </c>
      <c r="B713" s="33" t="s">
        <v>13742</v>
      </c>
      <c r="C713" s="31" t="str">
        <f t="shared" si="31"/>
        <v>  C05921:1</v>
      </c>
      <c r="D713" s="31" t="str">
        <f t="shared" si="32"/>
        <v>  C05921:Biotinyl-5'-AMP</v>
      </c>
    </row>
    <row r="714" spans="1:4" ht="43.5" x14ac:dyDescent="0.35">
      <c r="A714" s="31" t="s">
        <v>12739</v>
      </c>
      <c r="B714" s="31" t="s">
        <v>13743</v>
      </c>
      <c r="C714" s="31" t="str">
        <f t="shared" si="31"/>
        <v>C05922:1</v>
      </c>
      <c r="D714" s="31" t="str">
        <f t="shared" si="32"/>
        <v>C05922:	
Formamidopyrimidine nucleoside triphosphate</v>
      </c>
    </row>
    <row r="715" spans="1:4" ht="43.5" x14ac:dyDescent="0.35">
      <c r="A715" s="31" t="s">
        <v>12740</v>
      </c>
      <c r="B715" s="31" t="s">
        <v>13744</v>
      </c>
      <c r="C715" s="31" t="str">
        <f t="shared" si="31"/>
        <v>C05923 :1</v>
      </c>
      <c r="D715" s="31" t="str">
        <f t="shared" si="32"/>
        <v>C05923 :	
2,5-Diaminopyrimidine nucleoside triphosphate</v>
      </c>
    </row>
    <row r="716" spans="1:4" ht="29" x14ac:dyDescent="0.35">
      <c r="A716" s="31" t="s">
        <v>12741</v>
      </c>
      <c r="B716" s="31" t="s">
        <v>13745</v>
      </c>
      <c r="C716" s="31" t="str">
        <f t="shared" si="31"/>
        <v>C05924  :1</v>
      </c>
      <c r="D716" s="31" t="str">
        <f t="shared" si="32"/>
        <v>C05924  :	
Molybdopterin</v>
      </c>
    </row>
    <row r="717" spans="1:4" ht="43.5" x14ac:dyDescent="0.35">
      <c r="A717" s="31" t="s">
        <v>12742</v>
      </c>
      <c r="B717" s="31" t="s">
        <v>13746</v>
      </c>
      <c r="C717" s="31" t="str">
        <f t="shared" si="31"/>
        <v>C05928:1</v>
      </c>
      <c r="D717" s="31" t="str">
        <f t="shared" si="32"/>
        <v>C05928:	
(6R)-10-Formyltetrahydropteroyldiglutamate</v>
      </c>
    </row>
    <row r="718" spans="1:4" ht="29" x14ac:dyDescent="0.35">
      <c r="A718" s="31" t="s">
        <v>12743</v>
      </c>
      <c r="B718" s="31" t="s">
        <v>13747</v>
      </c>
      <c r="C718" s="31" t="str">
        <f t="shared" si="31"/>
        <v>  C05929:1</v>
      </c>
      <c r="D718" s="31" t="str">
        <f t="shared" si="32"/>
        <v>  C05929:	
10-Formyltetrahydrofolylpolyglutamate</v>
      </c>
    </row>
    <row r="719" spans="1:4" ht="29" x14ac:dyDescent="0.35">
      <c r="A719" s="31" t="s">
        <v>12451</v>
      </c>
      <c r="B719" s="31" t="s">
        <v>13748</v>
      </c>
      <c r="C719" s="31" t="str">
        <f t="shared" si="31"/>
        <v>C05951 :1</v>
      </c>
      <c r="D719" s="31" t="str">
        <f t="shared" si="32"/>
        <v>C05951 :	
Leukotriene D4</v>
      </c>
    </row>
    <row r="720" spans="1:4" ht="29" x14ac:dyDescent="0.35">
      <c r="A720" s="31" t="s">
        <v>12086</v>
      </c>
      <c r="B720" s="31" t="s">
        <v>13749</v>
      </c>
      <c r="C720" s="31" t="str">
        <f t="shared" si="31"/>
        <v>C05984:1</v>
      </c>
      <c r="D720" s="31" t="str">
        <f t="shared" si="32"/>
        <v>C05984:	
2-Hydroxybutanoic acid</v>
      </c>
    </row>
    <row r="721" spans="1:4" x14ac:dyDescent="0.35">
      <c r="A721" s="31" t="s">
        <v>8896</v>
      </c>
      <c r="B721" s="31" t="s">
        <v>13750</v>
      </c>
      <c r="C721" s="31" t="str">
        <f t="shared" si="31"/>
        <v>C06006:1</v>
      </c>
      <c r="D721" s="31" t="str">
        <f t="shared" si="32"/>
        <v>C06006:(S)-2-Aceto-2-hydroxybutanoate</v>
      </c>
    </row>
    <row r="722" spans="1:4" ht="29" x14ac:dyDescent="0.35">
      <c r="A722" s="31" t="s">
        <v>12193</v>
      </c>
      <c r="B722" s="31" t="s">
        <v>13751</v>
      </c>
      <c r="C722" s="31" t="str">
        <f t="shared" si="31"/>
        <v>C06007  :1</v>
      </c>
      <c r="D722" s="31" t="str">
        <f t="shared" si="32"/>
        <v>C06007  :	
(R)-2,3-Dihydroxy-3-methylpentanoate</v>
      </c>
    </row>
    <row r="723" spans="1:4" ht="29" x14ac:dyDescent="0.35">
      <c r="A723" s="31" t="s">
        <v>12191</v>
      </c>
      <c r="B723" s="31" t="s">
        <v>13752</v>
      </c>
      <c r="C723" s="31" t="str">
        <f t="shared" si="31"/>
        <v>C06010  :1</v>
      </c>
      <c r="D723" s="31" t="str">
        <f t="shared" si="32"/>
        <v>C06010  :	
(S)-2-Acetolactate</v>
      </c>
    </row>
    <row r="724" spans="1:4" ht="29" x14ac:dyDescent="0.35">
      <c r="A724" s="31" t="s">
        <v>12189</v>
      </c>
      <c r="B724" s="31" t="s">
        <v>13753</v>
      </c>
      <c r="C724" s="31" t="str">
        <f t="shared" si="31"/>
        <v>C06032 :1</v>
      </c>
      <c r="D724" s="31" t="str">
        <f t="shared" si="32"/>
        <v>C06032 :	
D-erythro-3-Methylmalate</v>
      </c>
    </row>
    <row r="725" spans="1:4" ht="29" x14ac:dyDescent="0.35">
      <c r="A725" s="31" t="s">
        <v>12744</v>
      </c>
      <c r="B725" s="31" t="s">
        <v>13754</v>
      </c>
      <c r="C725" s="31" t="str">
        <f t="shared" si="31"/>
        <v>C06054 :1</v>
      </c>
      <c r="D725" s="31" t="str">
        <f t="shared" si="32"/>
        <v>C06054 :	
2-Oxo-3-hydroxy-4-phosphobutanoate</v>
      </c>
    </row>
    <row r="726" spans="1:4" x14ac:dyDescent="0.35">
      <c r="A726" s="31" t="s">
        <v>12745</v>
      </c>
      <c r="B726" s="33" t="s">
        <v>13233</v>
      </c>
      <c r="C726" s="31" t="str">
        <f t="shared" si="31"/>
        <v>C06055 :1</v>
      </c>
      <c r="D726" s="31" t="str">
        <f t="shared" si="32"/>
        <v>C06055 :O-Phospho-4-hydroxy-L-threonine</v>
      </c>
    </row>
    <row r="727" spans="1:4" x14ac:dyDescent="0.35">
      <c r="A727" s="31" t="s">
        <v>12746</v>
      </c>
      <c r="B727" s="33" t="s">
        <v>13234</v>
      </c>
      <c r="C727" s="31" t="str">
        <f t="shared" si="31"/>
        <v> C06056 :1</v>
      </c>
      <c r="D727" s="31" t="str">
        <f t="shared" si="32"/>
        <v> C06056 :4-Hydroxy-L-threonine</v>
      </c>
    </row>
    <row r="728" spans="1:4" ht="29" x14ac:dyDescent="0.35">
      <c r="A728" s="31" t="s">
        <v>12459</v>
      </c>
      <c r="B728" s="31" t="s">
        <v>13755</v>
      </c>
      <c r="C728" s="31" t="str">
        <f t="shared" si="31"/>
        <v>C06114  :1</v>
      </c>
      <c r="D728" s="31" t="str">
        <f t="shared" si="32"/>
        <v>C06114  :gamma-Glutamyl-beta-aminopropiononitrile</v>
      </c>
    </row>
    <row r="729" spans="1:4" ht="58" x14ac:dyDescent="0.35">
      <c r="A729" s="31" t="s">
        <v>10634</v>
      </c>
      <c r="B729" s="31" t="s">
        <v>13756</v>
      </c>
      <c r="C729" s="31" t="str">
        <f t="shared" si="31"/>
        <v>C06148:1</v>
      </c>
      <c r="D729" s="31" t="str">
        <f t="shared" si="32"/>
        <v>C06148:	
2,5-Diamino-6-(5'-triphosphoryl-3',4'-trihydroxy-2'-oxopentyl)-amino-4-oxopyrimidine</v>
      </c>
    </row>
    <row r="730" spans="1:4" x14ac:dyDescent="0.35">
      <c r="A730" s="31" t="s">
        <v>12087</v>
      </c>
      <c r="B730" s="33" t="s">
        <v>13235</v>
      </c>
      <c r="C730" s="31" t="str">
        <f t="shared" si="31"/>
        <v>C06156:1</v>
      </c>
      <c r="D730" s="31" t="str">
        <f t="shared" si="32"/>
        <v>C06156:alpha-D-Glucosamine 1-phosphate</v>
      </c>
    </row>
    <row r="731" spans="1:4" x14ac:dyDescent="0.35">
      <c r="A731" s="31" t="s">
        <v>12088</v>
      </c>
      <c r="B731" s="33" t="s">
        <v>13236</v>
      </c>
      <c r="C731" s="31" t="str">
        <f t="shared" si="31"/>
        <v>C06196:1</v>
      </c>
      <c r="D731" s="31" t="str">
        <f t="shared" si="32"/>
        <v>C06196:2'-Deoxyinosine 5'-phosphate</v>
      </c>
    </row>
    <row r="732" spans="1:4" ht="29" x14ac:dyDescent="0.35">
      <c r="A732" s="31" t="s">
        <v>12747</v>
      </c>
      <c r="B732" s="31" t="s">
        <v>13757</v>
      </c>
      <c r="C732" s="31" t="str">
        <f t="shared" si="31"/>
        <v>C06206 :1</v>
      </c>
      <c r="D732" s="31" t="str">
        <f t="shared" si="32"/>
        <v>C06206 :	
Benzoyl phosphate</v>
      </c>
    </row>
    <row r="733" spans="1:4" ht="29" x14ac:dyDescent="0.35">
      <c r="A733" s="31" t="s">
        <v>12748</v>
      </c>
      <c r="B733" s="31" t="s">
        <v>13758</v>
      </c>
      <c r="C733" s="31" t="str">
        <f t="shared" si="31"/>
        <v>C06249 :1</v>
      </c>
      <c r="D733" s="31" t="str">
        <f t="shared" si="32"/>
        <v>C06249 :	
Apo-[carboxylase]</v>
      </c>
    </row>
    <row r="734" spans="1:4" ht="29" x14ac:dyDescent="0.35">
      <c r="A734" s="31" t="s">
        <v>12381</v>
      </c>
      <c r="B734" s="31" t="s">
        <v>13759</v>
      </c>
      <c r="C734" s="31" t="str">
        <f t="shared" si="31"/>
        <v>C06250:1</v>
      </c>
      <c r="D734" s="31" t="str">
        <f t="shared" si="32"/>
        <v>C06250:	
Holo-[carboxylase]</v>
      </c>
    </row>
    <row r="735" spans="1:4" ht="43.5" x14ac:dyDescent="0.35">
      <c r="A735" s="31" t="s">
        <v>12222</v>
      </c>
      <c r="B735" s="31" t="s">
        <v>13760</v>
      </c>
      <c r="C735" s="31" t="str">
        <f t="shared" si="31"/>
        <v>C06321:1</v>
      </c>
      <c r="D735" s="31" t="str">
        <f t="shared" si="32"/>
        <v>C06321:	
(1R,6S)-1,6-Dihydroxycyclohexa-2,4-diene-1-carboxylate</v>
      </c>
    </row>
    <row r="736" spans="1:4" ht="29" x14ac:dyDescent="0.35">
      <c r="A736" s="31" t="s">
        <v>12275</v>
      </c>
      <c r="B736" s="31" t="s">
        <v>13761</v>
      </c>
      <c r="C736" s="31" t="str">
        <f t="shared" si="31"/>
        <v>C06329:1</v>
      </c>
      <c r="D736" s="31" t="str">
        <f t="shared" si="32"/>
        <v>C06329:	
2-Chloromaleylacetate</v>
      </c>
    </row>
    <row r="737" spans="1:4" ht="43.5" x14ac:dyDescent="0.35">
      <c r="A737" s="31" t="s">
        <v>12749</v>
      </c>
      <c r="B737" s="31" t="s">
        <v>13762</v>
      </c>
      <c r="C737" s="31" t="str">
        <f t="shared" si="31"/>
        <v>C06400:1</v>
      </c>
      <c r="D737" s="31" t="str">
        <f t="shared" si="32"/>
        <v>C06400:	
1-alpha-D-[(1-&gt;4)-alpha-D-Glucosyl](n-1)-alpha-D-glucopyranoside</v>
      </c>
    </row>
    <row r="738" spans="1:4" ht="29" x14ac:dyDescent="0.35">
      <c r="A738" s="31" t="s">
        <v>12750</v>
      </c>
      <c r="B738" s="31" t="s">
        <v>13763</v>
      </c>
      <c r="C738" s="31" t="str">
        <f t="shared" si="31"/>
        <v>  C06481:1</v>
      </c>
      <c r="D738" s="31" t="str">
        <f t="shared" si="32"/>
        <v>  C06481:	
L-Seryl-tRNA(Sec)</v>
      </c>
    </row>
    <row r="739" spans="1:4" x14ac:dyDescent="0.35">
      <c r="A739" s="31" t="s">
        <v>12751</v>
      </c>
      <c r="B739" s="31" t="s">
        <v>13764</v>
      </c>
      <c r="C739" s="31" t="str">
        <f t="shared" si="31"/>
        <v>C06504:1</v>
      </c>
      <c r="D739" s="31" t="str">
        <f t="shared" si="32"/>
        <v>C06504:Cob(II)yrinate a,c diamide</v>
      </c>
    </row>
    <row r="740" spans="1:4" ht="29" x14ac:dyDescent="0.35">
      <c r="A740" s="31" t="s">
        <v>12752</v>
      </c>
      <c r="B740" s="31" t="s">
        <v>13765</v>
      </c>
      <c r="C740" s="31" t="str">
        <f t="shared" si="31"/>
        <v>C06505:1</v>
      </c>
      <c r="D740" s="31" t="str">
        <f t="shared" si="32"/>
        <v>C06505:	
Cob(I)yrinate a,c diamide</v>
      </c>
    </row>
    <row r="741" spans="1:4" ht="29" x14ac:dyDescent="0.35">
      <c r="A741" s="31" t="s">
        <v>12753</v>
      </c>
      <c r="B741" s="31" t="s">
        <v>13766</v>
      </c>
      <c r="C741" s="31" t="str">
        <f t="shared" si="31"/>
        <v>  C06506 :1</v>
      </c>
      <c r="D741" s="31" t="str">
        <f t="shared" si="32"/>
        <v>  C06506 :	
Adenosyl cobyrinate a,c diamide</v>
      </c>
    </row>
    <row r="742" spans="1:4" ht="29" x14ac:dyDescent="0.35">
      <c r="A742" s="31" t="s">
        <v>12754</v>
      </c>
      <c r="B742" s="31" t="s">
        <v>13767</v>
      </c>
      <c r="C742" s="31" t="str">
        <f t="shared" si="31"/>
        <v>C06508:1</v>
      </c>
      <c r="D742" s="31" t="str">
        <f t="shared" si="32"/>
        <v>C06508:	
Adenosyl cobinamide</v>
      </c>
    </row>
    <row r="743" spans="1:4" ht="29" x14ac:dyDescent="0.35">
      <c r="A743" s="31" t="s">
        <v>12755</v>
      </c>
      <c r="B743" s="31" t="s">
        <v>13768</v>
      </c>
      <c r="C743" s="31" t="str">
        <f t="shared" si="31"/>
        <v>C06509 :1</v>
      </c>
      <c r="D743" s="31" t="str">
        <f t="shared" si="32"/>
        <v>C06509 :	
Adenosyl cobinamide phosphate</v>
      </c>
    </row>
    <row r="744" spans="1:4" ht="29" x14ac:dyDescent="0.35">
      <c r="A744" s="31" t="s">
        <v>12756</v>
      </c>
      <c r="B744" s="31" t="s">
        <v>13769</v>
      </c>
      <c r="C744" s="31" t="str">
        <f t="shared" si="31"/>
        <v> C06510:1</v>
      </c>
      <c r="D744" s="31" t="str">
        <f t="shared" si="32"/>
        <v> C06510:	
Adenosine-GDP-cobinamide</v>
      </c>
    </row>
    <row r="745" spans="1:4" x14ac:dyDescent="0.35">
      <c r="A745" s="31" t="s">
        <v>12089</v>
      </c>
      <c r="B745" s="33" t="s">
        <v>13237</v>
      </c>
      <c r="C745" s="31" t="str">
        <f t="shared" si="31"/>
        <v>C06611:1</v>
      </c>
      <c r="D745" s="31" t="str">
        <f t="shared" si="32"/>
        <v>C06611:trans-3-Chloro-2-propene-1-ol</v>
      </c>
    </row>
    <row r="746" spans="1:4" x14ac:dyDescent="0.35">
      <c r="A746" s="31" t="s">
        <v>12090</v>
      </c>
      <c r="B746" s="33" t="s">
        <v>13238</v>
      </c>
      <c r="C746" s="31" t="str">
        <f t="shared" si="31"/>
        <v>C06612:1</v>
      </c>
      <c r="D746" s="31" t="str">
        <f t="shared" si="32"/>
        <v>C06612:cis-3-Chloro-2-propene-1-ol</v>
      </c>
    </row>
    <row r="747" spans="1:4" x14ac:dyDescent="0.35">
      <c r="A747" s="31" t="s">
        <v>12127</v>
      </c>
      <c r="B747" s="33" t="s">
        <v>13239</v>
      </c>
      <c r="C747" s="31" t="str">
        <f t="shared" si="31"/>
        <v>C06613 :1</v>
      </c>
      <c r="D747" s="31" t="str">
        <f t="shared" si="32"/>
        <v>C06613 :trans-3-Chloroallyl aldehyde</v>
      </c>
    </row>
    <row r="748" spans="1:4" ht="29" x14ac:dyDescent="0.35">
      <c r="A748" s="31" t="s">
        <v>12270</v>
      </c>
      <c r="B748" s="31" t="s">
        <v>13770</v>
      </c>
      <c r="C748" s="31" t="str">
        <f t="shared" si="31"/>
        <v>C06697:1</v>
      </c>
      <c r="D748" s="31" t="str">
        <f t="shared" si="32"/>
        <v>C06697:	
Arsenite</v>
      </c>
    </row>
    <row r="749" spans="1:4" ht="29" x14ac:dyDescent="0.35">
      <c r="A749" s="31" t="s">
        <v>12180</v>
      </c>
      <c r="B749" s="31" t="s">
        <v>13771</v>
      </c>
      <c r="C749" s="31" t="str">
        <f t="shared" si="31"/>
        <v>C06717 :1</v>
      </c>
      <c r="D749" s="31" t="str">
        <f t="shared" si="32"/>
        <v>C06717 :	
Mycothiol</v>
      </c>
    </row>
    <row r="750" spans="1:4" x14ac:dyDescent="0.35">
      <c r="A750" s="31" t="s">
        <v>12178</v>
      </c>
      <c r="B750" s="33" t="s">
        <v>13772</v>
      </c>
      <c r="C750" s="31" t="str">
        <f t="shared" si="31"/>
        <v>C06718 :1</v>
      </c>
      <c r="D750" s="31" t="str">
        <f t="shared" si="32"/>
        <v>C06718 :S-Formylmycothiol</v>
      </c>
    </row>
    <row r="751" spans="1:4" ht="29" x14ac:dyDescent="0.35">
      <c r="A751" s="31" t="s">
        <v>12209</v>
      </c>
      <c r="B751" s="31" t="s">
        <v>14492</v>
      </c>
      <c r="C751" s="31" t="str">
        <f t="shared" si="31"/>
        <v>C06730  :1</v>
      </c>
      <c r="D751" s="31" t="str">
        <f t="shared" si="32"/>
        <v>C06730  :	
4-Methylcatechol</v>
      </c>
    </row>
    <row r="752" spans="1:4" ht="29" x14ac:dyDescent="0.35">
      <c r="A752" s="31" t="s">
        <v>12757</v>
      </c>
      <c r="B752" s="31" t="s">
        <v>13773</v>
      </c>
      <c r="C752" s="31" t="str">
        <f t="shared" si="31"/>
        <v>C06892  :1</v>
      </c>
      <c r="D752" s="31" t="str">
        <f t="shared" si="32"/>
        <v>C06892  :	
2-Deoxy-5-keto-D-gluconic acid</v>
      </c>
    </row>
    <row r="753" spans="1:4" ht="43.5" x14ac:dyDescent="0.35">
      <c r="A753" s="31" t="s">
        <v>12758</v>
      </c>
      <c r="B753" s="31" t="s">
        <v>13774</v>
      </c>
      <c r="C753" s="31" t="str">
        <f t="shared" si="31"/>
        <v> C06893 :1</v>
      </c>
      <c r="D753" s="31" t="str">
        <f t="shared" si="32"/>
        <v> C06893 :	
2-Deoxy-5-keto-D-gluconic acid 6-phosphate</v>
      </c>
    </row>
    <row r="754" spans="1:4" x14ac:dyDescent="0.35">
      <c r="A754" s="31" t="s">
        <v>12091</v>
      </c>
      <c r="B754" s="33" t="s">
        <v>13240</v>
      </c>
      <c r="C754" s="31" t="str">
        <f t="shared" si="31"/>
        <v>C06899:1</v>
      </c>
      <c r="D754" s="31" t="str">
        <f t="shared" si="32"/>
        <v>C06899:Chloral hydrate</v>
      </c>
    </row>
    <row r="755" spans="1:4" ht="29" x14ac:dyDescent="0.35">
      <c r="A755" s="31" t="s">
        <v>12269</v>
      </c>
      <c r="B755" s="31" t="s">
        <v>13775</v>
      </c>
      <c r="C755" s="31" t="str">
        <f t="shared" si="31"/>
        <v>C07292:1</v>
      </c>
      <c r="D755" s="31" t="str">
        <f t="shared" si="32"/>
        <v>C07292:	
Glutaredoxin</v>
      </c>
    </row>
    <row r="756" spans="1:4" ht="29" x14ac:dyDescent="0.35">
      <c r="A756" s="31" t="s">
        <v>12271</v>
      </c>
      <c r="B756" s="31" t="s">
        <v>13776</v>
      </c>
      <c r="C756" s="31" t="str">
        <f t="shared" si="31"/>
        <v xml:space="preserve">  C07293:1</v>
      </c>
      <c r="D756" s="31" t="str">
        <f t="shared" si="32"/>
        <v xml:space="preserve">  C07293:	
Glutaredoxin disulfide</v>
      </c>
    </row>
    <row r="757" spans="1:4" x14ac:dyDescent="0.35">
      <c r="A757" s="31" t="s">
        <v>12137</v>
      </c>
      <c r="B757" s="33" t="s">
        <v>13241</v>
      </c>
      <c r="C757" s="31" t="str">
        <f t="shared" si="31"/>
        <v>C07490 :1</v>
      </c>
      <c r="D757" s="31" t="str">
        <f t="shared" si="32"/>
        <v>C07490 :Trichloroethanol</v>
      </c>
    </row>
    <row r="758" spans="1:4" x14ac:dyDescent="0.35">
      <c r="A758" s="31" t="s">
        <v>12092</v>
      </c>
      <c r="B758" s="33" t="s">
        <v>13242</v>
      </c>
      <c r="C758" s="31" t="str">
        <f t="shared" si="31"/>
        <v>C07645:1</v>
      </c>
      <c r="D758" s="31" t="str">
        <f t="shared" si="32"/>
        <v>C07645:Aldophosphamide</v>
      </c>
    </row>
    <row r="759" spans="1:4" x14ac:dyDescent="0.35">
      <c r="A759" s="31" t="s">
        <v>12093</v>
      </c>
      <c r="B759" s="31" t="s">
        <v>13243</v>
      </c>
      <c r="C759" s="31" t="str">
        <f t="shared" si="31"/>
        <v>C07648:1</v>
      </c>
      <c r="D759" s="31" t="str">
        <f t="shared" si="32"/>
        <v>C07648:Thioguanine</v>
      </c>
    </row>
    <row r="760" spans="1:4" x14ac:dyDescent="0.35">
      <c r="A760" s="31" t="s">
        <v>12759</v>
      </c>
      <c r="B760" s="33" t="s">
        <v>13244</v>
      </c>
      <c r="C760" s="31" t="str">
        <f t="shared" si="31"/>
        <v>C07649 :1</v>
      </c>
      <c r="D760" s="31" t="str">
        <f t="shared" si="32"/>
        <v>C07649 :5-FU</v>
      </c>
    </row>
    <row r="761" spans="1:4" x14ac:dyDescent="0.35">
      <c r="A761" s="31" t="s">
        <v>11246</v>
      </c>
      <c r="B761" s="33" t="s">
        <v>13245</v>
      </c>
      <c r="C761" s="31" t="str">
        <f t="shared" si="31"/>
        <v>C08353:1</v>
      </c>
      <c r="D761" s="31" t="str">
        <f t="shared" si="32"/>
        <v>C08353:beta-D-Ribopyranose</v>
      </c>
    </row>
    <row r="762" spans="1:4" x14ac:dyDescent="0.35">
      <c r="A762" s="31" t="s">
        <v>12134</v>
      </c>
      <c r="B762" s="33" t="s">
        <v>13246</v>
      </c>
      <c r="C762" s="31" t="str">
        <f t="shared" si="31"/>
        <v>C08492 :1</v>
      </c>
      <c r="D762" s="31" t="str">
        <f t="shared" si="32"/>
        <v>C08492 :3-Hexenol</v>
      </c>
    </row>
    <row r="763" spans="1:4" ht="29" x14ac:dyDescent="0.35">
      <c r="A763" s="31" t="s">
        <v>12760</v>
      </c>
      <c r="B763" s="31" t="s">
        <v>13777</v>
      </c>
      <c r="C763" s="31" t="str">
        <f t="shared" si="31"/>
        <v>C09332:1</v>
      </c>
      <c r="D763" s="31" t="str">
        <f t="shared" si="32"/>
        <v>C09332:	
THF-L-glutamate</v>
      </c>
    </row>
    <row r="764" spans="1:4" ht="43.5" x14ac:dyDescent="0.35">
      <c r="A764" s="31" t="s">
        <v>12761</v>
      </c>
      <c r="B764" s="31" t="s">
        <v>13778</v>
      </c>
      <c r="C764" s="31" t="str">
        <f t="shared" si="31"/>
        <v>C11038  :1</v>
      </c>
      <c r="D764" s="31" t="str">
        <f t="shared" si="32"/>
        <v>C11038  :	
2'-Deoxy-5-hydroxymethylcytidine-5'-diphosphate</v>
      </c>
    </row>
    <row r="765" spans="1:4" ht="29" x14ac:dyDescent="0.35">
      <c r="A765" s="31" t="s">
        <v>12762</v>
      </c>
      <c r="B765" s="33" t="s">
        <v>13247</v>
      </c>
      <c r="C765" s="31" t="str">
        <f t="shared" si="31"/>
        <v> C11039 :1</v>
      </c>
      <c r="D765" s="31" t="str">
        <f t="shared" si="32"/>
        <v> C11039 :2'-Deoxy-5-hydroxymethylcytidine-5'-triphosphate</v>
      </c>
    </row>
    <row r="766" spans="1:4" ht="29" x14ac:dyDescent="0.35">
      <c r="A766" s="31" t="s">
        <v>12268</v>
      </c>
      <c r="B766" s="31" t="s">
        <v>13779</v>
      </c>
      <c r="C766" s="31" t="str">
        <f t="shared" si="31"/>
        <v>C11215  :1</v>
      </c>
      <c r="D766" s="31" t="str">
        <f t="shared" si="32"/>
        <v>C11215  :	
Arsenate ion</v>
      </c>
    </row>
    <row r="767" spans="1:4" ht="29" x14ac:dyDescent="0.35">
      <c r="A767" s="31" t="s">
        <v>12763</v>
      </c>
      <c r="B767" s="31" t="s">
        <v>13780</v>
      </c>
      <c r="C767" s="31" t="str">
        <f t="shared" ref="C767:C830" si="33">CONCATENATE(A767, ":", "1")</f>
        <v>C11355 :1</v>
      </c>
      <c r="D767" s="31" t="str">
        <f t="shared" si="32"/>
        <v>C11355 :	
4-Amino-4-deoxychorismate</v>
      </c>
    </row>
    <row r="768" spans="1:4" ht="29" x14ac:dyDescent="0.35">
      <c r="A768" s="31" t="s">
        <v>12171</v>
      </c>
      <c r="B768" s="31" t="s">
        <v>13781</v>
      </c>
      <c r="C768" s="31" t="str">
        <f t="shared" si="33"/>
        <v>C11434:1</v>
      </c>
      <c r="D768" s="31" t="str">
        <f t="shared" si="32"/>
        <v>C11434:	
2-C-Methyl-D-erythritol 4-phosphate</v>
      </c>
    </row>
    <row r="769" spans="1:4" ht="29" x14ac:dyDescent="0.35">
      <c r="A769" s="31" t="s">
        <v>12764</v>
      </c>
      <c r="B769" s="31" t="s">
        <v>13782</v>
      </c>
      <c r="C769" s="31" t="str">
        <f t="shared" si="33"/>
        <v>C11435:1</v>
      </c>
      <c r="D769" s="31" t="str">
        <f t="shared" si="32"/>
        <v>C11435:4-(Cytidine 5'-diphospho)-2-C-methyl-D-erythritol</v>
      </c>
    </row>
    <row r="770" spans="1:4" ht="43.5" x14ac:dyDescent="0.35">
      <c r="A770" s="31" t="s">
        <v>12765</v>
      </c>
      <c r="B770" s="31" t="s">
        <v>13783</v>
      </c>
      <c r="C770" s="31" t="str">
        <f t="shared" si="33"/>
        <v>C11436 :1</v>
      </c>
      <c r="D770" s="31" t="str">
        <f t="shared" si="32"/>
        <v>C11436 :	
2-Phospho-4-(cytidine 5'-diphospho)-2-C-methyl-D-erythritol</v>
      </c>
    </row>
    <row r="771" spans="1:4" x14ac:dyDescent="0.35">
      <c r="A771" s="31" t="s">
        <v>12094</v>
      </c>
      <c r="B771" s="33" t="s">
        <v>13248</v>
      </c>
      <c r="C771" s="31" t="str">
        <f t="shared" si="33"/>
        <v>C11437:1</v>
      </c>
      <c r="D771" s="31" t="str">
        <f t="shared" ref="D771:D834" si="34">CONCATENATE(A771,":",B771)</f>
        <v>C11437:1-Deoxy-D-xylulose 5-phosphate</v>
      </c>
    </row>
    <row r="772" spans="1:4" x14ac:dyDescent="0.35">
      <c r="A772" s="31" t="s">
        <v>12095</v>
      </c>
      <c r="B772" s="33" t="s">
        <v>13249</v>
      </c>
      <c r="C772" s="31" t="str">
        <f t="shared" si="33"/>
        <v>C11439:1</v>
      </c>
      <c r="D772" s="31" t="str">
        <f t="shared" si="34"/>
        <v>C11439:Formyl-L-methionyl peptide</v>
      </c>
    </row>
    <row r="773" spans="1:4" x14ac:dyDescent="0.35">
      <c r="A773" s="31" t="s">
        <v>12766</v>
      </c>
      <c r="B773" s="33" t="s">
        <v>13250</v>
      </c>
      <c r="C773" s="31" t="str">
        <f t="shared" si="33"/>
        <v>C11440  :1</v>
      </c>
      <c r="D773" s="31" t="str">
        <f t="shared" si="34"/>
        <v>C11440  :Methionyl peptide</v>
      </c>
    </row>
    <row r="774" spans="1:4" ht="43.5" x14ac:dyDescent="0.35">
      <c r="A774" s="31" t="s">
        <v>12244</v>
      </c>
      <c r="B774" s="31" t="s">
        <v>13784</v>
      </c>
      <c r="C774" s="31" t="str">
        <f t="shared" si="33"/>
        <v>C11453:1</v>
      </c>
      <c r="D774" s="31" t="str">
        <f t="shared" si="34"/>
        <v>C11453:	
2-C-Methyl-D-erythritol 2,4-cyclodiphosphate</v>
      </c>
    </row>
    <row r="775" spans="1:4" ht="29" x14ac:dyDescent="0.35">
      <c r="A775" s="31" t="s">
        <v>12231</v>
      </c>
      <c r="B775" s="31" t="s">
        <v>13785</v>
      </c>
      <c r="C775" s="31" t="str">
        <f t="shared" si="33"/>
        <v>C11457:1</v>
      </c>
      <c r="D775" s="31" t="str">
        <f t="shared" si="34"/>
        <v>C11457:	
3-(3-Hydroxyphenyl)propanoic acid</v>
      </c>
    </row>
    <row r="776" spans="1:4" ht="29" x14ac:dyDescent="0.35">
      <c r="A776" s="31" t="s">
        <v>12370</v>
      </c>
      <c r="B776" s="31" t="s">
        <v>13786</v>
      </c>
      <c r="C776" s="31" t="str">
        <f t="shared" si="33"/>
        <v xml:space="preserve"> C11475:1</v>
      </c>
      <c r="D776" s="31" t="str">
        <f t="shared" si="34"/>
        <v xml:space="preserve"> C11475:	
DNA containing guanine</v>
      </c>
    </row>
    <row r="777" spans="1:4" ht="29" x14ac:dyDescent="0.35">
      <c r="A777" s="31" t="s">
        <v>12327</v>
      </c>
      <c r="B777" s="31" t="s">
        <v>13787</v>
      </c>
      <c r="C777" s="31" t="str">
        <f t="shared" si="33"/>
        <v>C11502 :1</v>
      </c>
      <c r="D777" s="31" t="str">
        <f t="shared" si="34"/>
        <v>C11502 :	
Mycothione</v>
      </c>
    </row>
    <row r="778" spans="1:4" ht="29" x14ac:dyDescent="0.35">
      <c r="A778" s="31" t="s">
        <v>12185</v>
      </c>
      <c r="B778" s="31" t="s">
        <v>13788</v>
      </c>
      <c r="C778" s="31" t="str">
        <f t="shared" si="33"/>
        <v>C11537:1</v>
      </c>
      <c r="D778" s="31" t="str">
        <f t="shared" si="34"/>
        <v>C11537:	
(2R)-3-Sulfolactate</v>
      </c>
    </row>
    <row r="779" spans="1:4" ht="29" x14ac:dyDescent="0.35">
      <c r="A779" s="31" t="s">
        <v>12307</v>
      </c>
      <c r="B779" s="31" t="s">
        <v>13789</v>
      </c>
      <c r="C779" s="31" t="str">
        <f t="shared" si="33"/>
        <v>C11735 :1</v>
      </c>
      <c r="D779" s="31" t="str">
        <f t="shared" si="34"/>
        <v>C11735 :	
N-Ethylglycine</v>
      </c>
    </row>
    <row r="780" spans="1:4" ht="43.5" x14ac:dyDescent="0.35">
      <c r="A780" s="31" t="s">
        <v>12246</v>
      </c>
      <c r="B780" s="31" t="s">
        <v>13790</v>
      </c>
      <c r="C780" s="31" t="str">
        <f t="shared" si="33"/>
        <v>C11811  :1</v>
      </c>
      <c r="D780" s="31" t="str">
        <f t="shared" si="34"/>
        <v>C11811  :	
1-Hydroxy-2-methyl-2-butenyl 4-diphosphate</v>
      </c>
    </row>
    <row r="781" spans="1:4" ht="43.5" x14ac:dyDescent="0.35">
      <c r="A781" s="31" t="s">
        <v>12767</v>
      </c>
      <c r="B781" s="33" t="s">
        <v>13251</v>
      </c>
      <c r="C781" s="31" t="str">
        <f t="shared" si="33"/>
        <v xml:space="preserve"> C11826:1</v>
      </c>
      <c r="D781" s="31" t="str">
        <f t="shared" si="34"/>
        <v xml:space="preserve"> C11826:[GlcNAc-(1-&gt;4)-Mur2Ac(oyl-L-Ala-g-D-Glu-L-Lys-D-Ala-D-Ala)]n-diphosphoundecaprenol</v>
      </c>
    </row>
    <row r="782" spans="1:4" ht="43.5" x14ac:dyDescent="0.35">
      <c r="A782" s="31" t="s">
        <v>12768</v>
      </c>
      <c r="B782" s="33" t="s">
        <v>13252</v>
      </c>
      <c r="C782" s="31" t="str">
        <f t="shared" si="33"/>
        <v xml:space="preserve"> C11827 :1</v>
      </c>
      <c r="D782" s="31" t="str">
        <f t="shared" si="34"/>
        <v xml:space="preserve"> C11827 :[GlcNAc-(1-&gt;4)-Mur2Ac(oyl-L-Ala-g-D-Glu-A2pm-D-Ala-D-Ala)]n-diphosphoundecaprenol</v>
      </c>
    </row>
    <row r="783" spans="1:4" ht="29" x14ac:dyDescent="0.35">
      <c r="A783" s="31" t="s">
        <v>12769</v>
      </c>
      <c r="B783" s="31" t="s">
        <v>13791</v>
      </c>
      <c r="C783" s="31" t="str">
        <f t="shared" si="33"/>
        <v> C11907 :1</v>
      </c>
      <c r="D783" s="31" t="str">
        <f t="shared" si="34"/>
        <v> C11907 :	
dTDP-4-oxo-6-deoxy-D-glucose</v>
      </c>
    </row>
    <row r="784" spans="1:4" ht="29" x14ac:dyDescent="0.35">
      <c r="A784" s="31" t="s">
        <v>12390</v>
      </c>
      <c r="B784" s="31" t="s">
        <v>13792</v>
      </c>
      <c r="C784" s="31" t="str">
        <f t="shared" si="33"/>
        <v>C12214  :1</v>
      </c>
      <c r="D784" s="31" t="str">
        <f t="shared" si="34"/>
        <v>C12214  :	
Aminofructose 6-phosphate</v>
      </c>
    </row>
    <row r="785" spans="1:4" ht="29" x14ac:dyDescent="0.35">
      <c r="A785" s="31" t="s">
        <v>12391</v>
      </c>
      <c r="B785" s="31" t="s">
        <v>13793</v>
      </c>
      <c r="C785" s="31" t="str">
        <f t="shared" si="33"/>
        <v> C12215 :1</v>
      </c>
      <c r="D785" s="31" t="str">
        <f t="shared" si="34"/>
        <v> C12215 :	
Iminoerythrose 4-phosphate</v>
      </c>
    </row>
    <row r="786" spans="1:4" ht="29" x14ac:dyDescent="0.35">
      <c r="A786" s="31" t="s">
        <v>12233</v>
      </c>
      <c r="B786" s="31" t="s">
        <v>13794</v>
      </c>
      <c r="C786" s="31" t="str">
        <f t="shared" si="33"/>
        <v>C12621  :1</v>
      </c>
      <c r="D786" s="31" t="str">
        <f t="shared" si="34"/>
        <v>C12621  :	
trans-3-Hydroxycinnamate</v>
      </c>
    </row>
    <row r="787" spans="1:4" x14ac:dyDescent="0.35">
      <c r="A787" s="31" t="s">
        <v>12234</v>
      </c>
      <c r="B787" s="31" t="s">
        <v>13795</v>
      </c>
      <c r="C787" s="31" t="str">
        <f t="shared" si="33"/>
        <v>C12623 :1</v>
      </c>
      <c r="D787" s="31" t="str">
        <f t="shared" si="34"/>
        <v>C12623 :trans-2,3-Dihydroxycinnamate</v>
      </c>
    </row>
    <row r="788" spans="1:4" ht="29" x14ac:dyDescent="0.35">
      <c r="A788" s="31" t="s">
        <v>12277</v>
      </c>
      <c r="B788" s="31" t="s">
        <v>13796</v>
      </c>
      <c r="C788" s="31" t="str">
        <f t="shared" si="33"/>
        <v>C12835  :1</v>
      </c>
      <c r="D788" s="31" t="str">
        <f t="shared" si="34"/>
        <v>C12835  :	
2,5-Dichloro-4-oxohex-2-enedioate</v>
      </c>
    </row>
    <row r="789" spans="1:4" ht="29" x14ac:dyDescent="0.35">
      <c r="A789" s="31" t="s">
        <v>12278</v>
      </c>
      <c r="B789" s="31" t="s">
        <v>13797</v>
      </c>
      <c r="C789" s="31" t="str">
        <f t="shared" si="33"/>
        <v>C12836 :1</v>
      </c>
      <c r="D789" s="31" t="str">
        <f t="shared" si="34"/>
        <v>C12836 :	
2-Chloro-3-oxoadipate</v>
      </c>
    </row>
    <row r="790" spans="1:4" ht="29" x14ac:dyDescent="0.35">
      <c r="A790" s="31" t="s">
        <v>12392</v>
      </c>
      <c r="B790" s="31" t="s">
        <v>13798</v>
      </c>
      <c r="C790" s="31" t="str">
        <f t="shared" si="33"/>
        <v> C13378 :1</v>
      </c>
      <c r="D790" s="31" t="str">
        <f t="shared" si="34"/>
        <v> C13378 :	
alpha,beta-Dihydroxyethyl-TPP</v>
      </c>
    </row>
    <row r="791" spans="1:4" x14ac:dyDescent="0.35">
      <c r="A791" s="31" t="s">
        <v>12096</v>
      </c>
      <c r="B791" s="33" t="s">
        <v>13253</v>
      </c>
      <c r="C791" s="31" t="str">
        <f t="shared" si="33"/>
        <v>C14089:1</v>
      </c>
      <c r="D791" s="31" t="str">
        <f t="shared" si="34"/>
        <v>C14089:1-Hydroxymethylnaphthalene</v>
      </c>
    </row>
    <row r="792" spans="1:4" x14ac:dyDescent="0.35">
      <c r="A792" s="31" t="s">
        <v>12129</v>
      </c>
      <c r="B792" s="33" t="s">
        <v>13254</v>
      </c>
      <c r="C792" s="31" t="str">
        <f t="shared" si="33"/>
        <v>C14090 :1</v>
      </c>
      <c r="D792" s="31" t="str">
        <f t="shared" si="34"/>
        <v>C14090 :1-Naphthaldehyde</v>
      </c>
    </row>
    <row r="793" spans="1:4" x14ac:dyDescent="0.35">
      <c r="A793" s="31" t="s">
        <v>12097</v>
      </c>
      <c r="B793" s="33" t="s">
        <v>13255</v>
      </c>
      <c r="C793" s="31" t="str">
        <f t="shared" si="33"/>
        <v>C14099:1</v>
      </c>
      <c r="D793" s="31" t="str">
        <f t="shared" si="34"/>
        <v>C14099:2-Naphthaldehyde</v>
      </c>
    </row>
    <row r="794" spans="1:4" ht="29" x14ac:dyDescent="0.35">
      <c r="A794" s="31" t="s">
        <v>8897</v>
      </c>
      <c r="B794" s="31" t="s">
        <v>13799</v>
      </c>
      <c r="C794" s="31" t="str">
        <f t="shared" si="33"/>
        <v>C14463 :1</v>
      </c>
      <c r="D794" s="31" t="str">
        <f t="shared" si="34"/>
        <v>C14463 :	
(R)-3-Hydroxy-3-methyl-2-oxopentanoate</v>
      </c>
    </row>
    <row r="795" spans="1:4" ht="29" x14ac:dyDescent="0.35">
      <c r="A795" s="31" t="s">
        <v>12770</v>
      </c>
      <c r="B795" s="31" t="s">
        <v>13800</v>
      </c>
      <c r="C795" s="31" t="str">
        <f t="shared" si="33"/>
        <v>C14610:1</v>
      </c>
      <c r="D795" s="31" t="str">
        <f t="shared" si="34"/>
        <v>C14610:	
(S)-5-Oxo-2,5-dihydrofuran-2-acetate</v>
      </c>
    </row>
    <row r="796" spans="1:4" ht="29" x14ac:dyDescent="0.35">
      <c r="A796" s="31" t="s">
        <v>12771</v>
      </c>
      <c r="B796" s="31" t="s">
        <v>13801</v>
      </c>
      <c r="C796" s="31" t="str">
        <f t="shared" si="33"/>
        <v xml:space="preserve"> C14818:1</v>
      </c>
      <c r="D796" s="31" t="str">
        <f t="shared" si="34"/>
        <v xml:space="preserve"> C14818:	
Fe2+</v>
      </c>
    </row>
    <row r="797" spans="1:4" ht="29" x14ac:dyDescent="0.35">
      <c r="A797" s="31" t="s">
        <v>12200</v>
      </c>
      <c r="B797" s="31" t="s">
        <v>14493</v>
      </c>
      <c r="C797" s="31" t="str">
        <f t="shared" si="33"/>
        <v xml:space="preserve"> C15498:1</v>
      </c>
      <c r="D797" s="31" t="str">
        <f t="shared" si="34"/>
        <v xml:space="preserve"> C15498:	
Hydroperoxide</v>
      </c>
    </row>
    <row r="798" spans="1:4" ht="29" x14ac:dyDescent="0.35">
      <c r="A798" s="31" t="s">
        <v>12772</v>
      </c>
      <c r="B798" s="31" t="s">
        <v>13802</v>
      </c>
      <c r="C798" s="31" t="str">
        <f t="shared" si="33"/>
        <v>C15522:1</v>
      </c>
      <c r="D798" s="31" t="str">
        <f t="shared" si="34"/>
        <v>C15522:	
4a-Hydroxytetrahydrobiopterin</v>
      </c>
    </row>
    <row r="799" spans="1:4" ht="29" x14ac:dyDescent="0.35">
      <c r="A799" s="31" t="s">
        <v>12350</v>
      </c>
      <c r="B799" s="31" t="s">
        <v>13803</v>
      </c>
      <c r="C799" s="31" t="str">
        <f t="shared" si="33"/>
        <v>  C15527:1</v>
      </c>
      <c r="D799" s="31" t="str">
        <f t="shared" si="34"/>
        <v>  C15527:	
Precorrin 1</v>
      </c>
    </row>
    <row r="800" spans="1:4" x14ac:dyDescent="0.35">
      <c r="A800" s="31" t="s">
        <v>12773</v>
      </c>
      <c r="B800" s="31" t="s">
        <v>13804</v>
      </c>
      <c r="C800" s="31" t="str">
        <f t="shared" si="33"/>
        <v>C15541:1</v>
      </c>
      <c r="D800" s="31" t="str">
        <f t="shared" si="34"/>
        <v>C15541:NDP-glucose</v>
      </c>
    </row>
    <row r="801" spans="1:4" ht="29" x14ac:dyDescent="0.35">
      <c r="A801" s="31" t="s">
        <v>12774</v>
      </c>
      <c r="B801" s="31" t="s">
        <v>13805</v>
      </c>
      <c r="C801" s="31" t="str">
        <f t="shared" si="33"/>
        <v>C15547:1</v>
      </c>
      <c r="D801" s="31" t="str">
        <f t="shared" si="34"/>
        <v>C15547:	
1,4-Dihydroxy-2-naphthoyl-CoA</v>
      </c>
    </row>
    <row r="802" spans="1:4" ht="29" x14ac:dyDescent="0.35">
      <c r="A802" s="31" t="s">
        <v>12775</v>
      </c>
      <c r="B802" s="31" t="s">
        <v>13806</v>
      </c>
      <c r="C802" s="31" t="str">
        <f t="shared" si="33"/>
        <v>  C15556:1</v>
      </c>
      <c r="D802" s="31" t="str">
        <f t="shared" si="34"/>
        <v>  C15556:	
L-3,4-Dihydroxybutan-2-one 4-phosphate</v>
      </c>
    </row>
    <row r="803" spans="1:4" ht="29" x14ac:dyDescent="0.35">
      <c r="A803" s="31" t="s">
        <v>12197</v>
      </c>
      <c r="B803" s="31" t="s">
        <v>13807</v>
      </c>
      <c r="C803" s="31" t="str">
        <f t="shared" si="33"/>
        <v xml:space="preserve"> C15602:1</v>
      </c>
      <c r="D803" s="31" t="str">
        <f t="shared" si="34"/>
        <v xml:space="preserve"> C15602:	
Quinone</v>
      </c>
    </row>
    <row r="804" spans="1:4" ht="29" x14ac:dyDescent="0.35">
      <c r="A804" s="31" t="s">
        <v>12198</v>
      </c>
      <c r="B804" s="31" t="s">
        <v>13808</v>
      </c>
      <c r="C804" s="31" t="str">
        <f t="shared" si="33"/>
        <v xml:space="preserve"> C15603:1</v>
      </c>
      <c r="D804" s="31" t="str">
        <f t="shared" si="34"/>
        <v xml:space="preserve"> C15603:	
Hydroquinone</v>
      </c>
    </row>
    <row r="805" spans="1:4" x14ac:dyDescent="0.35">
      <c r="A805" s="31" t="s">
        <v>12098</v>
      </c>
      <c r="B805" s="33" t="s">
        <v>13256</v>
      </c>
      <c r="C805" s="31" t="str">
        <f t="shared" si="33"/>
        <v>C15653:1</v>
      </c>
      <c r="D805" s="31" t="str">
        <f t="shared" si="34"/>
        <v>C15653:Peptide-L-methionine (R)-S-oxide</v>
      </c>
    </row>
    <row r="806" spans="1:4" ht="29" x14ac:dyDescent="0.35">
      <c r="A806" s="31" t="s">
        <v>12099</v>
      </c>
      <c r="B806" s="31" t="s">
        <v>13257</v>
      </c>
      <c r="C806" s="31" t="str">
        <f t="shared" si="33"/>
        <v>C15667:1</v>
      </c>
      <c r="D806" s="31" t="str">
        <f t="shared" si="34"/>
        <v>C15667:5-Carboxyamino-1-(5-phospho-D-ribosyl)imidazole</v>
      </c>
    </row>
    <row r="807" spans="1:4" ht="29" x14ac:dyDescent="0.35">
      <c r="A807" s="31" t="s">
        <v>12251</v>
      </c>
      <c r="B807" s="31" t="s">
        <v>13809</v>
      </c>
      <c r="C807" s="31" t="str">
        <f t="shared" si="33"/>
        <v> C15670 :1</v>
      </c>
      <c r="D807" s="31" t="str">
        <f t="shared" si="34"/>
        <v> C15670 :	
Heme A</v>
      </c>
    </row>
    <row r="808" spans="1:4" x14ac:dyDescent="0.35">
      <c r="A808" s="31" t="s">
        <v>12249</v>
      </c>
      <c r="B808" s="31" t="s">
        <v>13810</v>
      </c>
      <c r="C808" s="31" t="str">
        <f t="shared" si="33"/>
        <v>C15672:1</v>
      </c>
      <c r="D808" s="31" t="str">
        <f t="shared" si="34"/>
        <v>C15672:Heme O</v>
      </c>
    </row>
    <row r="809" spans="1:4" ht="29" x14ac:dyDescent="0.35">
      <c r="A809" s="31" t="s">
        <v>12303</v>
      </c>
      <c r="B809" s="31" t="s">
        <v>13811</v>
      </c>
      <c r="C809" s="31" t="str">
        <f t="shared" si="33"/>
        <v>C15809  :1</v>
      </c>
      <c r="D809" s="31" t="str">
        <f t="shared" si="34"/>
        <v>C15809  :	
Iminoglycine</v>
      </c>
    </row>
    <row r="810" spans="1:4" x14ac:dyDescent="0.35">
      <c r="A810" s="31" t="s">
        <v>12776</v>
      </c>
      <c r="B810" s="31" t="s">
        <v>13812</v>
      </c>
      <c r="C810" s="31" t="str">
        <f t="shared" si="33"/>
        <v>C15810 :1</v>
      </c>
      <c r="D810" s="31" t="str">
        <f t="shared" si="34"/>
        <v>C15810 :Sulfur-carrier protein</v>
      </c>
    </row>
    <row r="811" spans="1:4" x14ac:dyDescent="0.35">
      <c r="A811" s="31" t="s">
        <v>12100</v>
      </c>
      <c r="B811" s="33" t="s">
        <v>13258</v>
      </c>
      <c r="C811" s="31" t="str">
        <f t="shared" si="33"/>
        <v>C15811:1</v>
      </c>
      <c r="D811" s="31" t="str">
        <f t="shared" si="34"/>
        <v>C15811:[Enzyme]-cysteine</v>
      </c>
    </row>
    <row r="812" spans="1:4" x14ac:dyDescent="0.35">
      <c r="A812" s="31" t="s">
        <v>12777</v>
      </c>
      <c r="B812" s="31" t="s">
        <v>13259</v>
      </c>
      <c r="C812" s="31" t="str">
        <f t="shared" si="33"/>
        <v>C15812  :1</v>
      </c>
      <c r="D812" s="31" t="str">
        <f t="shared" si="34"/>
        <v>C15812  :[Enzyme]-S-sulfanylcysteine</v>
      </c>
    </row>
    <row r="813" spans="1:4" x14ac:dyDescent="0.35">
      <c r="A813" s="31" t="s">
        <v>12778</v>
      </c>
      <c r="B813" s="33" t="s">
        <v>13260</v>
      </c>
      <c r="C813" s="31" t="str">
        <f t="shared" si="33"/>
        <v>C15814 :1</v>
      </c>
      <c r="D813" s="31" t="str">
        <f t="shared" si="34"/>
        <v>C15814 :Thiocarboxy-[sulfur-carrier protein]</v>
      </c>
    </row>
    <row r="814" spans="1:4" ht="29" x14ac:dyDescent="0.35">
      <c r="A814" s="31" t="s">
        <v>12265</v>
      </c>
      <c r="B814" s="31" t="s">
        <v>13813</v>
      </c>
      <c r="C814" s="31" t="str">
        <f t="shared" si="33"/>
        <v xml:space="preserve"> C15972:1</v>
      </c>
      <c r="D814" s="31" t="str">
        <f t="shared" si="34"/>
        <v xml:space="preserve"> C15972:	
Enzyme N6-(lipoyl)lysine</v>
      </c>
    </row>
    <row r="815" spans="1:4" ht="29" x14ac:dyDescent="0.35">
      <c r="A815" s="31" t="s">
        <v>12332</v>
      </c>
      <c r="B815" s="31" t="s">
        <v>13814</v>
      </c>
      <c r="C815" s="31" t="str">
        <f t="shared" si="33"/>
        <v>C15973 :1</v>
      </c>
      <c r="D815" s="31" t="str">
        <f t="shared" si="34"/>
        <v>C15973 :	
Enzyme N6-(dihydrolipoyl)lysine</v>
      </c>
    </row>
    <row r="816" spans="1:4" x14ac:dyDescent="0.35">
      <c r="A816" s="31" t="s">
        <v>12342</v>
      </c>
      <c r="B816" s="31" t="s">
        <v>13815</v>
      </c>
      <c r="C816" s="31" t="str">
        <f t="shared" si="33"/>
        <v>C15999  :1</v>
      </c>
      <c r="D816" s="31" t="str">
        <f t="shared" si="34"/>
        <v>C15999  :L-Methionine (S)-S-oxide</v>
      </c>
    </row>
    <row r="817" spans="1:4" ht="29" x14ac:dyDescent="0.35">
      <c r="A817" s="31" t="s">
        <v>12151</v>
      </c>
      <c r="B817" s="31" t="s">
        <v>13816</v>
      </c>
      <c r="C817" s="31" t="str">
        <f t="shared" si="33"/>
        <v>C16219:1</v>
      </c>
      <c r="D817" s="31" t="str">
        <f t="shared" si="34"/>
        <v>C16219:	
3-Oxostearoyl-[acp]</v>
      </c>
    </row>
    <row r="818" spans="1:4" ht="29" x14ac:dyDescent="0.35">
      <c r="A818" s="31" t="s">
        <v>12152</v>
      </c>
      <c r="B818" s="31" t="s">
        <v>13817</v>
      </c>
      <c r="C818" s="31" t="str">
        <f t="shared" si="33"/>
        <v>C16220 :1</v>
      </c>
      <c r="D818" s="31" t="str">
        <f t="shared" si="34"/>
        <v>C16220 :(3R)-3-Hydroxyoctadecanoyl-[acyl-carrier protein]</v>
      </c>
    </row>
    <row r="819" spans="1:4" ht="29" x14ac:dyDescent="0.35">
      <c r="A819" s="31" t="s">
        <v>12401</v>
      </c>
      <c r="B819" s="31" t="s">
        <v>13818</v>
      </c>
      <c r="C819" s="31" t="str">
        <f t="shared" si="33"/>
        <v> C16236 :1</v>
      </c>
      <c r="D819" s="31" t="str">
        <f t="shared" si="34"/>
        <v> C16236 :	
[Protein]-N6-(octanoyl)-L-lysine</v>
      </c>
    </row>
    <row r="820" spans="1:4" ht="29" x14ac:dyDescent="0.35">
      <c r="A820" s="31" t="s">
        <v>12329</v>
      </c>
      <c r="B820" s="31" t="s">
        <v>13819</v>
      </c>
      <c r="C820" s="31" t="str">
        <f t="shared" si="33"/>
        <v>C16237 :1</v>
      </c>
      <c r="D820" s="31" t="str">
        <f t="shared" si="34"/>
        <v>C16237 :	
Protein N6-(lipoyl)lysine</v>
      </c>
    </row>
    <row r="821" spans="1:4" ht="29" x14ac:dyDescent="0.35">
      <c r="A821" s="31" t="s">
        <v>12405</v>
      </c>
      <c r="B821" s="31" t="s">
        <v>13820</v>
      </c>
      <c r="C821" s="31" t="str">
        <f t="shared" si="33"/>
        <v>C16239:1</v>
      </c>
      <c r="D821" s="31" t="str">
        <f t="shared" si="34"/>
        <v>C16239:	
Lipoyl-[acp]</v>
      </c>
    </row>
    <row r="822" spans="1:4" ht="29" x14ac:dyDescent="0.35">
      <c r="A822" s="31" t="s">
        <v>12400</v>
      </c>
      <c r="B822" s="31" t="s">
        <v>13821</v>
      </c>
      <c r="C822" s="31" t="str">
        <f t="shared" si="33"/>
        <v>  C16240:1</v>
      </c>
      <c r="D822" s="31" t="str">
        <f t="shared" si="34"/>
        <v>  C16240:	
[Lipoyl-carrier protein]-L-lysine</v>
      </c>
    </row>
    <row r="823" spans="1:4" ht="29" x14ac:dyDescent="0.35">
      <c r="A823" s="31" t="s">
        <v>12280</v>
      </c>
      <c r="B823" s="31" t="s">
        <v>13822</v>
      </c>
      <c r="C823" s="31" t="str">
        <f t="shared" si="33"/>
        <v>C16249:1</v>
      </c>
      <c r="D823" s="31" t="str">
        <f t="shared" si="34"/>
        <v>C16249:	
2-Bromomaleylacetate</v>
      </c>
    </row>
    <row r="824" spans="1:4" ht="29" x14ac:dyDescent="0.35">
      <c r="A824" s="31" t="s">
        <v>12266</v>
      </c>
      <c r="B824" s="31" t="s">
        <v>14494</v>
      </c>
      <c r="C824" s="31" t="str">
        <f t="shared" si="33"/>
        <v>C16255  :1</v>
      </c>
      <c r="D824" s="31" t="str">
        <f t="shared" si="34"/>
        <v>C16255  :	
S-Acetyldihydrolipoamide-E</v>
      </c>
    </row>
    <row r="825" spans="1:4" x14ac:dyDescent="0.35">
      <c r="A825" s="31" t="s">
        <v>12101</v>
      </c>
      <c r="B825" s="31" t="s">
        <v>13261</v>
      </c>
      <c r="C825" s="31" t="str">
        <f t="shared" si="33"/>
        <v>C16310:1</v>
      </c>
      <c r="D825" s="31" t="str">
        <f t="shared" si="34"/>
        <v>C16310:3-Hexenal</v>
      </c>
    </row>
    <row r="826" spans="1:4" x14ac:dyDescent="0.35">
      <c r="A826" s="31" t="s">
        <v>12128</v>
      </c>
      <c r="B826" s="33" t="s">
        <v>13262</v>
      </c>
      <c r="C826" s="31" t="str">
        <f t="shared" si="33"/>
        <v> C16348 :1</v>
      </c>
      <c r="D826" s="31" t="str">
        <f t="shared" si="34"/>
        <v> C16348 :cis-3-Chloroallyl aldehyde</v>
      </c>
    </row>
    <row r="827" spans="1:4" x14ac:dyDescent="0.35">
      <c r="A827" s="31" t="s">
        <v>12210</v>
      </c>
      <c r="B827" s="31" t="s">
        <v>13823</v>
      </c>
      <c r="C827" s="31" t="str">
        <f t="shared" si="33"/>
        <v>C16472:1</v>
      </c>
      <c r="D827" s="31" t="str">
        <f t="shared" si="34"/>
        <v>C16472:3-Fluorocatechol</v>
      </c>
    </row>
    <row r="828" spans="1:4" x14ac:dyDescent="0.35">
      <c r="A828" s="31" t="s">
        <v>12211</v>
      </c>
      <c r="B828" s="31" t="s">
        <v>13824</v>
      </c>
      <c r="C828" s="31" t="str">
        <f t="shared" si="33"/>
        <v>C16473:1</v>
      </c>
      <c r="D828" s="31" t="str">
        <f t="shared" si="34"/>
        <v>C16473:4-Fluorocatechol</v>
      </c>
    </row>
    <row r="829" spans="1:4" ht="29" x14ac:dyDescent="0.35">
      <c r="A829" s="31" t="s">
        <v>8906</v>
      </c>
      <c r="B829" s="31" t="s">
        <v>13825</v>
      </c>
      <c r="C829" s="31" t="str">
        <f t="shared" si="33"/>
        <v>C16474:1</v>
      </c>
      <c r="D829" s="31" t="str">
        <f t="shared" si="34"/>
        <v>C16474:	
3-Fluoro-cis,cis-muconate</v>
      </c>
    </row>
    <row r="830" spans="1:4" ht="29" x14ac:dyDescent="0.35">
      <c r="A830" s="31" t="s">
        <v>8905</v>
      </c>
      <c r="B830" s="31" t="s">
        <v>13826</v>
      </c>
      <c r="C830" s="31" t="str">
        <f t="shared" si="33"/>
        <v>C16475:1</v>
      </c>
      <c r="D830" s="31" t="str">
        <f t="shared" si="34"/>
        <v>C16475:	
2-Fluoro-cis,cis-muconate</v>
      </c>
    </row>
    <row r="831" spans="1:4" ht="43.5" x14ac:dyDescent="0.35">
      <c r="A831" s="31" t="s">
        <v>12227</v>
      </c>
      <c r="B831" s="31" t="s">
        <v>13827</v>
      </c>
      <c r="C831" s="31" t="str">
        <f t="shared" ref="C831:C894" si="35">CONCATENATE(A831, ":", "1")</f>
        <v>C16478 :1</v>
      </c>
      <c r="D831" s="31" t="str">
        <f t="shared" si="34"/>
        <v>C16478 :	
3-Fluorocyclohexadiene-cis,cis-1,2-diol-1-carboxylate</v>
      </c>
    </row>
    <row r="832" spans="1:4" ht="43.5" x14ac:dyDescent="0.35">
      <c r="A832" s="31" t="s">
        <v>12228</v>
      </c>
      <c r="B832" s="31" t="s">
        <v>13828</v>
      </c>
      <c r="C832" s="31" t="str">
        <f t="shared" si="35"/>
        <v>C16479 :1</v>
      </c>
      <c r="D832" s="31" t="str">
        <f t="shared" si="34"/>
        <v>C16479 :	
5-Fluorocyclohexadiene-cis,cis-1,2-diol-1-carboxylate</v>
      </c>
    </row>
    <row r="833" spans="1:4" ht="43.5" x14ac:dyDescent="0.35">
      <c r="A833" s="31" t="s">
        <v>12230</v>
      </c>
      <c r="B833" s="31" t="s">
        <v>13829</v>
      </c>
      <c r="C833" s="31" t="str">
        <f t="shared" si="35"/>
        <v>C16480 :1</v>
      </c>
      <c r="D833" s="31" t="str">
        <f t="shared" si="34"/>
        <v>C16480 :	
4-Fluorocyclohexadiene-cis,cis-1,2-diol-1-carboxylate</v>
      </c>
    </row>
    <row r="834" spans="1:4" ht="43.5" x14ac:dyDescent="0.35">
      <c r="A834" s="31" t="s">
        <v>12225</v>
      </c>
      <c r="B834" s="31" t="s">
        <v>13830</v>
      </c>
      <c r="C834" s="31" t="str">
        <f t="shared" si="35"/>
        <v>C16481 :1</v>
      </c>
      <c r="D834" s="31" t="str">
        <f t="shared" si="34"/>
        <v>C16481 :	
6-Fluorocyclohexadiene-cis,cis-1,2-diol-1-carboxylate</v>
      </c>
    </row>
    <row r="835" spans="1:4" ht="43.5" x14ac:dyDescent="0.35">
      <c r="A835" s="31" t="s">
        <v>12224</v>
      </c>
      <c r="B835" s="31" t="s">
        <v>13831</v>
      </c>
      <c r="C835" s="31" t="str">
        <f t="shared" si="35"/>
        <v>C16482 :1</v>
      </c>
      <c r="D835" s="31" t="str">
        <f t="shared" ref="D835:D898" si="36">CONCATENATE(A835,":",B835)</f>
        <v>C16482 :	
2-Fluorocyclohexadiene-cis,cis-1,2-diol-1-carboxylate</v>
      </c>
    </row>
    <row r="836" spans="1:4" ht="43.5" x14ac:dyDescent="0.35">
      <c r="A836" s="31" t="s">
        <v>12394</v>
      </c>
      <c r="B836" s="31" t="s">
        <v>13832</v>
      </c>
      <c r="C836" s="31" t="str">
        <f t="shared" si="35"/>
        <v>C16519 :1</v>
      </c>
      <c r="D836" s="31" t="str">
        <f t="shared" si="36"/>
        <v>C16519 :	
2-Succinyl-5-enolpyruvyl-6-hydroxy-3-cyclohexene-1-carboxylate</v>
      </c>
    </row>
    <row r="837" spans="1:4" x14ac:dyDescent="0.35">
      <c r="A837" s="31" t="s">
        <v>12130</v>
      </c>
      <c r="B837" s="33" t="s">
        <v>13263</v>
      </c>
      <c r="C837" s="31" t="str">
        <f t="shared" si="35"/>
        <v>C16551 :1</v>
      </c>
      <c r="D837" s="31" t="str">
        <f t="shared" si="36"/>
        <v>C16551 :Alcophosphamide</v>
      </c>
    </row>
    <row r="838" spans="1:4" ht="29" x14ac:dyDescent="0.35">
      <c r="A838" s="31" t="s">
        <v>12779</v>
      </c>
      <c r="B838" s="31" t="s">
        <v>13833</v>
      </c>
      <c r="C838" s="31" t="str">
        <f t="shared" si="35"/>
        <v>C16565:1</v>
      </c>
      <c r="D838" s="31" t="str">
        <f t="shared" si="36"/>
        <v>C16565:	
Aminopropylcadaverine</v>
      </c>
    </row>
    <row r="839" spans="1:4" ht="29" x14ac:dyDescent="0.35">
      <c r="A839" s="31" t="s">
        <v>12102</v>
      </c>
      <c r="B839" s="33" t="s">
        <v>13264</v>
      </c>
      <c r="C839" s="31" t="str">
        <f t="shared" si="35"/>
        <v>C16586:1</v>
      </c>
      <c r="D839" s="31" t="str">
        <f t="shared" si="36"/>
        <v>C16586:2-Phenyl-1,3-propanediol monocarbamate</v>
      </c>
    </row>
    <row r="840" spans="1:4" ht="29" x14ac:dyDescent="0.35">
      <c r="A840" s="31" t="s">
        <v>12131</v>
      </c>
      <c r="B840" s="31" t="s">
        <v>13265</v>
      </c>
      <c r="C840" s="31" t="str">
        <f t="shared" si="35"/>
        <v>C16587  :1</v>
      </c>
      <c r="D840" s="31" t="str">
        <f t="shared" si="36"/>
        <v>C16587  :3-Carbamoyl-2-phenylpropionaldehyde</v>
      </c>
    </row>
    <row r="841" spans="1:4" ht="29" x14ac:dyDescent="0.35">
      <c r="A841" s="31" t="s">
        <v>12103</v>
      </c>
      <c r="B841" s="33" t="s">
        <v>13266</v>
      </c>
      <c r="C841" s="31" t="str">
        <f t="shared" si="35"/>
        <v>C16595:1</v>
      </c>
      <c r="D841" s="31" t="str">
        <f t="shared" si="36"/>
        <v>C16595:4-Hydroxy-5-phenyltetrahydro-1,3-oxazin-2-one</v>
      </c>
    </row>
    <row r="842" spans="1:4" x14ac:dyDescent="0.35">
      <c r="A842" s="31" t="s">
        <v>12135</v>
      </c>
      <c r="B842" s="33" t="s">
        <v>13267</v>
      </c>
      <c r="C842" s="31" t="str">
        <f t="shared" si="35"/>
        <v>C16596 :1</v>
      </c>
      <c r="D842" s="31" t="str">
        <f t="shared" si="36"/>
        <v>C16596 :5-Phenyl-1,3-oxazinane-2,4-dione</v>
      </c>
    </row>
    <row r="843" spans="1:4" x14ac:dyDescent="0.35">
      <c r="A843" s="31" t="s">
        <v>12780</v>
      </c>
      <c r="B843" s="31" t="s">
        <v>13268</v>
      </c>
      <c r="C843" s="31" t="str">
        <f t="shared" si="35"/>
        <v>C16614  :1</v>
      </c>
      <c r="D843" s="31" t="str">
        <f t="shared" si="36"/>
        <v>C16614  :6-Methylmercaptopurine</v>
      </c>
    </row>
    <row r="844" spans="1:4" ht="43.5" x14ac:dyDescent="0.35">
      <c r="A844" s="31" t="s">
        <v>12781</v>
      </c>
      <c r="B844" s="31" t="s">
        <v>13269</v>
      </c>
      <c r="C844" s="31" t="str">
        <f t="shared" si="35"/>
        <v> C16615 :1</v>
      </c>
      <c r="D844" s="31" t="str">
        <f t="shared" si="36"/>
        <v> C16615 :	
6-Methylthiopurine 5'-monophosphate ribonucleotide</v>
      </c>
    </row>
    <row r="845" spans="1:4" ht="43.5" x14ac:dyDescent="0.35">
      <c r="A845" s="31" t="s">
        <v>12782</v>
      </c>
      <c r="B845" s="31" t="s">
        <v>13270</v>
      </c>
      <c r="C845" s="31" t="str">
        <f t="shared" si="35"/>
        <v>C16617:1</v>
      </c>
      <c r="D845" s="31" t="str">
        <f t="shared" si="36"/>
        <v>C16617:	
6-Mercaptopurine ribonucleoside triphosphate</v>
      </c>
    </row>
    <row r="846" spans="1:4" ht="29" x14ac:dyDescent="0.35">
      <c r="A846" s="31" t="s">
        <v>12164</v>
      </c>
      <c r="B846" s="31" t="s">
        <v>13271</v>
      </c>
      <c r="C846" s="31" t="str">
        <f t="shared" si="35"/>
        <v>C16618 :1</v>
      </c>
      <c r="D846" s="31" t="str">
        <f t="shared" si="36"/>
        <v>C16618 :	
6-Thioxanthine 5'-monophosphate</v>
      </c>
    </row>
    <row r="847" spans="1:4" ht="29" x14ac:dyDescent="0.35">
      <c r="A847" s="31" t="s">
        <v>12104</v>
      </c>
      <c r="B847" s="31" t="s">
        <v>13272</v>
      </c>
      <c r="C847" s="31" t="str">
        <f t="shared" si="35"/>
        <v>C16619:1</v>
      </c>
      <c r="D847" s="31" t="str">
        <f t="shared" si="36"/>
        <v>C16619:	
6-Thioguanosine monophosphate</v>
      </c>
    </row>
    <row r="848" spans="1:4" ht="29" x14ac:dyDescent="0.35">
      <c r="A848" s="31" t="s">
        <v>12783</v>
      </c>
      <c r="B848" s="31" t="s">
        <v>13273</v>
      </c>
      <c r="C848" s="31" t="str">
        <f t="shared" si="35"/>
        <v>C16634  :1</v>
      </c>
      <c r="D848" s="31" t="str">
        <f t="shared" si="36"/>
        <v>C16634  :	
5-Fluorouridine monophosphate</v>
      </c>
    </row>
    <row r="849" spans="1:4" ht="29" x14ac:dyDescent="0.35">
      <c r="A849" s="31" t="s">
        <v>12105</v>
      </c>
      <c r="B849" s="31" t="s">
        <v>13274</v>
      </c>
      <c r="C849" s="31" t="str">
        <f t="shared" si="35"/>
        <v>C16636:1</v>
      </c>
      <c r="D849" s="31" t="str">
        <f t="shared" si="36"/>
        <v>C16636:	
tRNA(Sec)</v>
      </c>
    </row>
    <row r="850" spans="1:4" x14ac:dyDescent="0.35">
      <c r="A850" s="31" t="s">
        <v>11248</v>
      </c>
      <c r="B850" s="31" t="s">
        <v>13275</v>
      </c>
      <c r="C850" s="31" t="str">
        <f t="shared" si="35"/>
        <v> C16639:1</v>
      </c>
      <c r="D850" s="31" t="str">
        <f t="shared" si="36"/>
        <v> C16639:beta-D-Ribofuranose</v>
      </c>
    </row>
    <row r="851" spans="1:4" x14ac:dyDescent="0.35">
      <c r="A851" s="31" t="s">
        <v>12106</v>
      </c>
      <c r="B851" s="31" t="s">
        <v>13276</v>
      </c>
      <c r="C851" s="31" t="str">
        <f t="shared" si="35"/>
        <v>C16663:1</v>
      </c>
      <c r="D851" s="31" t="str">
        <f t="shared" si="36"/>
        <v>C16663:Tryparedoxin</v>
      </c>
    </row>
    <row r="852" spans="1:4" ht="29" x14ac:dyDescent="0.35">
      <c r="A852" s="31" t="s">
        <v>12107</v>
      </c>
      <c r="B852" s="31" t="s">
        <v>13277</v>
      </c>
      <c r="C852" s="31" t="str">
        <f t="shared" si="35"/>
        <v>C16664:1</v>
      </c>
      <c r="D852" s="31" t="str">
        <f t="shared" si="36"/>
        <v>C16664:	
Tryparedoxin disulfide</v>
      </c>
    </row>
    <row r="853" spans="1:4" x14ac:dyDescent="0.35">
      <c r="A853" s="31" t="s">
        <v>12784</v>
      </c>
      <c r="B853" s="31" t="s">
        <v>13278</v>
      </c>
      <c r="C853" s="31" t="str">
        <f t="shared" si="35"/>
        <v>C16675:1</v>
      </c>
      <c r="D853" s="31" t="str">
        <f t="shared" si="36"/>
        <v>C16675:7-Aminomethyl-7-carbaguanine</v>
      </c>
    </row>
    <row r="854" spans="1:4" ht="29" x14ac:dyDescent="0.35">
      <c r="A854" s="31" t="s">
        <v>12108</v>
      </c>
      <c r="B854" s="31" t="s">
        <v>13279</v>
      </c>
      <c r="C854" s="31" t="str">
        <f t="shared" si="35"/>
        <v>C16688:1</v>
      </c>
      <c r="D854" s="31" t="str">
        <f t="shared" si="36"/>
        <v>C16688:	
Sucrose 6-phosphate</v>
      </c>
    </row>
    <row r="855" spans="1:4" x14ac:dyDescent="0.35">
      <c r="A855" s="31" t="s">
        <v>10751</v>
      </c>
      <c r="B855" s="31" t="s">
        <v>13280</v>
      </c>
      <c r="C855" s="31" t="str">
        <f t="shared" si="35"/>
        <v> C16737:1</v>
      </c>
      <c r="D855" s="31" t="str">
        <f t="shared" si="36"/>
        <v> C16737:5-Deoxy-D-glucuronate</v>
      </c>
    </row>
    <row r="856" spans="1:4" ht="29" x14ac:dyDescent="0.35">
      <c r="A856" s="31" t="s">
        <v>12328</v>
      </c>
      <c r="B856" s="31" t="s">
        <v>13281</v>
      </c>
      <c r="C856" s="31" t="str">
        <f t="shared" si="35"/>
        <v>C16832  :1</v>
      </c>
      <c r="D856" s="31" t="str">
        <f t="shared" si="36"/>
        <v>C16832  :[Protein]-N6-[(R)-dihydrolipoyl]-L-lysine</v>
      </c>
    </row>
    <row r="857" spans="1:4" ht="29" x14ac:dyDescent="0.35">
      <c r="A857" s="31" t="s">
        <v>12785</v>
      </c>
      <c r="B857" s="31" t="s">
        <v>13282</v>
      </c>
      <c r="C857" s="31" t="str">
        <f t="shared" si="35"/>
        <v xml:space="preserve"> C17023  :1</v>
      </c>
      <c r="D857" s="31" t="str">
        <f t="shared" si="36"/>
        <v xml:space="preserve"> C17023  :	
Sulfur donor</v>
      </c>
    </row>
    <row r="858" spans="1:4" x14ac:dyDescent="0.35">
      <c r="A858" s="31" t="s">
        <v>12786</v>
      </c>
      <c r="B858" s="31" t="s">
        <v>13283</v>
      </c>
      <c r="C858" s="31" t="str">
        <f t="shared" si="35"/>
        <v>C17234:1</v>
      </c>
      <c r="D858" s="31" t="str">
        <f t="shared" si="36"/>
        <v>C17234:2-Aminobut-2-enoate</v>
      </c>
    </row>
    <row r="859" spans="1:4" ht="29" x14ac:dyDescent="0.35">
      <c r="A859" s="31" t="s">
        <v>12787</v>
      </c>
      <c r="B859" s="31" t="s">
        <v>13284</v>
      </c>
      <c r="C859" s="31" t="str">
        <f t="shared" si="35"/>
        <v>C17322  :1</v>
      </c>
      <c r="D859" s="31" t="str">
        <f t="shared" si="36"/>
        <v>C17322  :	
tRNA containing 2-thiouridine</v>
      </c>
    </row>
    <row r="860" spans="1:4" x14ac:dyDescent="0.35">
      <c r="A860" s="31" t="s">
        <v>12408</v>
      </c>
      <c r="B860" s="31" t="s">
        <v>13285</v>
      </c>
      <c r="C860" s="31" t="str">
        <f t="shared" si="35"/>
        <v> C17324 :1</v>
      </c>
      <c r="D860" s="31" t="str">
        <f t="shared" si="36"/>
        <v> C17324 :tRNA adenine</v>
      </c>
    </row>
    <row r="861" spans="1:4" ht="29" x14ac:dyDescent="0.35">
      <c r="A861" s="31" t="s">
        <v>12788</v>
      </c>
      <c r="B861" s="31" t="s">
        <v>13286</v>
      </c>
      <c r="C861" s="31" t="str">
        <f t="shared" si="35"/>
        <v>C17556  :1</v>
      </c>
      <c r="D861" s="31" t="str">
        <f t="shared" si="36"/>
        <v>C17556  :di-trans,poly-cis-Undecaprenyl phosphate</v>
      </c>
    </row>
    <row r="862" spans="1:4" x14ac:dyDescent="0.35">
      <c r="A862" s="31" t="s">
        <v>12789</v>
      </c>
      <c r="B862" s="31" t="s">
        <v>13287</v>
      </c>
      <c r="C862" s="31" t="str">
        <f t="shared" si="35"/>
        <v>C18026:1</v>
      </c>
      <c r="D862" s="31" t="str">
        <f t="shared" si="36"/>
        <v>C18026:(2S)-Ethylmalonyl-CoA</v>
      </c>
    </row>
    <row r="863" spans="1:4" ht="29" x14ac:dyDescent="0.35">
      <c r="A863" s="31" t="s">
        <v>12216</v>
      </c>
      <c r="B863" s="31" t="s">
        <v>13288</v>
      </c>
      <c r="C863" s="31" t="str">
        <f t="shared" si="35"/>
        <v>C18091:1</v>
      </c>
      <c r="D863" s="31" t="str">
        <f t="shared" si="36"/>
        <v>C18091:	
Ethylnitronate</v>
      </c>
    </row>
    <row r="864" spans="1:4" x14ac:dyDescent="0.35">
      <c r="A864" s="31" t="s">
        <v>11255</v>
      </c>
      <c r="B864" s="31" t="s">
        <v>13289</v>
      </c>
      <c r="C864" s="31" t="str">
        <f t="shared" si="35"/>
        <v> C18094:1</v>
      </c>
      <c r="D864" s="31" t="str">
        <f t="shared" si="36"/>
        <v> C18094:UDP-L-arabinofuranose</v>
      </c>
    </row>
    <row r="865" spans="1:4" ht="29" x14ac:dyDescent="0.35">
      <c r="A865" s="31" t="s">
        <v>12790</v>
      </c>
      <c r="B865" s="31" t="s">
        <v>13290</v>
      </c>
      <c r="C865" s="31" t="str">
        <f t="shared" si="35"/>
        <v xml:space="preserve"> C18096:1</v>
      </c>
      <c r="D865" s="31" t="str">
        <f t="shared" si="36"/>
        <v xml:space="preserve"> C18096:	
D-Allulose 6-phosphate</v>
      </c>
    </row>
    <row r="866" spans="1:4" x14ac:dyDescent="0.35">
      <c r="A866" s="31" t="s">
        <v>12177</v>
      </c>
      <c r="B866" s="31" t="s">
        <v>13291</v>
      </c>
      <c r="C866" s="31" t="str">
        <f t="shared" si="35"/>
        <v>C18235:1</v>
      </c>
      <c r="D866" s="31" t="str">
        <f t="shared" si="36"/>
        <v>C18235:S-(Hydroxymethyl)mycothiol</v>
      </c>
    </row>
    <row r="867" spans="1:4" ht="29" x14ac:dyDescent="0.35">
      <c r="A867" s="31" t="s">
        <v>12791</v>
      </c>
      <c r="B867" s="31" t="s">
        <v>13292</v>
      </c>
      <c r="C867" s="31" t="str">
        <f t="shared" si="35"/>
        <v>C18237:1</v>
      </c>
      <c r="D867" s="31" t="str">
        <f t="shared" si="36"/>
        <v>C18237:	
Molybdoenzyme molybdenum cofactor</v>
      </c>
    </row>
    <row r="868" spans="1:4" ht="29" x14ac:dyDescent="0.35">
      <c r="A868" s="31" t="s">
        <v>12792</v>
      </c>
      <c r="B868" s="31" t="s">
        <v>13293</v>
      </c>
      <c r="C868" s="31" t="str">
        <f t="shared" si="35"/>
        <v>C18239:1</v>
      </c>
      <c r="D868" s="31" t="str">
        <f t="shared" si="36"/>
        <v>C18239:Cyclic pyranopterin monophosphate</v>
      </c>
    </row>
    <row r="869" spans="1:4" x14ac:dyDescent="0.35">
      <c r="A869" s="31" t="s">
        <v>12212</v>
      </c>
      <c r="B869" s="31" t="s">
        <v>13294</v>
      </c>
      <c r="C869" s="31" t="str">
        <f t="shared" si="35"/>
        <v>C18240:1</v>
      </c>
      <c r="D869" s="31" t="str">
        <f t="shared" si="36"/>
        <v>C18240:Tetrachlorocatechol</v>
      </c>
    </row>
    <row r="870" spans="1:4" x14ac:dyDescent="0.35">
      <c r="A870" s="31" t="s">
        <v>8907</v>
      </c>
      <c r="B870" s="31" t="s">
        <v>13295</v>
      </c>
      <c r="C870" s="31" t="str">
        <f t="shared" si="35"/>
        <v>C18241:1</v>
      </c>
      <c r="D870" s="31" t="str">
        <f t="shared" si="36"/>
        <v>C18241:Tetrachloro-cis,cis-muconate</v>
      </c>
    </row>
    <row r="871" spans="1:4" x14ac:dyDescent="0.35">
      <c r="A871" s="31" t="s">
        <v>12282</v>
      </c>
      <c r="B871" s="31" t="s">
        <v>13296</v>
      </c>
      <c r="C871" s="31" t="str">
        <f t="shared" si="35"/>
        <v>C18243:1</v>
      </c>
      <c r="D871" s="31" t="str">
        <f t="shared" si="36"/>
        <v>C18243:2,3,5-Trichloromaleylacetate</v>
      </c>
    </row>
    <row r="872" spans="1:4" x14ac:dyDescent="0.35">
      <c r="A872" s="31" t="s">
        <v>12283</v>
      </c>
      <c r="B872" s="31" t="s">
        <v>13297</v>
      </c>
      <c r="C872" s="31" t="str">
        <f t="shared" si="35"/>
        <v>C18244:1</v>
      </c>
      <c r="D872" s="31" t="str">
        <f t="shared" si="36"/>
        <v>C18244:2,4-Dichloro-3-oxoadipate</v>
      </c>
    </row>
    <row r="873" spans="1:4" x14ac:dyDescent="0.35">
      <c r="A873" s="31" t="s">
        <v>12284</v>
      </c>
      <c r="B873" s="31" t="s">
        <v>13298</v>
      </c>
      <c r="C873" s="31" t="str">
        <f t="shared" si="35"/>
        <v>C18305:1</v>
      </c>
      <c r="D873" s="31" t="str">
        <f t="shared" si="36"/>
        <v>C18305:2-Chloro-5-methylmaleylacetate</v>
      </c>
    </row>
    <row r="874" spans="1:4" ht="29" x14ac:dyDescent="0.35">
      <c r="A874" s="31" t="s">
        <v>12285</v>
      </c>
      <c r="B874" s="31" t="s">
        <v>13299</v>
      </c>
      <c r="C874" s="31" t="str">
        <f t="shared" si="35"/>
        <v>C18306  :1</v>
      </c>
      <c r="D874" s="31" t="str">
        <f t="shared" si="36"/>
        <v>C18306  :	
5-Methylmaleylacetate</v>
      </c>
    </row>
    <row r="875" spans="1:4" ht="29" x14ac:dyDescent="0.35">
      <c r="A875" s="31" t="s">
        <v>12286</v>
      </c>
      <c r="B875" s="31" t="s">
        <v>13300</v>
      </c>
      <c r="C875" s="31" t="str">
        <f t="shared" si="35"/>
        <v>C18307  :1</v>
      </c>
      <c r="D875" s="31" t="str">
        <f t="shared" si="36"/>
        <v>C18307  :	
2-Methyl-3-oxoadipate</v>
      </c>
    </row>
    <row r="876" spans="1:4" ht="29" x14ac:dyDescent="0.35">
      <c r="A876" s="31" t="s">
        <v>12862</v>
      </c>
      <c r="B876" s="31" t="s">
        <v>13301</v>
      </c>
      <c r="C876" s="31" t="str">
        <f t="shared" si="35"/>
        <v> C18902:1</v>
      </c>
      <c r="D876" s="31" t="str">
        <f t="shared" si="36"/>
        <v> C18902:	
Methylselenic acid</v>
      </c>
    </row>
    <row r="877" spans="1:4" x14ac:dyDescent="0.35">
      <c r="A877" s="31" t="s">
        <v>12793</v>
      </c>
      <c r="B877" s="31" t="s">
        <v>13302</v>
      </c>
      <c r="C877" s="31" t="str">
        <f t="shared" si="35"/>
        <v> C19078 :1</v>
      </c>
      <c r="D877" s="31" t="str">
        <f t="shared" si="36"/>
        <v> C19078 :tRNA with a 3' cytidine</v>
      </c>
    </row>
    <row r="878" spans="1:4" x14ac:dyDescent="0.35">
      <c r="A878" s="31" t="s">
        <v>12794</v>
      </c>
      <c r="B878" s="31" t="s">
        <v>13303</v>
      </c>
      <c r="C878" s="31" t="str">
        <f t="shared" si="35"/>
        <v>C19080  :1</v>
      </c>
      <c r="D878" s="31" t="str">
        <f t="shared" si="36"/>
        <v>C19080  :tRNA with a 3' CC end</v>
      </c>
    </row>
    <row r="879" spans="1:4" x14ac:dyDescent="0.35">
      <c r="A879" s="31" t="s">
        <v>12109</v>
      </c>
      <c r="B879" s="31" t="s">
        <v>13304</v>
      </c>
      <c r="C879" s="31" t="str">
        <f t="shared" si="35"/>
        <v>C19085:1</v>
      </c>
      <c r="D879" s="31" t="str">
        <f t="shared" si="36"/>
        <v>C19085:tRNA with a 3' CCA end</v>
      </c>
    </row>
    <row r="880" spans="1:4" ht="29" x14ac:dyDescent="0.35">
      <c r="A880" s="31" t="s">
        <v>12795</v>
      </c>
      <c r="B880" s="31" t="s">
        <v>13305</v>
      </c>
      <c r="C880" s="31" t="str">
        <f t="shared" si="35"/>
        <v> C19609:1</v>
      </c>
      <c r="D880" s="31" t="str">
        <f t="shared" si="36"/>
        <v> C19609:	
Nickel(2+)</v>
      </c>
    </row>
    <row r="881" spans="1:4" ht="43.5" x14ac:dyDescent="0.35">
      <c r="A881" s="31" t="s">
        <v>12796</v>
      </c>
      <c r="B881" s="31" t="s">
        <v>13306</v>
      </c>
      <c r="C881" s="31" t="str">
        <f t="shared" si="35"/>
        <v xml:space="preserve"> C19702 :1</v>
      </c>
      <c r="D881" s="31" t="str">
        <f t="shared" si="36"/>
        <v xml:space="preserve"> C19702 :	
1-O-(2-Amino-2-deoxy-alpha-D-glucopyranosyl)-1D-myo-inositol</v>
      </c>
    </row>
    <row r="882" spans="1:4" ht="43.5" x14ac:dyDescent="0.35">
      <c r="A882" s="31" t="s">
        <v>12406</v>
      </c>
      <c r="B882" s="31" t="s">
        <v>13307</v>
      </c>
      <c r="C882" s="31" t="str">
        <f t="shared" si="35"/>
        <v>C19703:1</v>
      </c>
      <c r="D882" s="31" t="str">
        <f t="shared" si="36"/>
        <v>C19703:	
1-O-[2-(L-Cysteinamido)-2-deoxy-alpha-D-glucopyranosyl]-1D-myo-inositol</v>
      </c>
    </row>
    <row r="883" spans="1:4" x14ac:dyDescent="0.35">
      <c r="A883" s="31" t="s">
        <v>12110</v>
      </c>
      <c r="B883" s="31" t="s">
        <v>13308</v>
      </c>
      <c r="C883" s="31" t="str">
        <f t="shared" si="35"/>
        <v>C19722:1</v>
      </c>
      <c r="D883" s="31" t="str">
        <f t="shared" si="36"/>
        <v>C19722:[tRNA(Ile2)]-cytidine34</v>
      </c>
    </row>
    <row r="884" spans="1:4" ht="29" x14ac:dyDescent="0.35">
      <c r="A884" s="31" t="s">
        <v>12797</v>
      </c>
      <c r="B884" s="31" t="s">
        <v>13309</v>
      </c>
      <c r="C884" s="31" t="str">
        <f t="shared" si="35"/>
        <v>C19723  :1</v>
      </c>
      <c r="D884" s="31" t="str">
        <f t="shared" si="36"/>
        <v>C19723  :	
[tRNA(Ile2)]-lysidine34</v>
      </c>
    </row>
    <row r="885" spans="1:4" ht="58" x14ac:dyDescent="0.35">
      <c r="A885" s="31" t="s">
        <v>12798</v>
      </c>
      <c r="B885" s="31" t="s">
        <v>13310</v>
      </c>
      <c r="C885" s="31" t="str">
        <f t="shared" si="35"/>
        <v>C19761:1</v>
      </c>
      <c r="D885" s="31" t="str">
        <f t="shared" si="36"/>
        <v>C19761:	
1-O-(2-Acetamido-2-deoxy-alpha-D-glucopyranosyl)-1D-myo-inositol 3-phosphate</v>
      </c>
    </row>
    <row r="886" spans="1:4" ht="43.5" x14ac:dyDescent="0.35">
      <c r="A886" s="31" t="s">
        <v>12799</v>
      </c>
      <c r="B886" s="31" t="s">
        <v>13311</v>
      </c>
      <c r="C886" s="31" t="str">
        <f t="shared" si="35"/>
        <v>C19784:1</v>
      </c>
      <c r="D886" s="31" t="str">
        <f t="shared" si="36"/>
        <v>C19784:	
1-O-(2-Acetamido-2-deoxy-alpha-D-glucopyranosyl)-1D-myo-inositol</v>
      </c>
    </row>
    <row r="887" spans="1:4" ht="43.5" x14ac:dyDescent="0.35">
      <c r="A887" s="31" t="s">
        <v>12800</v>
      </c>
      <c r="B887" s="31" t="s">
        <v>13312</v>
      </c>
      <c r="C887" s="31" t="str">
        <f t="shared" si="35"/>
        <v>C19791:1</v>
      </c>
      <c r="D887" s="31" t="str">
        <f t="shared" si="36"/>
        <v>C19791:	
2-O-(alpha-D-Glucopyranosyl)-3-phospho-D-glycerate</v>
      </c>
    </row>
    <row r="888" spans="1:4" ht="29" x14ac:dyDescent="0.35">
      <c r="A888" s="31" t="s">
        <v>12466</v>
      </c>
      <c r="B888" s="31" t="s">
        <v>13313</v>
      </c>
      <c r="C888" s="31" t="str">
        <f t="shared" si="35"/>
        <v xml:space="preserve">  C19803:1</v>
      </c>
      <c r="D888" s="31" t="str">
        <f t="shared" si="36"/>
        <v xml:space="preserve">  C19803:	
[Protein]-L-threonine</v>
      </c>
    </row>
    <row r="889" spans="1:4" ht="29" x14ac:dyDescent="0.35">
      <c r="A889" s="31" t="s">
        <v>12357</v>
      </c>
      <c r="B889" s="31" t="s">
        <v>13314</v>
      </c>
      <c r="C889" s="31" t="str">
        <f t="shared" si="35"/>
        <v>C19847  :1</v>
      </c>
      <c r="D889" s="31" t="str">
        <f t="shared" si="36"/>
        <v>C19847  :	
Demethylmenaquinol</v>
      </c>
    </row>
    <row r="890" spans="1:4" ht="29" x14ac:dyDescent="0.35">
      <c r="A890" s="31" t="s">
        <v>12801</v>
      </c>
      <c r="B890" s="31" t="s">
        <v>13315</v>
      </c>
      <c r="C890" s="31" t="str">
        <f t="shared" si="35"/>
        <v> C19871 :1</v>
      </c>
      <c r="D890" s="31" t="str">
        <f t="shared" si="36"/>
        <v> C19871 :	
Guanylyl molybdenum cofactor</v>
      </c>
    </row>
    <row r="891" spans="1:4" ht="29" x14ac:dyDescent="0.35">
      <c r="A891" s="31" t="s">
        <v>12802</v>
      </c>
      <c r="B891" s="31" t="s">
        <v>13316</v>
      </c>
      <c r="C891" s="31" t="str">
        <f t="shared" si="35"/>
        <v>C20237:1</v>
      </c>
      <c r="D891" s="31" t="str">
        <f t="shared" si="36"/>
        <v>C20237:	
alpha-Maltose 1-phosphate</v>
      </c>
    </row>
    <row r="892" spans="1:4" ht="29" x14ac:dyDescent="0.35">
      <c r="A892" s="31" t="s">
        <v>11123</v>
      </c>
      <c r="B892" s="31" t="s">
        <v>13317</v>
      </c>
      <c r="C892" s="31" t="str">
        <f t="shared" si="35"/>
        <v xml:space="preserve"> C20238:1</v>
      </c>
      <c r="D892" s="31" t="str">
        <f t="shared" si="36"/>
        <v xml:space="preserve"> C20238:	
(2R)-Ethylmalonyl-CoA</v>
      </c>
    </row>
    <row r="893" spans="1:4" ht="43.5" x14ac:dyDescent="0.35">
      <c r="A893" s="31" t="s">
        <v>12803</v>
      </c>
      <c r="B893" s="31" t="s">
        <v>13318</v>
      </c>
      <c r="C893" s="31" t="str">
        <f t="shared" si="35"/>
        <v xml:space="preserve">  C20246:1</v>
      </c>
      <c r="D893" s="31" t="str">
        <f t="shared" si="36"/>
        <v xml:space="preserve">  C20246:	
2-[(2R,5Z)-2-Carboxy-4-methylthiazol-5(2H)-ylidene]ethyl phosphate</v>
      </c>
    </row>
    <row r="894" spans="1:4" ht="43.5" x14ac:dyDescent="0.35">
      <c r="A894" s="31" t="s">
        <v>12804</v>
      </c>
      <c r="B894" s="31" t="s">
        <v>13319</v>
      </c>
      <c r="C894" s="31" t="str">
        <f t="shared" si="35"/>
        <v>C20247:1</v>
      </c>
      <c r="D894" s="31" t="str">
        <f t="shared" si="36"/>
        <v>C20247:	
2-(2-Carboxy-4-methylthiazol-5-yl)ethyl phosphate</v>
      </c>
    </row>
    <row r="895" spans="1:4" ht="29" x14ac:dyDescent="0.35">
      <c r="A895" s="31" t="s">
        <v>12237</v>
      </c>
      <c r="B895" s="31" t="s">
        <v>13320</v>
      </c>
      <c r="C895" s="31" t="str">
        <f t="shared" ref="C895:C958" si="37">CONCATENATE(A895, ":", "1")</f>
        <v>C20258 :1</v>
      </c>
      <c r="D895" s="31" t="str">
        <f t="shared" si="36"/>
        <v>C20258 :(2S,4S)-4-Hydroxy-2,3,4,5-tetrahydrodipicolinate</v>
      </c>
    </row>
    <row r="896" spans="1:4" ht="29" x14ac:dyDescent="0.35">
      <c r="A896" s="31" t="s">
        <v>12805</v>
      </c>
      <c r="B896" s="31" t="s">
        <v>13321</v>
      </c>
      <c r="C896" s="31" t="str">
        <f t="shared" si="37"/>
        <v> C20352 :1</v>
      </c>
      <c r="D896" s="31" t="str">
        <f t="shared" si="36"/>
        <v> C20352 :trans,octacis-Decaprenylphospho-beta-D-ribofuranose 5-phosphate</v>
      </c>
    </row>
    <row r="897" spans="1:4" ht="43.5" x14ac:dyDescent="0.35">
      <c r="A897" s="31" t="s">
        <v>12182</v>
      </c>
      <c r="B897" s="31" t="s">
        <v>13322</v>
      </c>
      <c r="C897" s="31" t="str">
        <f t="shared" si="37"/>
        <v> C20369 :1</v>
      </c>
      <c r="D897" s="31" t="str">
        <f t="shared" si="36"/>
        <v> C20369 :	
trans,octacis-Decaprenylphospho-beta-D-erythro-pentofuranosid-2-ulose</v>
      </c>
    </row>
    <row r="898" spans="1:4" ht="43.5" x14ac:dyDescent="0.35">
      <c r="A898" s="31" t="s">
        <v>12181</v>
      </c>
      <c r="B898" s="31" t="s">
        <v>13323</v>
      </c>
      <c r="C898" s="31" t="str">
        <f t="shared" si="37"/>
        <v>C20370:1</v>
      </c>
      <c r="D898" s="31" t="str">
        <f t="shared" si="36"/>
        <v>C20370:	
trans,octacis-Decaprenylphospho-beta-D-arabinofuranose</v>
      </c>
    </row>
    <row r="899" spans="1:4" ht="29" x14ac:dyDescent="0.35">
      <c r="A899" s="31" t="s">
        <v>12153</v>
      </c>
      <c r="B899" s="31" t="s">
        <v>13324</v>
      </c>
      <c r="C899" s="31" t="str">
        <f t="shared" si="37"/>
        <v>C20372:1</v>
      </c>
      <c r="D899" s="31" t="str">
        <f t="shared" ref="D899:D962" si="38">CONCATENATE(A899,":",B899)</f>
        <v>C20372:	
3-Ketoglutaryl-[acp] methyl ester</v>
      </c>
    </row>
    <row r="900" spans="1:4" ht="29" x14ac:dyDescent="0.35">
      <c r="A900" s="31" t="s">
        <v>12154</v>
      </c>
      <c r="B900" s="31" t="s">
        <v>13325</v>
      </c>
      <c r="C900" s="31" t="str">
        <f t="shared" si="37"/>
        <v>C20373:1</v>
      </c>
      <c r="D900" s="31" t="str">
        <f t="shared" si="38"/>
        <v>C20373:	
3-Hydroxyglutaryl-[acp] methyl ester</v>
      </c>
    </row>
    <row r="901" spans="1:4" ht="29" x14ac:dyDescent="0.35">
      <c r="A901" s="31" t="s">
        <v>12155</v>
      </c>
      <c r="B901" s="31" t="s">
        <v>13326</v>
      </c>
      <c r="C901" s="31" t="str">
        <f t="shared" si="37"/>
        <v>C20376:1</v>
      </c>
      <c r="D901" s="31" t="str">
        <f t="shared" si="38"/>
        <v>C20376:	
3-Ketopimeloyl-[acp] methyl ester</v>
      </c>
    </row>
    <row r="902" spans="1:4" ht="29" x14ac:dyDescent="0.35">
      <c r="A902" s="31" t="s">
        <v>12156</v>
      </c>
      <c r="B902" s="31" t="s">
        <v>13327</v>
      </c>
      <c r="C902" s="31" t="str">
        <f t="shared" si="37"/>
        <v xml:space="preserve"> C20377 :1</v>
      </c>
      <c r="D902" s="31" t="str">
        <f t="shared" si="38"/>
        <v xml:space="preserve"> C20377 :3-Hydroxypimeloyl-[acp] methyl ester</v>
      </c>
    </row>
    <row r="903" spans="1:4" ht="29" x14ac:dyDescent="0.35">
      <c r="A903" s="31" t="s">
        <v>12806</v>
      </c>
      <c r="B903" s="31" t="s">
        <v>13328</v>
      </c>
      <c r="C903" s="31" t="str">
        <f t="shared" si="37"/>
        <v>C20446 :1</v>
      </c>
      <c r="D903" s="31" t="str">
        <f t="shared" si="38"/>
        <v>C20446 :tRNA 7-aminomethyl-7-carbaguanine</v>
      </c>
    </row>
    <row r="904" spans="1:4" x14ac:dyDescent="0.35">
      <c r="A904" s="31" t="s">
        <v>12807</v>
      </c>
      <c r="B904" s="31" t="s">
        <v>13329</v>
      </c>
      <c r="C904" s="31" t="str">
        <f t="shared" si="37"/>
        <v>C20451 :1</v>
      </c>
      <c r="D904" s="31" t="str">
        <f t="shared" si="38"/>
        <v>C20451 :tRNA hypoxanthine</v>
      </c>
    </row>
    <row r="905" spans="1:4" ht="29" x14ac:dyDescent="0.35">
      <c r="A905" s="31" t="s">
        <v>12808</v>
      </c>
      <c r="B905" s="31" t="s">
        <v>13330</v>
      </c>
      <c r="C905" s="31" t="str">
        <f t="shared" si="37"/>
        <v> C20565:1</v>
      </c>
      <c r="D905" s="31" t="str">
        <f t="shared" si="38"/>
        <v> C20565:	
Cyclic di-3',5'-adenylate</v>
      </c>
    </row>
    <row r="906" spans="1:4" ht="29" x14ac:dyDescent="0.35">
      <c r="A906" s="31" t="s">
        <v>12407</v>
      </c>
      <c r="B906" s="31" t="s">
        <v>13331</v>
      </c>
      <c r="C906" s="31" t="str">
        <f t="shared" si="37"/>
        <v>C20641 :1</v>
      </c>
      <c r="D906" s="31" t="str">
        <f t="shared" si="38"/>
        <v>C20641 :	
L-Threonylcarbamoyladenylate</v>
      </c>
    </row>
    <row r="907" spans="1:4" ht="29" x14ac:dyDescent="0.35">
      <c r="A907" s="31" t="s">
        <v>12359</v>
      </c>
      <c r="B907" s="31" t="s">
        <v>13332</v>
      </c>
      <c r="C907" s="31" t="str">
        <f t="shared" si="37"/>
        <v>  C20648:1</v>
      </c>
      <c r="D907" s="31" t="str">
        <f t="shared" si="38"/>
        <v>  C20648:	
Adenine in Rrna</v>
      </c>
    </row>
    <row r="908" spans="1:4" ht="29" x14ac:dyDescent="0.35">
      <c r="A908" s="31" t="s">
        <v>12414</v>
      </c>
      <c r="B908" s="31" t="s">
        <v>13333</v>
      </c>
      <c r="C908" s="31" t="str">
        <f t="shared" si="37"/>
        <v>C20658 :1</v>
      </c>
      <c r="D908" s="31" t="str">
        <f t="shared" si="38"/>
        <v>C20658 :	
O-Acetyl-ADP-ribose</v>
      </c>
    </row>
    <row r="909" spans="1:4" ht="43.5" x14ac:dyDescent="0.35">
      <c r="A909" s="31" t="s">
        <v>12467</v>
      </c>
      <c r="B909" s="31" t="s">
        <v>13334</v>
      </c>
      <c r="C909" s="31" t="str">
        <f t="shared" si="37"/>
        <v>  C20722:1</v>
      </c>
      <c r="D909" s="31" t="str">
        <f t="shared" si="38"/>
        <v>  C20722:	
3-O-(alpha-D-Mannosyl)-L-threonyl-[protein]</v>
      </c>
    </row>
    <row r="910" spans="1:4" x14ac:dyDescent="0.35">
      <c r="A910" s="31" t="s">
        <v>12411</v>
      </c>
      <c r="B910" s="31" t="s">
        <v>13335</v>
      </c>
      <c r="C910" s="31" t="str">
        <f t="shared" si="37"/>
        <v> C20743:1</v>
      </c>
      <c r="D910" s="31" t="str">
        <f t="shared" si="38"/>
        <v> C20743:Protein N6-acetyl-L-lysine</v>
      </c>
    </row>
    <row r="911" spans="1:4" ht="29" x14ac:dyDescent="0.35">
      <c r="A911" s="31" t="s">
        <v>12111</v>
      </c>
      <c r="B911" s="31" t="s">
        <v>13336</v>
      </c>
      <c r="C911" s="31" t="str">
        <f t="shared" si="37"/>
        <v>C20751:1</v>
      </c>
      <c r="D911" s="31" t="str">
        <f t="shared" si="38"/>
        <v>C20751:	
N6-L-Threonylcarbamoyladenine in tRNA</v>
      </c>
    </row>
    <row r="912" spans="1:4" ht="29" x14ac:dyDescent="0.35">
      <c r="A912" s="31" t="s">
        <v>12809</v>
      </c>
      <c r="B912" s="31" t="s">
        <v>13337</v>
      </c>
      <c r="C912" s="31" t="str">
        <f t="shared" si="37"/>
        <v>C20753 :1</v>
      </c>
      <c r="D912" s="31" t="str">
        <f t="shared" si="38"/>
        <v>C20753 :2-Methylthio-N6-dimethylallyladenine in tRNA</v>
      </c>
    </row>
    <row r="913" spans="1:4" ht="29" x14ac:dyDescent="0.35">
      <c r="A913" s="31" t="s">
        <v>12810</v>
      </c>
      <c r="B913" s="31" t="s">
        <v>13338</v>
      </c>
      <c r="C913" s="31" t="str">
        <f t="shared" si="37"/>
        <v>C20755 :1</v>
      </c>
      <c r="D913" s="31" t="str">
        <f t="shared" si="38"/>
        <v>C20755 :	
2-Thio-N6-dimethylallyladenine in tRNA</v>
      </c>
    </row>
    <row r="914" spans="1:4" ht="29" x14ac:dyDescent="0.35">
      <c r="A914" s="31" t="s">
        <v>12112</v>
      </c>
      <c r="B914" s="31" t="s">
        <v>13339</v>
      </c>
      <c r="C914" s="31" t="str">
        <f t="shared" si="37"/>
        <v>C20796:1</v>
      </c>
      <c r="D914" s="31" t="str">
        <f t="shared" si="38"/>
        <v>C20796:	
N6-Dimethyladenine in rRNA</v>
      </c>
    </row>
    <row r="915" spans="1:4" x14ac:dyDescent="0.35">
      <c r="A915" s="31" t="s">
        <v>12364</v>
      </c>
      <c r="B915" s="31" t="s">
        <v>13340</v>
      </c>
      <c r="C915" s="31" t="str">
        <f t="shared" si="37"/>
        <v>C20858 :1</v>
      </c>
      <c r="D915" s="31" t="str">
        <f t="shared" si="38"/>
        <v>C20858 :Protein N5-methyl-L-glutamine</v>
      </c>
    </row>
    <row r="916" spans="1:4" x14ac:dyDescent="0.35">
      <c r="A916" s="31" t="s">
        <v>12113</v>
      </c>
      <c r="B916" s="31" t="s">
        <v>13341</v>
      </c>
      <c r="C916" s="31" t="str">
        <f t="shared" si="37"/>
        <v>C20864:1</v>
      </c>
      <c r="D916" s="31" t="str">
        <f t="shared" si="38"/>
        <v>C20864:5'-Triphospho-[mRNA]</v>
      </c>
    </row>
    <row r="917" spans="1:4" x14ac:dyDescent="0.35">
      <c r="A917" s="31" t="s">
        <v>12811</v>
      </c>
      <c r="B917" s="31" t="s">
        <v>13342</v>
      </c>
      <c r="C917" s="31" t="str">
        <f t="shared" si="37"/>
        <v>C20904  :1</v>
      </c>
      <c r="D917" s="31" t="str">
        <f t="shared" si="38"/>
        <v>C20904  :2-Iminopropanoate</v>
      </c>
    </row>
    <row r="918" spans="1:4" ht="29" x14ac:dyDescent="0.35">
      <c r="A918" s="31" t="s">
        <v>11011</v>
      </c>
      <c r="B918" s="31" t="s">
        <v>13343</v>
      </c>
      <c r="C918" s="31" t="str">
        <f t="shared" si="37"/>
        <v>C20905:1</v>
      </c>
      <c r="D918" s="31" t="str">
        <f t="shared" si="38"/>
        <v>C20905:	
2-Iminobutanoate</v>
      </c>
    </row>
    <row r="919" spans="1:4" ht="29" x14ac:dyDescent="0.35">
      <c r="A919" s="31" t="s">
        <v>12812</v>
      </c>
      <c r="B919" s="31" t="s">
        <v>13344</v>
      </c>
      <c r="C919" s="31" t="str">
        <f t="shared" si="37"/>
        <v> C20969:1</v>
      </c>
      <c r="D919" s="31" t="str">
        <f t="shared" si="38"/>
        <v> C20969:	
Carboxyphosphate</v>
      </c>
    </row>
    <row r="920" spans="1:4" ht="29" x14ac:dyDescent="0.35">
      <c r="A920" s="31" t="s">
        <v>12813</v>
      </c>
      <c r="B920" s="31" t="s">
        <v>13345</v>
      </c>
      <c r="C920" s="31" t="str">
        <f t="shared" si="37"/>
        <v xml:space="preserve"> C21015:1</v>
      </c>
      <c r="D920" s="31" t="str">
        <f t="shared" si="38"/>
        <v xml:space="preserve"> C21015:gamma-L-Glutamyl-L-2-aminobutyrate</v>
      </c>
    </row>
    <row r="921" spans="1:4" ht="29" x14ac:dyDescent="0.35">
      <c r="A921" s="31" t="s">
        <v>10253</v>
      </c>
      <c r="B921" s="31" t="s">
        <v>13346</v>
      </c>
      <c r="C921" s="31" t="str">
        <f t="shared" si="37"/>
        <v>C21031:1</v>
      </c>
      <c r="D921" s="31" t="str">
        <f t="shared" si="38"/>
        <v>C21031:	
5-Hydroxymethylcytosine in DNA</v>
      </c>
    </row>
    <row r="922" spans="1:4" x14ac:dyDescent="0.35">
      <c r="A922" s="31" t="s">
        <v>12814</v>
      </c>
      <c r="B922" s="31" t="s">
        <v>13347</v>
      </c>
      <c r="C922" s="31" t="str">
        <f t="shared" si="37"/>
        <v> C21153:1</v>
      </c>
      <c r="D922" s="31" t="str">
        <f t="shared" si="38"/>
        <v> C21153:Adenosylcobalamin 5'-phosphate</v>
      </c>
    </row>
    <row r="923" spans="1:4" ht="29" x14ac:dyDescent="0.35">
      <c r="A923" s="31" t="s">
        <v>12815</v>
      </c>
      <c r="B923" s="31" t="s">
        <v>13348</v>
      </c>
      <c r="C923" s="31" t="str">
        <f t="shared" si="37"/>
        <v xml:space="preserve">  C21177  :1</v>
      </c>
      <c r="D923" s="31" t="str">
        <f t="shared" si="38"/>
        <v xml:space="preserve">  C21177  :	
Prokaryotic ubiquitin-like protein</v>
      </c>
    </row>
    <row r="924" spans="1:4" ht="29" x14ac:dyDescent="0.35">
      <c r="A924" s="31" t="s">
        <v>12816</v>
      </c>
      <c r="B924" s="31" t="s">
        <v>13349</v>
      </c>
      <c r="C924" s="31" t="str">
        <f t="shared" si="37"/>
        <v>C21178  :1</v>
      </c>
      <c r="D924" s="31" t="str">
        <f t="shared" si="38"/>
        <v>C21178  :	
Pupylated protein</v>
      </c>
    </row>
    <row r="925" spans="1:4" ht="43.5" x14ac:dyDescent="0.35">
      <c r="A925" s="31" t="s">
        <v>12817</v>
      </c>
      <c r="B925" s="31" t="s">
        <v>13350</v>
      </c>
      <c r="C925" s="31" t="str">
        <f t="shared" si="37"/>
        <v>C21179:1</v>
      </c>
      <c r="D925" s="31" t="str">
        <f t="shared" si="38"/>
        <v>C21179:	
[Prokaryotic ubiquitin-like protein]-L-glutamine</v>
      </c>
    </row>
    <row r="926" spans="1:4" x14ac:dyDescent="0.35">
      <c r="A926" s="31" t="s">
        <v>12293</v>
      </c>
      <c r="B926" s="31" t="s">
        <v>13351</v>
      </c>
      <c r="C926" s="31" t="str">
        <f t="shared" si="37"/>
        <v>C21284  :1</v>
      </c>
      <c r="D926" s="31" t="str">
        <f t="shared" si="38"/>
        <v>C21284  :Fe-coproporphyrin III</v>
      </c>
    </row>
    <row r="927" spans="1:4" ht="29" x14ac:dyDescent="0.35">
      <c r="A927" s="31" t="s">
        <v>12818</v>
      </c>
      <c r="B927" s="31" t="s">
        <v>13352</v>
      </c>
      <c r="C927" s="31" t="str">
        <f t="shared" si="37"/>
        <v>C21310  :1</v>
      </c>
      <c r="D927" s="31" t="str">
        <f t="shared" si="38"/>
        <v>C21310  :(8S)-3',8-Cyclo-7,8-dihydroguanosine 5'-triphosphate</v>
      </c>
    </row>
    <row r="928" spans="1:4" ht="29" x14ac:dyDescent="0.35">
      <c r="A928" s="31" t="s">
        <v>12819</v>
      </c>
      <c r="B928" s="31" t="s">
        <v>13353</v>
      </c>
      <c r="C928" s="31" t="str">
        <f t="shared" si="37"/>
        <v> C21440:1</v>
      </c>
      <c r="D928" s="31" t="str">
        <f t="shared" si="38"/>
        <v> C21440:	
[Protein]-S-sulfanyl-L-cysteine</v>
      </c>
    </row>
    <row r="929" spans="1:4" ht="43.5" x14ac:dyDescent="0.35">
      <c r="A929" s="31" t="s">
        <v>12820</v>
      </c>
      <c r="B929" s="31" t="s">
        <v>13354</v>
      </c>
      <c r="C929" s="31" t="str">
        <f t="shared" si="37"/>
        <v>C21606  :1</v>
      </c>
      <c r="D929" s="31" t="str">
        <f t="shared" si="38"/>
        <v>C21606  :	
2-O-(alpha-D-Mannosyl)-1-phosphatidyl-1D-myo-inositol</v>
      </c>
    </row>
    <row r="930" spans="1:4" ht="29" x14ac:dyDescent="0.35">
      <c r="A930" s="31" t="s">
        <v>12821</v>
      </c>
      <c r="B930" s="31" t="s">
        <v>13355</v>
      </c>
      <c r="C930" s="31" t="str">
        <f t="shared" si="37"/>
        <v> C21607:1</v>
      </c>
      <c r="D930" s="31" t="str">
        <f t="shared" si="38"/>
        <v> C21607:2,6-Di-O-alpha-D-mannosyl-1-phosphatidyl-1D-myo-inositol</v>
      </c>
    </row>
    <row r="931" spans="1:4" ht="58" x14ac:dyDescent="0.35">
      <c r="A931" s="31" t="s">
        <v>12822</v>
      </c>
      <c r="B931" s="31" t="s">
        <v>13356</v>
      </c>
      <c r="C931" s="31" t="str">
        <f t="shared" si="37"/>
        <v>  C21608:1</v>
      </c>
      <c r="D931" s="31" t="str">
        <f t="shared" si="38"/>
        <v>  C21608:	
2-O-(6-O-Acyl-alpha-D-mannosyl)-6-O-alpha-D-mannosyl-1-phosphatidyl-1D-myo-inositol</v>
      </c>
    </row>
    <row r="932" spans="1:4" ht="43.5" x14ac:dyDescent="0.35">
      <c r="A932" s="31" t="s">
        <v>12823</v>
      </c>
      <c r="B932" s="31" t="s">
        <v>13357</v>
      </c>
      <c r="C932" s="31" t="str">
        <f t="shared" si="37"/>
        <v>C21609  :1</v>
      </c>
      <c r="D932" s="31" t="str">
        <f t="shared" si="38"/>
        <v>C21609  :	
2-O-(6-O-Acyl-alpha-D-mannosyl)-1-phosphatidyl-1D-myo-inositol</v>
      </c>
    </row>
    <row r="933" spans="1:4" ht="29" x14ac:dyDescent="0.35">
      <c r="A933" s="31" t="s">
        <v>12243</v>
      </c>
      <c r="B933" s="31" t="s">
        <v>13358</v>
      </c>
      <c r="C933" s="31" t="str">
        <f t="shared" si="37"/>
        <v>C21748  :1</v>
      </c>
      <c r="D933" s="31" t="str">
        <f t="shared" si="38"/>
        <v>C21748  :	
5-Fluorouridine diphosphate</v>
      </c>
    </row>
    <row r="934" spans="1:4" ht="29" x14ac:dyDescent="0.35">
      <c r="A934" s="31" t="s">
        <v>12824</v>
      </c>
      <c r="B934" s="31" t="s">
        <v>13359</v>
      </c>
      <c r="C934" s="31" t="str">
        <f t="shared" si="37"/>
        <v>C21749:1</v>
      </c>
      <c r="D934" s="31" t="str">
        <f t="shared" si="38"/>
        <v>C21749:	
5-Fluorouridine triphosphate</v>
      </c>
    </row>
    <row r="935" spans="1:4" ht="29" x14ac:dyDescent="0.35">
      <c r="A935" s="31" t="s">
        <v>12114</v>
      </c>
      <c r="B935" s="31" t="s">
        <v>13360</v>
      </c>
      <c r="C935" s="31" t="str">
        <f t="shared" si="37"/>
        <v>C21750:1</v>
      </c>
      <c r="D935" s="31" t="str">
        <f t="shared" si="38"/>
        <v>C21750:	
5-Fluorodeoxyuridine diphosphate</v>
      </c>
    </row>
    <row r="936" spans="1:4" ht="29" x14ac:dyDescent="0.35">
      <c r="A936" s="31" t="s">
        <v>12825</v>
      </c>
      <c r="B936" s="31" t="s">
        <v>13361</v>
      </c>
      <c r="C936" s="31" t="str">
        <f t="shared" si="37"/>
        <v> C21751:1</v>
      </c>
      <c r="D936" s="31" t="str">
        <f t="shared" si="38"/>
        <v> C21751:	
5-Fluorodeoxyuridine triphosphate</v>
      </c>
    </row>
    <row r="937" spans="1:4" ht="43.5" x14ac:dyDescent="0.35">
      <c r="A937" s="31" t="s">
        <v>12826</v>
      </c>
      <c r="B937" s="31" t="s">
        <v>13362</v>
      </c>
      <c r="C937" s="31" t="str">
        <f t="shared" si="37"/>
        <v>C21767:1</v>
      </c>
      <c r="D937" s="31" t="str">
        <f t="shared" si="38"/>
        <v>C21767:	
Pyridinium-3,5-bisthiocarboxylate mononucleotide</v>
      </c>
    </row>
    <row r="938" spans="1:4" ht="43.5" x14ac:dyDescent="0.35">
      <c r="A938" s="31" t="s">
        <v>12827</v>
      </c>
      <c r="B938" s="31" t="s">
        <v>13363</v>
      </c>
      <c r="C938" s="31" t="str">
        <f t="shared" si="37"/>
        <v>C21769 :1</v>
      </c>
      <c r="D938" s="31" t="str">
        <f t="shared" si="38"/>
        <v>C21769 :	
Ni(II)-pyridinium-3,5-bisthiocarboxylate mononucleotide</v>
      </c>
    </row>
    <row r="939" spans="1:4" ht="29" x14ac:dyDescent="0.35">
      <c r="A939" s="31" t="s">
        <v>12360</v>
      </c>
      <c r="B939" s="31" t="s">
        <v>13364</v>
      </c>
      <c r="C939" s="31" t="str">
        <f t="shared" si="37"/>
        <v xml:space="preserve"> C22150:1</v>
      </c>
      <c r="D939" s="31" t="str">
        <f t="shared" si="38"/>
        <v xml:space="preserve"> C22150:	
Reduced [2Fe-2S] ferredoxin</v>
      </c>
    </row>
    <row r="940" spans="1:4" x14ac:dyDescent="0.35">
      <c r="A940" s="31" t="s">
        <v>12361</v>
      </c>
      <c r="B940" s="31" t="s">
        <v>13365</v>
      </c>
      <c r="C940" s="31" t="str">
        <f t="shared" si="37"/>
        <v>C22151:1</v>
      </c>
      <c r="D940" s="31" t="str">
        <f t="shared" si="38"/>
        <v>C22151:Oxidized [2Fe-2S] ferredoxin</v>
      </c>
    </row>
    <row r="941" spans="1:4" ht="29" x14ac:dyDescent="0.35">
      <c r="A941" s="31" t="s">
        <v>12828</v>
      </c>
      <c r="B941" s="31" t="s">
        <v>13366</v>
      </c>
      <c r="C941" s="31" t="str">
        <f t="shared" si="37"/>
        <v>C22154:1</v>
      </c>
      <c r="D941" s="31" t="str">
        <f t="shared" si="38"/>
        <v>C22154:[Fe-S] cluster scaffold protein carrying a [4Fe-4S]2+ cluster</v>
      </c>
    </row>
    <row r="942" spans="1:4" x14ac:dyDescent="0.35">
      <c r="A942" s="31" t="s">
        <v>12829</v>
      </c>
      <c r="B942" s="31" t="s">
        <v>13367</v>
      </c>
      <c r="C942" s="31" t="str">
        <f t="shared" si="37"/>
        <v xml:space="preserve"> C22155:1</v>
      </c>
      <c r="D942" s="31" t="str">
        <f t="shared" si="38"/>
        <v xml:space="preserve"> C22155:[Fe-S] cluster scaffold protein</v>
      </c>
    </row>
    <row r="943" spans="1:4" x14ac:dyDescent="0.35">
      <c r="A943" s="31" t="s">
        <v>12404</v>
      </c>
      <c r="B943" s="31" t="s">
        <v>13368</v>
      </c>
      <c r="C943" s="31" t="str">
        <f t="shared" si="37"/>
        <v> C22157  :1</v>
      </c>
      <c r="D943" s="31" t="str">
        <f t="shared" si="38"/>
        <v> C22157  :[GcvH]-L-lysine</v>
      </c>
    </row>
    <row r="944" spans="1:4" ht="29" x14ac:dyDescent="0.35">
      <c r="A944" s="31" t="s">
        <v>12403</v>
      </c>
      <c r="B944" s="31" t="s">
        <v>13369</v>
      </c>
      <c r="C944" s="31" t="str">
        <f t="shared" si="37"/>
        <v>C22158 :1</v>
      </c>
      <c r="D944" s="31" t="str">
        <f t="shared" si="38"/>
        <v>C22158 :	
Lipoyl-carrier protein E2</v>
      </c>
    </row>
    <row r="945" spans="1:4" ht="43.5" x14ac:dyDescent="0.35">
      <c r="A945" s="31" t="s">
        <v>12830</v>
      </c>
      <c r="B945" s="31" t="s">
        <v>13370</v>
      </c>
      <c r="C945" s="31" t="str">
        <f t="shared" si="37"/>
        <v>C22159  :1</v>
      </c>
      <c r="D945" s="31" t="str">
        <f t="shared" si="38"/>
        <v>C22159  :	
[Glycine cleavage system H]-N6-octanoyl-L-lysine</v>
      </c>
    </row>
    <row r="946" spans="1:4" ht="43.5" x14ac:dyDescent="0.35">
      <c r="A946" s="31" t="s">
        <v>12831</v>
      </c>
      <c r="B946" s="31" t="s">
        <v>13371</v>
      </c>
      <c r="C946" s="31" t="str">
        <f t="shared" si="37"/>
        <v>C22160:1</v>
      </c>
      <c r="D946" s="31" t="str">
        <f t="shared" si="38"/>
        <v>C22160:	
[Lipoyl-carrier protein E2]-N6-octanoyl-L-lysine</v>
      </c>
    </row>
    <row r="947" spans="1:4" ht="29" x14ac:dyDescent="0.35">
      <c r="A947" s="31" t="s">
        <v>12295</v>
      </c>
      <c r="B947" s="31" t="s">
        <v>13372</v>
      </c>
      <c r="C947" s="31" t="str">
        <f t="shared" si="37"/>
        <v>C22173:1</v>
      </c>
      <c r="D947" s="31" t="str">
        <f t="shared" si="38"/>
        <v>C22173:	
Harderoheme III</v>
      </c>
    </row>
    <row r="948" spans="1:4" x14ac:dyDescent="0.35">
      <c r="A948" s="31" t="s">
        <v>12252</v>
      </c>
      <c r="B948" s="31" t="s">
        <v>13373</v>
      </c>
      <c r="C948" s="31" t="str">
        <f t="shared" si="37"/>
        <v>C22328:1</v>
      </c>
      <c r="D948" s="31" t="str">
        <f t="shared" si="38"/>
        <v>C22328:Heme I</v>
      </c>
    </row>
    <row r="949" spans="1:4" ht="29" x14ac:dyDescent="0.35">
      <c r="A949" s="31" t="s">
        <v>12253</v>
      </c>
      <c r="B949" s="31" t="s">
        <v>13374</v>
      </c>
      <c r="C949" s="31" t="str">
        <f t="shared" si="37"/>
        <v>C22329:1</v>
      </c>
      <c r="D949" s="31" t="str">
        <f t="shared" si="38"/>
        <v>C22329:	
Hydroxyheme I</v>
      </c>
    </row>
    <row r="950" spans="1:4" ht="29" x14ac:dyDescent="0.35">
      <c r="A950" s="31" t="s">
        <v>12832</v>
      </c>
      <c r="B950" s="31" t="s">
        <v>13375</v>
      </c>
      <c r="C950" s="31" t="str">
        <f t="shared" si="37"/>
        <v>C22395  :1</v>
      </c>
      <c r="D950" s="31" t="str">
        <f t="shared" si="38"/>
        <v>C22395  :N6-Succino-2-amino-2'-deoxyadenylate</v>
      </c>
    </row>
    <row r="951" spans="1:4" ht="29" x14ac:dyDescent="0.35">
      <c r="A951" s="31" t="s">
        <v>12170</v>
      </c>
      <c r="B951" s="31" t="s">
        <v>13376</v>
      </c>
      <c r="C951" s="31" t="str">
        <f t="shared" si="37"/>
        <v>C22438 :1</v>
      </c>
      <c r="D951" s="31" t="str">
        <f t="shared" si="38"/>
        <v>C22438 :	
3,5-Dehydroshikimate</v>
      </c>
    </row>
    <row r="952" spans="1:4" x14ac:dyDescent="0.35">
      <c r="A952" s="31" t="s">
        <v>12115</v>
      </c>
      <c r="B952" s="31" t="s">
        <v>14495</v>
      </c>
      <c r="C952" s="31" t="str">
        <f t="shared" si="37"/>
        <v>C22441:1</v>
      </c>
      <c r="D952" s="31" t="str">
        <f t="shared" si="38"/>
        <v>C22441:dZMP</v>
      </c>
    </row>
    <row r="953" spans="1:4" x14ac:dyDescent="0.35">
      <c r="A953" s="31" t="s">
        <v>12833</v>
      </c>
      <c r="B953" s="31" t="s">
        <v>14496</v>
      </c>
      <c r="C953" s="31" t="str">
        <f t="shared" si="37"/>
        <v> C22442  :1</v>
      </c>
      <c r="D953" s="31" t="str">
        <f t="shared" si="38"/>
        <v> C22442  :dZDP</v>
      </c>
    </row>
    <row r="954" spans="1:4" x14ac:dyDescent="0.35">
      <c r="A954" s="31" t="s">
        <v>12834</v>
      </c>
      <c r="B954" s="31" t="s">
        <v>14497</v>
      </c>
      <c r="C954" s="31" t="str">
        <f t="shared" si="37"/>
        <v>C22443:1</v>
      </c>
      <c r="D954" s="31" t="str">
        <f t="shared" si="38"/>
        <v>C22443:Dztp</v>
      </c>
    </row>
    <row r="955" spans="1:4" ht="29" x14ac:dyDescent="0.35">
      <c r="A955" s="31" t="s">
        <v>12835</v>
      </c>
      <c r="B955" s="31" t="s">
        <v>13377</v>
      </c>
      <c r="C955" s="31" t="str">
        <f t="shared" si="37"/>
        <v>C22458:1</v>
      </c>
      <c r="D955" s="31" t="str">
        <f t="shared" si="38"/>
        <v>C22458:	
8-Amino-7-(carboxyamino)nonanoate</v>
      </c>
    </row>
    <row r="956" spans="1:4" ht="29" x14ac:dyDescent="0.35">
      <c r="A956" s="31" t="s">
        <v>12836</v>
      </c>
      <c r="B956" s="31" t="s">
        <v>13378</v>
      </c>
      <c r="C956" s="31" t="str">
        <f t="shared" si="37"/>
        <v>G00275:1</v>
      </c>
      <c r="D956" s="31" t="str">
        <f t="shared" si="38"/>
        <v>G00275:	
Maltose</v>
      </c>
    </row>
    <row r="957" spans="1:4" ht="29" x14ac:dyDescent="0.35">
      <c r="A957" s="31" t="s">
        <v>11234</v>
      </c>
      <c r="B957" s="31" t="s">
        <v>13379</v>
      </c>
      <c r="C957" s="31" t="str">
        <f t="shared" si="37"/>
        <v>G00293:1</v>
      </c>
      <c r="D957" s="31" t="str">
        <f t="shared" si="38"/>
        <v>G00293:	
Trehalose</v>
      </c>
    </row>
    <row r="958" spans="1:4" x14ac:dyDescent="0.35">
      <c r="A958" s="31" t="s">
        <v>12837</v>
      </c>
      <c r="B958" s="31" t="s">
        <v>13380</v>
      </c>
      <c r="C958" s="31" t="str">
        <f t="shared" si="37"/>
        <v>G09795  :1</v>
      </c>
      <c r="D958" s="31" t="str">
        <f t="shared" si="38"/>
        <v>G09795  :Trehalose 6-phosphate</v>
      </c>
    </row>
    <row r="959" spans="1:4" ht="29" x14ac:dyDescent="0.35">
      <c r="A959" s="31" t="s">
        <v>12116</v>
      </c>
      <c r="B959" s="31" t="s">
        <v>13381</v>
      </c>
      <c r="C959" s="31" t="str">
        <f t="shared" ref="C959:C987" si="39">CONCATENATE(A959, ":", "1")</f>
        <v>G10495:1</v>
      </c>
      <c r="D959" s="31" t="str">
        <f t="shared" si="38"/>
        <v>G10495:	
1,4-alpha-D-Glucan</v>
      </c>
    </row>
    <row r="960" spans="1:4" x14ac:dyDescent="0.35">
      <c r="A960" s="31" t="s">
        <v>9542</v>
      </c>
      <c r="B960" s="31" t="s">
        <v>13025</v>
      </c>
      <c r="C960" s="31" t="str">
        <f t="shared" si="39"/>
        <v>G10545:1</v>
      </c>
      <c r="D960" s="31" t="str">
        <f t="shared" si="38"/>
        <v>G10545:Starch</v>
      </c>
    </row>
    <row r="961" spans="1:4" ht="29" x14ac:dyDescent="0.35">
      <c r="A961" s="31" t="s">
        <v>12838</v>
      </c>
      <c r="B961" s="31" t="s">
        <v>13382</v>
      </c>
      <c r="C961" s="31" t="str">
        <f t="shared" si="39"/>
        <v>G10550  :1</v>
      </c>
      <c r="D961" s="31" t="str">
        <f t="shared" si="38"/>
        <v>G10550  :(GlcNAc)1 (MurNAc)1 (D-Ala-D-Ala-Lys-D-Glu-Ala)1 (PP-Und)1</v>
      </c>
    </row>
    <row r="962" spans="1:4" ht="43.5" x14ac:dyDescent="0.35">
      <c r="A962" s="31" t="s">
        <v>12117</v>
      </c>
      <c r="B962" s="31" t="s">
        <v>13383</v>
      </c>
      <c r="C962" s="31" t="str">
        <f t="shared" si="39"/>
        <v>G10551:1</v>
      </c>
      <c r="D962" s="31" t="str">
        <f t="shared" si="38"/>
        <v>G10551:	
(MurNAc)1 (D-Ala-D-Ala-Lys-D-Glu-Ala)1 (PP-Und)1</v>
      </c>
    </row>
    <row r="963" spans="1:4" ht="29" x14ac:dyDescent="0.35">
      <c r="A963" s="31" t="s">
        <v>12118</v>
      </c>
      <c r="B963" s="31" t="s">
        <v>13384</v>
      </c>
      <c r="C963" s="31" t="str">
        <f t="shared" si="39"/>
        <v>G10552:1</v>
      </c>
      <c r="D963" s="31" t="str">
        <f t="shared" ref="D963:D987" si="40">CONCATENATE(A963,":",B963)</f>
        <v>G10552:(MurNAc)1 (D-Ala-D-Ala-Lys-gamma-D-Glu-Ala)1 (PP-Und)1</v>
      </c>
    </row>
    <row r="964" spans="1:4" ht="29" x14ac:dyDescent="0.35">
      <c r="A964" s="31" t="s">
        <v>12839</v>
      </c>
      <c r="B964" s="31" t="s">
        <v>13385</v>
      </c>
      <c r="C964" s="31" t="str">
        <f t="shared" si="39"/>
        <v>G10553  :1</v>
      </c>
      <c r="D964" s="31" t="str">
        <f t="shared" si="40"/>
        <v>G10553  :(GlcNAc)1 (MurNAc)1 (D-Ala-D-Ala-Lys-gamma-D-Glu-Ala)1 (PP-Und)1</v>
      </c>
    </row>
    <row r="965" spans="1:4" ht="29" x14ac:dyDescent="0.35">
      <c r="A965" s="31" t="s">
        <v>12840</v>
      </c>
      <c r="B965" s="31" t="s">
        <v>13386</v>
      </c>
      <c r="C965" s="31" t="str">
        <f t="shared" si="39"/>
        <v>G10554 :1</v>
      </c>
      <c r="D965" s="31" t="str">
        <f t="shared" si="40"/>
        <v>G10554 :(GlcNAc)1 (MurNAc)1 (*)1 (D-Ala-D-Ala-Lys-gamma-D-Glu-Ala)1 (PP-Und)1</v>
      </c>
    </row>
    <row r="966" spans="1:4" ht="43.5" x14ac:dyDescent="0.35">
      <c r="A966" s="31" t="s">
        <v>12841</v>
      </c>
      <c r="B966" s="31" t="s">
        <v>13387</v>
      </c>
      <c r="C966" s="31" t="str">
        <f t="shared" si="39"/>
        <v>G10555  :1</v>
      </c>
      <c r="D966" s="31" t="str">
        <f t="shared" si="40"/>
        <v>G10555  :	
(GlcNAc)1 (MurNAc)1 (D-Ala-D-Ala-A2pm-gamma-D-Glu-Ala)1 (PP-Und)1</v>
      </c>
    </row>
    <row r="967" spans="1:4" ht="43.5" x14ac:dyDescent="0.35">
      <c r="A967" s="31" t="s">
        <v>12842</v>
      </c>
      <c r="B967" s="31" t="s">
        <v>13388</v>
      </c>
      <c r="C967" s="31" t="str">
        <f t="shared" si="39"/>
        <v>G10556  :1</v>
      </c>
      <c r="D967" s="31" t="str">
        <f t="shared" si="40"/>
        <v>G10556  :	
(MurNAc)1 (D-Ala-D-Ala-A2pm-gamma-D-Glu-Ala)1 (PP-Und)1</v>
      </c>
    </row>
    <row r="968" spans="1:4" ht="43.5" x14ac:dyDescent="0.35">
      <c r="A968" s="31" t="s">
        <v>12843</v>
      </c>
      <c r="B968" s="31" t="s">
        <v>13389</v>
      </c>
      <c r="C968" s="31" t="str">
        <f t="shared" si="39"/>
        <v> G10557:1</v>
      </c>
      <c r="D968" s="31" t="str">
        <f t="shared" si="40"/>
        <v> G10557:	
(GlcNAc)1 (MurNAc)1 (*)1 (D-Ala-D-Ala-A2pm-gamma-D-Glu-Ala)1 (PP-Und)1</v>
      </c>
    </row>
    <row r="969" spans="1:4" x14ac:dyDescent="0.35">
      <c r="A969" s="31" t="s">
        <v>12844</v>
      </c>
      <c r="B969" s="31" t="s">
        <v>13390</v>
      </c>
      <c r="C969" s="31" t="str">
        <f t="shared" si="39"/>
        <v>G10589:1</v>
      </c>
      <c r="D969" s="31" t="str">
        <f t="shared" si="40"/>
        <v>G10589:(Glc)3 (*)1</v>
      </c>
    </row>
    <row r="970" spans="1:4" x14ac:dyDescent="0.35">
      <c r="A970" s="31" t="s">
        <v>12845</v>
      </c>
      <c r="B970" s="31" t="s">
        <v>13391</v>
      </c>
      <c r="C970" s="31" t="str">
        <f t="shared" si="39"/>
        <v>G10608:1</v>
      </c>
      <c r="D970" s="31" t="str">
        <f t="shared" si="40"/>
        <v>G10608:UDP-D-glucose</v>
      </c>
    </row>
    <row r="971" spans="1:4" ht="29" x14ac:dyDescent="0.35">
      <c r="A971" s="31" t="s">
        <v>12846</v>
      </c>
      <c r="B971" s="31" t="s">
        <v>13392</v>
      </c>
      <c r="C971" s="31" t="str">
        <f t="shared" si="39"/>
        <v>G10610 :1</v>
      </c>
      <c r="D971" s="31" t="str">
        <f t="shared" si="40"/>
        <v>G10610 :	
UDP-N-acetyl-D-glucosamine</v>
      </c>
    </row>
    <row r="972" spans="1:4" x14ac:dyDescent="0.35">
      <c r="A972" s="31" t="s">
        <v>12847</v>
      </c>
      <c r="B972" s="31" t="s">
        <v>13393</v>
      </c>
      <c r="C972" s="31" t="str">
        <f t="shared" si="39"/>
        <v>G10614  :1</v>
      </c>
      <c r="D972" s="31" t="str">
        <f t="shared" si="40"/>
        <v>G10614  :GDP-D-mannose</v>
      </c>
    </row>
    <row r="973" spans="1:4" x14ac:dyDescent="0.35">
      <c r="A973" s="31" t="s">
        <v>12848</v>
      </c>
      <c r="B973" s="31" t="s">
        <v>13394</v>
      </c>
      <c r="C973" s="31" t="str">
        <f t="shared" si="39"/>
        <v>G10617  :1</v>
      </c>
      <c r="D973" s="31" t="str">
        <f t="shared" si="40"/>
        <v>G10617  :Dolichyl phosphate D-mannose</v>
      </c>
    </row>
    <row r="974" spans="1:4" ht="29" x14ac:dyDescent="0.35">
      <c r="A974" s="31" t="s">
        <v>12849</v>
      </c>
      <c r="B974" s="31" t="s">
        <v>13395</v>
      </c>
      <c r="C974" s="31" t="str">
        <f t="shared" si="39"/>
        <v>G10619  :1</v>
      </c>
      <c r="D974" s="31" t="str">
        <f t="shared" si="40"/>
        <v>G10619  :	
UDP</v>
      </c>
    </row>
    <row r="975" spans="1:4" ht="29" x14ac:dyDescent="0.35">
      <c r="A975" s="31" t="s">
        <v>12850</v>
      </c>
      <c r="B975" s="31" t="s">
        <v>13396</v>
      </c>
      <c r="C975" s="31" t="str">
        <f t="shared" si="39"/>
        <v> G10620:1</v>
      </c>
      <c r="D975" s="31" t="str">
        <f t="shared" si="40"/>
        <v> G10620:	
GDP</v>
      </c>
    </row>
    <row r="976" spans="1:4" ht="29" x14ac:dyDescent="0.35">
      <c r="A976" s="31" t="s">
        <v>12851</v>
      </c>
      <c r="B976" s="31" t="s">
        <v>13397</v>
      </c>
      <c r="C976" s="31" t="str">
        <f t="shared" si="39"/>
        <v> G10622  :1</v>
      </c>
      <c r="D976" s="31" t="str">
        <f t="shared" si="40"/>
        <v> G10622  :	
Dolichyl phosphate</v>
      </c>
    </row>
    <row r="977" spans="1:4" ht="29" x14ac:dyDescent="0.35">
      <c r="A977" s="31" t="s">
        <v>12852</v>
      </c>
      <c r="B977" s="31" t="s">
        <v>13398</v>
      </c>
      <c r="C977" s="31" t="str">
        <f t="shared" si="39"/>
        <v xml:space="preserve"> G11109 :1</v>
      </c>
      <c r="D977" s="31" t="str">
        <f t="shared" si="40"/>
        <v xml:space="preserve"> G11109 :	
ADP-glucose</v>
      </c>
    </row>
    <row r="978" spans="1:4" x14ac:dyDescent="0.35">
      <c r="A978" s="31" t="s">
        <v>12119</v>
      </c>
      <c r="B978" s="31" t="s">
        <v>12870</v>
      </c>
      <c r="C978" s="31" t="str">
        <f t="shared" si="39"/>
        <v>G11113:1</v>
      </c>
      <c r="D978" s="31" t="str">
        <f t="shared" si="40"/>
        <v>G11113:ADP</v>
      </c>
    </row>
    <row r="979" spans="1:4" ht="29" x14ac:dyDescent="0.35">
      <c r="A979" s="31" t="s">
        <v>12853</v>
      </c>
      <c r="B979" s="31" t="s">
        <v>13399</v>
      </c>
      <c r="C979" s="31" t="str">
        <f t="shared" si="39"/>
        <v xml:space="preserve"> G11291:1</v>
      </c>
      <c r="D979" s="31" t="str">
        <f t="shared" si="40"/>
        <v xml:space="preserve"> G11291:	
Phosphatidyl-myo-inositol monomannoside</v>
      </c>
    </row>
    <row r="980" spans="1:4" x14ac:dyDescent="0.35">
      <c r="A980" s="31" t="s">
        <v>12854</v>
      </c>
      <c r="B980" s="31" t="s">
        <v>13400</v>
      </c>
      <c r="C980" s="31" t="str">
        <f t="shared" si="39"/>
        <v>G13027:1</v>
      </c>
      <c r="D980" s="31" t="str">
        <f t="shared" si="40"/>
        <v>G13027:(Man)1 (Ser/Thr)1</v>
      </c>
    </row>
    <row r="981" spans="1:4" ht="29" x14ac:dyDescent="0.35">
      <c r="A981" s="31" t="s">
        <v>12855</v>
      </c>
      <c r="B981" s="31" t="s">
        <v>13401</v>
      </c>
      <c r="C981" s="31" t="str">
        <f t="shared" si="39"/>
        <v>  G13102:1</v>
      </c>
      <c r="D981" s="31" t="str">
        <f t="shared" si="40"/>
        <v>  G13102:Phosphatidyl-myo-inositol dimannoside</v>
      </c>
    </row>
    <row r="982" spans="1:4" ht="43.5" x14ac:dyDescent="0.35">
      <c r="A982" s="31" t="s">
        <v>12856</v>
      </c>
      <c r="B982" s="31" t="s">
        <v>13402</v>
      </c>
      <c r="C982" s="31" t="str">
        <f t="shared" si="39"/>
        <v>G13107:1</v>
      </c>
      <c r="D982" s="31" t="str">
        <f t="shared" si="40"/>
        <v>G13107:	
Triacylated phosphatidyl-myo-inositol monomannoside</v>
      </c>
    </row>
    <row r="983" spans="1:4" ht="43.5" x14ac:dyDescent="0.35">
      <c r="A983" s="31" t="s">
        <v>12857</v>
      </c>
      <c r="B983" s="31" t="s">
        <v>13403</v>
      </c>
      <c r="C983" s="31" t="str">
        <f t="shared" si="39"/>
        <v>  G13108:1</v>
      </c>
      <c r="D983" s="31" t="str">
        <f t="shared" si="40"/>
        <v>  G13108:	
Triacylated phosphatidyl-myo-inositol dimannoside</v>
      </c>
    </row>
    <row r="984" spans="1:4" ht="43.5" x14ac:dyDescent="0.35">
      <c r="A984" s="31" t="s">
        <v>12858</v>
      </c>
      <c r="B984" s="31" t="s">
        <v>13404</v>
      </c>
      <c r="C984" s="31" t="str">
        <f t="shared" si="39"/>
        <v xml:space="preserve">  G13119:1</v>
      </c>
      <c r="D984" s="31" t="str">
        <f t="shared" si="40"/>
        <v xml:space="preserve">  G13119:	
Rhamnosyl-N-acetyl-glucosaminyl-decaprenyl diphosphate</v>
      </c>
    </row>
    <row r="985" spans="1:4" x14ac:dyDescent="0.35">
      <c r="A985" s="31" t="s">
        <v>12859</v>
      </c>
      <c r="B985" s="31" t="s">
        <v>13405</v>
      </c>
      <c r="C985" s="31" t="str">
        <f t="shared" si="39"/>
        <v xml:space="preserve">  G13120 :1</v>
      </c>
      <c r="D985" s="31" t="str">
        <f t="shared" si="40"/>
        <v xml:space="preserve">  G13120 :Glycolipid 3</v>
      </c>
    </row>
    <row r="986" spans="1:4" ht="29" x14ac:dyDescent="0.35">
      <c r="A986" s="31" t="s">
        <v>12860</v>
      </c>
      <c r="B986" s="31" t="s">
        <v>13406</v>
      </c>
      <c r="C986" s="31" t="str">
        <f t="shared" si="39"/>
        <v>G13121:1</v>
      </c>
      <c r="D986" s="31" t="str">
        <f t="shared" si="40"/>
        <v>G13121:	
Glycolipid 4</v>
      </c>
    </row>
    <row r="987" spans="1:4" ht="29" x14ac:dyDescent="0.35">
      <c r="A987" s="31" t="s">
        <v>12861</v>
      </c>
      <c r="B987" s="31" t="s">
        <v>13407</v>
      </c>
      <c r="C987" s="31" t="str">
        <f t="shared" si="39"/>
        <v>G13125:1</v>
      </c>
      <c r="D987" s="31" t="str">
        <f t="shared" si="40"/>
        <v>G13125:	
UDP-alpha-D-galactofuranose</v>
      </c>
    </row>
  </sheetData>
  <pageMargins left="0.7" right="0.7" top="0.75" bottom="0.75" header="0.3" footer="0.3"/>
  <ignoredErrors>
    <ignoredError sqref="C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C0A4-FF23-4D04-AD26-188AE9E6F57C}">
  <dimension ref="A1:N445"/>
  <sheetViews>
    <sheetView workbookViewId="0"/>
  </sheetViews>
  <sheetFormatPr defaultRowHeight="14.5" x14ac:dyDescent="0.35"/>
  <cols>
    <col min="1" max="1" width="6.08984375" customWidth="1"/>
    <col min="2" max="2" width="18.6328125" customWidth="1"/>
    <col min="3" max="3" width="19.26953125" customWidth="1"/>
    <col min="4" max="4" width="18.81640625" customWidth="1"/>
    <col min="5" max="5" width="23.36328125" customWidth="1"/>
    <col min="6" max="6" width="26.54296875" customWidth="1"/>
    <col min="7" max="7" width="32.26953125" customWidth="1"/>
    <col min="8" max="10" width="23.453125" customWidth="1"/>
    <col min="11" max="14" width="41.08984375" customWidth="1"/>
  </cols>
  <sheetData>
    <row r="1" spans="1:14" s="22" customFormat="1" ht="29" x14ac:dyDescent="0.35">
      <c r="A1" s="34" t="s">
        <v>13834</v>
      </c>
      <c r="B1" s="34" t="s">
        <v>8415</v>
      </c>
      <c r="C1" s="34" t="s">
        <v>13835</v>
      </c>
      <c r="D1" s="34" t="s">
        <v>13836</v>
      </c>
      <c r="E1" s="34" t="s">
        <v>13837</v>
      </c>
      <c r="F1" s="34" t="s">
        <v>13838</v>
      </c>
      <c r="G1" s="34" t="s">
        <v>13839</v>
      </c>
      <c r="H1" s="34" t="s">
        <v>13840</v>
      </c>
      <c r="I1" s="34" t="s">
        <v>13841</v>
      </c>
      <c r="J1" s="34" t="s">
        <v>13842</v>
      </c>
      <c r="K1" s="34" t="s">
        <v>13843</v>
      </c>
      <c r="L1" s="34" t="s">
        <v>13844</v>
      </c>
      <c r="M1" s="34" t="s">
        <v>13845</v>
      </c>
      <c r="N1" s="34" t="s">
        <v>13846</v>
      </c>
    </row>
    <row r="2" spans="1:14" ht="29" x14ac:dyDescent="0.35">
      <c r="A2" s="31">
        <v>1</v>
      </c>
      <c r="B2" s="31" t="s">
        <v>13927</v>
      </c>
      <c r="C2" s="31" t="str">
        <f>CONCATENATE(D2,"_mRNA")</f>
        <v>E1_1_1_1_mRNA</v>
      </c>
      <c r="D2" s="31" t="str">
        <f>CONCATENATE("E",B2)</f>
        <v>E1_1_1_1</v>
      </c>
      <c r="E2" s="31" t="str">
        <f>CONCATENATE(D2,"_Kcat : 13.7")</f>
        <v>E1_1_1_1_Kcat : 13.7</v>
      </c>
      <c r="F2" s="31" t="str">
        <f>CONCATENATE(D2,"_Km :1")</f>
        <v>E1_1_1_1_Km :1</v>
      </c>
      <c r="G2" s="31" t="str">
        <f>CONCATENATE(C2,":",C2)</f>
        <v>E1_1_1_1_mRNA:E1_1_1_1_mRNA</v>
      </c>
      <c r="H2" s="32" t="str">
        <f>CONCATENATE(D2,":",D2)</f>
        <v>E1_1_1_1:E1_1_1_1</v>
      </c>
      <c r="I2" s="32" t="str">
        <f>CONCATENATE(C2,":","0")</f>
        <v>E1_1_1_1_mRNA:0</v>
      </c>
      <c r="J2" s="32" t="str">
        <f>CONCATENATE(D2,":","0")</f>
        <v>E1_1_1_1:0</v>
      </c>
      <c r="K2" s="32" t="str">
        <f>CONCATENATE("0.00292 - (0.0093 * ",C2,")")</f>
        <v>0.00292 - (0.0093 * E1_1_1_1_mRNA)</v>
      </c>
      <c r="L2" s="32" t="str">
        <f>CONCATENATE("(0.278 * ",C2,")", " - (0.00000278 * ",D2,")")</f>
        <v>(0.278 * E1_1_1_1_mRNA) - (0.00000278 * E1_1_1_1)</v>
      </c>
      <c r="M2" s="32" t="str">
        <f>CONCATENATE("mRNA",A2,": -&gt; ",C2," | ","0.00292", " -"," (","0.0093"," * ",C2,")")</f>
        <v>mRNA1: -&gt; E1_1_1_1_mRNA | 0.00292 - (0.0093 * E1_1_1_1_mRNA)</v>
      </c>
      <c r="N2" s="32" t="str">
        <f>CONCATENATE("Peptide",A2,":",C2," -&gt; ",D2," | ","(","0.278"," * ",C2,")"," - "," (","0.00000278"," * ",D2,")")</f>
        <v>Peptide1:E1_1_1_1_mRNA -&gt; E1_1_1_1 | (0.278 * E1_1_1_1_mRNA) -  (0.00000278 * E1_1_1_1)</v>
      </c>
    </row>
    <row r="3" spans="1:14" ht="43.5" x14ac:dyDescent="0.35">
      <c r="A3" s="31">
        <v>2</v>
      </c>
      <c r="B3" s="31" t="s">
        <v>13928</v>
      </c>
      <c r="C3" s="31" t="str">
        <f t="shared" ref="C3:C66" si="0">CONCATENATE(D3,"_mRNA")</f>
        <v>E1_1_1_100_mRNA</v>
      </c>
      <c r="D3" s="31" t="str">
        <f t="shared" ref="D3:D66" si="1">CONCATENATE("E",B3)</f>
        <v>E1_1_1_100</v>
      </c>
      <c r="E3" s="31" t="str">
        <f t="shared" ref="E3:E66" si="2">CONCATENATE(D3,"_Kcat : 13.7")</f>
        <v>E1_1_1_100_Kcat : 13.7</v>
      </c>
      <c r="F3" s="31" t="str">
        <f t="shared" ref="F3:F66" si="3">CONCATENATE(D3,"_Km :1")</f>
        <v>E1_1_1_100_Km :1</v>
      </c>
      <c r="G3" s="31" t="str">
        <f t="shared" ref="G3:G66" si="4">CONCATENATE(C3,":",C3)</f>
        <v>E1_1_1_100_mRNA:E1_1_1_100_mRNA</v>
      </c>
      <c r="H3" s="32" t="str">
        <f t="shared" ref="H3:H66" si="5">CONCATENATE(D3,":",D3)</f>
        <v>E1_1_1_100:E1_1_1_100</v>
      </c>
      <c r="I3" s="32" t="str">
        <f t="shared" ref="I3:I66" si="6">CONCATENATE(C3,":","0")</f>
        <v>E1_1_1_100_mRNA:0</v>
      </c>
      <c r="J3" s="32" t="str">
        <f t="shared" ref="J3:J66" si="7">CONCATENATE(D3,":","0")</f>
        <v>E1_1_1_100:0</v>
      </c>
      <c r="K3" s="32" t="str">
        <f t="shared" ref="K3:K66" si="8">CONCATENATE("0.00292 - (0.0093 * ",C3,")")</f>
        <v>0.00292 - (0.0093 * E1_1_1_100_mRNA)</v>
      </c>
      <c r="L3" s="32" t="str">
        <f t="shared" ref="L3:L66" si="9">CONCATENATE("(0.278 * ",C3,")", " - (0.00000278 * ",D3,")")</f>
        <v>(0.278 * E1_1_1_100_mRNA) - (0.00000278 * E1_1_1_100)</v>
      </c>
      <c r="M3" s="32" t="str">
        <f t="shared" ref="M3:M66" si="10">CONCATENATE("mRNA",A3,": -&gt; ",C3," | ","0.00292", " -"," (","0.0093"," * ",C3,")")</f>
        <v>mRNA2: -&gt; E1_1_1_100_mRNA | 0.00292 - (0.0093 * E1_1_1_100_mRNA)</v>
      </c>
      <c r="N3" s="32" t="str">
        <f t="shared" ref="N3:N66" si="11">CONCATENATE("Peptide",A3,":",C3," -&gt; ",D3," | ","(","0.278"," * ",C3,")"," - "," (","0.00000278"," * ",D3,")")</f>
        <v>Peptide2:E1_1_1_100_mRNA -&gt; E1_1_1_100 | (0.278 * E1_1_1_100_mRNA) -  (0.00000278 * E1_1_1_100)</v>
      </c>
    </row>
    <row r="4" spans="1:14" ht="43.5" x14ac:dyDescent="0.35">
      <c r="A4" s="31">
        <v>3</v>
      </c>
      <c r="B4" s="31" t="s">
        <v>13929</v>
      </c>
      <c r="C4" s="31" t="str">
        <f t="shared" si="0"/>
        <v>E1_1_1_169_mRNA</v>
      </c>
      <c r="D4" s="31" t="str">
        <f t="shared" si="1"/>
        <v>E1_1_1_169</v>
      </c>
      <c r="E4" s="31" t="str">
        <f t="shared" si="2"/>
        <v>E1_1_1_169_Kcat : 13.7</v>
      </c>
      <c r="F4" s="31" t="str">
        <f t="shared" si="3"/>
        <v>E1_1_1_169_Km :1</v>
      </c>
      <c r="G4" s="31" t="str">
        <f t="shared" si="4"/>
        <v>E1_1_1_169_mRNA:E1_1_1_169_mRNA</v>
      </c>
      <c r="H4" s="32" t="str">
        <f t="shared" si="5"/>
        <v>E1_1_1_169:E1_1_1_169</v>
      </c>
      <c r="I4" s="32" t="str">
        <f t="shared" si="6"/>
        <v>E1_1_1_169_mRNA:0</v>
      </c>
      <c r="J4" s="32" t="str">
        <f t="shared" si="7"/>
        <v>E1_1_1_169:0</v>
      </c>
      <c r="K4" s="32" t="str">
        <f t="shared" si="8"/>
        <v>0.00292 - (0.0093 * E1_1_1_169_mRNA)</v>
      </c>
      <c r="L4" s="32" t="str">
        <f t="shared" si="9"/>
        <v>(0.278 * E1_1_1_169_mRNA) - (0.00000278 * E1_1_1_169)</v>
      </c>
      <c r="M4" s="32" t="str">
        <f t="shared" si="10"/>
        <v>mRNA3: -&gt; E1_1_1_169_mRNA | 0.00292 - (0.0093 * E1_1_1_169_mRNA)</v>
      </c>
      <c r="N4" s="32" t="str">
        <f t="shared" si="11"/>
        <v>Peptide3:E1_1_1_169_mRNA -&gt; E1_1_1_169 | (0.278 * E1_1_1_169_mRNA) -  (0.00000278 * E1_1_1_169)</v>
      </c>
    </row>
    <row r="5" spans="1:14" ht="29" x14ac:dyDescent="0.35">
      <c r="A5" s="31">
        <v>4</v>
      </c>
      <c r="B5" s="31" t="s">
        <v>13930</v>
      </c>
      <c r="C5" s="31" t="str">
        <f t="shared" si="0"/>
        <v>E1_1_1_18_mRNA</v>
      </c>
      <c r="D5" s="31" t="str">
        <f t="shared" si="1"/>
        <v>E1_1_1_18</v>
      </c>
      <c r="E5" s="31" t="str">
        <f t="shared" si="2"/>
        <v>E1_1_1_18_Kcat : 13.7</v>
      </c>
      <c r="F5" s="31" t="str">
        <f t="shared" si="3"/>
        <v>E1_1_1_18_Km :1</v>
      </c>
      <c r="G5" s="31" t="str">
        <f t="shared" si="4"/>
        <v>E1_1_1_18_mRNA:E1_1_1_18_mRNA</v>
      </c>
      <c r="H5" s="32" t="str">
        <f t="shared" si="5"/>
        <v>E1_1_1_18:E1_1_1_18</v>
      </c>
      <c r="I5" s="32" t="str">
        <f t="shared" si="6"/>
        <v>E1_1_1_18_mRNA:0</v>
      </c>
      <c r="J5" s="32" t="str">
        <f t="shared" si="7"/>
        <v>E1_1_1_18:0</v>
      </c>
      <c r="K5" s="32" t="str">
        <f t="shared" si="8"/>
        <v>0.00292 - (0.0093 * E1_1_1_18_mRNA)</v>
      </c>
      <c r="L5" s="32" t="str">
        <f t="shared" si="9"/>
        <v>(0.278 * E1_1_1_18_mRNA) - (0.00000278 * E1_1_1_18)</v>
      </c>
      <c r="M5" s="32" t="str">
        <f t="shared" si="10"/>
        <v>mRNA4: -&gt; E1_1_1_18_mRNA | 0.00292 - (0.0093 * E1_1_1_18_mRNA)</v>
      </c>
      <c r="N5" s="32" t="str">
        <f t="shared" si="11"/>
        <v>Peptide4:E1_1_1_18_mRNA -&gt; E1_1_1_18 | (0.278 * E1_1_1_18_mRNA) -  (0.00000278 * E1_1_1_18)</v>
      </c>
    </row>
    <row r="6" spans="1:14" ht="43.5" x14ac:dyDescent="0.35">
      <c r="A6" s="31">
        <v>5</v>
      </c>
      <c r="B6" s="31" t="s">
        <v>13931</v>
      </c>
      <c r="C6" s="31" t="str">
        <f t="shared" si="0"/>
        <v>E1_1_1_193 _mRNA</v>
      </c>
      <c r="D6" s="31" t="str">
        <f t="shared" si="1"/>
        <v xml:space="preserve">E1_1_1_193 </v>
      </c>
      <c r="E6" s="31" t="str">
        <f t="shared" si="2"/>
        <v>E1_1_1_193 _Kcat : 13.7</v>
      </c>
      <c r="F6" s="31" t="str">
        <f t="shared" si="3"/>
        <v>E1_1_1_193 _Km :1</v>
      </c>
      <c r="G6" s="31" t="str">
        <f t="shared" si="4"/>
        <v>E1_1_1_193 _mRNA:E1_1_1_193 _mRNA</v>
      </c>
      <c r="H6" s="32" t="str">
        <f t="shared" si="5"/>
        <v xml:space="preserve">E1_1_1_193 :E1_1_1_193 </v>
      </c>
      <c r="I6" s="32" t="str">
        <f t="shared" si="6"/>
        <v>E1_1_1_193 _mRNA:0</v>
      </c>
      <c r="J6" s="32" t="str">
        <f t="shared" si="7"/>
        <v>E1_1_1_193 :0</v>
      </c>
      <c r="K6" s="32" t="str">
        <f t="shared" si="8"/>
        <v>0.00292 - (0.0093 * E1_1_1_193 _mRNA)</v>
      </c>
      <c r="L6" s="32" t="str">
        <f t="shared" si="9"/>
        <v>(0.278 * E1_1_1_193 _mRNA) - (0.00000278 * E1_1_1_193 )</v>
      </c>
      <c r="M6" s="32" t="str">
        <f t="shared" si="10"/>
        <v>mRNA5: -&gt; E1_1_1_193 _mRNA | 0.00292 - (0.0093 * E1_1_1_193 _mRNA)</v>
      </c>
      <c r="N6" s="32" t="str">
        <f t="shared" si="11"/>
        <v>Peptide5:E1_1_1_193 _mRNA -&gt; E1_1_1_193  | (0.278 * E1_1_1_193 _mRNA) -  (0.00000278 * E1_1_1_193 )</v>
      </c>
    </row>
    <row r="7" spans="1:14" ht="29" x14ac:dyDescent="0.35">
      <c r="A7" s="31">
        <v>6</v>
      </c>
      <c r="B7" s="31" t="s">
        <v>13932</v>
      </c>
      <c r="C7" s="31" t="str">
        <f t="shared" si="0"/>
        <v>E3_5_4_26_mRNA</v>
      </c>
      <c r="D7" s="31" t="str">
        <f t="shared" si="1"/>
        <v>E3_5_4_26</v>
      </c>
      <c r="E7" s="31" t="str">
        <f t="shared" si="2"/>
        <v>E3_5_4_26_Kcat : 13.7</v>
      </c>
      <c r="F7" s="31" t="str">
        <f t="shared" si="3"/>
        <v>E3_5_4_26_Km :1</v>
      </c>
      <c r="G7" s="31" t="str">
        <f t="shared" si="4"/>
        <v>E3_5_4_26_mRNA:E3_5_4_26_mRNA</v>
      </c>
      <c r="H7" s="32" t="str">
        <f t="shared" si="5"/>
        <v>E3_5_4_26:E3_5_4_26</v>
      </c>
      <c r="I7" s="32" t="str">
        <f t="shared" si="6"/>
        <v>E3_5_4_26_mRNA:0</v>
      </c>
      <c r="J7" s="32" t="str">
        <f t="shared" si="7"/>
        <v>E3_5_4_26:0</v>
      </c>
      <c r="K7" s="32" t="str">
        <f t="shared" si="8"/>
        <v>0.00292 - (0.0093 * E3_5_4_26_mRNA)</v>
      </c>
      <c r="L7" s="32" t="str">
        <f t="shared" si="9"/>
        <v>(0.278 * E3_5_4_26_mRNA) - (0.00000278 * E3_5_4_26)</v>
      </c>
      <c r="M7" s="32" t="str">
        <f t="shared" si="10"/>
        <v>mRNA6: -&gt; E3_5_4_26_mRNA | 0.00292 - (0.0093 * E3_5_4_26_mRNA)</v>
      </c>
      <c r="N7" s="32" t="str">
        <f t="shared" si="11"/>
        <v>Peptide6:E3_5_4_26_mRNA -&gt; E3_5_4_26 | (0.278 * E3_5_4_26_mRNA) -  (0.00000278 * E3_5_4_26)</v>
      </c>
    </row>
    <row r="8" spans="1:14" ht="43.5" x14ac:dyDescent="0.35">
      <c r="A8" s="31">
        <v>7</v>
      </c>
      <c r="B8" s="31" t="s">
        <v>13933</v>
      </c>
      <c r="C8" s="31" t="str">
        <f t="shared" si="0"/>
        <v>E1_1_1_205_mRNA</v>
      </c>
      <c r="D8" s="31" t="str">
        <f t="shared" si="1"/>
        <v>E1_1_1_205</v>
      </c>
      <c r="E8" s="31" t="str">
        <f t="shared" si="2"/>
        <v>E1_1_1_205_Kcat : 13.7</v>
      </c>
      <c r="F8" s="31" t="str">
        <f t="shared" si="3"/>
        <v>E1_1_1_205_Km :1</v>
      </c>
      <c r="G8" s="31" t="str">
        <f t="shared" si="4"/>
        <v>E1_1_1_205_mRNA:E1_1_1_205_mRNA</v>
      </c>
      <c r="H8" s="32" t="str">
        <f t="shared" si="5"/>
        <v>E1_1_1_205:E1_1_1_205</v>
      </c>
      <c r="I8" s="32" t="str">
        <f t="shared" si="6"/>
        <v>E1_1_1_205_mRNA:0</v>
      </c>
      <c r="J8" s="32" t="str">
        <f t="shared" si="7"/>
        <v>E1_1_1_205:0</v>
      </c>
      <c r="K8" s="32" t="str">
        <f t="shared" si="8"/>
        <v>0.00292 - (0.0093 * E1_1_1_205_mRNA)</v>
      </c>
      <c r="L8" s="32" t="str">
        <f t="shared" si="9"/>
        <v>(0.278 * E1_1_1_205_mRNA) - (0.00000278 * E1_1_1_205)</v>
      </c>
      <c r="M8" s="32" t="str">
        <f t="shared" si="10"/>
        <v>mRNA7: -&gt; E1_1_1_205_mRNA | 0.00292 - (0.0093 * E1_1_1_205_mRNA)</v>
      </c>
      <c r="N8" s="32" t="str">
        <f t="shared" si="11"/>
        <v>Peptide7:E1_1_1_205_mRNA -&gt; E1_1_1_205 | (0.278 * E1_1_1_205_mRNA) -  (0.00000278 * E1_1_1_205)</v>
      </c>
    </row>
    <row r="9" spans="1:14" ht="29" x14ac:dyDescent="0.35">
      <c r="A9" s="31">
        <v>8</v>
      </c>
      <c r="B9" s="31" t="s">
        <v>13934</v>
      </c>
      <c r="C9" s="31" t="str">
        <f t="shared" si="0"/>
        <v>E1_1_1_23_mRNA</v>
      </c>
      <c r="D9" s="31" t="str">
        <f t="shared" si="1"/>
        <v>E1_1_1_23</v>
      </c>
      <c r="E9" s="31" t="str">
        <f t="shared" si="2"/>
        <v>E1_1_1_23_Kcat : 13.7</v>
      </c>
      <c r="F9" s="31" t="str">
        <f t="shared" si="3"/>
        <v>E1_1_1_23_Km :1</v>
      </c>
      <c r="G9" s="31" t="str">
        <f t="shared" si="4"/>
        <v>E1_1_1_23_mRNA:E1_1_1_23_mRNA</v>
      </c>
      <c r="H9" s="32" t="str">
        <f t="shared" si="5"/>
        <v>E1_1_1_23:E1_1_1_23</v>
      </c>
      <c r="I9" s="32" t="str">
        <f t="shared" si="6"/>
        <v>E1_1_1_23_mRNA:0</v>
      </c>
      <c r="J9" s="32" t="str">
        <f t="shared" si="7"/>
        <v>E1_1_1_23:0</v>
      </c>
      <c r="K9" s="32" t="str">
        <f t="shared" si="8"/>
        <v>0.00292 - (0.0093 * E1_1_1_23_mRNA)</v>
      </c>
      <c r="L9" s="32" t="str">
        <f t="shared" si="9"/>
        <v>(0.278 * E1_1_1_23_mRNA) - (0.00000278 * E1_1_1_23)</v>
      </c>
      <c r="M9" s="32" t="str">
        <f t="shared" si="10"/>
        <v>mRNA8: -&gt; E1_1_1_23_mRNA | 0.00292 - (0.0093 * E1_1_1_23_mRNA)</v>
      </c>
      <c r="N9" s="32" t="str">
        <f t="shared" si="11"/>
        <v>Peptide8:E1_1_1_23_mRNA -&gt; E1_1_1_23 | (0.278 * E1_1_1_23_mRNA) -  (0.00000278 * E1_1_1_23)</v>
      </c>
    </row>
    <row r="10" spans="1:14" ht="29" x14ac:dyDescent="0.35">
      <c r="A10" s="31">
        <v>9</v>
      </c>
      <c r="B10" s="31" t="s">
        <v>13935</v>
      </c>
      <c r="C10" s="31" t="str">
        <f t="shared" si="0"/>
        <v>E1_1_1_25_mRNA</v>
      </c>
      <c r="D10" s="31" t="str">
        <f t="shared" si="1"/>
        <v>E1_1_1_25</v>
      </c>
      <c r="E10" s="31" t="str">
        <f t="shared" si="2"/>
        <v>E1_1_1_25_Kcat : 13.7</v>
      </c>
      <c r="F10" s="31" t="str">
        <f t="shared" si="3"/>
        <v>E1_1_1_25_Km :1</v>
      </c>
      <c r="G10" s="31" t="str">
        <f t="shared" si="4"/>
        <v>E1_1_1_25_mRNA:E1_1_1_25_mRNA</v>
      </c>
      <c r="H10" s="32" t="str">
        <f t="shared" si="5"/>
        <v>E1_1_1_25:E1_1_1_25</v>
      </c>
      <c r="I10" s="32" t="str">
        <f t="shared" si="6"/>
        <v>E1_1_1_25_mRNA:0</v>
      </c>
      <c r="J10" s="32" t="str">
        <f t="shared" si="7"/>
        <v>E1_1_1_25:0</v>
      </c>
      <c r="K10" s="32" t="str">
        <f t="shared" si="8"/>
        <v>0.00292 - (0.0093 * E1_1_1_25_mRNA)</v>
      </c>
      <c r="L10" s="32" t="str">
        <f t="shared" si="9"/>
        <v>(0.278 * E1_1_1_25_mRNA) - (0.00000278 * E1_1_1_25)</v>
      </c>
      <c r="M10" s="32" t="str">
        <f t="shared" si="10"/>
        <v>mRNA9: -&gt; E1_1_1_25_mRNA | 0.00292 - (0.0093 * E1_1_1_25_mRNA)</v>
      </c>
      <c r="N10" s="32" t="str">
        <f t="shared" si="11"/>
        <v>Peptide9:E1_1_1_25_mRNA -&gt; E1_1_1_25 | (0.278 * E1_1_1_25_mRNA) -  (0.00000278 * E1_1_1_25)</v>
      </c>
    </row>
    <row r="11" spans="1:14" ht="43.5" x14ac:dyDescent="0.35">
      <c r="A11" s="31">
        <v>10</v>
      </c>
      <c r="B11" s="31" t="s">
        <v>13936</v>
      </c>
      <c r="C11" s="31" t="str">
        <f t="shared" si="0"/>
        <v>E1_1_1_267_mRNA</v>
      </c>
      <c r="D11" s="31" t="str">
        <f t="shared" si="1"/>
        <v>E1_1_1_267</v>
      </c>
      <c r="E11" s="31" t="str">
        <f t="shared" si="2"/>
        <v>E1_1_1_267_Kcat : 13.7</v>
      </c>
      <c r="F11" s="31" t="str">
        <f t="shared" si="3"/>
        <v>E1_1_1_267_Km :1</v>
      </c>
      <c r="G11" s="31" t="str">
        <f t="shared" si="4"/>
        <v>E1_1_1_267_mRNA:E1_1_1_267_mRNA</v>
      </c>
      <c r="H11" s="32" t="str">
        <f t="shared" si="5"/>
        <v>E1_1_1_267:E1_1_1_267</v>
      </c>
      <c r="I11" s="32" t="str">
        <f t="shared" si="6"/>
        <v>E1_1_1_267_mRNA:0</v>
      </c>
      <c r="J11" s="32" t="str">
        <f t="shared" si="7"/>
        <v>E1_1_1_267:0</v>
      </c>
      <c r="K11" s="32" t="str">
        <f t="shared" si="8"/>
        <v>0.00292 - (0.0093 * E1_1_1_267_mRNA)</v>
      </c>
      <c r="L11" s="32" t="str">
        <f t="shared" si="9"/>
        <v>(0.278 * E1_1_1_267_mRNA) - (0.00000278 * E1_1_1_267)</v>
      </c>
      <c r="M11" s="32" t="str">
        <f t="shared" si="10"/>
        <v>mRNA10: -&gt; E1_1_1_267_mRNA | 0.00292 - (0.0093 * E1_1_1_267_mRNA)</v>
      </c>
      <c r="N11" s="32" t="str">
        <f t="shared" si="11"/>
        <v>Peptide10:E1_1_1_267_mRNA -&gt; E1_1_1_267 | (0.278 * E1_1_1_267_mRNA) -  (0.00000278 * E1_1_1_267)</v>
      </c>
    </row>
    <row r="12" spans="1:14" ht="43.5" x14ac:dyDescent="0.35">
      <c r="A12" s="31">
        <v>11</v>
      </c>
      <c r="B12" s="31" t="s">
        <v>13937</v>
      </c>
      <c r="C12" s="31" t="str">
        <f t="shared" si="0"/>
        <v>E1_1_1_27_mRNA</v>
      </c>
      <c r="D12" s="31" t="str">
        <f t="shared" si="1"/>
        <v>E1_1_1_27</v>
      </c>
      <c r="E12" s="31" t="str">
        <f t="shared" si="2"/>
        <v>E1_1_1_27_Kcat : 13.7</v>
      </c>
      <c r="F12" s="31" t="str">
        <f t="shared" si="3"/>
        <v>E1_1_1_27_Km :1</v>
      </c>
      <c r="G12" s="31" t="str">
        <f t="shared" si="4"/>
        <v>E1_1_1_27_mRNA:E1_1_1_27_mRNA</v>
      </c>
      <c r="H12" s="32" t="str">
        <f t="shared" si="5"/>
        <v>E1_1_1_27:E1_1_1_27</v>
      </c>
      <c r="I12" s="32" t="str">
        <f t="shared" si="6"/>
        <v>E1_1_1_27_mRNA:0</v>
      </c>
      <c r="J12" s="32" t="str">
        <f t="shared" si="7"/>
        <v>E1_1_1_27:0</v>
      </c>
      <c r="K12" s="32" t="str">
        <f t="shared" si="8"/>
        <v>0.00292 - (0.0093 * E1_1_1_27_mRNA)</v>
      </c>
      <c r="L12" s="32" t="str">
        <f t="shared" si="9"/>
        <v>(0.278 * E1_1_1_27_mRNA) - (0.00000278 * E1_1_1_27)</v>
      </c>
      <c r="M12" s="32" t="str">
        <f t="shared" si="10"/>
        <v>mRNA11: -&gt; E1_1_1_27_mRNA | 0.00292 - (0.0093 * E1_1_1_27_mRNA)</v>
      </c>
      <c r="N12" s="32" t="str">
        <f t="shared" si="11"/>
        <v>Peptide11:E1_1_1_27_mRNA -&gt; E1_1_1_27 | (0.278 * E1_1_1_27_mRNA) -  (0.00000278 * E1_1_1_27)</v>
      </c>
    </row>
    <row r="13" spans="1:14" ht="43.5" x14ac:dyDescent="0.35">
      <c r="A13" s="31">
        <v>12</v>
      </c>
      <c r="B13" s="31" t="s">
        <v>13938</v>
      </c>
      <c r="C13" s="31" t="str">
        <f t="shared" si="0"/>
        <v>E1_1_1_28_mRNA</v>
      </c>
      <c r="D13" s="31" t="str">
        <f t="shared" si="1"/>
        <v>E1_1_1_28</v>
      </c>
      <c r="E13" s="31" t="str">
        <f t="shared" si="2"/>
        <v>E1_1_1_28_Kcat : 13.7</v>
      </c>
      <c r="F13" s="31" t="str">
        <f t="shared" si="3"/>
        <v>E1_1_1_28_Km :1</v>
      </c>
      <c r="G13" s="31" t="str">
        <f t="shared" si="4"/>
        <v>E1_1_1_28_mRNA:E1_1_1_28_mRNA</v>
      </c>
      <c r="H13" s="32" t="str">
        <f t="shared" si="5"/>
        <v>E1_1_1_28:E1_1_1_28</v>
      </c>
      <c r="I13" s="32" t="str">
        <f t="shared" si="6"/>
        <v>E1_1_1_28_mRNA:0</v>
      </c>
      <c r="J13" s="32" t="str">
        <f t="shared" si="7"/>
        <v>E1_1_1_28:0</v>
      </c>
      <c r="K13" s="32" t="str">
        <f t="shared" si="8"/>
        <v>0.00292 - (0.0093 * E1_1_1_28_mRNA)</v>
      </c>
      <c r="L13" s="32" t="str">
        <f t="shared" si="9"/>
        <v>(0.278 * E1_1_1_28_mRNA) - (0.00000278 * E1_1_1_28)</v>
      </c>
      <c r="M13" s="32" t="str">
        <f t="shared" si="10"/>
        <v>mRNA12: -&gt; E1_1_1_28_mRNA | 0.00292 - (0.0093 * E1_1_1_28_mRNA)</v>
      </c>
      <c r="N13" s="32" t="str">
        <f t="shared" si="11"/>
        <v>Peptide12:E1_1_1_28_mRNA -&gt; E1_1_1_28 | (0.278 * E1_1_1_28_mRNA) -  (0.00000278 * E1_1_1_28)</v>
      </c>
    </row>
    <row r="14" spans="1:14" ht="43.5" x14ac:dyDescent="0.35">
      <c r="A14" s="31">
        <v>13</v>
      </c>
      <c r="B14" s="31" t="s">
        <v>13939</v>
      </c>
      <c r="C14" s="31" t="str">
        <f t="shared" si="0"/>
        <v>E1_1_1_298_mRNA</v>
      </c>
      <c r="D14" s="31" t="str">
        <f t="shared" si="1"/>
        <v>E1_1_1_298</v>
      </c>
      <c r="E14" s="31" t="str">
        <f t="shared" si="2"/>
        <v>E1_1_1_298_Kcat : 13.7</v>
      </c>
      <c r="F14" s="31" t="str">
        <f t="shared" si="3"/>
        <v>E1_1_1_298_Km :1</v>
      </c>
      <c r="G14" s="31" t="str">
        <f t="shared" si="4"/>
        <v>E1_1_1_298_mRNA:E1_1_1_298_mRNA</v>
      </c>
      <c r="H14" s="31" t="str">
        <f t="shared" si="5"/>
        <v>E1_1_1_298:E1_1_1_298</v>
      </c>
      <c r="I14" s="32" t="str">
        <f t="shared" si="6"/>
        <v>E1_1_1_298_mRNA:0</v>
      </c>
      <c r="J14" s="32" t="str">
        <f t="shared" si="7"/>
        <v>E1_1_1_298:0</v>
      </c>
      <c r="K14" s="31" t="str">
        <f t="shared" si="8"/>
        <v>0.00292 - (0.0093 * E1_1_1_298_mRNA)</v>
      </c>
      <c r="L14" s="31" t="str">
        <f t="shared" si="9"/>
        <v>(0.278 * E1_1_1_298_mRNA) - (0.00000278 * E1_1_1_298)</v>
      </c>
      <c r="M14" s="31" t="str">
        <f t="shared" si="10"/>
        <v>mRNA13: -&gt; E1_1_1_298_mRNA | 0.00292 - (0.0093 * E1_1_1_298_mRNA)</v>
      </c>
      <c r="N14" s="31" t="str">
        <f t="shared" si="11"/>
        <v>Peptide13:E1_1_1_298_mRNA -&gt; E1_1_1_298 | (0.278 * E1_1_1_298_mRNA) -  (0.00000278 * E1_1_1_298)</v>
      </c>
    </row>
    <row r="15" spans="1:14" ht="29" x14ac:dyDescent="0.35">
      <c r="A15" s="31">
        <v>14</v>
      </c>
      <c r="B15" s="31" t="s">
        <v>13940</v>
      </c>
      <c r="C15" s="31" t="str">
        <f t="shared" si="0"/>
        <v>E1_1_1_3_mRNA</v>
      </c>
      <c r="D15" s="31" t="str">
        <f t="shared" si="1"/>
        <v>E1_1_1_3</v>
      </c>
      <c r="E15" s="31" t="str">
        <f t="shared" si="2"/>
        <v>E1_1_1_3_Kcat : 13.7</v>
      </c>
      <c r="F15" s="31" t="str">
        <f t="shared" si="3"/>
        <v>E1_1_1_3_Km :1</v>
      </c>
      <c r="G15" s="31" t="str">
        <f t="shared" si="4"/>
        <v>E1_1_1_3_mRNA:E1_1_1_3_mRNA</v>
      </c>
      <c r="H15" s="31" t="str">
        <f t="shared" si="5"/>
        <v>E1_1_1_3:E1_1_1_3</v>
      </c>
      <c r="I15" s="32" t="str">
        <f t="shared" si="6"/>
        <v>E1_1_1_3_mRNA:0</v>
      </c>
      <c r="J15" s="32" t="str">
        <f t="shared" si="7"/>
        <v>E1_1_1_3:0</v>
      </c>
      <c r="K15" s="31" t="str">
        <f t="shared" si="8"/>
        <v>0.00292 - (0.0093 * E1_1_1_3_mRNA)</v>
      </c>
      <c r="L15" s="31" t="str">
        <f t="shared" si="9"/>
        <v>(0.278 * E1_1_1_3_mRNA) - (0.00000278 * E1_1_1_3)</v>
      </c>
      <c r="M15" s="31" t="str">
        <f t="shared" si="10"/>
        <v>mRNA14: -&gt; E1_1_1_3_mRNA | 0.00292 - (0.0093 * E1_1_1_3_mRNA)</v>
      </c>
      <c r="N15" s="31" t="str">
        <f t="shared" si="11"/>
        <v>Peptide14:E1_1_1_3_mRNA -&gt; E1_1_1_3 | (0.278 * E1_1_1_3_mRNA) -  (0.00000278 * E1_1_1_3)</v>
      </c>
    </row>
    <row r="16" spans="1:14" ht="43.5" x14ac:dyDescent="0.35">
      <c r="A16" s="31">
        <v>15</v>
      </c>
      <c r="B16" s="31" t="s">
        <v>13941</v>
      </c>
      <c r="C16" s="31" t="str">
        <f t="shared" si="0"/>
        <v>E1_1_1_306_mRNA</v>
      </c>
      <c r="D16" s="31" t="str">
        <f t="shared" si="1"/>
        <v>E1_1_1_306</v>
      </c>
      <c r="E16" s="31" t="str">
        <f t="shared" si="2"/>
        <v>E1_1_1_306_Kcat : 13.7</v>
      </c>
      <c r="F16" s="31" t="str">
        <f t="shared" si="3"/>
        <v>E1_1_1_306_Km :1</v>
      </c>
      <c r="G16" s="31" t="str">
        <f t="shared" si="4"/>
        <v>E1_1_1_306_mRNA:E1_1_1_306_mRNA</v>
      </c>
      <c r="H16" s="31" t="str">
        <f t="shared" si="5"/>
        <v>E1_1_1_306:E1_1_1_306</v>
      </c>
      <c r="I16" s="32" t="str">
        <f t="shared" si="6"/>
        <v>E1_1_1_306_mRNA:0</v>
      </c>
      <c r="J16" s="32" t="str">
        <f t="shared" si="7"/>
        <v>E1_1_1_306:0</v>
      </c>
      <c r="K16" s="31" t="str">
        <f t="shared" si="8"/>
        <v>0.00292 - (0.0093 * E1_1_1_306_mRNA)</v>
      </c>
      <c r="L16" s="31" t="str">
        <f t="shared" si="9"/>
        <v>(0.278 * E1_1_1_306_mRNA) - (0.00000278 * E1_1_1_306)</v>
      </c>
      <c r="M16" s="31" t="str">
        <f t="shared" si="10"/>
        <v>mRNA15: -&gt; E1_1_1_306_mRNA | 0.00292 - (0.0093 * E1_1_1_306_mRNA)</v>
      </c>
      <c r="N16" s="31" t="str">
        <f t="shared" si="11"/>
        <v>Peptide15:E1_1_1_306_mRNA -&gt; E1_1_1_306 | (0.278 * E1_1_1_306_mRNA) -  (0.00000278 * E1_1_1_306)</v>
      </c>
    </row>
    <row r="17" spans="1:14" ht="43.5" x14ac:dyDescent="0.35">
      <c r="A17" s="31">
        <v>16</v>
      </c>
      <c r="B17" s="31" t="s">
        <v>13942</v>
      </c>
      <c r="C17" s="31" t="str">
        <f t="shared" si="0"/>
        <v>E1_1_1_333_mRNA</v>
      </c>
      <c r="D17" s="31" t="str">
        <f t="shared" si="1"/>
        <v>E1_1_1_333</v>
      </c>
      <c r="E17" s="31" t="str">
        <f t="shared" si="2"/>
        <v>E1_1_1_333_Kcat : 13.7</v>
      </c>
      <c r="F17" s="31" t="str">
        <f t="shared" si="3"/>
        <v>E1_1_1_333_Km :1</v>
      </c>
      <c r="G17" s="31" t="str">
        <f t="shared" si="4"/>
        <v>E1_1_1_333_mRNA:E1_1_1_333_mRNA</v>
      </c>
      <c r="H17" s="31" t="str">
        <f t="shared" si="5"/>
        <v>E1_1_1_333:E1_1_1_333</v>
      </c>
      <c r="I17" s="32" t="str">
        <f t="shared" si="6"/>
        <v>E1_1_1_333_mRNA:0</v>
      </c>
      <c r="J17" s="32" t="str">
        <f t="shared" si="7"/>
        <v>E1_1_1_333:0</v>
      </c>
      <c r="K17" s="31" t="str">
        <f t="shared" si="8"/>
        <v>0.00292 - (0.0093 * E1_1_1_333_mRNA)</v>
      </c>
      <c r="L17" s="31" t="str">
        <f t="shared" si="9"/>
        <v>(0.278 * E1_1_1_333_mRNA) - (0.00000278 * E1_1_1_333)</v>
      </c>
      <c r="M17" s="31" t="str">
        <f t="shared" si="10"/>
        <v>mRNA16: -&gt; E1_1_1_333_mRNA | 0.00292 - (0.0093 * E1_1_1_333_mRNA)</v>
      </c>
      <c r="N17" s="31" t="str">
        <f t="shared" si="11"/>
        <v>Peptide16:E1_1_1_333_mRNA -&gt; E1_1_1_333 | (0.278 * E1_1_1_333_mRNA) -  (0.00000278 * E1_1_1_333)</v>
      </c>
    </row>
    <row r="18" spans="1:14" ht="43.5" x14ac:dyDescent="0.35">
      <c r="A18" s="31">
        <v>17</v>
      </c>
      <c r="B18" s="31" t="s">
        <v>13943</v>
      </c>
      <c r="C18" s="31" t="str">
        <f t="shared" si="0"/>
        <v>E1_1_1_37_mRNA</v>
      </c>
      <c r="D18" s="31" t="str">
        <f t="shared" si="1"/>
        <v>E1_1_1_37</v>
      </c>
      <c r="E18" s="31" t="str">
        <f t="shared" si="2"/>
        <v>E1_1_1_37_Kcat : 13.7</v>
      </c>
      <c r="F18" s="31" t="str">
        <f t="shared" si="3"/>
        <v>E1_1_1_37_Km :1</v>
      </c>
      <c r="G18" s="31" t="str">
        <f t="shared" si="4"/>
        <v>E1_1_1_37_mRNA:E1_1_1_37_mRNA</v>
      </c>
      <c r="H18" s="31" t="str">
        <f t="shared" si="5"/>
        <v>E1_1_1_37:E1_1_1_37</v>
      </c>
      <c r="I18" s="32" t="str">
        <f t="shared" si="6"/>
        <v>E1_1_1_37_mRNA:0</v>
      </c>
      <c r="J18" s="32" t="str">
        <f t="shared" si="7"/>
        <v>E1_1_1_37:0</v>
      </c>
      <c r="K18" s="31" t="str">
        <f t="shared" si="8"/>
        <v>0.00292 - (0.0093 * E1_1_1_37_mRNA)</v>
      </c>
      <c r="L18" s="31" t="str">
        <f t="shared" si="9"/>
        <v>(0.278 * E1_1_1_37_mRNA) - (0.00000278 * E1_1_1_37)</v>
      </c>
      <c r="M18" s="31" t="str">
        <f t="shared" si="10"/>
        <v>mRNA17: -&gt; E1_1_1_37_mRNA | 0.00292 - (0.0093 * E1_1_1_37_mRNA)</v>
      </c>
      <c r="N18" s="31" t="str">
        <f t="shared" si="11"/>
        <v>Peptide17:E1_1_1_37_mRNA -&gt; E1_1_1_37 | (0.278 * E1_1_1_37_mRNA) -  (0.00000278 * E1_1_1_37)</v>
      </c>
    </row>
    <row r="19" spans="1:14" ht="43.5" x14ac:dyDescent="0.35">
      <c r="A19" s="31">
        <v>18</v>
      </c>
      <c r="B19" s="31" t="s">
        <v>13944</v>
      </c>
      <c r="C19" s="31" t="str">
        <f t="shared" si="0"/>
        <v>E1_1_1_40_mRNA</v>
      </c>
      <c r="D19" s="31" t="str">
        <f t="shared" si="1"/>
        <v>E1_1_1_40</v>
      </c>
      <c r="E19" s="31" t="str">
        <f t="shared" si="2"/>
        <v>E1_1_1_40_Kcat : 13.7</v>
      </c>
      <c r="F19" s="31" t="str">
        <f t="shared" si="3"/>
        <v>E1_1_1_40_Km :1</v>
      </c>
      <c r="G19" s="31" t="str">
        <f t="shared" si="4"/>
        <v>E1_1_1_40_mRNA:E1_1_1_40_mRNA</v>
      </c>
      <c r="H19" s="31" t="str">
        <f t="shared" si="5"/>
        <v>E1_1_1_40:E1_1_1_40</v>
      </c>
      <c r="I19" s="32" t="str">
        <f t="shared" si="6"/>
        <v>E1_1_1_40_mRNA:0</v>
      </c>
      <c r="J19" s="32" t="str">
        <f t="shared" si="7"/>
        <v>E1_1_1_40:0</v>
      </c>
      <c r="K19" s="31" t="str">
        <f t="shared" si="8"/>
        <v>0.00292 - (0.0093 * E1_1_1_40_mRNA)</v>
      </c>
      <c r="L19" s="31" t="str">
        <f t="shared" si="9"/>
        <v>(0.278 * E1_1_1_40_mRNA) - (0.00000278 * E1_1_1_40)</v>
      </c>
      <c r="M19" s="31" t="str">
        <f t="shared" si="10"/>
        <v>mRNA18: -&gt; E1_1_1_40_mRNA | 0.00292 - (0.0093 * E1_1_1_40_mRNA)</v>
      </c>
      <c r="N19" s="31" t="str">
        <f t="shared" si="11"/>
        <v>Peptide18:E1_1_1_40_mRNA -&gt; E1_1_1_40 | (0.278 * E1_1_1_40_mRNA) -  (0.00000278 * E1_1_1_40)</v>
      </c>
    </row>
    <row r="20" spans="1:14" ht="43.5" x14ac:dyDescent="0.35">
      <c r="A20" s="31">
        <v>19</v>
      </c>
      <c r="B20" s="31" t="s">
        <v>13945</v>
      </c>
      <c r="C20" s="31" t="str">
        <f t="shared" si="0"/>
        <v>E1_1_1_42_mRNA</v>
      </c>
      <c r="D20" s="31" t="str">
        <f t="shared" si="1"/>
        <v>E1_1_1_42</v>
      </c>
      <c r="E20" s="31" t="str">
        <f t="shared" si="2"/>
        <v>E1_1_1_42_Kcat : 13.7</v>
      </c>
      <c r="F20" s="31" t="str">
        <f t="shared" si="3"/>
        <v>E1_1_1_42_Km :1</v>
      </c>
      <c r="G20" s="31" t="str">
        <f t="shared" si="4"/>
        <v>E1_1_1_42_mRNA:E1_1_1_42_mRNA</v>
      </c>
      <c r="H20" s="31" t="str">
        <f t="shared" si="5"/>
        <v>E1_1_1_42:E1_1_1_42</v>
      </c>
      <c r="I20" s="32" t="str">
        <f t="shared" si="6"/>
        <v>E1_1_1_42_mRNA:0</v>
      </c>
      <c r="J20" s="32" t="str">
        <f t="shared" si="7"/>
        <v>E1_1_1_42:0</v>
      </c>
      <c r="K20" s="31" t="str">
        <f t="shared" si="8"/>
        <v>0.00292 - (0.0093 * E1_1_1_42_mRNA)</v>
      </c>
      <c r="L20" s="31" t="str">
        <f t="shared" si="9"/>
        <v>(0.278 * E1_1_1_42_mRNA) - (0.00000278 * E1_1_1_42)</v>
      </c>
      <c r="M20" s="31" t="str">
        <f t="shared" si="10"/>
        <v>mRNA19: -&gt; E1_1_1_42_mRNA | 0.00292 - (0.0093 * E1_1_1_42_mRNA)</v>
      </c>
      <c r="N20" s="31" t="str">
        <f t="shared" si="11"/>
        <v>Peptide19:E1_1_1_42_mRNA -&gt; E1_1_1_42 | (0.278 * E1_1_1_42_mRNA) -  (0.00000278 * E1_1_1_42)</v>
      </c>
    </row>
    <row r="21" spans="1:14" ht="43.5" x14ac:dyDescent="0.35">
      <c r="A21" s="31">
        <v>20</v>
      </c>
      <c r="B21" s="31" t="s">
        <v>13946</v>
      </c>
      <c r="C21" s="31" t="str">
        <f t="shared" si="0"/>
        <v>E1_1_1_44_mRNA</v>
      </c>
      <c r="D21" s="31" t="str">
        <f t="shared" si="1"/>
        <v>E1_1_1_44</v>
      </c>
      <c r="E21" s="31" t="str">
        <f t="shared" si="2"/>
        <v>E1_1_1_44_Kcat : 13.7</v>
      </c>
      <c r="F21" s="31" t="str">
        <f t="shared" si="3"/>
        <v>E1_1_1_44_Km :1</v>
      </c>
      <c r="G21" s="31" t="str">
        <f t="shared" si="4"/>
        <v>E1_1_1_44_mRNA:E1_1_1_44_mRNA</v>
      </c>
      <c r="H21" s="31" t="str">
        <f t="shared" si="5"/>
        <v>E1_1_1_44:E1_1_1_44</v>
      </c>
      <c r="I21" s="32" t="str">
        <f t="shared" si="6"/>
        <v>E1_1_1_44_mRNA:0</v>
      </c>
      <c r="J21" s="32" t="str">
        <f t="shared" si="7"/>
        <v>E1_1_1_44:0</v>
      </c>
      <c r="K21" s="31" t="str">
        <f t="shared" si="8"/>
        <v>0.00292 - (0.0093 * E1_1_1_44_mRNA)</v>
      </c>
      <c r="L21" s="31" t="str">
        <f t="shared" si="9"/>
        <v>(0.278 * E1_1_1_44_mRNA) - (0.00000278 * E1_1_1_44)</v>
      </c>
      <c r="M21" s="31" t="str">
        <f t="shared" si="10"/>
        <v>mRNA20: -&gt; E1_1_1_44_mRNA | 0.00292 - (0.0093 * E1_1_1_44_mRNA)</v>
      </c>
      <c r="N21" s="31" t="str">
        <f t="shared" si="11"/>
        <v>Peptide20:E1_1_1_44_mRNA -&gt; E1_1_1_44 | (0.278 * E1_1_1_44_mRNA) -  (0.00000278 * E1_1_1_44)</v>
      </c>
    </row>
    <row r="22" spans="1:14" ht="43.5" x14ac:dyDescent="0.35">
      <c r="A22" s="31">
        <v>21</v>
      </c>
      <c r="B22" s="31" t="s">
        <v>13947</v>
      </c>
      <c r="C22" s="31" t="str">
        <f t="shared" si="0"/>
        <v>E1_1_1_49_mRNA</v>
      </c>
      <c r="D22" s="31" t="str">
        <f t="shared" si="1"/>
        <v>E1_1_1_49</v>
      </c>
      <c r="E22" s="31" t="str">
        <f t="shared" si="2"/>
        <v>E1_1_1_49_Kcat : 13.7</v>
      </c>
      <c r="F22" s="31" t="str">
        <f t="shared" si="3"/>
        <v>E1_1_1_49_Km :1</v>
      </c>
      <c r="G22" s="31" t="str">
        <f t="shared" si="4"/>
        <v>E1_1_1_49_mRNA:E1_1_1_49_mRNA</v>
      </c>
      <c r="H22" s="31" t="str">
        <f t="shared" si="5"/>
        <v>E1_1_1_49:E1_1_1_49</v>
      </c>
      <c r="I22" s="38" t="str">
        <f t="shared" si="6"/>
        <v>E1_1_1_49_mRNA:0</v>
      </c>
      <c r="J22" s="31" t="str">
        <f t="shared" si="7"/>
        <v>E1_1_1_49:0</v>
      </c>
      <c r="K22" s="31" t="str">
        <f t="shared" si="8"/>
        <v>0.00292 - (0.0093 * E1_1_1_49_mRNA)</v>
      </c>
      <c r="L22" s="31" t="str">
        <f t="shared" si="9"/>
        <v>(0.278 * E1_1_1_49_mRNA) - (0.00000278 * E1_1_1_49)</v>
      </c>
      <c r="M22" s="31" t="str">
        <f t="shared" si="10"/>
        <v>mRNA21: -&gt; E1_1_1_49_mRNA | 0.00292 - (0.0093 * E1_1_1_49_mRNA)</v>
      </c>
      <c r="N22" s="31" t="str">
        <f t="shared" si="11"/>
        <v>Peptide21:E1_1_1_49_mRNA -&gt; E1_1_1_49 | (0.278 * E1_1_1_49_mRNA) -  (0.00000278 * E1_1_1_49)</v>
      </c>
    </row>
    <row r="23" spans="1:14" ht="43.5" x14ac:dyDescent="0.35">
      <c r="A23" s="31">
        <v>22</v>
      </c>
      <c r="B23" s="31" t="s">
        <v>13948</v>
      </c>
      <c r="C23" s="31" t="str">
        <f t="shared" si="0"/>
        <v>E1_1_1_85_mRNA</v>
      </c>
      <c r="D23" s="31" t="str">
        <f t="shared" si="1"/>
        <v>E1_1_1_85</v>
      </c>
      <c r="E23" s="31" t="str">
        <f t="shared" si="2"/>
        <v>E1_1_1_85_Kcat : 13.7</v>
      </c>
      <c r="F23" s="31" t="str">
        <f t="shared" si="3"/>
        <v>E1_1_1_85_Km :1</v>
      </c>
      <c r="G23" s="31" t="str">
        <f t="shared" si="4"/>
        <v>E1_1_1_85_mRNA:E1_1_1_85_mRNA</v>
      </c>
      <c r="H23" s="31" t="str">
        <f t="shared" si="5"/>
        <v>E1_1_1_85:E1_1_1_85</v>
      </c>
      <c r="I23" s="38" t="str">
        <f t="shared" si="6"/>
        <v>E1_1_1_85_mRNA:0</v>
      </c>
      <c r="J23" s="31" t="str">
        <f t="shared" si="7"/>
        <v>E1_1_1_85:0</v>
      </c>
      <c r="K23" s="31" t="str">
        <f t="shared" si="8"/>
        <v>0.00292 - (0.0093 * E1_1_1_85_mRNA)</v>
      </c>
      <c r="L23" s="31" t="str">
        <f t="shared" si="9"/>
        <v>(0.278 * E1_1_1_85_mRNA) - (0.00000278 * E1_1_1_85)</v>
      </c>
      <c r="M23" s="31" t="str">
        <f t="shared" si="10"/>
        <v>mRNA22: -&gt; E1_1_1_85_mRNA | 0.00292 - (0.0093 * E1_1_1_85_mRNA)</v>
      </c>
      <c r="N23" s="31" t="str">
        <f t="shared" si="11"/>
        <v>Peptide22:E1_1_1_85_mRNA -&gt; E1_1_1_85 | (0.278 * E1_1_1_85_mRNA) -  (0.00000278 * E1_1_1_85)</v>
      </c>
    </row>
    <row r="24" spans="1:14" ht="43.5" x14ac:dyDescent="0.35">
      <c r="A24" s="31">
        <v>23</v>
      </c>
      <c r="B24" s="31" t="s">
        <v>13949</v>
      </c>
      <c r="C24" s="31" t="str">
        <f t="shared" si="0"/>
        <v>E1_1_1_86_mRNA</v>
      </c>
      <c r="D24" s="31" t="str">
        <f t="shared" si="1"/>
        <v>E1_1_1_86</v>
      </c>
      <c r="E24" s="31" t="str">
        <f t="shared" si="2"/>
        <v>E1_1_1_86_Kcat : 13.7</v>
      </c>
      <c r="F24" s="31" t="str">
        <f t="shared" si="3"/>
        <v>E1_1_1_86_Km :1</v>
      </c>
      <c r="G24" s="31" t="str">
        <f t="shared" si="4"/>
        <v>E1_1_1_86_mRNA:E1_1_1_86_mRNA</v>
      </c>
      <c r="H24" s="31" t="str">
        <f t="shared" si="5"/>
        <v>E1_1_1_86:E1_1_1_86</v>
      </c>
      <c r="I24" s="38" t="str">
        <f t="shared" si="6"/>
        <v>E1_1_1_86_mRNA:0</v>
      </c>
      <c r="J24" s="31" t="str">
        <f t="shared" si="7"/>
        <v>E1_1_1_86:0</v>
      </c>
      <c r="K24" s="31" t="str">
        <f t="shared" si="8"/>
        <v>0.00292 - (0.0093 * E1_1_1_86_mRNA)</v>
      </c>
      <c r="L24" s="31" t="str">
        <f t="shared" si="9"/>
        <v>(0.278 * E1_1_1_86_mRNA) - (0.00000278 * E1_1_1_86)</v>
      </c>
      <c r="M24" s="31" t="str">
        <f t="shared" si="10"/>
        <v>mRNA23: -&gt; E1_1_1_86_mRNA | 0.00292 - (0.0093 * E1_1_1_86_mRNA)</v>
      </c>
      <c r="N24" s="31" t="str">
        <f t="shared" si="11"/>
        <v>Peptide23:E1_1_1_86_mRNA -&gt; E1_1_1_86 | (0.278 * E1_1_1_86_mRNA) -  (0.00000278 * E1_1_1_86)</v>
      </c>
    </row>
    <row r="25" spans="1:14" ht="43.5" x14ac:dyDescent="0.35">
      <c r="A25" s="31">
        <v>24</v>
      </c>
      <c r="B25" s="31" t="s">
        <v>13950</v>
      </c>
      <c r="C25" s="31" t="str">
        <f t="shared" si="0"/>
        <v>E1_1_1_94_mRNA</v>
      </c>
      <c r="D25" s="31" t="str">
        <f t="shared" si="1"/>
        <v>E1_1_1_94</v>
      </c>
      <c r="E25" s="31" t="str">
        <f t="shared" si="2"/>
        <v>E1_1_1_94_Kcat : 13.7</v>
      </c>
      <c r="F25" s="31" t="str">
        <f t="shared" si="3"/>
        <v>E1_1_1_94_Km :1</v>
      </c>
      <c r="G25" s="31" t="str">
        <f t="shared" si="4"/>
        <v>E1_1_1_94_mRNA:E1_1_1_94_mRNA</v>
      </c>
      <c r="H25" s="31" t="str">
        <f t="shared" si="5"/>
        <v>E1_1_1_94:E1_1_1_94</v>
      </c>
      <c r="I25" s="38" t="str">
        <f t="shared" si="6"/>
        <v>E1_1_1_94_mRNA:0</v>
      </c>
      <c r="J25" s="31" t="str">
        <f t="shared" si="7"/>
        <v>E1_1_1_94:0</v>
      </c>
      <c r="K25" s="31" t="str">
        <f t="shared" si="8"/>
        <v>0.00292 - (0.0093 * E1_1_1_94_mRNA)</v>
      </c>
      <c r="L25" s="31" t="str">
        <f t="shared" si="9"/>
        <v>(0.278 * E1_1_1_94_mRNA) - (0.00000278 * E1_1_1_94)</v>
      </c>
      <c r="M25" s="31" t="str">
        <f t="shared" si="10"/>
        <v>mRNA24: -&gt; E1_1_1_94_mRNA | 0.00292 - (0.0093 * E1_1_1_94_mRNA)</v>
      </c>
      <c r="N25" s="31" t="str">
        <f t="shared" si="11"/>
        <v>Peptide24:E1_1_1_94_mRNA -&gt; E1_1_1_94 | (0.278 * E1_1_1_94_mRNA) -  (0.00000278 * E1_1_1_94)</v>
      </c>
    </row>
    <row r="26" spans="1:14" ht="43.5" x14ac:dyDescent="0.35">
      <c r="A26" s="31">
        <v>25</v>
      </c>
      <c r="B26" s="31" t="s">
        <v>13951</v>
      </c>
      <c r="C26" s="31" t="str">
        <f t="shared" si="0"/>
        <v>E1_1_1_95_mRNA</v>
      </c>
      <c r="D26" s="31" t="str">
        <f t="shared" si="1"/>
        <v>E1_1_1_95</v>
      </c>
      <c r="E26" s="31" t="str">
        <f t="shared" si="2"/>
        <v>E1_1_1_95_Kcat : 13.7</v>
      </c>
      <c r="F26" s="31" t="str">
        <f t="shared" si="3"/>
        <v>E1_1_1_95_Km :1</v>
      </c>
      <c r="G26" s="31" t="str">
        <f t="shared" si="4"/>
        <v>E1_1_1_95_mRNA:E1_1_1_95_mRNA</v>
      </c>
      <c r="H26" s="31" t="str">
        <f t="shared" si="5"/>
        <v>E1_1_1_95:E1_1_1_95</v>
      </c>
      <c r="I26" s="38" t="str">
        <f t="shared" si="6"/>
        <v>E1_1_1_95_mRNA:0</v>
      </c>
      <c r="J26" s="31" t="str">
        <f t="shared" si="7"/>
        <v>E1_1_1_95:0</v>
      </c>
      <c r="K26" s="31" t="str">
        <f t="shared" si="8"/>
        <v>0.00292 - (0.0093 * E1_1_1_95_mRNA)</v>
      </c>
      <c r="L26" s="31" t="str">
        <f t="shared" si="9"/>
        <v>(0.278 * E1_1_1_95_mRNA) - (0.00000278 * E1_1_1_95)</v>
      </c>
      <c r="M26" s="31" t="str">
        <f t="shared" si="10"/>
        <v>mRNA25: -&gt; E1_1_1_95_mRNA | 0.00292 - (0.0093 * E1_1_1_95_mRNA)</v>
      </c>
      <c r="N26" s="31" t="str">
        <f t="shared" si="11"/>
        <v>Peptide25:E1_1_1_95_mRNA -&gt; E1_1_1_95 | (0.278 * E1_1_1_95_mRNA) -  (0.00000278 * E1_1_1_95)</v>
      </c>
    </row>
    <row r="27" spans="1:14" ht="29" x14ac:dyDescent="0.35">
      <c r="A27" s="31">
        <v>26</v>
      </c>
      <c r="B27" s="31" t="s">
        <v>13952</v>
      </c>
      <c r="C27" s="31" t="str">
        <f t="shared" si="0"/>
        <v>E1_1_5_4_mRNA</v>
      </c>
      <c r="D27" s="31" t="str">
        <f t="shared" si="1"/>
        <v>E1_1_5_4</v>
      </c>
      <c r="E27" s="31" t="str">
        <f t="shared" si="2"/>
        <v>E1_1_5_4_Kcat : 13.7</v>
      </c>
      <c r="F27" s="31" t="str">
        <f t="shared" si="3"/>
        <v>E1_1_5_4_Km :1</v>
      </c>
      <c r="G27" s="31" t="str">
        <f t="shared" si="4"/>
        <v>E1_1_5_4_mRNA:E1_1_5_4_mRNA</v>
      </c>
      <c r="H27" s="31" t="str">
        <f t="shared" si="5"/>
        <v>E1_1_5_4:E1_1_5_4</v>
      </c>
      <c r="I27" s="38" t="str">
        <f t="shared" si="6"/>
        <v>E1_1_5_4_mRNA:0</v>
      </c>
      <c r="J27" s="31" t="str">
        <f t="shared" si="7"/>
        <v>E1_1_5_4:0</v>
      </c>
      <c r="K27" s="31" t="str">
        <f t="shared" si="8"/>
        <v>0.00292 - (0.0093 * E1_1_5_4_mRNA)</v>
      </c>
      <c r="L27" s="31" t="str">
        <f t="shared" si="9"/>
        <v>(0.278 * E1_1_5_4_mRNA) - (0.00000278 * E1_1_5_4)</v>
      </c>
      <c r="M27" s="31" t="str">
        <f t="shared" si="10"/>
        <v>mRNA26: -&gt; E1_1_5_4_mRNA | 0.00292 - (0.0093 * E1_1_5_4_mRNA)</v>
      </c>
      <c r="N27" s="31" t="str">
        <f t="shared" si="11"/>
        <v>Peptide26:E1_1_5_4_mRNA -&gt; E1_1_5_4 | (0.278 * E1_1_5_4_mRNA) -  (0.00000278 * E1_1_5_4)</v>
      </c>
    </row>
    <row r="28" spans="1:14" ht="43.5" x14ac:dyDescent="0.35">
      <c r="A28" s="31">
        <v>27</v>
      </c>
      <c r="B28" s="31" t="s">
        <v>13953</v>
      </c>
      <c r="C28" s="31" t="str">
        <f t="shared" si="0"/>
        <v>E1_11_1_24_mRNA</v>
      </c>
      <c r="D28" s="31" t="str">
        <f t="shared" si="1"/>
        <v>E1_11_1_24</v>
      </c>
      <c r="E28" s="31" t="str">
        <f t="shared" si="2"/>
        <v>E1_11_1_24_Kcat : 13.7</v>
      </c>
      <c r="F28" s="31" t="str">
        <f t="shared" si="3"/>
        <v>E1_11_1_24_Km :1</v>
      </c>
      <c r="G28" s="31" t="str">
        <f t="shared" si="4"/>
        <v>E1_11_1_24_mRNA:E1_11_1_24_mRNA</v>
      </c>
      <c r="H28" s="31" t="str">
        <f t="shared" si="5"/>
        <v>E1_11_1_24:E1_11_1_24</v>
      </c>
      <c r="I28" s="38" t="str">
        <f t="shared" si="6"/>
        <v>E1_11_1_24_mRNA:0</v>
      </c>
      <c r="J28" s="31" t="str">
        <f t="shared" si="7"/>
        <v>E1_11_1_24:0</v>
      </c>
      <c r="K28" s="31" t="str">
        <f t="shared" si="8"/>
        <v>0.00292 - (0.0093 * E1_11_1_24_mRNA)</v>
      </c>
      <c r="L28" s="31" t="str">
        <f t="shared" si="9"/>
        <v>(0.278 * E1_11_1_24_mRNA) - (0.00000278 * E1_11_1_24)</v>
      </c>
      <c r="M28" s="31" t="str">
        <f t="shared" si="10"/>
        <v>mRNA27: -&gt; E1_11_1_24_mRNA | 0.00292 - (0.0093 * E1_11_1_24_mRNA)</v>
      </c>
      <c r="N28" s="31" t="str">
        <f t="shared" si="11"/>
        <v>Peptide27:E1_11_1_24_mRNA -&gt; E1_11_1_24 | (0.278 * E1_11_1_24_mRNA) -  (0.00000278 * E1_11_1_24)</v>
      </c>
    </row>
    <row r="29" spans="1:14" ht="43.5" x14ac:dyDescent="0.35">
      <c r="A29" s="31">
        <v>28</v>
      </c>
      <c r="B29" s="31" t="s">
        <v>13954</v>
      </c>
      <c r="C29" s="31" t="str">
        <f t="shared" si="0"/>
        <v>E1_11_1_6_mRNA</v>
      </c>
      <c r="D29" s="31" t="str">
        <f t="shared" si="1"/>
        <v>E1_11_1_6</v>
      </c>
      <c r="E29" s="31" t="str">
        <f t="shared" si="2"/>
        <v>E1_11_1_6_Kcat : 13.7</v>
      </c>
      <c r="F29" s="31" t="str">
        <f t="shared" si="3"/>
        <v>E1_11_1_6_Km :1</v>
      </c>
      <c r="G29" s="31" t="str">
        <f t="shared" si="4"/>
        <v>E1_11_1_6_mRNA:E1_11_1_6_mRNA</v>
      </c>
      <c r="H29" s="31" t="str">
        <f t="shared" si="5"/>
        <v>E1_11_1_6:E1_11_1_6</v>
      </c>
      <c r="I29" s="38" t="str">
        <f t="shared" si="6"/>
        <v>E1_11_1_6_mRNA:0</v>
      </c>
      <c r="J29" s="31" t="str">
        <f t="shared" si="7"/>
        <v>E1_11_1_6:0</v>
      </c>
      <c r="K29" s="31" t="str">
        <f t="shared" si="8"/>
        <v>0.00292 - (0.0093 * E1_11_1_6_mRNA)</v>
      </c>
      <c r="L29" s="31" t="str">
        <f t="shared" si="9"/>
        <v>(0.278 * E1_11_1_6_mRNA) - (0.00000278 * E1_11_1_6)</v>
      </c>
      <c r="M29" s="31" t="str">
        <f t="shared" si="10"/>
        <v>mRNA28: -&gt; E1_11_1_6_mRNA | 0.00292 - (0.0093 * E1_11_1_6_mRNA)</v>
      </c>
      <c r="N29" s="31" t="str">
        <f t="shared" si="11"/>
        <v>Peptide28:E1_11_1_6_mRNA -&gt; E1_11_1_6 | (0.278 * E1_11_1_6_mRNA) -  (0.00000278 * E1_11_1_6)</v>
      </c>
    </row>
    <row r="30" spans="1:14" ht="43.5" x14ac:dyDescent="0.35">
      <c r="A30" s="31">
        <v>29</v>
      </c>
      <c r="B30" s="31" t="s">
        <v>13955</v>
      </c>
      <c r="C30" s="31" t="str">
        <f t="shared" si="0"/>
        <v>E1_13_11_1_mRNA</v>
      </c>
      <c r="D30" s="31" t="str">
        <f t="shared" si="1"/>
        <v>E1_13_11_1</v>
      </c>
      <c r="E30" s="31" t="str">
        <f t="shared" si="2"/>
        <v>E1_13_11_1_Kcat : 13.7</v>
      </c>
      <c r="F30" s="31" t="str">
        <f t="shared" si="3"/>
        <v>E1_13_11_1_Km :1</v>
      </c>
      <c r="G30" s="31" t="str">
        <f t="shared" si="4"/>
        <v>E1_13_11_1_mRNA:E1_13_11_1_mRNA</v>
      </c>
      <c r="H30" s="31" t="str">
        <f t="shared" si="5"/>
        <v>E1_13_11_1:E1_13_11_1</v>
      </c>
      <c r="I30" s="38" t="str">
        <f t="shared" si="6"/>
        <v>E1_13_11_1_mRNA:0</v>
      </c>
      <c r="J30" s="31" t="str">
        <f t="shared" si="7"/>
        <v>E1_13_11_1:0</v>
      </c>
      <c r="K30" s="31" t="str">
        <f t="shared" si="8"/>
        <v>0.00292 - (0.0093 * E1_13_11_1_mRNA)</v>
      </c>
      <c r="L30" s="31" t="str">
        <f t="shared" si="9"/>
        <v>(0.278 * E1_13_11_1_mRNA) - (0.00000278 * E1_13_11_1)</v>
      </c>
      <c r="M30" s="31" t="str">
        <f t="shared" si="10"/>
        <v>mRNA29: -&gt; E1_13_11_1_mRNA | 0.00292 - (0.0093 * E1_13_11_1_mRNA)</v>
      </c>
      <c r="N30" s="31" t="str">
        <f t="shared" si="11"/>
        <v>Peptide29:E1_13_11_1_mRNA -&gt; E1_13_11_1 | (0.278 * E1_13_11_1_mRNA) -  (0.00000278 * E1_13_11_1)</v>
      </c>
    </row>
    <row r="31" spans="1:14" ht="43.5" x14ac:dyDescent="0.35">
      <c r="A31" s="31">
        <v>30</v>
      </c>
      <c r="B31" s="39" t="s">
        <v>13956</v>
      </c>
      <c r="C31" s="31" t="str">
        <f t="shared" si="0"/>
        <v>E1_13_11_3_mRNA</v>
      </c>
      <c r="D31" s="31" t="str">
        <f t="shared" si="1"/>
        <v>E1_13_11_3</v>
      </c>
      <c r="E31" s="31" t="str">
        <f t="shared" si="2"/>
        <v>E1_13_11_3_Kcat : 13.7</v>
      </c>
      <c r="F31" s="31" t="str">
        <f t="shared" si="3"/>
        <v>E1_13_11_3_Km :1</v>
      </c>
      <c r="G31" s="31" t="str">
        <f t="shared" si="4"/>
        <v>E1_13_11_3_mRNA:E1_13_11_3_mRNA</v>
      </c>
      <c r="H31" s="31" t="str">
        <f t="shared" si="5"/>
        <v>E1_13_11_3:E1_13_11_3</v>
      </c>
      <c r="I31" s="38" t="str">
        <f t="shared" si="6"/>
        <v>E1_13_11_3_mRNA:0</v>
      </c>
      <c r="J31" s="31" t="str">
        <f t="shared" si="7"/>
        <v>E1_13_11_3:0</v>
      </c>
      <c r="K31" s="31" t="str">
        <f t="shared" si="8"/>
        <v>0.00292 - (0.0093 * E1_13_11_3_mRNA)</v>
      </c>
      <c r="L31" s="31" t="str">
        <f t="shared" si="9"/>
        <v>(0.278 * E1_13_11_3_mRNA) - (0.00000278 * E1_13_11_3)</v>
      </c>
      <c r="M31" s="31" t="str">
        <f t="shared" si="10"/>
        <v>mRNA30: -&gt; E1_13_11_3_mRNA | 0.00292 - (0.0093 * E1_13_11_3_mRNA)</v>
      </c>
      <c r="N31" s="31" t="str">
        <f t="shared" si="11"/>
        <v>Peptide30:E1_13_11_3_mRNA -&gt; E1_13_11_3 | (0.278 * E1_13_11_3_mRNA) -  (0.00000278 * E1_13_11_3)</v>
      </c>
    </row>
    <row r="32" spans="1:14" ht="43.5" x14ac:dyDescent="0.35">
      <c r="A32" s="31">
        <v>31</v>
      </c>
      <c r="B32" s="39" t="s">
        <v>13957</v>
      </c>
      <c r="C32" s="31" t="str">
        <f t="shared" si="0"/>
        <v>E1_13_12_16_mRNA</v>
      </c>
      <c r="D32" s="31" t="str">
        <f t="shared" si="1"/>
        <v>E1_13_12_16</v>
      </c>
      <c r="E32" s="31" t="str">
        <f t="shared" si="2"/>
        <v>E1_13_12_16_Kcat : 13.7</v>
      </c>
      <c r="F32" s="31" t="str">
        <f t="shared" si="3"/>
        <v>E1_13_12_16_Km :1</v>
      </c>
      <c r="G32" s="31" t="str">
        <f t="shared" si="4"/>
        <v>E1_13_12_16_mRNA:E1_13_12_16_mRNA</v>
      </c>
      <c r="H32" s="31" t="str">
        <f t="shared" si="5"/>
        <v>E1_13_12_16:E1_13_12_16</v>
      </c>
      <c r="I32" s="38" t="str">
        <f t="shared" si="6"/>
        <v>E1_13_12_16_mRNA:0</v>
      </c>
      <c r="J32" s="31" t="str">
        <f t="shared" si="7"/>
        <v>E1_13_12_16:0</v>
      </c>
      <c r="K32" s="31" t="str">
        <f t="shared" si="8"/>
        <v>0.00292 - (0.0093 * E1_13_12_16_mRNA)</v>
      </c>
      <c r="L32" s="31" t="str">
        <f t="shared" si="9"/>
        <v>(0.278 * E1_13_12_16_mRNA) - (0.00000278 * E1_13_12_16)</v>
      </c>
      <c r="M32" s="31" t="str">
        <f t="shared" si="10"/>
        <v>mRNA31: -&gt; E1_13_12_16_mRNA | 0.00292 - (0.0093 * E1_13_12_16_mRNA)</v>
      </c>
      <c r="N32" s="31" t="str">
        <f t="shared" si="11"/>
        <v>Peptide31:E1_13_12_16_mRNA -&gt; E1_13_12_16 | (0.278 * E1_13_12_16_mRNA) -  (0.00000278 * E1_13_12_16)</v>
      </c>
    </row>
    <row r="33" spans="1:14" ht="43.5" x14ac:dyDescent="0.35">
      <c r="A33" s="31">
        <v>32</v>
      </c>
      <c r="B33" s="40" t="s">
        <v>13958</v>
      </c>
      <c r="C33" s="31" t="str">
        <f t="shared" si="0"/>
        <v>E1_14_12_10_mRNA</v>
      </c>
      <c r="D33" s="31" t="str">
        <f t="shared" si="1"/>
        <v>E1_14_12_10</v>
      </c>
      <c r="E33" s="31" t="str">
        <f t="shared" si="2"/>
        <v>E1_14_12_10_Kcat : 13.7</v>
      </c>
      <c r="F33" s="31" t="str">
        <f t="shared" si="3"/>
        <v>E1_14_12_10_Km :1</v>
      </c>
      <c r="G33" s="31" t="str">
        <f t="shared" si="4"/>
        <v>E1_14_12_10_mRNA:E1_14_12_10_mRNA</v>
      </c>
      <c r="H33" s="31" t="str">
        <f t="shared" si="5"/>
        <v>E1_14_12_10:E1_14_12_10</v>
      </c>
      <c r="I33" s="38" t="str">
        <f t="shared" si="6"/>
        <v>E1_14_12_10_mRNA:0</v>
      </c>
      <c r="J33" s="31" t="str">
        <f t="shared" si="7"/>
        <v>E1_14_12_10:0</v>
      </c>
      <c r="K33" s="31" t="str">
        <f t="shared" si="8"/>
        <v>0.00292 - (0.0093 * E1_14_12_10_mRNA)</v>
      </c>
      <c r="L33" s="31" t="str">
        <f t="shared" si="9"/>
        <v>(0.278 * E1_14_12_10_mRNA) - (0.00000278 * E1_14_12_10)</v>
      </c>
      <c r="M33" s="31" t="str">
        <f t="shared" si="10"/>
        <v>mRNA32: -&gt; E1_14_12_10_mRNA | 0.00292 - (0.0093 * E1_14_12_10_mRNA)</v>
      </c>
      <c r="N33" s="31" t="str">
        <f t="shared" si="11"/>
        <v>Peptide32:E1_14_12_10_mRNA -&gt; E1_14_12_10 | (0.278 * E1_14_12_10_mRNA) -  (0.00000278 * E1_14_12_10)</v>
      </c>
    </row>
    <row r="34" spans="1:14" ht="43.5" x14ac:dyDescent="0.35">
      <c r="A34" s="31">
        <v>33</v>
      </c>
      <c r="B34" s="31" t="s">
        <v>13959</v>
      </c>
      <c r="C34" s="31" t="str">
        <f t="shared" si="0"/>
        <v>E1_14_13_127_mRNA</v>
      </c>
      <c r="D34" s="31" t="str">
        <f t="shared" si="1"/>
        <v>E1_14_13_127</v>
      </c>
      <c r="E34" s="31" t="str">
        <f t="shared" si="2"/>
        <v>E1_14_13_127_Kcat : 13.7</v>
      </c>
      <c r="F34" s="31" t="str">
        <f t="shared" si="3"/>
        <v>E1_14_13_127_Km :1</v>
      </c>
      <c r="G34" s="31" t="str">
        <f t="shared" si="4"/>
        <v>E1_14_13_127_mRNA:E1_14_13_127_mRNA</v>
      </c>
      <c r="H34" s="31" t="str">
        <f t="shared" si="5"/>
        <v>E1_14_13_127:E1_14_13_127</v>
      </c>
      <c r="I34" s="38" t="str">
        <f t="shared" si="6"/>
        <v>E1_14_13_127_mRNA:0</v>
      </c>
      <c r="J34" s="31" t="str">
        <f t="shared" si="7"/>
        <v>E1_14_13_127:0</v>
      </c>
      <c r="K34" s="31" t="str">
        <f t="shared" si="8"/>
        <v>0.00292 - (0.0093 * E1_14_13_127_mRNA)</v>
      </c>
      <c r="L34" s="31" t="str">
        <f t="shared" si="9"/>
        <v>(0.278 * E1_14_13_127_mRNA) - (0.00000278 * E1_14_13_127)</v>
      </c>
      <c r="M34" s="31" t="str">
        <f t="shared" si="10"/>
        <v>mRNA33: -&gt; E1_14_13_127_mRNA | 0.00292 - (0.0093 * E1_14_13_127_mRNA)</v>
      </c>
      <c r="N34" s="31" t="str">
        <f t="shared" si="11"/>
        <v>Peptide33:E1_14_13_127_mRNA -&gt; E1_14_13_127 | (0.278 * E1_14_13_127_mRNA) -  (0.00000278 * E1_14_13_127)</v>
      </c>
    </row>
    <row r="35" spans="1:14" ht="43.5" x14ac:dyDescent="0.35">
      <c r="A35" s="31">
        <v>34</v>
      </c>
      <c r="B35" s="31" t="s">
        <v>13960</v>
      </c>
      <c r="C35" s="31" t="str">
        <f t="shared" si="0"/>
        <v>E1_14_13_24_mRNA</v>
      </c>
      <c r="D35" s="31" t="str">
        <f t="shared" si="1"/>
        <v>E1_14_13_24</v>
      </c>
      <c r="E35" s="31" t="str">
        <f t="shared" si="2"/>
        <v>E1_14_13_24_Kcat : 13.7</v>
      </c>
      <c r="F35" s="31" t="str">
        <f t="shared" si="3"/>
        <v>E1_14_13_24_Km :1</v>
      </c>
      <c r="G35" s="31" t="str">
        <f t="shared" si="4"/>
        <v>E1_14_13_24_mRNA:E1_14_13_24_mRNA</v>
      </c>
      <c r="H35" s="31" t="str">
        <f t="shared" si="5"/>
        <v>E1_14_13_24:E1_14_13_24</v>
      </c>
      <c r="I35" s="38" t="str">
        <f t="shared" si="6"/>
        <v>E1_14_13_24_mRNA:0</v>
      </c>
      <c r="J35" s="31" t="str">
        <f t="shared" si="7"/>
        <v>E1_14_13_24:0</v>
      </c>
      <c r="K35" s="31" t="str">
        <f t="shared" si="8"/>
        <v>0.00292 - (0.0093 * E1_14_13_24_mRNA)</v>
      </c>
      <c r="L35" s="31" t="str">
        <f t="shared" si="9"/>
        <v>(0.278 * E1_14_13_24_mRNA) - (0.00000278 * E1_14_13_24)</v>
      </c>
      <c r="M35" s="31" t="str">
        <f t="shared" si="10"/>
        <v>mRNA34: -&gt; E1_14_13_24_mRNA | 0.00292 - (0.0093 * E1_14_13_24_mRNA)</v>
      </c>
      <c r="N35" s="31" t="str">
        <f t="shared" si="11"/>
        <v>Peptide34:E1_14_13_24_mRNA -&gt; E1_14_13_24 | (0.278 * E1_14_13_24_mRNA) -  (0.00000278 * E1_14_13_24)</v>
      </c>
    </row>
    <row r="36" spans="1:14" ht="43.5" x14ac:dyDescent="0.35">
      <c r="A36" s="31">
        <v>35</v>
      </c>
      <c r="B36" s="31" t="s">
        <v>13961</v>
      </c>
      <c r="C36" s="31" t="str">
        <f t="shared" si="0"/>
        <v>E1_15_1_1_mRNA</v>
      </c>
      <c r="D36" s="31" t="str">
        <f t="shared" si="1"/>
        <v>E1_15_1_1</v>
      </c>
      <c r="E36" s="31" t="str">
        <f t="shared" si="2"/>
        <v>E1_15_1_1_Kcat : 13.7</v>
      </c>
      <c r="F36" s="31" t="str">
        <f t="shared" si="3"/>
        <v>E1_15_1_1_Km :1</v>
      </c>
      <c r="G36" s="31" t="str">
        <f t="shared" si="4"/>
        <v>E1_15_1_1_mRNA:E1_15_1_1_mRNA</v>
      </c>
      <c r="H36" s="31" t="str">
        <f t="shared" si="5"/>
        <v>E1_15_1_1:E1_15_1_1</v>
      </c>
      <c r="I36" s="38" t="str">
        <f t="shared" si="6"/>
        <v>E1_15_1_1_mRNA:0</v>
      </c>
      <c r="J36" s="31" t="str">
        <f t="shared" si="7"/>
        <v>E1_15_1_1:0</v>
      </c>
      <c r="K36" s="31" t="str">
        <f t="shared" si="8"/>
        <v>0.00292 - (0.0093 * E1_15_1_1_mRNA)</v>
      </c>
      <c r="L36" s="31" t="str">
        <f t="shared" si="9"/>
        <v>(0.278 * E1_15_1_1_mRNA) - (0.00000278 * E1_15_1_1)</v>
      </c>
      <c r="M36" s="31" t="str">
        <f t="shared" si="10"/>
        <v>mRNA35: -&gt; E1_15_1_1_mRNA | 0.00292 - (0.0093 * E1_15_1_1_mRNA)</v>
      </c>
      <c r="N36" s="31" t="str">
        <f t="shared" si="11"/>
        <v>Peptide35:E1_15_1_1_mRNA -&gt; E1_15_1_1 | (0.278 * E1_15_1_1_mRNA) -  (0.00000278 * E1_15_1_1)</v>
      </c>
    </row>
    <row r="37" spans="1:14" ht="43.5" x14ac:dyDescent="0.35">
      <c r="A37" s="31">
        <v>36</v>
      </c>
      <c r="B37" s="31" t="s">
        <v>13962</v>
      </c>
      <c r="C37" s="31" t="str">
        <f t="shared" si="0"/>
        <v>E1_17_1_8_mRNA</v>
      </c>
      <c r="D37" s="31" t="str">
        <f t="shared" si="1"/>
        <v>E1_17_1_8</v>
      </c>
      <c r="E37" s="31" t="str">
        <f t="shared" si="2"/>
        <v>E1_17_1_8_Kcat : 13.7</v>
      </c>
      <c r="F37" s="31" t="str">
        <f t="shared" si="3"/>
        <v>E1_17_1_8_Km :1</v>
      </c>
      <c r="G37" s="31" t="str">
        <f t="shared" si="4"/>
        <v>E1_17_1_8_mRNA:E1_17_1_8_mRNA</v>
      </c>
      <c r="H37" s="31" t="str">
        <f t="shared" si="5"/>
        <v>E1_17_1_8:E1_17_1_8</v>
      </c>
      <c r="I37" s="38" t="str">
        <f t="shared" si="6"/>
        <v>E1_17_1_8_mRNA:0</v>
      </c>
      <c r="J37" s="31" t="str">
        <f t="shared" si="7"/>
        <v>E1_17_1_8:0</v>
      </c>
      <c r="K37" s="31" t="str">
        <f t="shared" si="8"/>
        <v>0.00292 - (0.0093 * E1_17_1_8_mRNA)</v>
      </c>
      <c r="L37" s="31" t="str">
        <f t="shared" si="9"/>
        <v>(0.278 * E1_17_1_8_mRNA) - (0.00000278 * E1_17_1_8)</v>
      </c>
      <c r="M37" s="31" t="str">
        <f t="shared" si="10"/>
        <v>mRNA36: -&gt; E1_17_1_8_mRNA | 0.00292 - (0.0093 * E1_17_1_8_mRNA)</v>
      </c>
      <c r="N37" s="31" t="str">
        <f t="shared" si="11"/>
        <v>Peptide36:E1_17_1_8_mRNA -&gt; E1_17_1_8 | (0.278 * E1_17_1_8_mRNA) -  (0.00000278 * E1_17_1_8)</v>
      </c>
    </row>
    <row r="38" spans="1:14" ht="43.5" x14ac:dyDescent="0.35">
      <c r="A38" s="31">
        <v>37</v>
      </c>
      <c r="B38" s="40" t="s">
        <v>13963</v>
      </c>
      <c r="C38" s="31" t="str">
        <f t="shared" si="0"/>
        <v>E1_17_4_1_mRNA</v>
      </c>
      <c r="D38" s="31" t="str">
        <f t="shared" si="1"/>
        <v>E1_17_4_1</v>
      </c>
      <c r="E38" s="31" t="str">
        <f t="shared" si="2"/>
        <v>E1_17_4_1_Kcat : 13.7</v>
      </c>
      <c r="F38" s="31" t="str">
        <f t="shared" si="3"/>
        <v>E1_17_4_1_Km :1</v>
      </c>
      <c r="G38" s="31" t="str">
        <f t="shared" si="4"/>
        <v>E1_17_4_1_mRNA:E1_17_4_1_mRNA</v>
      </c>
      <c r="H38" s="31" t="str">
        <f t="shared" si="5"/>
        <v>E1_17_4_1:E1_17_4_1</v>
      </c>
      <c r="I38" s="38" t="str">
        <f t="shared" si="6"/>
        <v>E1_17_4_1_mRNA:0</v>
      </c>
      <c r="J38" s="31" t="str">
        <f t="shared" si="7"/>
        <v>E1_17_4_1:0</v>
      </c>
      <c r="K38" s="31" t="str">
        <f t="shared" si="8"/>
        <v>0.00292 - (0.0093 * E1_17_4_1_mRNA)</v>
      </c>
      <c r="L38" s="31" t="str">
        <f t="shared" si="9"/>
        <v>(0.278 * E1_17_4_1_mRNA) - (0.00000278 * E1_17_4_1)</v>
      </c>
      <c r="M38" s="31" t="str">
        <f t="shared" si="10"/>
        <v>mRNA37: -&gt; E1_17_4_1_mRNA | 0.00292 - (0.0093 * E1_17_4_1_mRNA)</v>
      </c>
      <c r="N38" s="31" t="str">
        <f t="shared" si="11"/>
        <v>Peptide37:E1_17_4_1_mRNA -&gt; E1_17_4_1 | (0.278 * E1_17_4_1_mRNA) -  (0.00000278 * E1_17_4_1)</v>
      </c>
    </row>
    <row r="39" spans="1:14" ht="43.5" x14ac:dyDescent="0.35">
      <c r="A39" s="31">
        <v>38</v>
      </c>
      <c r="B39" s="31" t="s">
        <v>13964</v>
      </c>
      <c r="C39" s="31" t="str">
        <f t="shared" si="0"/>
        <v>E1_17_7_1_mRNA</v>
      </c>
      <c r="D39" s="31" t="str">
        <f t="shared" si="1"/>
        <v>E1_17_7_1</v>
      </c>
      <c r="E39" s="31" t="str">
        <f t="shared" si="2"/>
        <v>E1_17_7_1_Kcat : 13.7</v>
      </c>
      <c r="F39" s="31" t="str">
        <f t="shared" si="3"/>
        <v>E1_17_7_1_Km :1</v>
      </c>
      <c r="G39" s="31" t="str">
        <f t="shared" si="4"/>
        <v>E1_17_7_1_mRNA:E1_17_7_1_mRNA</v>
      </c>
      <c r="H39" s="31" t="str">
        <f t="shared" si="5"/>
        <v>E1_17_7_1:E1_17_7_1</v>
      </c>
      <c r="I39" s="38" t="str">
        <f t="shared" si="6"/>
        <v>E1_17_7_1_mRNA:0</v>
      </c>
      <c r="J39" s="31" t="str">
        <f t="shared" si="7"/>
        <v>E1_17_7_1:0</v>
      </c>
      <c r="K39" s="31" t="str">
        <f t="shared" si="8"/>
        <v>0.00292 - (0.0093 * E1_17_7_1_mRNA)</v>
      </c>
      <c r="L39" s="31" t="str">
        <f t="shared" si="9"/>
        <v>(0.278 * E1_17_7_1_mRNA) - (0.00000278 * E1_17_7_1)</v>
      </c>
      <c r="M39" s="31" t="str">
        <f t="shared" si="10"/>
        <v>mRNA38: -&gt; E1_17_7_1_mRNA | 0.00292 - (0.0093 * E1_17_7_1_mRNA)</v>
      </c>
      <c r="N39" s="31" t="str">
        <f t="shared" si="11"/>
        <v>Peptide38:E1_17_7_1_mRNA -&gt; E1_17_7_1 | (0.278 * E1_17_7_1_mRNA) -  (0.00000278 * E1_17_7_1)</v>
      </c>
    </row>
    <row r="40" spans="1:14" ht="43.5" x14ac:dyDescent="0.35">
      <c r="A40" s="31">
        <v>39</v>
      </c>
      <c r="B40" s="31" t="s">
        <v>13965</v>
      </c>
      <c r="C40" s="31" t="str">
        <f t="shared" si="0"/>
        <v>E1_17_7_4_mRNA</v>
      </c>
      <c r="D40" s="31" t="str">
        <f t="shared" si="1"/>
        <v>E1_17_7_4</v>
      </c>
      <c r="E40" s="31" t="str">
        <f t="shared" si="2"/>
        <v>E1_17_7_4_Kcat : 13.7</v>
      </c>
      <c r="F40" s="31" t="str">
        <f t="shared" si="3"/>
        <v>E1_17_7_4_Km :1</v>
      </c>
      <c r="G40" s="31" t="str">
        <f t="shared" si="4"/>
        <v>E1_17_7_4_mRNA:E1_17_7_4_mRNA</v>
      </c>
      <c r="H40" s="31" t="str">
        <f t="shared" si="5"/>
        <v>E1_17_7_4:E1_17_7_4</v>
      </c>
      <c r="I40" s="31" t="str">
        <f t="shared" si="6"/>
        <v>E1_17_7_4_mRNA:0</v>
      </c>
      <c r="J40" s="31" t="str">
        <f t="shared" si="7"/>
        <v>E1_17_7_4:0</v>
      </c>
      <c r="K40" s="31" t="str">
        <f t="shared" si="8"/>
        <v>0.00292 - (0.0093 * E1_17_7_4_mRNA)</v>
      </c>
      <c r="L40" s="31" t="str">
        <f t="shared" si="9"/>
        <v>(0.278 * E1_17_7_4_mRNA) - (0.00000278 * E1_17_7_4)</v>
      </c>
      <c r="M40" s="31" t="str">
        <f t="shared" si="10"/>
        <v>mRNA39: -&gt; E1_17_7_4_mRNA | 0.00292 - (0.0093 * E1_17_7_4_mRNA)</v>
      </c>
      <c r="N40" s="31" t="str">
        <f t="shared" si="11"/>
        <v>Peptide39:E1_17_7_4_mRNA -&gt; E1_17_7_4 | (0.278 * E1_17_7_4_mRNA) -  (0.00000278 * E1_17_7_4)</v>
      </c>
    </row>
    <row r="41" spans="1:14" ht="43.5" x14ac:dyDescent="0.35">
      <c r="A41" s="31">
        <v>40</v>
      </c>
      <c r="B41" s="31" t="s">
        <v>13966</v>
      </c>
      <c r="C41" s="31" t="str">
        <f t="shared" si="0"/>
        <v>E1_17_99_9_mRNA</v>
      </c>
      <c r="D41" s="31" t="str">
        <f t="shared" si="1"/>
        <v>E1_17_99_9</v>
      </c>
      <c r="E41" s="31" t="str">
        <f t="shared" si="2"/>
        <v>E1_17_99_9_Kcat : 13.7</v>
      </c>
      <c r="F41" s="31" t="str">
        <f t="shared" si="3"/>
        <v>E1_17_99_9_Km :1</v>
      </c>
      <c r="G41" s="31" t="str">
        <f t="shared" si="4"/>
        <v>E1_17_99_9_mRNA:E1_17_99_9_mRNA</v>
      </c>
      <c r="H41" s="31" t="str">
        <f t="shared" si="5"/>
        <v>E1_17_99_9:E1_17_99_9</v>
      </c>
      <c r="I41" s="31" t="str">
        <f t="shared" si="6"/>
        <v>E1_17_99_9_mRNA:0</v>
      </c>
      <c r="J41" s="31" t="str">
        <f t="shared" si="7"/>
        <v>E1_17_99_9:0</v>
      </c>
      <c r="K41" s="31" t="str">
        <f t="shared" si="8"/>
        <v>0.00292 - (0.0093 * E1_17_99_9_mRNA)</v>
      </c>
      <c r="L41" s="31" t="str">
        <f t="shared" si="9"/>
        <v>(0.278 * E1_17_99_9_mRNA) - (0.00000278 * E1_17_99_9)</v>
      </c>
      <c r="M41" s="31" t="str">
        <f t="shared" si="10"/>
        <v>mRNA40: -&gt; E1_17_99_9_mRNA | 0.00292 - (0.0093 * E1_17_99_9_mRNA)</v>
      </c>
      <c r="N41" s="31" t="str">
        <f t="shared" si="11"/>
        <v>Peptide40:E1_17_99_9_mRNA -&gt; E1_17_99_9 | (0.278 * E1_17_99_9_mRNA) -  (0.00000278 * E1_17_99_9)</v>
      </c>
    </row>
    <row r="42" spans="1:14" ht="43.5" x14ac:dyDescent="0.35">
      <c r="A42" s="31">
        <v>41</v>
      </c>
      <c r="B42" s="31" t="s">
        <v>13967</v>
      </c>
      <c r="C42" s="31" t="str">
        <f t="shared" si="0"/>
        <v>E1_2_1_11_mRNA</v>
      </c>
      <c r="D42" s="31" t="str">
        <f t="shared" si="1"/>
        <v>E1_2_1_11</v>
      </c>
      <c r="E42" s="31" t="str">
        <f t="shared" si="2"/>
        <v>E1_2_1_11_Kcat : 13.7</v>
      </c>
      <c r="F42" s="31" t="str">
        <f t="shared" si="3"/>
        <v>E1_2_1_11_Km :1</v>
      </c>
      <c r="G42" s="31" t="str">
        <f t="shared" si="4"/>
        <v>E1_2_1_11_mRNA:E1_2_1_11_mRNA</v>
      </c>
      <c r="H42" s="31" t="str">
        <f t="shared" si="5"/>
        <v>E1_2_1_11:E1_2_1_11</v>
      </c>
      <c r="I42" s="31" t="str">
        <f t="shared" si="6"/>
        <v>E1_2_1_11_mRNA:0</v>
      </c>
      <c r="J42" s="31" t="str">
        <f t="shared" si="7"/>
        <v>E1_2_1_11:0</v>
      </c>
      <c r="K42" s="31" t="str">
        <f t="shared" si="8"/>
        <v>0.00292 - (0.0093 * E1_2_1_11_mRNA)</v>
      </c>
      <c r="L42" s="31" t="str">
        <f t="shared" si="9"/>
        <v>(0.278 * E1_2_1_11_mRNA) - (0.00000278 * E1_2_1_11)</v>
      </c>
      <c r="M42" s="31" t="str">
        <f t="shared" si="10"/>
        <v>mRNA41: -&gt; E1_2_1_11_mRNA | 0.00292 - (0.0093 * E1_2_1_11_mRNA)</v>
      </c>
      <c r="N42" s="31" t="str">
        <f t="shared" si="11"/>
        <v>Peptide41:E1_2_1_11_mRNA -&gt; E1_2_1_11 | (0.278 * E1_2_1_11_mRNA) -  (0.00000278 * E1_2_1_11)</v>
      </c>
    </row>
    <row r="43" spans="1:14" ht="43.5" x14ac:dyDescent="0.35">
      <c r="A43" s="31">
        <v>42</v>
      </c>
      <c r="B43" s="31" t="s">
        <v>13968</v>
      </c>
      <c r="C43" s="31" t="str">
        <f t="shared" si="0"/>
        <v>E1_2_1_12_mRNA</v>
      </c>
      <c r="D43" s="31" t="str">
        <f t="shared" si="1"/>
        <v>E1_2_1_12</v>
      </c>
      <c r="E43" s="31" t="str">
        <f t="shared" si="2"/>
        <v>E1_2_1_12_Kcat : 13.7</v>
      </c>
      <c r="F43" s="31" t="str">
        <f t="shared" si="3"/>
        <v>E1_2_1_12_Km :1</v>
      </c>
      <c r="G43" s="31" t="str">
        <f t="shared" si="4"/>
        <v>E1_2_1_12_mRNA:E1_2_1_12_mRNA</v>
      </c>
      <c r="H43" s="31" t="str">
        <f t="shared" si="5"/>
        <v>E1_2_1_12:E1_2_1_12</v>
      </c>
      <c r="I43" s="31" t="str">
        <f t="shared" si="6"/>
        <v>E1_2_1_12_mRNA:0</v>
      </c>
      <c r="J43" s="31" t="str">
        <f t="shared" si="7"/>
        <v>E1_2_1_12:0</v>
      </c>
      <c r="K43" s="31" t="str">
        <f t="shared" si="8"/>
        <v>0.00292 - (0.0093 * E1_2_1_12_mRNA)</v>
      </c>
      <c r="L43" s="31" t="str">
        <f t="shared" si="9"/>
        <v>(0.278 * E1_2_1_12_mRNA) - (0.00000278 * E1_2_1_12)</v>
      </c>
      <c r="M43" s="31" t="str">
        <f t="shared" si="10"/>
        <v>mRNA42: -&gt; E1_2_1_12_mRNA | 0.00292 - (0.0093 * E1_2_1_12_mRNA)</v>
      </c>
      <c r="N43" s="31" t="str">
        <f t="shared" si="11"/>
        <v>Peptide42:E1_2_1_12_mRNA -&gt; E1_2_1_12 | (0.278 * E1_2_1_12_mRNA) -  (0.00000278 * E1_2_1_12)</v>
      </c>
    </row>
    <row r="44" spans="1:14" ht="43.5" x14ac:dyDescent="0.35">
      <c r="A44" s="31">
        <v>43</v>
      </c>
      <c r="B44" s="31" t="s">
        <v>13969</v>
      </c>
      <c r="C44" s="31" t="str">
        <f t="shared" si="0"/>
        <v>E1_2_1_38_mRNA</v>
      </c>
      <c r="D44" s="31" t="str">
        <f t="shared" si="1"/>
        <v>E1_2_1_38</v>
      </c>
      <c r="E44" s="31" t="str">
        <f t="shared" si="2"/>
        <v>E1_2_1_38_Kcat : 13.7</v>
      </c>
      <c r="F44" s="31" t="str">
        <f t="shared" si="3"/>
        <v>E1_2_1_38_Km :1</v>
      </c>
      <c r="G44" s="31" t="str">
        <f t="shared" si="4"/>
        <v>E1_2_1_38_mRNA:E1_2_1_38_mRNA</v>
      </c>
      <c r="H44" s="31" t="str">
        <f t="shared" si="5"/>
        <v>E1_2_1_38:E1_2_1_38</v>
      </c>
      <c r="I44" s="31" t="str">
        <f t="shared" si="6"/>
        <v>E1_2_1_38_mRNA:0</v>
      </c>
      <c r="J44" s="31" t="str">
        <f t="shared" si="7"/>
        <v>E1_2_1_38:0</v>
      </c>
      <c r="K44" s="31" t="str">
        <f t="shared" si="8"/>
        <v>0.00292 - (0.0093 * E1_2_1_38_mRNA)</v>
      </c>
      <c r="L44" s="31" t="str">
        <f t="shared" si="9"/>
        <v>(0.278 * E1_2_1_38_mRNA) - (0.00000278 * E1_2_1_38)</v>
      </c>
      <c r="M44" s="31" t="str">
        <f t="shared" si="10"/>
        <v>mRNA43: -&gt; E1_2_1_38_mRNA | 0.00292 - (0.0093 * E1_2_1_38_mRNA)</v>
      </c>
      <c r="N44" s="31" t="str">
        <f t="shared" si="11"/>
        <v>Peptide43:E1_2_1_38_mRNA -&gt; E1_2_1_38 | (0.278 * E1_2_1_38_mRNA) -  (0.00000278 * E1_2_1_38)</v>
      </c>
    </row>
    <row r="45" spans="1:14" ht="43.5" x14ac:dyDescent="0.35">
      <c r="A45" s="31">
        <v>44</v>
      </c>
      <c r="B45" s="31" t="s">
        <v>13970</v>
      </c>
      <c r="C45" s="31" t="str">
        <f t="shared" si="0"/>
        <v>E1_2_1_41_mRNA</v>
      </c>
      <c r="D45" s="31" t="str">
        <f t="shared" si="1"/>
        <v>E1_2_1_41</v>
      </c>
      <c r="E45" s="31" t="str">
        <f t="shared" si="2"/>
        <v>E1_2_1_41_Kcat : 13.7</v>
      </c>
      <c r="F45" s="31" t="str">
        <f t="shared" si="3"/>
        <v>E1_2_1_41_Km :1</v>
      </c>
      <c r="G45" s="31" t="str">
        <f t="shared" si="4"/>
        <v>E1_2_1_41_mRNA:E1_2_1_41_mRNA</v>
      </c>
      <c r="H45" s="31" t="str">
        <f t="shared" si="5"/>
        <v>E1_2_1_41:E1_2_1_41</v>
      </c>
      <c r="I45" s="31" t="str">
        <f t="shared" si="6"/>
        <v>E1_2_1_41_mRNA:0</v>
      </c>
      <c r="J45" s="31" t="str">
        <f t="shared" si="7"/>
        <v>E1_2_1_41:0</v>
      </c>
      <c r="K45" s="31" t="str">
        <f t="shared" si="8"/>
        <v>0.00292 - (0.0093 * E1_2_1_41_mRNA)</v>
      </c>
      <c r="L45" s="31" t="str">
        <f t="shared" si="9"/>
        <v>(0.278 * E1_2_1_41_mRNA) - (0.00000278 * E1_2_1_41)</v>
      </c>
      <c r="M45" s="31" t="str">
        <f t="shared" si="10"/>
        <v>mRNA44: -&gt; E1_2_1_41_mRNA | 0.00292 - (0.0093 * E1_2_1_41_mRNA)</v>
      </c>
      <c r="N45" s="31" t="str">
        <f t="shared" si="11"/>
        <v>Peptide44:E1_2_1_41_mRNA -&gt; E1_2_1_41 | (0.278 * E1_2_1_41_mRNA) -  (0.00000278 * E1_2_1_41)</v>
      </c>
    </row>
    <row r="46" spans="1:14" ht="43.5" x14ac:dyDescent="0.35">
      <c r="A46" s="31">
        <v>45</v>
      </c>
      <c r="B46" s="31" t="s">
        <v>13971</v>
      </c>
      <c r="C46" s="31" t="str">
        <f t="shared" si="0"/>
        <v>E1_2_1_70_mRNA</v>
      </c>
      <c r="D46" s="31" t="str">
        <f t="shared" si="1"/>
        <v>E1_2_1_70</v>
      </c>
      <c r="E46" s="31" t="str">
        <f t="shared" si="2"/>
        <v>E1_2_1_70_Kcat : 13.7</v>
      </c>
      <c r="F46" s="31" t="str">
        <f t="shared" si="3"/>
        <v>E1_2_1_70_Km :1</v>
      </c>
      <c r="G46" s="31" t="str">
        <f t="shared" si="4"/>
        <v>E1_2_1_70_mRNA:E1_2_1_70_mRNA</v>
      </c>
      <c r="H46" s="31" t="str">
        <f t="shared" si="5"/>
        <v>E1_2_1_70:E1_2_1_70</v>
      </c>
      <c r="I46" s="31" t="str">
        <f t="shared" si="6"/>
        <v>E1_2_1_70_mRNA:0</v>
      </c>
      <c r="J46" s="31" t="str">
        <f t="shared" si="7"/>
        <v>E1_2_1_70:0</v>
      </c>
      <c r="K46" s="31" t="str">
        <f t="shared" si="8"/>
        <v>0.00292 - (0.0093 * E1_2_1_70_mRNA)</v>
      </c>
      <c r="L46" s="31" t="str">
        <f t="shared" si="9"/>
        <v>(0.278 * E1_2_1_70_mRNA) - (0.00000278 * E1_2_1_70)</v>
      </c>
      <c r="M46" s="31" t="str">
        <f t="shared" si="10"/>
        <v>mRNA45: -&gt; E1_2_1_70_mRNA | 0.00292 - (0.0093 * E1_2_1_70_mRNA)</v>
      </c>
      <c r="N46" s="31" t="str">
        <f t="shared" si="11"/>
        <v>Peptide45:E1_2_1_70_mRNA -&gt; E1_2_1_70 | (0.278 * E1_2_1_70_mRNA) -  (0.00000278 * E1_2_1_70)</v>
      </c>
    </row>
    <row r="47" spans="1:14" ht="43.5" x14ac:dyDescent="0.35">
      <c r="A47" s="31">
        <v>46</v>
      </c>
      <c r="B47" s="31" t="s">
        <v>13972</v>
      </c>
      <c r="C47" s="31" t="str">
        <f t="shared" si="0"/>
        <v>E1_2_1_79_mRNA</v>
      </c>
      <c r="D47" s="31" t="str">
        <f t="shared" si="1"/>
        <v>E1_2_1_79</v>
      </c>
      <c r="E47" s="31" t="str">
        <f t="shared" si="2"/>
        <v>E1_2_1_79_Kcat : 13.7</v>
      </c>
      <c r="F47" s="31" t="str">
        <f t="shared" si="3"/>
        <v>E1_2_1_79_Km :1</v>
      </c>
      <c r="G47" s="31" t="str">
        <f t="shared" si="4"/>
        <v>E1_2_1_79_mRNA:E1_2_1_79_mRNA</v>
      </c>
      <c r="H47" s="31" t="str">
        <f t="shared" si="5"/>
        <v>E1_2_1_79:E1_2_1_79</v>
      </c>
      <c r="I47" s="31" t="str">
        <f t="shared" si="6"/>
        <v>E1_2_1_79_mRNA:0</v>
      </c>
      <c r="J47" s="31" t="str">
        <f t="shared" si="7"/>
        <v>E1_2_1_79:0</v>
      </c>
      <c r="K47" s="31" t="str">
        <f t="shared" si="8"/>
        <v>0.00292 - (0.0093 * E1_2_1_79_mRNA)</v>
      </c>
      <c r="L47" s="31" t="str">
        <f t="shared" si="9"/>
        <v>(0.278 * E1_2_1_79_mRNA) - (0.00000278 * E1_2_1_79)</v>
      </c>
      <c r="M47" s="31" t="str">
        <f t="shared" si="10"/>
        <v>mRNA46: -&gt; E1_2_1_79_mRNA | 0.00292 - (0.0093 * E1_2_1_79_mRNA)</v>
      </c>
      <c r="N47" s="31" t="str">
        <f t="shared" si="11"/>
        <v>Peptide46:E1_2_1_79_mRNA -&gt; E1_2_1_79 | (0.278 * E1_2_1_79_mRNA) -  (0.00000278 * E1_2_1_79)</v>
      </c>
    </row>
    <row r="48" spans="1:14" ht="29" x14ac:dyDescent="0.35">
      <c r="A48" s="31">
        <v>47</v>
      </c>
      <c r="B48" s="31" t="s">
        <v>13973</v>
      </c>
      <c r="C48" s="31" t="str">
        <f t="shared" si="0"/>
        <v>E1_2_4_1_mRNA</v>
      </c>
      <c r="D48" s="31" t="str">
        <f t="shared" si="1"/>
        <v>E1_2_4_1</v>
      </c>
      <c r="E48" s="31" t="str">
        <f t="shared" si="2"/>
        <v>E1_2_4_1_Kcat : 13.7</v>
      </c>
      <c r="F48" s="31" t="str">
        <f t="shared" si="3"/>
        <v>E1_2_4_1_Km :1</v>
      </c>
      <c r="G48" s="31" t="str">
        <f t="shared" si="4"/>
        <v>E1_2_4_1_mRNA:E1_2_4_1_mRNA</v>
      </c>
      <c r="H48" s="31" t="str">
        <f t="shared" si="5"/>
        <v>E1_2_4_1:E1_2_4_1</v>
      </c>
      <c r="I48" s="31" t="str">
        <f t="shared" si="6"/>
        <v>E1_2_4_1_mRNA:0</v>
      </c>
      <c r="J48" s="31" t="str">
        <f t="shared" si="7"/>
        <v>E1_2_4_1:0</v>
      </c>
      <c r="K48" s="31" t="str">
        <f t="shared" si="8"/>
        <v>0.00292 - (0.0093 * E1_2_4_1_mRNA)</v>
      </c>
      <c r="L48" s="31" t="str">
        <f t="shared" si="9"/>
        <v>(0.278 * E1_2_4_1_mRNA) - (0.00000278 * E1_2_4_1)</v>
      </c>
      <c r="M48" s="31" t="str">
        <f t="shared" si="10"/>
        <v>mRNA47: -&gt; E1_2_4_1_mRNA | 0.00292 - (0.0093 * E1_2_4_1_mRNA)</v>
      </c>
      <c r="N48" s="31" t="str">
        <f t="shared" si="11"/>
        <v>Peptide47:E1_2_4_1_mRNA -&gt; E1_2_4_1 | (0.278 * E1_2_4_1_mRNA) -  (0.00000278 * E1_2_4_1)</v>
      </c>
    </row>
    <row r="49" spans="1:14" ht="43.5" x14ac:dyDescent="0.35">
      <c r="A49" s="31">
        <v>48</v>
      </c>
      <c r="B49" s="31" t="s">
        <v>13974</v>
      </c>
      <c r="C49" s="31" t="str">
        <f t="shared" si="0"/>
        <v>E1_20_4_1_mRNA</v>
      </c>
      <c r="D49" s="31" t="str">
        <f t="shared" si="1"/>
        <v>E1_20_4_1</v>
      </c>
      <c r="E49" s="31" t="str">
        <f t="shared" si="2"/>
        <v>E1_20_4_1_Kcat : 13.7</v>
      </c>
      <c r="F49" s="31" t="str">
        <f t="shared" si="3"/>
        <v>E1_20_4_1_Km :1</v>
      </c>
      <c r="G49" s="31" t="str">
        <f t="shared" si="4"/>
        <v>E1_20_4_1_mRNA:E1_20_4_1_mRNA</v>
      </c>
      <c r="H49" s="31" t="str">
        <f t="shared" si="5"/>
        <v>E1_20_4_1:E1_20_4_1</v>
      </c>
      <c r="I49" s="31" t="str">
        <f t="shared" si="6"/>
        <v>E1_20_4_1_mRNA:0</v>
      </c>
      <c r="J49" s="31" t="str">
        <f t="shared" si="7"/>
        <v>E1_20_4_1:0</v>
      </c>
      <c r="K49" s="31" t="str">
        <f t="shared" si="8"/>
        <v>0.00292 - (0.0093 * E1_20_4_1_mRNA)</v>
      </c>
      <c r="L49" s="31" t="str">
        <f t="shared" si="9"/>
        <v>(0.278 * E1_20_4_1_mRNA) - (0.00000278 * E1_20_4_1)</v>
      </c>
      <c r="M49" s="31" t="str">
        <f t="shared" si="10"/>
        <v>mRNA48: -&gt; E1_20_4_1_mRNA | 0.00292 - (0.0093 * E1_20_4_1_mRNA)</v>
      </c>
      <c r="N49" s="31" t="str">
        <f t="shared" si="11"/>
        <v>Peptide48:E1_20_4_1_mRNA -&gt; E1_20_4_1 | (0.278 * E1_20_4_1_mRNA) -  (0.00000278 * E1_20_4_1)</v>
      </c>
    </row>
    <row r="50" spans="1:14" ht="43.5" x14ac:dyDescent="0.35">
      <c r="A50" s="31">
        <v>49</v>
      </c>
      <c r="B50" s="31" t="s">
        <v>13975</v>
      </c>
      <c r="C50" s="31" t="str">
        <f t="shared" si="0"/>
        <v>E1_20_4_4_mRNA</v>
      </c>
      <c r="D50" s="31" t="str">
        <f t="shared" si="1"/>
        <v>E1_20_4_4</v>
      </c>
      <c r="E50" s="31" t="str">
        <f t="shared" si="2"/>
        <v>E1_20_4_4_Kcat : 13.7</v>
      </c>
      <c r="F50" s="31" t="str">
        <f t="shared" si="3"/>
        <v>E1_20_4_4_Km :1</v>
      </c>
      <c r="G50" s="31" t="str">
        <f t="shared" si="4"/>
        <v>E1_20_4_4_mRNA:E1_20_4_4_mRNA</v>
      </c>
      <c r="H50" s="31" t="str">
        <f t="shared" si="5"/>
        <v>E1_20_4_4:E1_20_4_4</v>
      </c>
      <c r="I50" s="31" t="str">
        <f t="shared" si="6"/>
        <v>E1_20_4_4_mRNA:0</v>
      </c>
      <c r="J50" s="31" t="str">
        <f t="shared" si="7"/>
        <v>E1_20_4_4:0</v>
      </c>
      <c r="K50" s="31" t="str">
        <f t="shared" si="8"/>
        <v>0.00292 - (0.0093 * E1_20_4_4_mRNA)</v>
      </c>
      <c r="L50" s="31" t="str">
        <f t="shared" si="9"/>
        <v>(0.278 * E1_20_4_4_mRNA) - (0.00000278 * E1_20_4_4)</v>
      </c>
      <c r="M50" s="31" t="str">
        <f t="shared" si="10"/>
        <v>mRNA49: -&gt; E1_20_4_4_mRNA | 0.00292 - (0.0093 * E1_20_4_4_mRNA)</v>
      </c>
      <c r="N50" s="31" t="str">
        <f t="shared" si="11"/>
        <v>Peptide49:E1_20_4_4_mRNA -&gt; E1_20_4_4 | (0.278 * E1_20_4_4_mRNA) -  (0.00000278 * E1_20_4_4)</v>
      </c>
    </row>
    <row r="51" spans="1:14" ht="43.5" x14ac:dyDescent="0.35">
      <c r="A51" s="31">
        <v>50</v>
      </c>
      <c r="B51" s="31" t="s">
        <v>13976</v>
      </c>
      <c r="C51" s="31" t="str">
        <f t="shared" si="0"/>
        <v>E1_3_1_12_mRNA</v>
      </c>
      <c r="D51" s="31" t="str">
        <f t="shared" si="1"/>
        <v>E1_3_1_12</v>
      </c>
      <c r="E51" s="31" t="str">
        <f t="shared" si="2"/>
        <v>E1_3_1_12_Kcat : 13.7</v>
      </c>
      <c r="F51" s="31" t="str">
        <f t="shared" si="3"/>
        <v>E1_3_1_12_Km :1</v>
      </c>
      <c r="G51" s="31" t="str">
        <f t="shared" si="4"/>
        <v>E1_3_1_12_mRNA:E1_3_1_12_mRNA</v>
      </c>
      <c r="H51" s="31" t="str">
        <f t="shared" si="5"/>
        <v>E1_3_1_12:E1_3_1_12</v>
      </c>
      <c r="I51" s="31" t="str">
        <f t="shared" si="6"/>
        <v>E1_3_1_12_mRNA:0</v>
      </c>
      <c r="J51" s="31" t="str">
        <f t="shared" si="7"/>
        <v>E1_3_1_12:0</v>
      </c>
      <c r="K51" s="31" t="str">
        <f t="shared" si="8"/>
        <v>0.00292 - (0.0093 * E1_3_1_12_mRNA)</v>
      </c>
      <c r="L51" s="31" t="str">
        <f t="shared" si="9"/>
        <v>(0.278 * E1_3_1_12_mRNA) - (0.00000278 * E1_3_1_12)</v>
      </c>
      <c r="M51" s="31" t="str">
        <f t="shared" si="10"/>
        <v>mRNA50: -&gt; E1_3_1_12_mRNA | 0.00292 - (0.0093 * E1_3_1_12_mRNA)</v>
      </c>
      <c r="N51" s="31" t="str">
        <f t="shared" si="11"/>
        <v>Peptide50:E1_3_1_12_mRNA -&gt; E1_3_1_12 | (0.278 * E1_3_1_12_mRNA) -  (0.00000278 * E1_3_1_12)</v>
      </c>
    </row>
    <row r="52" spans="1:14" ht="43.5" x14ac:dyDescent="0.35">
      <c r="A52" s="31">
        <v>51</v>
      </c>
      <c r="B52" s="31" t="s">
        <v>13977</v>
      </c>
      <c r="C52" s="31" t="str">
        <f t="shared" si="0"/>
        <v>E1_3_1_25_mRNA</v>
      </c>
      <c r="D52" s="31" t="str">
        <f t="shared" si="1"/>
        <v>E1_3_1_25</v>
      </c>
      <c r="E52" s="31" t="str">
        <f t="shared" si="2"/>
        <v>E1_3_1_25_Kcat : 13.7</v>
      </c>
      <c r="F52" s="31" t="str">
        <f t="shared" si="3"/>
        <v>E1_3_1_25_Km :1</v>
      </c>
      <c r="G52" s="31" t="str">
        <f t="shared" si="4"/>
        <v>E1_3_1_25_mRNA:E1_3_1_25_mRNA</v>
      </c>
      <c r="H52" s="31" t="str">
        <f t="shared" si="5"/>
        <v>E1_3_1_25:E1_3_1_25</v>
      </c>
      <c r="I52" s="31" t="str">
        <f t="shared" si="6"/>
        <v>E1_3_1_25_mRNA:0</v>
      </c>
      <c r="J52" s="31" t="str">
        <f t="shared" si="7"/>
        <v>E1_3_1_25:0</v>
      </c>
      <c r="K52" s="31" t="str">
        <f t="shared" si="8"/>
        <v>0.00292 - (0.0093 * E1_3_1_25_mRNA)</v>
      </c>
      <c r="L52" s="31" t="str">
        <f t="shared" si="9"/>
        <v>(0.278 * E1_3_1_25_mRNA) - (0.00000278 * E1_3_1_25)</v>
      </c>
      <c r="M52" s="31" t="str">
        <f t="shared" si="10"/>
        <v>mRNA51: -&gt; E1_3_1_25_mRNA | 0.00292 - (0.0093 * E1_3_1_25_mRNA)</v>
      </c>
      <c r="N52" s="31" t="str">
        <f t="shared" si="11"/>
        <v>Peptide51:E1_3_1_25_mRNA -&gt; E1_3_1_25 | (0.278 * E1_3_1_25_mRNA) -  (0.00000278 * E1_3_1_25)</v>
      </c>
    </row>
    <row r="53" spans="1:14" ht="43.5" x14ac:dyDescent="0.35">
      <c r="A53" s="31">
        <v>52</v>
      </c>
      <c r="B53" s="31" t="s">
        <v>13978</v>
      </c>
      <c r="C53" s="31" t="str">
        <f t="shared" si="0"/>
        <v>E1_3_1_32_mRNA</v>
      </c>
      <c r="D53" s="31" t="str">
        <f t="shared" si="1"/>
        <v>E1_3_1_32</v>
      </c>
      <c r="E53" s="31" t="str">
        <f t="shared" si="2"/>
        <v>E1_3_1_32_Kcat : 13.7</v>
      </c>
      <c r="F53" s="31" t="str">
        <f t="shared" si="3"/>
        <v>E1_3_1_32_Km :1</v>
      </c>
      <c r="G53" s="31" t="str">
        <f t="shared" si="4"/>
        <v>E1_3_1_32_mRNA:E1_3_1_32_mRNA</v>
      </c>
      <c r="H53" s="31" t="str">
        <f t="shared" si="5"/>
        <v>E1_3_1_32:E1_3_1_32</v>
      </c>
      <c r="I53" s="31" t="str">
        <f t="shared" si="6"/>
        <v>E1_3_1_32_mRNA:0</v>
      </c>
      <c r="J53" s="31" t="str">
        <f t="shared" si="7"/>
        <v>E1_3_1_32:0</v>
      </c>
      <c r="K53" s="31" t="str">
        <f t="shared" si="8"/>
        <v>0.00292 - (0.0093 * E1_3_1_32_mRNA)</v>
      </c>
      <c r="L53" s="31" t="str">
        <f t="shared" si="9"/>
        <v>(0.278 * E1_3_1_32_mRNA) - (0.00000278 * E1_3_1_32)</v>
      </c>
      <c r="M53" s="31" t="str">
        <f t="shared" si="10"/>
        <v>mRNA52: -&gt; E1_3_1_32_mRNA | 0.00292 - (0.0093 * E1_3_1_32_mRNA)</v>
      </c>
      <c r="N53" s="31" t="str">
        <f t="shared" si="11"/>
        <v>Peptide52:E1_3_1_32_mRNA -&gt; E1_3_1_32 | (0.278 * E1_3_1_32_mRNA) -  (0.00000278 * E1_3_1_32)</v>
      </c>
    </row>
    <row r="54" spans="1:14" ht="43.5" x14ac:dyDescent="0.35">
      <c r="A54" s="31">
        <v>53</v>
      </c>
      <c r="B54" s="31" t="s">
        <v>13979</v>
      </c>
      <c r="C54" s="31" t="str">
        <f t="shared" si="0"/>
        <v>E1_3_1_83_mRNA</v>
      </c>
      <c r="D54" s="31" t="str">
        <f t="shared" si="1"/>
        <v>E1_3_1_83</v>
      </c>
      <c r="E54" s="31" t="str">
        <f t="shared" si="2"/>
        <v>E1_3_1_83_Kcat : 13.7</v>
      </c>
      <c r="F54" s="31" t="str">
        <f t="shared" si="3"/>
        <v>E1_3_1_83_Km :1</v>
      </c>
      <c r="G54" s="31" t="str">
        <f t="shared" si="4"/>
        <v>E1_3_1_83_mRNA:E1_3_1_83_mRNA</v>
      </c>
      <c r="H54" s="31" t="str">
        <f t="shared" si="5"/>
        <v>E1_3_1_83:E1_3_1_83</v>
      </c>
      <c r="I54" s="31" t="str">
        <f t="shared" si="6"/>
        <v>E1_3_1_83_mRNA:0</v>
      </c>
      <c r="J54" s="31" t="str">
        <f t="shared" si="7"/>
        <v>E1_3_1_83:0</v>
      </c>
      <c r="K54" s="31" t="str">
        <f t="shared" si="8"/>
        <v>0.00292 - (0.0093 * E1_3_1_83_mRNA)</v>
      </c>
      <c r="L54" s="31" t="str">
        <f t="shared" si="9"/>
        <v>(0.278 * E1_3_1_83_mRNA) - (0.00000278 * E1_3_1_83)</v>
      </c>
      <c r="M54" s="31" t="str">
        <f t="shared" si="10"/>
        <v>mRNA53: -&gt; E1_3_1_83_mRNA | 0.00292 - (0.0093 * E1_3_1_83_mRNA)</v>
      </c>
      <c r="N54" s="31" t="str">
        <f t="shared" si="11"/>
        <v>Peptide53:E1_3_1_83_mRNA -&gt; E1_3_1_83 | (0.278 * E1_3_1_83_mRNA) -  (0.00000278 * E1_3_1_83)</v>
      </c>
    </row>
    <row r="55" spans="1:14" ht="43.5" x14ac:dyDescent="0.35">
      <c r="A55" s="31">
        <v>54</v>
      </c>
      <c r="B55" s="31" t="s">
        <v>13980</v>
      </c>
      <c r="C55" s="31" t="str">
        <f t="shared" si="0"/>
        <v>E1_3_1_98_mRNA</v>
      </c>
      <c r="D55" s="31" t="str">
        <f t="shared" si="1"/>
        <v>E1_3_1_98</v>
      </c>
      <c r="E55" s="31" t="str">
        <f t="shared" si="2"/>
        <v>E1_3_1_98_Kcat : 13.7</v>
      </c>
      <c r="F55" s="31" t="str">
        <f t="shared" si="3"/>
        <v>E1_3_1_98_Km :1</v>
      </c>
      <c r="G55" s="31" t="str">
        <f t="shared" si="4"/>
        <v>E1_3_1_98_mRNA:E1_3_1_98_mRNA</v>
      </c>
      <c r="H55" s="31" t="str">
        <f t="shared" si="5"/>
        <v>E1_3_1_98:E1_3_1_98</v>
      </c>
      <c r="I55" s="31" t="str">
        <f t="shared" si="6"/>
        <v>E1_3_1_98_mRNA:0</v>
      </c>
      <c r="J55" s="31" t="str">
        <f t="shared" si="7"/>
        <v>E1_3_1_98:0</v>
      </c>
      <c r="K55" s="31" t="str">
        <f t="shared" si="8"/>
        <v>0.00292 - (0.0093 * E1_3_1_98_mRNA)</v>
      </c>
      <c r="L55" s="31" t="str">
        <f t="shared" si="9"/>
        <v>(0.278 * E1_3_1_98_mRNA) - (0.00000278 * E1_3_1_98)</v>
      </c>
      <c r="M55" s="31" t="str">
        <f t="shared" si="10"/>
        <v>mRNA54: -&gt; E1_3_1_98_mRNA | 0.00292 - (0.0093 * E1_3_1_98_mRNA)</v>
      </c>
      <c r="N55" s="31" t="str">
        <f t="shared" si="11"/>
        <v>Peptide54:E1_3_1_98_mRNA -&gt; E1_3_1_98 | (0.278 * E1_3_1_98_mRNA) -  (0.00000278 * E1_3_1_98)</v>
      </c>
    </row>
    <row r="56" spans="1:14" ht="29" x14ac:dyDescent="0.35">
      <c r="A56" s="31">
        <v>55</v>
      </c>
      <c r="B56" s="31" t="s">
        <v>13981</v>
      </c>
      <c r="C56" s="31" t="str">
        <f t="shared" si="0"/>
        <v>E1_3_3_4_mRNA</v>
      </c>
      <c r="D56" s="31" t="str">
        <f t="shared" si="1"/>
        <v>E1_3_3_4</v>
      </c>
      <c r="E56" s="31" t="str">
        <f t="shared" si="2"/>
        <v>E1_3_3_4_Kcat : 13.7</v>
      </c>
      <c r="F56" s="31" t="str">
        <f t="shared" si="3"/>
        <v>E1_3_3_4_Km :1</v>
      </c>
      <c r="G56" s="31" t="str">
        <f t="shared" si="4"/>
        <v>E1_3_3_4_mRNA:E1_3_3_4_mRNA</v>
      </c>
      <c r="H56" s="31" t="str">
        <f t="shared" si="5"/>
        <v>E1_3_3_4:E1_3_3_4</v>
      </c>
      <c r="I56" s="31" t="str">
        <f t="shared" si="6"/>
        <v>E1_3_3_4_mRNA:0</v>
      </c>
      <c r="J56" s="31" t="str">
        <f t="shared" si="7"/>
        <v>E1_3_3_4:0</v>
      </c>
      <c r="K56" s="31" t="str">
        <f t="shared" si="8"/>
        <v>0.00292 - (0.0093 * E1_3_3_4_mRNA)</v>
      </c>
      <c r="L56" s="31" t="str">
        <f t="shared" si="9"/>
        <v>(0.278 * E1_3_3_4_mRNA) - (0.00000278 * E1_3_3_4)</v>
      </c>
      <c r="M56" s="31" t="str">
        <f t="shared" si="10"/>
        <v>mRNA55: -&gt; E1_3_3_4_mRNA | 0.00292 - (0.0093 * E1_3_3_4_mRNA)</v>
      </c>
      <c r="N56" s="31" t="str">
        <f t="shared" si="11"/>
        <v>Peptide55:E1_3_3_4_mRNA -&gt; E1_3_3_4 | (0.278 * E1_3_3_4_mRNA) -  (0.00000278 * E1_3_3_4)</v>
      </c>
    </row>
    <row r="57" spans="1:14" ht="29" x14ac:dyDescent="0.35">
      <c r="A57" s="31">
        <v>56</v>
      </c>
      <c r="B57" s="31" t="s">
        <v>13982</v>
      </c>
      <c r="C57" s="31" t="str">
        <f t="shared" si="0"/>
        <v>E1_3_5_2_mRNA</v>
      </c>
      <c r="D57" s="31" t="str">
        <f t="shared" si="1"/>
        <v>E1_3_5_2</v>
      </c>
      <c r="E57" s="31" t="str">
        <f t="shared" si="2"/>
        <v>E1_3_5_2_Kcat : 13.7</v>
      </c>
      <c r="F57" s="31" t="str">
        <f t="shared" si="3"/>
        <v>E1_3_5_2_Km :1</v>
      </c>
      <c r="G57" s="31" t="str">
        <f t="shared" si="4"/>
        <v>E1_3_5_2_mRNA:E1_3_5_2_mRNA</v>
      </c>
      <c r="H57" s="31" t="str">
        <f t="shared" si="5"/>
        <v>E1_3_5_2:E1_3_5_2</v>
      </c>
      <c r="I57" s="31" t="str">
        <f t="shared" si="6"/>
        <v>E1_3_5_2_mRNA:0</v>
      </c>
      <c r="J57" s="31" t="str">
        <f t="shared" si="7"/>
        <v>E1_3_5_2:0</v>
      </c>
      <c r="K57" s="31" t="str">
        <f t="shared" si="8"/>
        <v>0.00292 - (0.0093 * E1_3_5_2_mRNA)</v>
      </c>
      <c r="L57" s="31" t="str">
        <f t="shared" si="9"/>
        <v>(0.278 * E1_3_5_2_mRNA) - (0.00000278 * E1_3_5_2)</v>
      </c>
      <c r="M57" s="31" t="str">
        <f t="shared" si="10"/>
        <v>mRNA56: -&gt; E1_3_5_2_mRNA | 0.00292 - (0.0093 * E1_3_5_2_mRNA)</v>
      </c>
      <c r="N57" s="31" t="str">
        <f t="shared" si="11"/>
        <v>Peptide56:E1_3_5_2_mRNA -&gt; E1_3_5_2 | (0.278 * E1_3_5_2_mRNA) -  (0.00000278 * E1_3_5_2)</v>
      </c>
    </row>
    <row r="58" spans="1:14" ht="43.5" x14ac:dyDescent="0.35">
      <c r="A58" s="31">
        <v>57</v>
      </c>
      <c r="B58" s="31" t="s">
        <v>13983</v>
      </c>
      <c r="C58" s="31" t="str">
        <f t="shared" si="0"/>
        <v>E1_3_98_5_mRNA</v>
      </c>
      <c r="D58" s="31" t="str">
        <f t="shared" si="1"/>
        <v>E1_3_98_5</v>
      </c>
      <c r="E58" s="31" t="str">
        <f t="shared" si="2"/>
        <v>E1_3_98_5_Kcat : 13.7</v>
      </c>
      <c r="F58" s="31" t="str">
        <f t="shared" si="3"/>
        <v>E1_3_98_5_Km :1</v>
      </c>
      <c r="G58" s="31" t="str">
        <f t="shared" si="4"/>
        <v>E1_3_98_5_mRNA:E1_3_98_5_mRNA</v>
      </c>
      <c r="H58" s="31" t="str">
        <f t="shared" si="5"/>
        <v>E1_3_98_5:E1_3_98_5</v>
      </c>
      <c r="I58" s="31" t="str">
        <f t="shared" si="6"/>
        <v>E1_3_98_5_mRNA:0</v>
      </c>
      <c r="J58" s="31" t="str">
        <f t="shared" si="7"/>
        <v>E1_3_98_5:0</v>
      </c>
      <c r="K58" s="31" t="str">
        <f t="shared" si="8"/>
        <v>0.00292 - (0.0093 * E1_3_98_5_mRNA)</v>
      </c>
      <c r="L58" s="31" t="str">
        <f t="shared" si="9"/>
        <v>(0.278 * E1_3_98_5_mRNA) - (0.00000278 * E1_3_98_5)</v>
      </c>
      <c r="M58" s="31" t="str">
        <f t="shared" si="10"/>
        <v>mRNA57: -&gt; E1_3_98_5_mRNA | 0.00292 - (0.0093 * E1_3_98_5_mRNA)</v>
      </c>
      <c r="N58" s="31" t="str">
        <f t="shared" si="11"/>
        <v>Peptide57:E1_3_98_5_mRNA -&gt; E1_3_98_5 | (0.278 * E1_3_98_5_mRNA) -  (0.00000278 * E1_3_98_5)</v>
      </c>
    </row>
    <row r="59" spans="1:14" ht="43.5" x14ac:dyDescent="0.35">
      <c r="A59" s="31">
        <v>58</v>
      </c>
      <c r="B59" s="31" t="s">
        <v>13984</v>
      </c>
      <c r="C59" s="31" t="str">
        <f t="shared" si="0"/>
        <v>E1_4_1_13_mRNA</v>
      </c>
      <c r="D59" s="31" t="str">
        <f t="shared" si="1"/>
        <v>E1_4_1_13</v>
      </c>
      <c r="E59" s="31" t="str">
        <f t="shared" si="2"/>
        <v>E1_4_1_13_Kcat : 13.7</v>
      </c>
      <c r="F59" s="31" t="str">
        <f t="shared" si="3"/>
        <v>E1_4_1_13_Km :1</v>
      </c>
      <c r="G59" s="31" t="str">
        <f t="shared" si="4"/>
        <v>E1_4_1_13_mRNA:E1_4_1_13_mRNA</v>
      </c>
      <c r="H59" s="31" t="str">
        <f t="shared" si="5"/>
        <v>E1_4_1_13:E1_4_1_13</v>
      </c>
      <c r="I59" s="31" t="str">
        <f t="shared" si="6"/>
        <v>E1_4_1_13_mRNA:0</v>
      </c>
      <c r="J59" s="31" t="str">
        <f t="shared" si="7"/>
        <v>E1_4_1_13:0</v>
      </c>
      <c r="K59" s="31" t="str">
        <f t="shared" si="8"/>
        <v>0.00292 - (0.0093 * E1_4_1_13_mRNA)</v>
      </c>
      <c r="L59" s="31" t="str">
        <f t="shared" si="9"/>
        <v>(0.278 * E1_4_1_13_mRNA) - (0.00000278 * E1_4_1_13)</v>
      </c>
      <c r="M59" s="31" t="str">
        <f t="shared" si="10"/>
        <v>mRNA58: -&gt; E1_4_1_13_mRNA | 0.00292 - (0.0093 * E1_4_1_13_mRNA)</v>
      </c>
      <c r="N59" s="31" t="str">
        <f t="shared" si="11"/>
        <v>Peptide58:E1_4_1_13_mRNA -&gt; E1_4_1_13 | (0.278 * E1_4_1_13_mRNA) -  (0.00000278 * E1_4_1_13)</v>
      </c>
    </row>
    <row r="60" spans="1:14" ht="43.5" x14ac:dyDescent="0.35">
      <c r="A60" s="31">
        <v>59</v>
      </c>
      <c r="B60" s="31" t="s">
        <v>13985</v>
      </c>
      <c r="C60" s="31" t="str">
        <f t="shared" si="0"/>
        <v>E1_4_1_16_mRNA</v>
      </c>
      <c r="D60" s="31" t="str">
        <f t="shared" si="1"/>
        <v>E1_4_1_16</v>
      </c>
      <c r="E60" s="31" t="str">
        <f t="shared" si="2"/>
        <v>E1_4_1_16_Kcat : 13.7</v>
      </c>
      <c r="F60" s="31" t="str">
        <f t="shared" si="3"/>
        <v>E1_4_1_16_Km :1</v>
      </c>
      <c r="G60" s="31" t="str">
        <f t="shared" si="4"/>
        <v>E1_4_1_16_mRNA:E1_4_1_16_mRNA</v>
      </c>
      <c r="H60" s="31" t="str">
        <f t="shared" si="5"/>
        <v>E1_4_1_16:E1_4_1_16</v>
      </c>
      <c r="I60" s="31" t="str">
        <f t="shared" si="6"/>
        <v>E1_4_1_16_mRNA:0</v>
      </c>
      <c r="J60" s="31" t="str">
        <f t="shared" si="7"/>
        <v>E1_4_1_16:0</v>
      </c>
      <c r="K60" s="31" t="str">
        <f t="shared" si="8"/>
        <v>0.00292 - (0.0093 * E1_4_1_16_mRNA)</v>
      </c>
      <c r="L60" s="31" t="str">
        <f t="shared" si="9"/>
        <v>(0.278 * E1_4_1_16_mRNA) - (0.00000278 * E1_4_1_16)</v>
      </c>
      <c r="M60" s="31" t="str">
        <f t="shared" si="10"/>
        <v>mRNA59: -&gt; E1_4_1_16_mRNA | 0.00292 - (0.0093 * E1_4_1_16_mRNA)</v>
      </c>
      <c r="N60" s="31" t="str">
        <f t="shared" si="11"/>
        <v>Peptide59:E1_4_1_16_mRNA -&gt; E1_4_1_16 | (0.278 * E1_4_1_16_mRNA) -  (0.00000278 * E1_4_1_16)</v>
      </c>
    </row>
    <row r="61" spans="1:14" ht="29" x14ac:dyDescent="0.35">
      <c r="A61" s="31">
        <v>60</v>
      </c>
      <c r="B61" s="31" t="s">
        <v>13986</v>
      </c>
      <c r="C61" s="31" t="str">
        <f t="shared" si="0"/>
        <v>E1_4_1_4_mRNA</v>
      </c>
      <c r="D61" s="31" t="str">
        <f t="shared" si="1"/>
        <v>E1_4_1_4</v>
      </c>
      <c r="E61" s="31" t="str">
        <f t="shared" si="2"/>
        <v>E1_4_1_4_Kcat : 13.7</v>
      </c>
      <c r="F61" s="31" t="str">
        <f t="shared" si="3"/>
        <v>E1_4_1_4_Km :1</v>
      </c>
      <c r="G61" s="31" t="str">
        <f t="shared" si="4"/>
        <v>E1_4_1_4_mRNA:E1_4_1_4_mRNA</v>
      </c>
      <c r="H61" s="31" t="str">
        <f t="shared" si="5"/>
        <v>E1_4_1_4:E1_4_1_4</v>
      </c>
      <c r="I61" s="41" t="str">
        <f t="shared" si="6"/>
        <v>E1_4_1_4_mRNA:0</v>
      </c>
      <c r="J61" s="31" t="str">
        <f t="shared" si="7"/>
        <v>E1_4_1_4:0</v>
      </c>
      <c r="K61" s="31" t="str">
        <f t="shared" si="8"/>
        <v>0.00292 - (0.0093 * E1_4_1_4_mRNA)</v>
      </c>
      <c r="L61" s="31" t="str">
        <f t="shared" si="9"/>
        <v>(0.278 * E1_4_1_4_mRNA) - (0.00000278 * E1_4_1_4)</v>
      </c>
      <c r="M61" s="31" t="str">
        <f t="shared" si="10"/>
        <v>mRNA60: -&gt; E1_4_1_4_mRNA | 0.00292 - (0.0093 * E1_4_1_4_mRNA)</v>
      </c>
      <c r="N61" s="31" t="str">
        <f t="shared" si="11"/>
        <v>Peptide60:E1_4_1_4_mRNA -&gt; E1_4_1_4 | (0.278 * E1_4_1_4_mRNA) -  (0.00000278 * E1_4_1_4)</v>
      </c>
    </row>
    <row r="62" spans="1:14" ht="43.5" x14ac:dyDescent="0.35">
      <c r="A62" s="31">
        <v>61</v>
      </c>
      <c r="B62" s="31" t="s">
        <v>13987</v>
      </c>
      <c r="C62" s="31" t="str">
        <f t="shared" si="0"/>
        <v>E1_4_3_19_mRNA</v>
      </c>
      <c r="D62" s="31" t="str">
        <f t="shared" si="1"/>
        <v>E1_4_3_19</v>
      </c>
      <c r="E62" s="31" t="str">
        <f t="shared" si="2"/>
        <v>E1_4_3_19_Kcat : 13.7</v>
      </c>
      <c r="F62" s="31" t="str">
        <f t="shared" si="3"/>
        <v>E1_4_3_19_Km :1</v>
      </c>
      <c r="G62" s="31" t="str">
        <f t="shared" si="4"/>
        <v>E1_4_3_19_mRNA:E1_4_3_19_mRNA</v>
      </c>
      <c r="H62" s="31" t="str">
        <f t="shared" si="5"/>
        <v>E1_4_3_19:E1_4_3_19</v>
      </c>
      <c r="I62" s="41" t="str">
        <f t="shared" si="6"/>
        <v>E1_4_3_19_mRNA:0</v>
      </c>
      <c r="J62" s="31" t="str">
        <f t="shared" si="7"/>
        <v>E1_4_3_19:0</v>
      </c>
      <c r="K62" s="31" t="str">
        <f t="shared" si="8"/>
        <v>0.00292 - (0.0093 * E1_4_3_19_mRNA)</v>
      </c>
      <c r="L62" s="31" t="str">
        <f t="shared" si="9"/>
        <v>(0.278 * E1_4_3_19_mRNA) - (0.00000278 * E1_4_3_19)</v>
      </c>
      <c r="M62" s="31" t="str">
        <f t="shared" si="10"/>
        <v>mRNA61: -&gt; E1_4_3_19_mRNA | 0.00292 - (0.0093 * E1_4_3_19_mRNA)</v>
      </c>
      <c r="N62" s="31" t="str">
        <f t="shared" si="11"/>
        <v>Peptide61:E1_4_3_19_mRNA -&gt; E1_4_3_19 | (0.278 * E1_4_3_19_mRNA) -  (0.00000278 * E1_4_3_19)</v>
      </c>
    </row>
    <row r="63" spans="1:14" ht="29" x14ac:dyDescent="0.35">
      <c r="A63" s="31">
        <v>62</v>
      </c>
      <c r="B63" s="31" t="s">
        <v>13988</v>
      </c>
      <c r="C63" s="31" t="str">
        <f t="shared" si="0"/>
        <v>E1_5_1_2_mRNA</v>
      </c>
      <c r="D63" s="31" t="str">
        <f t="shared" si="1"/>
        <v>E1_5_1_2</v>
      </c>
      <c r="E63" s="31" t="str">
        <f t="shared" si="2"/>
        <v>E1_5_1_2_Kcat : 13.7</v>
      </c>
      <c r="F63" s="31" t="str">
        <f t="shared" si="3"/>
        <v>E1_5_1_2_Km :1</v>
      </c>
      <c r="G63" s="31" t="str">
        <f t="shared" si="4"/>
        <v>E1_5_1_2_mRNA:E1_5_1_2_mRNA</v>
      </c>
      <c r="H63" s="31" t="str">
        <f t="shared" si="5"/>
        <v>E1_5_1_2:E1_5_1_2</v>
      </c>
      <c r="I63" s="41" t="str">
        <f t="shared" si="6"/>
        <v>E1_5_1_2_mRNA:0</v>
      </c>
      <c r="J63" s="31" t="str">
        <f t="shared" si="7"/>
        <v>E1_5_1_2:0</v>
      </c>
      <c r="K63" s="31" t="str">
        <f t="shared" si="8"/>
        <v>0.00292 - (0.0093 * E1_5_1_2_mRNA)</v>
      </c>
      <c r="L63" s="31" t="str">
        <f t="shared" si="9"/>
        <v>(0.278 * E1_5_1_2_mRNA) - (0.00000278 * E1_5_1_2)</v>
      </c>
      <c r="M63" s="31" t="str">
        <f t="shared" si="10"/>
        <v>mRNA62: -&gt; E1_5_1_2_mRNA | 0.00292 - (0.0093 * E1_5_1_2_mRNA)</v>
      </c>
      <c r="N63" s="31" t="str">
        <f t="shared" si="11"/>
        <v>Peptide62:E1_5_1_2_mRNA -&gt; E1_5_1_2 | (0.278 * E1_5_1_2_mRNA) -  (0.00000278 * E1_5_1_2)</v>
      </c>
    </row>
    <row r="64" spans="1:14" ht="43.5" x14ac:dyDescent="0.35">
      <c r="A64" s="31">
        <v>63</v>
      </c>
      <c r="B64" s="31" t="s">
        <v>13989</v>
      </c>
      <c r="C64" s="31" t="str">
        <f t="shared" si="0"/>
        <v>E1_5_1_20_mRNA</v>
      </c>
      <c r="D64" s="31" t="str">
        <f t="shared" si="1"/>
        <v>E1_5_1_20</v>
      </c>
      <c r="E64" s="31" t="str">
        <f t="shared" si="2"/>
        <v>E1_5_1_20_Kcat : 13.7</v>
      </c>
      <c r="F64" s="31" t="str">
        <f t="shared" si="3"/>
        <v>E1_5_1_20_Km :1</v>
      </c>
      <c r="G64" s="31" t="str">
        <f t="shared" si="4"/>
        <v>E1_5_1_20_mRNA:E1_5_1_20_mRNA</v>
      </c>
      <c r="H64" s="31" t="str">
        <f t="shared" si="5"/>
        <v>E1_5_1_20:E1_5_1_20</v>
      </c>
      <c r="I64" s="41" t="str">
        <f t="shared" si="6"/>
        <v>E1_5_1_20_mRNA:0</v>
      </c>
      <c r="J64" s="31" t="str">
        <f t="shared" si="7"/>
        <v>E1_5_1_20:0</v>
      </c>
      <c r="K64" s="31" t="str">
        <f t="shared" si="8"/>
        <v>0.00292 - (0.0093 * E1_5_1_20_mRNA)</v>
      </c>
      <c r="L64" s="31" t="str">
        <f t="shared" si="9"/>
        <v>(0.278 * E1_5_1_20_mRNA) - (0.00000278 * E1_5_1_20)</v>
      </c>
      <c r="M64" s="31" t="str">
        <f t="shared" si="10"/>
        <v>mRNA63: -&gt; E1_5_1_20_mRNA | 0.00292 - (0.0093 * E1_5_1_20_mRNA)</v>
      </c>
      <c r="N64" s="31" t="str">
        <f t="shared" si="11"/>
        <v>Peptide63:E1_5_1_20_mRNA -&gt; E1_5_1_20 | (0.278 * E1_5_1_20_mRNA) -  (0.00000278 * E1_5_1_20)</v>
      </c>
    </row>
    <row r="65" spans="1:14" ht="29" x14ac:dyDescent="0.35">
      <c r="A65" s="31">
        <v>64</v>
      </c>
      <c r="B65" s="31" t="s">
        <v>13990</v>
      </c>
      <c r="C65" s="31" t="str">
        <f t="shared" si="0"/>
        <v>E1_5_1_3_mRNA</v>
      </c>
      <c r="D65" s="31" t="str">
        <f t="shared" si="1"/>
        <v>E1_5_1_3</v>
      </c>
      <c r="E65" s="31" t="str">
        <f t="shared" si="2"/>
        <v>E1_5_1_3_Kcat : 13.7</v>
      </c>
      <c r="F65" s="31" t="str">
        <f t="shared" si="3"/>
        <v>E1_5_1_3_Km :1</v>
      </c>
      <c r="G65" s="31" t="str">
        <f t="shared" si="4"/>
        <v>E1_5_1_3_mRNA:E1_5_1_3_mRNA</v>
      </c>
      <c r="H65" s="31" t="str">
        <f t="shared" si="5"/>
        <v>E1_5_1_3:E1_5_1_3</v>
      </c>
      <c r="I65" s="41" t="str">
        <f t="shared" si="6"/>
        <v>E1_5_1_3_mRNA:0</v>
      </c>
      <c r="J65" s="31" t="str">
        <f t="shared" si="7"/>
        <v>E1_5_1_3:0</v>
      </c>
      <c r="K65" s="31" t="str">
        <f t="shared" si="8"/>
        <v>0.00292 - (0.0093 * E1_5_1_3_mRNA)</v>
      </c>
      <c r="L65" s="31" t="str">
        <f t="shared" si="9"/>
        <v>(0.278 * E1_5_1_3_mRNA) - (0.00000278 * E1_5_1_3)</v>
      </c>
      <c r="M65" s="31" t="str">
        <f t="shared" si="10"/>
        <v>mRNA64: -&gt; E1_5_1_3_mRNA | 0.00292 - (0.0093 * E1_5_1_3_mRNA)</v>
      </c>
      <c r="N65" s="31" t="str">
        <f t="shared" si="11"/>
        <v>Peptide64:E1_5_1_3_mRNA -&gt; E1_5_1_3 | (0.278 * E1_5_1_3_mRNA) -  (0.00000278 * E1_5_1_3)</v>
      </c>
    </row>
    <row r="66" spans="1:14" ht="29" x14ac:dyDescent="0.35">
      <c r="A66" s="31">
        <v>65</v>
      </c>
      <c r="B66" s="31" t="s">
        <v>13991</v>
      </c>
      <c r="C66" s="31" t="str">
        <f t="shared" si="0"/>
        <v>E1_6_5_2_mRNA</v>
      </c>
      <c r="D66" s="31" t="str">
        <f t="shared" si="1"/>
        <v>E1_6_5_2</v>
      </c>
      <c r="E66" s="31" t="str">
        <f t="shared" si="2"/>
        <v>E1_6_5_2_Kcat : 13.7</v>
      </c>
      <c r="F66" s="31" t="str">
        <f t="shared" si="3"/>
        <v>E1_6_5_2_Km :1</v>
      </c>
      <c r="G66" s="31" t="str">
        <f t="shared" si="4"/>
        <v>E1_6_5_2_mRNA:E1_6_5_2_mRNA</v>
      </c>
      <c r="H66" s="31" t="str">
        <f t="shared" si="5"/>
        <v>E1_6_5_2:E1_6_5_2</v>
      </c>
      <c r="I66" s="41" t="str">
        <f t="shared" si="6"/>
        <v>E1_6_5_2_mRNA:0</v>
      </c>
      <c r="J66" s="31" t="str">
        <f t="shared" si="7"/>
        <v>E1_6_5_2:0</v>
      </c>
      <c r="K66" s="31" t="str">
        <f t="shared" si="8"/>
        <v>0.00292 - (0.0093 * E1_6_5_2_mRNA)</v>
      </c>
      <c r="L66" s="31" t="str">
        <f t="shared" si="9"/>
        <v>(0.278 * E1_6_5_2_mRNA) - (0.00000278 * E1_6_5_2)</v>
      </c>
      <c r="M66" s="31" t="str">
        <f t="shared" si="10"/>
        <v>mRNA65: -&gt; E1_6_5_2_mRNA | 0.00292 - (0.0093 * E1_6_5_2_mRNA)</v>
      </c>
      <c r="N66" s="31" t="str">
        <f t="shared" si="11"/>
        <v>Peptide65:E1_6_5_2_mRNA -&gt; E1_6_5_2 | (0.278 * E1_6_5_2_mRNA) -  (0.00000278 * E1_6_5_2)</v>
      </c>
    </row>
    <row r="67" spans="1:14" ht="29" x14ac:dyDescent="0.35">
      <c r="A67" s="31">
        <v>66</v>
      </c>
      <c r="B67" s="31" t="s">
        <v>13992</v>
      </c>
      <c r="C67" s="31" t="str">
        <f t="shared" ref="C67:C128" si="12">CONCATENATE(D67,"_mRNA")</f>
        <v>E1_6_5_5_mRNA</v>
      </c>
      <c r="D67" s="31" t="str">
        <f t="shared" ref="D67:D128" si="13">CONCATENATE("E",B67)</f>
        <v>E1_6_5_5</v>
      </c>
      <c r="E67" s="31" t="str">
        <f t="shared" ref="E67:E128" si="14">CONCATENATE(D67,"_Kcat : 13.7")</f>
        <v>E1_6_5_5_Kcat : 13.7</v>
      </c>
      <c r="F67" s="31" t="str">
        <f t="shared" ref="F67:F128" si="15">CONCATENATE(D67,"_Km :1")</f>
        <v>E1_6_5_5_Km :1</v>
      </c>
      <c r="G67" s="31" t="str">
        <f t="shared" ref="G67:G128" si="16">CONCATENATE(C67,":",C67)</f>
        <v>E1_6_5_5_mRNA:E1_6_5_5_mRNA</v>
      </c>
      <c r="H67" s="31" t="str">
        <f t="shared" ref="H67:H128" si="17">CONCATENATE(D67,":",D67)</f>
        <v>E1_6_5_5:E1_6_5_5</v>
      </c>
      <c r="I67" s="41" t="str">
        <f t="shared" ref="I67:I128" si="18">CONCATENATE(C67,":","0")</f>
        <v>E1_6_5_5_mRNA:0</v>
      </c>
      <c r="J67" s="31" t="str">
        <f t="shared" ref="J67:J128" si="19">CONCATENATE(D67,":","0")</f>
        <v>E1_6_5_5:0</v>
      </c>
      <c r="K67" s="31" t="str">
        <f t="shared" ref="K67:K128" si="20">CONCATENATE("0.00292 - (0.0093 * ",C67,")")</f>
        <v>0.00292 - (0.0093 * E1_6_5_5_mRNA)</v>
      </c>
      <c r="L67" s="31" t="str">
        <f t="shared" ref="L67:L128" si="21">CONCATENATE("(0.278 * ",C67,")", " - (0.00000278 * ",D67,")")</f>
        <v>(0.278 * E1_6_5_5_mRNA) - (0.00000278 * E1_6_5_5)</v>
      </c>
      <c r="M67" s="31" t="str">
        <f t="shared" ref="M67:M128" si="22">CONCATENATE("mRNA",A67,": -&gt; ",C67," | ","0.00292", " -"," (","0.0093"," * ",C67,")")</f>
        <v>mRNA66: -&gt; E1_6_5_5_mRNA | 0.00292 - (0.0093 * E1_6_5_5_mRNA)</v>
      </c>
      <c r="N67" s="31" t="str">
        <f t="shared" ref="N67:N128" si="23">CONCATENATE("Peptide",A67,":",C67," -&gt; ",D67," | ","(","0.278"," * ",C67,")"," - "," (","0.00000278"," * ",D67,")")</f>
        <v>Peptide66:E1_6_5_5_mRNA -&gt; E1_6_5_5 | (0.278 * E1_6_5_5_mRNA) -  (0.00000278 * E1_6_5_5)</v>
      </c>
    </row>
    <row r="68" spans="1:14" ht="43.5" x14ac:dyDescent="0.35">
      <c r="A68" s="31">
        <v>67</v>
      </c>
      <c r="B68" s="31" t="s">
        <v>13993</v>
      </c>
      <c r="C68" s="31" t="str">
        <f t="shared" si="12"/>
        <v>E1_8_1_15_mRNA</v>
      </c>
      <c r="D68" s="31" t="str">
        <f t="shared" si="13"/>
        <v>E1_8_1_15</v>
      </c>
      <c r="E68" s="31" t="str">
        <f t="shared" si="14"/>
        <v>E1_8_1_15_Kcat : 13.7</v>
      </c>
      <c r="F68" s="31" t="str">
        <f t="shared" si="15"/>
        <v>E1_8_1_15_Km :1</v>
      </c>
      <c r="G68" s="31" t="str">
        <f t="shared" si="16"/>
        <v>E1_8_1_15_mRNA:E1_8_1_15_mRNA</v>
      </c>
      <c r="H68" s="31" t="str">
        <f t="shared" si="17"/>
        <v>E1_8_1_15:E1_8_1_15</v>
      </c>
      <c r="I68" s="41" t="str">
        <f t="shared" si="18"/>
        <v>E1_8_1_15_mRNA:0</v>
      </c>
      <c r="J68" s="31" t="str">
        <f t="shared" si="19"/>
        <v>E1_8_1_15:0</v>
      </c>
      <c r="K68" s="31" t="str">
        <f t="shared" si="20"/>
        <v>0.00292 - (0.0093 * E1_8_1_15_mRNA)</v>
      </c>
      <c r="L68" s="31" t="str">
        <f t="shared" si="21"/>
        <v>(0.278 * E1_8_1_15_mRNA) - (0.00000278 * E1_8_1_15)</v>
      </c>
      <c r="M68" s="31" t="str">
        <f t="shared" si="22"/>
        <v>mRNA67: -&gt; E1_8_1_15_mRNA | 0.00292 - (0.0093 * E1_8_1_15_mRNA)</v>
      </c>
      <c r="N68" s="31" t="str">
        <f t="shared" si="23"/>
        <v>Peptide67:E1_8_1_15_mRNA -&gt; E1_8_1_15 | (0.278 * E1_8_1_15_mRNA) -  (0.00000278 * E1_8_1_15)</v>
      </c>
    </row>
    <row r="69" spans="1:14" ht="29" x14ac:dyDescent="0.35">
      <c r="A69" s="31">
        <v>68</v>
      </c>
      <c r="B69" s="31" t="s">
        <v>13994</v>
      </c>
      <c r="C69" s="31" t="str">
        <f t="shared" si="12"/>
        <v>E1_8_1_4_mRNA</v>
      </c>
      <c r="D69" s="31" t="str">
        <f t="shared" si="13"/>
        <v>E1_8_1_4</v>
      </c>
      <c r="E69" s="31" t="str">
        <f t="shared" si="14"/>
        <v>E1_8_1_4_Kcat : 13.7</v>
      </c>
      <c r="F69" s="31" t="str">
        <f t="shared" si="15"/>
        <v>E1_8_1_4_Km :1</v>
      </c>
      <c r="G69" s="31" t="str">
        <f t="shared" si="16"/>
        <v>E1_8_1_4_mRNA:E1_8_1_4_mRNA</v>
      </c>
      <c r="H69" s="31" t="str">
        <f t="shared" si="17"/>
        <v>E1_8_1_4:E1_8_1_4</v>
      </c>
      <c r="I69" s="41" t="str">
        <f t="shared" si="18"/>
        <v>E1_8_1_4_mRNA:0</v>
      </c>
      <c r="J69" s="31" t="str">
        <f t="shared" si="19"/>
        <v>E1_8_1_4:0</v>
      </c>
      <c r="K69" s="31" t="str">
        <f t="shared" si="20"/>
        <v>0.00292 - (0.0093 * E1_8_1_4_mRNA)</v>
      </c>
      <c r="L69" s="31" t="str">
        <f t="shared" si="21"/>
        <v>(0.278 * E1_8_1_4_mRNA) - (0.00000278 * E1_8_1_4)</v>
      </c>
      <c r="M69" s="31" t="str">
        <f t="shared" si="22"/>
        <v>mRNA68: -&gt; E1_8_1_4_mRNA | 0.00292 - (0.0093 * E1_8_1_4_mRNA)</v>
      </c>
      <c r="N69" s="31" t="str">
        <f t="shared" si="23"/>
        <v>Peptide68:E1_8_1_4_mRNA -&gt; E1_8_1_4 | (0.278 * E1_8_1_4_mRNA) -  (0.00000278 * E1_8_1_4)</v>
      </c>
    </row>
    <row r="70" spans="1:14" ht="29" x14ac:dyDescent="0.35">
      <c r="A70" s="31">
        <v>69</v>
      </c>
      <c r="B70" s="31" t="s">
        <v>13995</v>
      </c>
      <c r="C70" s="31" t="str">
        <f t="shared" si="12"/>
        <v>E1_8_1_9_mRNA</v>
      </c>
      <c r="D70" s="31" t="str">
        <f t="shared" si="13"/>
        <v>E1_8_1_9</v>
      </c>
      <c r="E70" s="31" t="str">
        <f t="shared" si="14"/>
        <v>E1_8_1_9_Kcat : 13.7</v>
      </c>
      <c r="F70" s="31" t="str">
        <f t="shared" si="15"/>
        <v>E1_8_1_9_Km :1</v>
      </c>
      <c r="G70" s="31" t="str">
        <f t="shared" si="16"/>
        <v>E1_8_1_9_mRNA:E1_8_1_9_mRNA</v>
      </c>
      <c r="H70" s="31" t="str">
        <f t="shared" si="17"/>
        <v>E1_8_1_9:E1_8_1_9</v>
      </c>
      <c r="I70" s="41" t="str">
        <f t="shared" si="18"/>
        <v>E1_8_1_9_mRNA:0</v>
      </c>
      <c r="J70" s="31" t="str">
        <f t="shared" si="19"/>
        <v>E1_8_1_9:0</v>
      </c>
      <c r="K70" s="31" t="str">
        <f t="shared" si="20"/>
        <v>0.00292 - (0.0093 * E1_8_1_9_mRNA)</v>
      </c>
      <c r="L70" s="31" t="str">
        <f t="shared" si="21"/>
        <v>(0.278 * E1_8_1_9_mRNA) - (0.00000278 * E1_8_1_9)</v>
      </c>
      <c r="M70" s="31" t="str">
        <f t="shared" si="22"/>
        <v>mRNA69: -&gt; E1_8_1_9_mRNA | 0.00292 - (0.0093 * E1_8_1_9_mRNA)</v>
      </c>
      <c r="N70" s="31" t="str">
        <f t="shared" si="23"/>
        <v>Peptide69:E1_8_1_9_mRNA -&gt; E1_8_1_9 | (0.278 * E1_8_1_9_mRNA) -  (0.00000278 * E1_8_1_9)</v>
      </c>
    </row>
    <row r="71" spans="1:14" ht="43.5" x14ac:dyDescent="0.35">
      <c r="A71" s="31">
        <v>70</v>
      </c>
      <c r="B71" s="31" t="s">
        <v>13996</v>
      </c>
      <c r="C71" s="31" t="str">
        <f t="shared" si="12"/>
        <v>E1_8_4_11_mRNA</v>
      </c>
      <c r="D71" s="31" t="str">
        <f t="shared" si="13"/>
        <v>E1_8_4_11</v>
      </c>
      <c r="E71" s="31" t="str">
        <f t="shared" si="14"/>
        <v>E1_8_4_11_Kcat : 13.7</v>
      </c>
      <c r="F71" s="31" t="str">
        <f t="shared" si="15"/>
        <v>E1_8_4_11_Km :1</v>
      </c>
      <c r="G71" s="31" t="str">
        <f t="shared" si="16"/>
        <v>E1_8_4_11_mRNA:E1_8_4_11_mRNA</v>
      </c>
      <c r="H71" s="31" t="str">
        <f t="shared" si="17"/>
        <v>E1_8_4_11:E1_8_4_11</v>
      </c>
      <c r="I71" s="41" t="str">
        <f t="shared" si="18"/>
        <v>E1_8_4_11_mRNA:0</v>
      </c>
      <c r="J71" s="31" t="str">
        <f t="shared" si="19"/>
        <v>E1_8_4_11:0</v>
      </c>
      <c r="K71" s="31" t="str">
        <f t="shared" si="20"/>
        <v>0.00292 - (0.0093 * E1_8_4_11_mRNA)</v>
      </c>
      <c r="L71" s="31" t="str">
        <f t="shared" si="21"/>
        <v>(0.278 * E1_8_4_11_mRNA) - (0.00000278 * E1_8_4_11)</v>
      </c>
      <c r="M71" s="31" t="str">
        <f t="shared" si="22"/>
        <v>mRNA70: -&gt; E1_8_4_11_mRNA | 0.00292 - (0.0093 * E1_8_4_11_mRNA)</v>
      </c>
      <c r="N71" s="31" t="str">
        <f t="shared" si="23"/>
        <v>Peptide70:E1_8_4_11_mRNA -&gt; E1_8_4_11 | (0.278 * E1_8_4_11_mRNA) -  (0.00000278 * E1_8_4_11)</v>
      </c>
    </row>
    <row r="72" spans="1:14" ht="43.5" x14ac:dyDescent="0.35">
      <c r="A72" s="31">
        <v>71</v>
      </c>
      <c r="B72" s="31" t="s">
        <v>13997</v>
      </c>
      <c r="C72" s="31" t="str">
        <f t="shared" si="12"/>
        <v>E1_8_4_12_mRNA</v>
      </c>
      <c r="D72" s="31" t="str">
        <f t="shared" si="13"/>
        <v>E1_8_4_12</v>
      </c>
      <c r="E72" s="31" t="str">
        <f t="shared" si="14"/>
        <v>E1_8_4_12_Kcat : 13.7</v>
      </c>
      <c r="F72" s="31" t="str">
        <f t="shared" si="15"/>
        <v>E1_8_4_12_Km :1</v>
      </c>
      <c r="G72" s="31" t="str">
        <f t="shared" si="16"/>
        <v>E1_8_4_12_mRNA:E1_8_4_12_mRNA</v>
      </c>
      <c r="H72" s="31" t="str">
        <f t="shared" si="17"/>
        <v>E1_8_4_12:E1_8_4_12</v>
      </c>
      <c r="I72" s="41" t="str">
        <f t="shared" si="18"/>
        <v>E1_8_4_12_mRNA:0</v>
      </c>
      <c r="J72" s="31" t="str">
        <f t="shared" si="19"/>
        <v>E1_8_4_12:0</v>
      </c>
      <c r="K72" s="31" t="str">
        <f t="shared" si="20"/>
        <v>0.00292 - (0.0093 * E1_8_4_12_mRNA)</v>
      </c>
      <c r="L72" s="31" t="str">
        <f t="shared" si="21"/>
        <v>(0.278 * E1_8_4_12_mRNA) - (0.00000278 * E1_8_4_12)</v>
      </c>
      <c r="M72" s="31" t="str">
        <f t="shared" si="22"/>
        <v>mRNA71: -&gt; E1_8_4_12_mRNA | 0.00292 - (0.0093 * E1_8_4_12_mRNA)</v>
      </c>
      <c r="N72" s="31" t="str">
        <f t="shared" si="23"/>
        <v>Peptide71:E1_8_4_12_mRNA -&gt; E1_8_4_12 | (0.278 * E1_8_4_12_mRNA) -  (0.00000278 * E1_8_4_12)</v>
      </c>
    </row>
    <row r="73" spans="1:14" ht="29" x14ac:dyDescent="0.35">
      <c r="A73" s="31">
        <v>72</v>
      </c>
      <c r="B73" s="31" t="s">
        <v>13998</v>
      </c>
      <c r="C73" s="31" t="str">
        <f t="shared" si="12"/>
        <v>E1_8_4_8_mRNA</v>
      </c>
      <c r="D73" s="31" t="str">
        <f t="shared" si="13"/>
        <v>E1_8_4_8</v>
      </c>
      <c r="E73" s="31" t="str">
        <f t="shared" si="14"/>
        <v>E1_8_4_8_Kcat : 13.7</v>
      </c>
      <c r="F73" s="31" t="str">
        <f t="shared" si="15"/>
        <v>E1_8_4_8_Km :1</v>
      </c>
      <c r="G73" s="31" t="str">
        <f t="shared" si="16"/>
        <v>E1_8_4_8_mRNA:E1_8_4_8_mRNA</v>
      </c>
      <c r="H73" s="31" t="str">
        <f t="shared" si="17"/>
        <v>E1_8_4_8:E1_8_4_8</v>
      </c>
      <c r="I73" s="41" t="str">
        <f t="shared" si="18"/>
        <v>E1_8_4_8_mRNA:0</v>
      </c>
      <c r="J73" s="31" t="str">
        <f t="shared" si="19"/>
        <v>E1_8_4_8:0</v>
      </c>
      <c r="K73" s="31" t="str">
        <f t="shared" si="20"/>
        <v>0.00292 - (0.0093 * E1_8_4_8_mRNA)</v>
      </c>
      <c r="L73" s="31" t="str">
        <f t="shared" si="21"/>
        <v>(0.278 * E1_8_4_8_mRNA) - (0.00000278 * E1_8_4_8)</v>
      </c>
      <c r="M73" s="31" t="str">
        <f t="shared" si="22"/>
        <v>mRNA72: -&gt; E1_8_4_8_mRNA | 0.00292 - (0.0093 * E1_8_4_8_mRNA)</v>
      </c>
      <c r="N73" s="31" t="str">
        <f t="shared" si="23"/>
        <v>Peptide72:E1_8_4_8_mRNA -&gt; E1_8_4_8 | (0.278 * E1_8_4_8_mRNA) -  (0.00000278 * E1_8_4_8)</v>
      </c>
    </row>
    <row r="74" spans="1:14" ht="29" x14ac:dyDescent="0.35">
      <c r="A74" s="31">
        <v>73</v>
      </c>
      <c r="B74" s="31" t="s">
        <v>13999</v>
      </c>
      <c r="C74" s="31" t="str">
        <f t="shared" si="12"/>
        <v>E1_8_7_1_mRNA</v>
      </c>
      <c r="D74" s="31" t="str">
        <f t="shared" si="13"/>
        <v>E1_8_7_1</v>
      </c>
      <c r="E74" s="31" t="str">
        <f t="shared" si="14"/>
        <v>E1_8_7_1_Kcat : 13.7</v>
      </c>
      <c r="F74" s="31" t="str">
        <f t="shared" si="15"/>
        <v>E1_8_7_1_Km :1</v>
      </c>
      <c r="G74" s="31" t="str">
        <f t="shared" si="16"/>
        <v>E1_8_7_1_mRNA:E1_8_7_1_mRNA</v>
      </c>
      <c r="H74" s="31" t="str">
        <f t="shared" si="17"/>
        <v>E1_8_7_1:E1_8_7_1</v>
      </c>
      <c r="I74" s="41" t="str">
        <f t="shared" si="18"/>
        <v>E1_8_7_1_mRNA:0</v>
      </c>
      <c r="J74" s="31" t="str">
        <f t="shared" si="19"/>
        <v>E1_8_7_1:0</v>
      </c>
      <c r="K74" s="31" t="str">
        <f t="shared" si="20"/>
        <v>0.00292 - (0.0093 * E1_8_7_1_mRNA)</v>
      </c>
      <c r="L74" s="31" t="str">
        <f t="shared" si="21"/>
        <v>(0.278 * E1_8_7_1_mRNA) - (0.00000278 * E1_8_7_1)</v>
      </c>
      <c r="M74" s="31" t="str">
        <f t="shared" si="22"/>
        <v>mRNA73: -&gt; E1_8_7_1_mRNA | 0.00292 - (0.0093 * E1_8_7_1_mRNA)</v>
      </c>
      <c r="N74" s="31" t="str">
        <f t="shared" si="23"/>
        <v>Peptide73:E1_8_7_1_mRNA -&gt; E1_8_7_1 | (0.278 * E1_8_7_1_mRNA) -  (0.00000278 * E1_8_7_1)</v>
      </c>
    </row>
    <row r="75" spans="1:14" ht="43.5" x14ac:dyDescent="0.35">
      <c r="A75" s="31">
        <v>74</v>
      </c>
      <c r="B75" s="31" t="s">
        <v>14000</v>
      </c>
      <c r="C75" s="31" t="str">
        <f t="shared" si="12"/>
        <v>E2_1_1_107_mRNA</v>
      </c>
      <c r="D75" s="31" t="str">
        <f t="shared" si="13"/>
        <v>E2_1_1_107</v>
      </c>
      <c r="E75" s="31" t="str">
        <f t="shared" si="14"/>
        <v>E2_1_1_107_Kcat : 13.7</v>
      </c>
      <c r="F75" s="31" t="str">
        <f t="shared" si="15"/>
        <v>E2_1_1_107_Km :1</v>
      </c>
      <c r="G75" s="31" t="str">
        <f t="shared" si="16"/>
        <v>E2_1_1_107_mRNA:E2_1_1_107_mRNA</v>
      </c>
      <c r="H75" s="31" t="str">
        <f t="shared" si="17"/>
        <v>E2_1_1_107:E2_1_1_107</v>
      </c>
      <c r="I75" s="41" t="str">
        <f t="shared" si="18"/>
        <v>E2_1_1_107_mRNA:0</v>
      </c>
      <c r="J75" s="31" t="str">
        <f t="shared" si="19"/>
        <v>E2_1_1_107:0</v>
      </c>
      <c r="K75" s="31" t="str">
        <f t="shared" si="20"/>
        <v>0.00292 - (0.0093 * E2_1_1_107_mRNA)</v>
      </c>
      <c r="L75" s="31" t="str">
        <f t="shared" si="21"/>
        <v>(0.278 * E2_1_1_107_mRNA) - (0.00000278 * E2_1_1_107)</v>
      </c>
      <c r="M75" s="31" t="str">
        <f t="shared" si="22"/>
        <v>mRNA74: -&gt; E2_1_1_107_mRNA | 0.00292 - (0.0093 * E2_1_1_107_mRNA)</v>
      </c>
      <c r="N75" s="31" t="str">
        <f t="shared" si="23"/>
        <v>Peptide74:E2_1_1_107_mRNA -&gt; E2_1_1_107 | (0.278 * E2_1_1_107_mRNA) -  (0.00000278 * E2_1_1_107)</v>
      </c>
    </row>
    <row r="76" spans="1:14" ht="43.5" x14ac:dyDescent="0.35">
      <c r="A76" s="31">
        <v>75</v>
      </c>
      <c r="B76" s="31" t="s">
        <v>14001</v>
      </c>
      <c r="C76" s="31" t="str">
        <f t="shared" si="12"/>
        <v>E2_1_1_13_mRNA</v>
      </c>
      <c r="D76" s="31" t="str">
        <f t="shared" si="13"/>
        <v>E2_1_1_13</v>
      </c>
      <c r="E76" s="31" t="str">
        <f t="shared" si="14"/>
        <v>E2_1_1_13_Kcat : 13.7</v>
      </c>
      <c r="F76" s="31" t="str">
        <f t="shared" si="15"/>
        <v>E2_1_1_13_Km :1</v>
      </c>
      <c r="G76" s="31" t="str">
        <f t="shared" si="16"/>
        <v>E2_1_1_13_mRNA:E2_1_1_13_mRNA</v>
      </c>
      <c r="H76" s="31" t="str">
        <f t="shared" si="17"/>
        <v>E2_1_1_13:E2_1_1_13</v>
      </c>
      <c r="I76" s="41" t="str">
        <f t="shared" si="18"/>
        <v>E2_1_1_13_mRNA:0</v>
      </c>
      <c r="J76" s="31" t="str">
        <f t="shared" si="19"/>
        <v>E2_1_1_13:0</v>
      </c>
      <c r="K76" s="31" t="str">
        <f t="shared" si="20"/>
        <v>0.00292 - (0.0093 * E2_1_1_13_mRNA)</v>
      </c>
      <c r="L76" s="31" t="str">
        <f t="shared" si="21"/>
        <v>(0.278 * E2_1_1_13_mRNA) - (0.00000278 * E2_1_1_13)</v>
      </c>
      <c r="M76" s="31" t="str">
        <f t="shared" si="22"/>
        <v>mRNA75: -&gt; E2_1_1_13_mRNA | 0.00292 - (0.0093 * E2_1_1_13_mRNA)</v>
      </c>
      <c r="N76" s="31" t="str">
        <f t="shared" si="23"/>
        <v>Peptide75:E2_1_1_13_mRNA -&gt; E2_1_1_13 | (0.278 * E2_1_1_13_mRNA) -  (0.00000278 * E2_1_1_13)</v>
      </c>
    </row>
    <row r="77" spans="1:14" ht="43.5" x14ac:dyDescent="0.35">
      <c r="A77" s="31">
        <v>76</v>
      </c>
      <c r="B77" s="31" t="s">
        <v>14002</v>
      </c>
      <c r="C77" s="31" t="str">
        <f t="shared" si="12"/>
        <v>E2_1_1_14_mRNA</v>
      </c>
      <c r="D77" s="31" t="str">
        <f t="shared" si="13"/>
        <v>E2_1_1_14</v>
      </c>
      <c r="E77" s="31" t="str">
        <f t="shared" si="14"/>
        <v>E2_1_1_14_Kcat : 13.7</v>
      </c>
      <c r="F77" s="31" t="str">
        <f t="shared" si="15"/>
        <v>E2_1_1_14_Km :1</v>
      </c>
      <c r="G77" s="31" t="str">
        <f t="shared" si="16"/>
        <v>E2_1_1_14_mRNA:E2_1_1_14_mRNA</v>
      </c>
      <c r="H77" s="31" t="str">
        <f t="shared" si="17"/>
        <v>E2_1_1_14:E2_1_1_14</v>
      </c>
      <c r="I77" s="41" t="str">
        <f t="shared" si="18"/>
        <v>E2_1_1_14_mRNA:0</v>
      </c>
      <c r="J77" s="31" t="str">
        <f t="shared" si="19"/>
        <v>E2_1_1_14:0</v>
      </c>
      <c r="K77" s="31" t="str">
        <f t="shared" si="20"/>
        <v>0.00292 - (0.0093 * E2_1_1_14_mRNA)</v>
      </c>
      <c r="L77" s="31" t="str">
        <f t="shared" si="21"/>
        <v>(0.278 * E2_1_1_14_mRNA) - (0.00000278 * E2_1_1_14)</v>
      </c>
      <c r="M77" s="31" t="str">
        <f t="shared" si="22"/>
        <v>mRNA76: -&gt; E2_1_1_14_mRNA | 0.00292 - (0.0093 * E2_1_1_14_mRNA)</v>
      </c>
      <c r="N77" s="31" t="str">
        <f t="shared" si="23"/>
        <v>Peptide76:E2_1_1_14_mRNA -&gt; E2_1_1_14 | (0.278 * E2_1_1_14_mRNA) -  (0.00000278 * E2_1_1_14)</v>
      </c>
    </row>
    <row r="78" spans="1:14" ht="43.5" x14ac:dyDescent="0.35">
      <c r="A78" s="31">
        <v>77</v>
      </c>
      <c r="B78" s="31" t="s">
        <v>14003</v>
      </c>
      <c r="C78" s="31" t="str">
        <f t="shared" si="12"/>
        <v>E2_1_1_148_mRNA</v>
      </c>
      <c r="D78" s="31" t="str">
        <f t="shared" si="13"/>
        <v>E2_1_1_148</v>
      </c>
      <c r="E78" s="31" t="str">
        <f t="shared" si="14"/>
        <v>E2_1_1_148_Kcat : 13.7</v>
      </c>
      <c r="F78" s="31" t="str">
        <f t="shared" si="15"/>
        <v>E2_1_1_148_Km :1</v>
      </c>
      <c r="G78" s="31" t="str">
        <f t="shared" si="16"/>
        <v>E2_1_1_148_mRNA:E2_1_1_148_mRNA</v>
      </c>
      <c r="H78" s="31" t="str">
        <f t="shared" si="17"/>
        <v>E2_1_1_148:E2_1_1_148</v>
      </c>
      <c r="I78" s="41" t="str">
        <f t="shared" si="18"/>
        <v>E2_1_1_148_mRNA:0</v>
      </c>
      <c r="J78" s="31" t="str">
        <f t="shared" si="19"/>
        <v>E2_1_1_148:0</v>
      </c>
      <c r="K78" s="31" t="str">
        <f t="shared" si="20"/>
        <v>0.00292 - (0.0093 * E2_1_1_148_mRNA)</v>
      </c>
      <c r="L78" s="31" t="str">
        <f t="shared" si="21"/>
        <v>(0.278 * E2_1_1_148_mRNA) - (0.00000278 * E2_1_1_148)</v>
      </c>
      <c r="M78" s="31" t="str">
        <f t="shared" si="22"/>
        <v>mRNA77: -&gt; E2_1_1_148_mRNA | 0.00292 - (0.0093 * E2_1_1_148_mRNA)</v>
      </c>
      <c r="N78" s="31" t="str">
        <f t="shared" si="23"/>
        <v>Peptide77:E2_1_1_148_mRNA -&gt; E2_1_1_148 | (0.278 * E2_1_1_148_mRNA) -  (0.00000278 * E2_1_1_148)</v>
      </c>
    </row>
    <row r="79" spans="1:14" ht="43.5" x14ac:dyDescent="0.35">
      <c r="A79" s="31">
        <v>78</v>
      </c>
      <c r="B79" s="31" t="s">
        <v>14004</v>
      </c>
      <c r="C79" s="31" t="str">
        <f t="shared" si="12"/>
        <v>E2_1_1_163_mRNA</v>
      </c>
      <c r="D79" s="31" t="str">
        <f t="shared" si="13"/>
        <v>E2_1_1_163</v>
      </c>
      <c r="E79" s="31" t="str">
        <f t="shared" si="14"/>
        <v>E2_1_1_163_Kcat : 13.7</v>
      </c>
      <c r="F79" s="31" t="str">
        <f t="shared" si="15"/>
        <v>E2_1_1_163_Km :1</v>
      </c>
      <c r="G79" s="31" t="str">
        <f t="shared" si="16"/>
        <v>E2_1_1_163_mRNA:E2_1_1_163_mRNA</v>
      </c>
      <c r="H79" s="31" t="str">
        <f t="shared" si="17"/>
        <v>E2_1_1_163:E2_1_1_163</v>
      </c>
      <c r="I79" s="41" t="str">
        <f t="shared" si="18"/>
        <v>E2_1_1_163_mRNA:0</v>
      </c>
      <c r="J79" s="31" t="str">
        <f t="shared" si="19"/>
        <v>E2_1_1_163:0</v>
      </c>
      <c r="K79" s="31" t="str">
        <f t="shared" si="20"/>
        <v>0.00292 - (0.0093 * E2_1_1_163_mRNA)</v>
      </c>
      <c r="L79" s="31" t="str">
        <f t="shared" si="21"/>
        <v>(0.278 * E2_1_1_163_mRNA) - (0.00000278 * E2_1_1_163)</v>
      </c>
      <c r="M79" s="31" t="str">
        <f t="shared" si="22"/>
        <v>mRNA78: -&gt; E2_1_1_163_mRNA | 0.00292 - (0.0093 * E2_1_1_163_mRNA)</v>
      </c>
      <c r="N79" s="31" t="str">
        <f t="shared" si="23"/>
        <v>Peptide78:E2_1_1_163_mRNA -&gt; E2_1_1_163 | (0.278 * E2_1_1_163_mRNA) -  (0.00000278 * E2_1_1_163)</v>
      </c>
    </row>
    <row r="80" spans="1:14" ht="43.5" x14ac:dyDescent="0.35">
      <c r="A80" s="31">
        <v>79</v>
      </c>
      <c r="B80" s="31" t="s">
        <v>14005</v>
      </c>
      <c r="C80" s="31" t="str">
        <f t="shared" si="12"/>
        <v>E2_1_1_170_mRNA</v>
      </c>
      <c r="D80" s="31" t="str">
        <f t="shared" si="13"/>
        <v>E2_1_1_170</v>
      </c>
      <c r="E80" s="31" t="str">
        <f t="shared" si="14"/>
        <v>E2_1_1_170_Kcat : 13.7</v>
      </c>
      <c r="F80" s="31" t="str">
        <f t="shared" si="15"/>
        <v>E2_1_1_170_Km :1</v>
      </c>
      <c r="G80" s="31" t="str">
        <f t="shared" si="16"/>
        <v>E2_1_1_170_mRNA:E2_1_1_170_mRNA</v>
      </c>
      <c r="H80" s="31" t="str">
        <f t="shared" si="17"/>
        <v>E2_1_1_170:E2_1_1_170</v>
      </c>
      <c r="I80" s="41" t="str">
        <f t="shared" si="18"/>
        <v>E2_1_1_170_mRNA:0</v>
      </c>
      <c r="J80" s="31" t="str">
        <f t="shared" si="19"/>
        <v>E2_1_1_170:0</v>
      </c>
      <c r="K80" s="31" t="str">
        <f t="shared" si="20"/>
        <v>0.00292 - (0.0093 * E2_1_1_170_mRNA)</v>
      </c>
      <c r="L80" s="31" t="str">
        <f t="shared" si="21"/>
        <v>(0.278 * E2_1_1_170_mRNA) - (0.00000278 * E2_1_1_170)</v>
      </c>
      <c r="M80" s="31" t="str">
        <f t="shared" si="22"/>
        <v>mRNA79: -&gt; E2_1_1_170_mRNA | 0.00292 - (0.0093 * E2_1_1_170_mRNA)</v>
      </c>
      <c r="N80" s="31" t="str">
        <f t="shared" si="23"/>
        <v>Peptide79:E2_1_1_170_mRNA -&gt; E2_1_1_170 | (0.278 * E2_1_1_170_mRNA) -  (0.00000278 * E2_1_1_170)</v>
      </c>
    </row>
    <row r="81" spans="1:14" ht="43.5" x14ac:dyDescent="0.35">
      <c r="A81" s="31">
        <v>80</v>
      </c>
      <c r="B81" s="31" t="s">
        <v>14006</v>
      </c>
      <c r="C81" s="31" t="str">
        <f t="shared" si="12"/>
        <v>E2_1_1_171_mRNA</v>
      </c>
      <c r="D81" s="31" t="str">
        <f t="shared" si="13"/>
        <v>E2_1_1_171</v>
      </c>
      <c r="E81" s="31" t="str">
        <f t="shared" si="14"/>
        <v>E2_1_1_171_Kcat : 13.7</v>
      </c>
      <c r="F81" s="31" t="str">
        <f t="shared" si="15"/>
        <v>E2_1_1_171_Km :1</v>
      </c>
      <c r="G81" s="31" t="str">
        <f t="shared" si="16"/>
        <v>E2_1_1_171_mRNA:E2_1_1_171_mRNA</v>
      </c>
      <c r="H81" s="31" t="str">
        <f t="shared" si="17"/>
        <v>E2_1_1_171:E2_1_1_171</v>
      </c>
      <c r="I81" s="41" t="str">
        <f t="shared" si="18"/>
        <v>E2_1_1_171_mRNA:0</v>
      </c>
      <c r="J81" s="31" t="str">
        <f t="shared" si="19"/>
        <v>E2_1_1_171:0</v>
      </c>
      <c r="K81" s="31" t="str">
        <f t="shared" si="20"/>
        <v>0.00292 - (0.0093 * E2_1_1_171_mRNA)</v>
      </c>
      <c r="L81" s="31" t="str">
        <f t="shared" si="21"/>
        <v>(0.278 * E2_1_1_171_mRNA) - (0.00000278 * E2_1_1_171)</v>
      </c>
      <c r="M81" s="31" t="str">
        <f t="shared" si="22"/>
        <v>mRNA80: -&gt; E2_1_1_171_mRNA | 0.00292 - (0.0093 * E2_1_1_171_mRNA)</v>
      </c>
      <c r="N81" s="31" t="str">
        <f t="shared" si="23"/>
        <v>Peptide80:E2_1_1_171_mRNA -&gt; E2_1_1_171 | (0.278 * E2_1_1_171_mRNA) -  (0.00000278 * E2_1_1_171)</v>
      </c>
    </row>
    <row r="82" spans="1:14" ht="43.5" x14ac:dyDescent="0.35">
      <c r="A82" s="31">
        <v>81</v>
      </c>
      <c r="B82" s="31" t="s">
        <v>14007</v>
      </c>
      <c r="C82" s="31" t="str">
        <f t="shared" si="12"/>
        <v>E2_1_1_182_mRNA</v>
      </c>
      <c r="D82" s="31" t="str">
        <f t="shared" si="13"/>
        <v>E2_1_1_182</v>
      </c>
      <c r="E82" s="31" t="str">
        <f t="shared" si="14"/>
        <v>E2_1_1_182_Kcat : 13.7</v>
      </c>
      <c r="F82" s="31" t="str">
        <f t="shared" si="15"/>
        <v>E2_1_1_182_Km :1</v>
      </c>
      <c r="G82" s="31" t="str">
        <f t="shared" si="16"/>
        <v>E2_1_1_182_mRNA:E2_1_1_182_mRNA</v>
      </c>
      <c r="H82" s="31" t="str">
        <f t="shared" si="17"/>
        <v>E2_1_1_182:E2_1_1_182</v>
      </c>
      <c r="I82" s="41" t="str">
        <f t="shared" si="18"/>
        <v>E2_1_1_182_mRNA:0</v>
      </c>
      <c r="J82" s="31" t="str">
        <f t="shared" si="19"/>
        <v>E2_1_1_182:0</v>
      </c>
      <c r="K82" s="31" t="str">
        <f t="shared" si="20"/>
        <v>0.00292 - (0.0093 * E2_1_1_182_mRNA)</v>
      </c>
      <c r="L82" s="31" t="str">
        <f t="shared" si="21"/>
        <v>(0.278 * E2_1_1_182_mRNA) - (0.00000278 * E2_1_1_182)</v>
      </c>
      <c r="M82" s="31" t="str">
        <f t="shared" si="22"/>
        <v>mRNA81: -&gt; E2_1_1_182_mRNA | 0.00292 - (0.0093 * E2_1_1_182_mRNA)</v>
      </c>
      <c r="N82" s="31" t="str">
        <f t="shared" si="23"/>
        <v>Peptide81:E2_1_1_182_mRNA -&gt; E2_1_1_182 | (0.278 * E2_1_1_182_mRNA) -  (0.00000278 * E2_1_1_182)</v>
      </c>
    </row>
    <row r="83" spans="1:14" ht="43.5" x14ac:dyDescent="0.35">
      <c r="A83" s="31">
        <v>82</v>
      </c>
      <c r="B83" s="31" t="s">
        <v>14008</v>
      </c>
      <c r="C83" s="31" t="str">
        <f t="shared" si="12"/>
        <v>E2_1_1_192_mRNA</v>
      </c>
      <c r="D83" s="31" t="str">
        <f t="shared" si="13"/>
        <v>E2_1_1_192</v>
      </c>
      <c r="E83" s="31" t="str">
        <f t="shared" si="14"/>
        <v>E2_1_1_192_Kcat : 13.7</v>
      </c>
      <c r="F83" s="31" t="str">
        <f t="shared" si="15"/>
        <v>E2_1_1_192_Km :1</v>
      </c>
      <c r="G83" s="31" t="str">
        <f t="shared" si="16"/>
        <v>E2_1_1_192_mRNA:E2_1_1_192_mRNA</v>
      </c>
      <c r="H83" s="31" t="str">
        <f t="shared" si="17"/>
        <v>E2_1_1_192:E2_1_1_192</v>
      </c>
      <c r="I83" s="41" t="str">
        <f t="shared" si="18"/>
        <v>E2_1_1_192_mRNA:0</v>
      </c>
      <c r="J83" s="31" t="str">
        <f t="shared" si="19"/>
        <v>E2_1_1_192:0</v>
      </c>
      <c r="K83" s="31" t="str">
        <f t="shared" si="20"/>
        <v>0.00292 - (0.0093 * E2_1_1_192_mRNA)</v>
      </c>
      <c r="L83" s="31" t="str">
        <f t="shared" si="21"/>
        <v>(0.278 * E2_1_1_192_mRNA) - (0.00000278 * E2_1_1_192)</v>
      </c>
      <c r="M83" s="31" t="str">
        <f t="shared" si="22"/>
        <v>mRNA82: -&gt; E2_1_1_192_mRNA | 0.00292 - (0.0093 * E2_1_1_192_mRNA)</v>
      </c>
      <c r="N83" s="31" t="str">
        <f t="shared" si="23"/>
        <v>Peptide82:E2_1_1_192_mRNA -&gt; E2_1_1_192 | (0.278 * E2_1_1_192_mRNA) -  (0.00000278 * E2_1_1_192)</v>
      </c>
    </row>
    <row r="84" spans="1:14" ht="43.5" x14ac:dyDescent="0.35">
      <c r="A84" s="31">
        <v>83</v>
      </c>
      <c r="B84" s="31" t="s">
        <v>14009</v>
      </c>
      <c r="C84" s="31" t="str">
        <f t="shared" si="12"/>
        <v>E2_1_1_193_mRNA</v>
      </c>
      <c r="D84" s="31" t="str">
        <f t="shared" si="13"/>
        <v>E2_1_1_193</v>
      </c>
      <c r="E84" s="31" t="str">
        <f t="shared" si="14"/>
        <v>E2_1_1_193_Kcat : 13.7</v>
      </c>
      <c r="F84" s="31" t="str">
        <f t="shared" si="15"/>
        <v>E2_1_1_193_Km :1</v>
      </c>
      <c r="G84" s="31" t="str">
        <f t="shared" si="16"/>
        <v>E2_1_1_193_mRNA:E2_1_1_193_mRNA</v>
      </c>
      <c r="H84" s="31" t="str">
        <f t="shared" si="17"/>
        <v>E2_1_1_193:E2_1_1_193</v>
      </c>
      <c r="I84" s="41" t="str">
        <f t="shared" si="18"/>
        <v>E2_1_1_193_mRNA:0</v>
      </c>
      <c r="J84" s="31" t="str">
        <f t="shared" si="19"/>
        <v>E2_1_1_193:0</v>
      </c>
      <c r="K84" s="31" t="str">
        <f t="shared" si="20"/>
        <v>0.00292 - (0.0093 * E2_1_1_193_mRNA)</v>
      </c>
      <c r="L84" s="31" t="str">
        <f t="shared" si="21"/>
        <v>(0.278 * E2_1_1_193_mRNA) - (0.00000278 * E2_1_1_193)</v>
      </c>
      <c r="M84" s="31" t="str">
        <f t="shared" si="22"/>
        <v>mRNA83: -&gt; E2_1_1_193_mRNA | 0.00292 - (0.0093 * E2_1_1_193_mRNA)</v>
      </c>
      <c r="N84" s="31" t="str">
        <f t="shared" si="23"/>
        <v>Peptide83:E2_1_1_193_mRNA -&gt; E2_1_1_193 | (0.278 * E2_1_1_193_mRNA) -  (0.00000278 * E2_1_1_193)</v>
      </c>
    </row>
    <row r="85" spans="1:14" ht="43.5" x14ac:dyDescent="0.35">
      <c r="A85" s="31">
        <v>84</v>
      </c>
      <c r="B85" s="31" t="s">
        <v>14010</v>
      </c>
      <c r="C85" s="31" t="str">
        <f t="shared" si="12"/>
        <v>E2_1_1_198_mRNA</v>
      </c>
      <c r="D85" s="31" t="str">
        <f t="shared" si="13"/>
        <v>E2_1_1_198</v>
      </c>
      <c r="E85" s="31" t="str">
        <f t="shared" si="14"/>
        <v>E2_1_1_198_Kcat : 13.7</v>
      </c>
      <c r="F85" s="31" t="str">
        <f t="shared" si="15"/>
        <v>E2_1_1_198_Km :1</v>
      </c>
      <c r="G85" s="31" t="str">
        <f t="shared" si="16"/>
        <v>E2_1_1_198_mRNA:E2_1_1_198_mRNA</v>
      </c>
      <c r="H85" s="31" t="str">
        <f t="shared" si="17"/>
        <v>E2_1_1_198:E2_1_1_198</v>
      </c>
      <c r="I85" s="41" t="str">
        <f t="shared" si="18"/>
        <v>E2_1_1_198_mRNA:0</v>
      </c>
      <c r="J85" s="31" t="str">
        <f t="shared" si="19"/>
        <v>E2_1_1_198:0</v>
      </c>
      <c r="K85" s="31" t="str">
        <f t="shared" si="20"/>
        <v>0.00292 - (0.0093 * E2_1_1_198_mRNA)</v>
      </c>
      <c r="L85" s="31" t="str">
        <f t="shared" si="21"/>
        <v>(0.278 * E2_1_1_198_mRNA) - (0.00000278 * E2_1_1_198)</v>
      </c>
      <c r="M85" s="31" t="str">
        <f t="shared" si="22"/>
        <v>mRNA84: -&gt; E2_1_1_198_mRNA | 0.00292 - (0.0093 * E2_1_1_198_mRNA)</v>
      </c>
      <c r="N85" s="31" t="str">
        <f t="shared" si="23"/>
        <v>Peptide84:E2_1_1_198_mRNA -&gt; E2_1_1_198 | (0.278 * E2_1_1_198_mRNA) -  (0.00000278 * E2_1_1_198)</v>
      </c>
    </row>
    <row r="86" spans="1:14" ht="43.5" x14ac:dyDescent="0.35">
      <c r="A86" s="31">
        <v>85</v>
      </c>
      <c r="B86" s="31" t="s">
        <v>14011</v>
      </c>
      <c r="C86" s="31" t="str">
        <f t="shared" si="12"/>
        <v>E2_1_1_199_mRNA</v>
      </c>
      <c r="D86" s="31" t="str">
        <f t="shared" si="13"/>
        <v>E2_1_1_199</v>
      </c>
      <c r="E86" s="31" t="str">
        <f t="shared" si="14"/>
        <v>E2_1_1_199_Kcat : 13.7</v>
      </c>
      <c r="F86" s="31" t="str">
        <f t="shared" si="15"/>
        <v>E2_1_1_199_Km :1</v>
      </c>
      <c r="G86" s="31" t="str">
        <f t="shared" si="16"/>
        <v>E2_1_1_199_mRNA:E2_1_1_199_mRNA</v>
      </c>
      <c r="H86" s="31" t="str">
        <f t="shared" si="17"/>
        <v>E2_1_1_199:E2_1_1_199</v>
      </c>
      <c r="I86" s="41" t="str">
        <f t="shared" si="18"/>
        <v>E2_1_1_199_mRNA:0</v>
      </c>
      <c r="J86" s="31" t="str">
        <f t="shared" si="19"/>
        <v>E2_1_1_199:0</v>
      </c>
      <c r="K86" s="31" t="str">
        <f t="shared" si="20"/>
        <v>0.00292 - (0.0093 * E2_1_1_199_mRNA)</v>
      </c>
      <c r="L86" s="31" t="str">
        <f t="shared" si="21"/>
        <v>(0.278 * E2_1_1_199_mRNA) - (0.00000278 * E2_1_1_199)</v>
      </c>
      <c r="M86" s="31" t="str">
        <f t="shared" si="22"/>
        <v>mRNA85: -&gt; E2_1_1_199_mRNA | 0.00292 - (0.0093 * E2_1_1_199_mRNA)</v>
      </c>
      <c r="N86" s="31" t="str">
        <f t="shared" si="23"/>
        <v>Peptide85:E2_1_1_199_mRNA -&gt; E2_1_1_199 | (0.278 * E2_1_1_199_mRNA) -  (0.00000278 * E2_1_1_199)</v>
      </c>
    </row>
    <row r="87" spans="1:14" ht="43.5" x14ac:dyDescent="0.35">
      <c r="A87" s="31">
        <v>86</v>
      </c>
      <c r="B87" s="31" t="s">
        <v>14012</v>
      </c>
      <c r="C87" s="31" t="str">
        <f t="shared" si="12"/>
        <v>E2_1_1_207_mRNA</v>
      </c>
      <c r="D87" s="31" t="str">
        <f t="shared" si="13"/>
        <v>E2_1_1_207</v>
      </c>
      <c r="E87" s="31" t="str">
        <f t="shared" si="14"/>
        <v>E2_1_1_207_Kcat : 13.7</v>
      </c>
      <c r="F87" s="31" t="str">
        <f t="shared" si="15"/>
        <v>E2_1_1_207_Km :1</v>
      </c>
      <c r="G87" s="31" t="str">
        <f t="shared" si="16"/>
        <v>E2_1_1_207_mRNA:E2_1_1_207_mRNA</v>
      </c>
      <c r="H87" s="31" t="str">
        <f t="shared" si="17"/>
        <v>E2_1_1_207:E2_1_1_207</v>
      </c>
      <c r="I87" s="41" t="str">
        <f t="shared" si="18"/>
        <v>E2_1_1_207_mRNA:0</v>
      </c>
      <c r="J87" s="31" t="str">
        <f t="shared" si="19"/>
        <v>E2_1_1_207:0</v>
      </c>
      <c r="K87" s="31" t="str">
        <f t="shared" si="20"/>
        <v>0.00292 - (0.0093 * E2_1_1_207_mRNA)</v>
      </c>
      <c r="L87" s="31" t="str">
        <f t="shared" si="21"/>
        <v>(0.278 * E2_1_1_207_mRNA) - (0.00000278 * E2_1_1_207)</v>
      </c>
      <c r="M87" s="31" t="str">
        <f t="shared" si="22"/>
        <v>mRNA86: -&gt; E2_1_1_207_mRNA | 0.00292 - (0.0093 * E2_1_1_207_mRNA)</v>
      </c>
      <c r="N87" s="31" t="str">
        <f t="shared" si="23"/>
        <v>Peptide86:E2_1_1_207_mRNA -&gt; E2_1_1_207 | (0.278 * E2_1_1_207_mRNA) -  (0.00000278 * E2_1_1_207)</v>
      </c>
    </row>
    <row r="88" spans="1:14" ht="43.5" x14ac:dyDescent="0.35">
      <c r="A88" s="31">
        <v>87</v>
      </c>
      <c r="B88" s="31" t="s">
        <v>14013</v>
      </c>
      <c r="C88" s="31" t="str">
        <f t="shared" si="12"/>
        <v>E2_1_1_228_mRNA</v>
      </c>
      <c r="D88" s="31" t="str">
        <f t="shared" si="13"/>
        <v>E2_1_1_228</v>
      </c>
      <c r="E88" s="31" t="str">
        <f t="shared" si="14"/>
        <v>E2_1_1_228_Kcat : 13.7</v>
      </c>
      <c r="F88" s="31" t="str">
        <f t="shared" si="15"/>
        <v>E2_1_1_228_Km :1</v>
      </c>
      <c r="G88" s="31" t="str">
        <f t="shared" si="16"/>
        <v>E2_1_1_228_mRNA:E2_1_1_228_mRNA</v>
      </c>
      <c r="H88" s="31" t="str">
        <f t="shared" si="17"/>
        <v>E2_1_1_228:E2_1_1_228</v>
      </c>
      <c r="I88" s="41" t="str">
        <f t="shared" si="18"/>
        <v>E2_1_1_228_mRNA:0</v>
      </c>
      <c r="J88" s="31" t="str">
        <f t="shared" si="19"/>
        <v>E2_1_1_228:0</v>
      </c>
      <c r="K88" s="31" t="str">
        <f t="shared" si="20"/>
        <v>0.00292 - (0.0093 * E2_1_1_228_mRNA)</v>
      </c>
      <c r="L88" s="31" t="str">
        <f t="shared" si="21"/>
        <v>(0.278 * E2_1_1_228_mRNA) - (0.00000278 * E2_1_1_228)</v>
      </c>
      <c r="M88" s="31" t="str">
        <f t="shared" si="22"/>
        <v>mRNA87: -&gt; E2_1_1_228_mRNA | 0.00292 - (0.0093 * E2_1_1_228_mRNA)</v>
      </c>
      <c r="N88" s="31" t="str">
        <f t="shared" si="23"/>
        <v>Peptide87:E2_1_1_228_mRNA -&gt; E2_1_1_228 | (0.278 * E2_1_1_228_mRNA) -  (0.00000278 * E2_1_1_228)</v>
      </c>
    </row>
    <row r="89" spans="1:14" ht="43.5" x14ac:dyDescent="0.35">
      <c r="A89" s="31">
        <v>88</v>
      </c>
      <c r="B89" s="31" t="s">
        <v>14014</v>
      </c>
      <c r="C89" s="31" t="str">
        <f t="shared" si="12"/>
        <v>E2_1_1_297_mRNA</v>
      </c>
      <c r="D89" s="31" t="str">
        <f t="shared" si="13"/>
        <v>E2_1_1_297</v>
      </c>
      <c r="E89" s="31" t="str">
        <f t="shared" si="14"/>
        <v>E2_1_1_297_Kcat : 13.7</v>
      </c>
      <c r="F89" s="31" t="str">
        <f t="shared" si="15"/>
        <v>E2_1_1_297_Km :1</v>
      </c>
      <c r="G89" s="31" t="str">
        <f t="shared" si="16"/>
        <v>E2_1_1_297_mRNA:E2_1_1_297_mRNA</v>
      </c>
      <c r="H89" s="31" t="str">
        <f t="shared" si="17"/>
        <v>E2_1_1_297:E2_1_1_297</v>
      </c>
      <c r="I89" s="41" t="str">
        <f t="shared" si="18"/>
        <v>E2_1_1_297_mRNA:0</v>
      </c>
      <c r="J89" s="31" t="str">
        <f t="shared" si="19"/>
        <v>E2_1_1_297:0</v>
      </c>
      <c r="K89" s="31" t="str">
        <f t="shared" si="20"/>
        <v>0.00292 - (0.0093 * E2_1_1_297_mRNA)</v>
      </c>
      <c r="L89" s="31" t="str">
        <f t="shared" si="21"/>
        <v>(0.278 * E2_1_1_297_mRNA) - (0.00000278 * E2_1_1_297)</v>
      </c>
      <c r="M89" s="31" t="str">
        <f t="shared" si="22"/>
        <v>mRNA88: -&gt; E2_1_1_297_mRNA | 0.00292 - (0.0093 * E2_1_1_297_mRNA)</v>
      </c>
      <c r="N89" s="31" t="str">
        <f t="shared" si="23"/>
        <v>Peptide88:E2_1_1_297_mRNA -&gt; E2_1_1_297 | (0.278 * E2_1_1_297_mRNA) -  (0.00000278 * E2_1_1_297)</v>
      </c>
    </row>
    <row r="90" spans="1:14" ht="43.5" x14ac:dyDescent="0.35">
      <c r="A90" s="31">
        <v>89</v>
      </c>
      <c r="B90" s="31" t="s">
        <v>14015</v>
      </c>
      <c r="C90" s="31" t="str">
        <f t="shared" si="12"/>
        <v>E2_1_1_33_mRNA</v>
      </c>
      <c r="D90" s="31" t="str">
        <f t="shared" si="13"/>
        <v>E2_1_1_33</v>
      </c>
      <c r="E90" s="31" t="str">
        <f t="shared" si="14"/>
        <v>E2_1_1_33_Kcat : 13.7</v>
      </c>
      <c r="F90" s="31" t="str">
        <f t="shared" si="15"/>
        <v>E2_1_1_33_Km :1</v>
      </c>
      <c r="G90" s="31" t="str">
        <f t="shared" si="16"/>
        <v>E2_1_1_33_mRNA:E2_1_1_33_mRNA</v>
      </c>
      <c r="H90" s="31" t="str">
        <f t="shared" si="17"/>
        <v>E2_1_1_33:E2_1_1_33</v>
      </c>
      <c r="I90" s="42" t="str">
        <f t="shared" si="18"/>
        <v>E2_1_1_33_mRNA:0</v>
      </c>
      <c r="J90" s="31" t="str">
        <f t="shared" si="19"/>
        <v>E2_1_1_33:0</v>
      </c>
      <c r="K90" s="31" t="str">
        <f t="shared" si="20"/>
        <v>0.00292 - (0.0093 * E2_1_1_33_mRNA)</v>
      </c>
      <c r="L90" s="31" t="str">
        <f t="shared" si="21"/>
        <v>(0.278 * E2_1_1_33_mRNA) - (0.00000278 * E2_1_1_33)</v>
      </c>
      <c r="M90" s="31" t="str">
        <f t="shared" si="22"/>
        <v>mRNA89: -&gt; E2_1_1_33_mRNA | 0.00292 - (0.0093 * E2_1_1_33_mRNA)</v>
      </c>
      <c r="N90" s="31" t="str">
        <f t="shared" si="23"/>
        <v>Peptide89:E2_1_1_33_mRNA -&gt; E2_1_1_33 | (0.278 * E2_1_1_33_mRNA) -  (0.00000278 * E2_1_1_33)</v>
      </c>
    </row>
    <row r="91" spans="1:14" ht="43.5" x14ac:dyDescent="0.35">
      <c r="A91" s="31">
        <v>90</v>
      </c>
      <c r="B91" s="31" t="s">
        <v>14016</v>
      </c>
      <c r="C91" s="31" t="str">
        <f t="shared" si="12"/>
        <v>E2_1_1_37_mRNA</v>
      </c>
      <c r="D91" s="31" t="str">
        <f t="shared" si="13"/>
        <v>E2_1_1_37</v>
      </c>
      <c r="E91" s="31" t="str">
        <f t="shared" si="14"/>
        <v>E2_1_1_37_Kcat : 13.7</v>
      </c>
      <c r="F91" s="31" t="str">
        <f t="shared" si="15"/>
        <v>E2_1_1_37_Km :1</v>
      </c>
      <c r="G91" s="31" t="str">
        <f t="shared" si="16"/>
        <v>E2_1_1_37_mRNA:E2_1_1_37_mRNA</v>
      </c>
      <c r="H91" s="31" t="str">
        <f t="shared" si="17"/>
        <v>E2_1_1_37:E2_1_1_37</v>
      </c>
      <c r="I91" s="42" t="str">
        <f t="shared" si="18"/>
        <v>E2_1_1_37_mRNA:0</v>
      </c>
      <c r="J91" s="31" t="str">
        <f t="shared" si="19"/>
        <v>E2_1_1_37:0</v>
      </c>
      <c r="K91" s="31" t="str">
        <f t="shared" si="20"/>
        <v>0.00292 - (0.0093 * E2_1_1_37_mRNA)</v>
      </c>
      <c r="L91" s="31" t="str">
        <f t="shared" si="21"/>
        <v>(0.278 * E2_1_1_37_mRNA) - (0.00000278 * E2_1_1_37)</v>
      </c>
      <c r="M91" s="31" t="str">
        <f t="shared" si="22"/>
        <v>mRNA90: -&gt; E2_1_1_37_mRNA | 0.00292 - (0.0093 * E2_1_1_37_mRNA)</v>
      </c>
      <c r="N91" s="31" t="str">
        <f t="shared" si="23"/>
        <v>Peptide90:E2_1_1_37_mRNA -&gt; E2_1_1_37 | (0.278 * E2_1_1_37_mRNA) -  (0.00000278 * E2_1_1_37)</v>
      </c>
    </row>
    <row r="92" spans="1:14" ht="43.5" x14ac:dyDescent="0.35">
      <c r="A92" s="31">
        <v>91</v>
      </c>
      <c r="B92" s="31" t="s">
        <v>14017</v>
      </c>
      <c r="C92" s="31" t="str">
        <f t="shared" si="12"/>
        <v>E2_1_1_45_mRNA</v>
      </c>
      <c r="D92" s="31" t="str">
        <f t="shared" si="13"/>
        <v>E2_1_1_45</v>
      </c>
      <c r="E92" s="31" t="str">
        <f t="shared" si="14"/>
        <v>E2_1_1_45_Kcat : 13.7</v>
      </c>
      <c r="F92" s="31" t="str">
        <f t="shared" si="15"/>
        <v>E2_1_1_45_Km :1</v>
      </c>
      <c r="G92" s="31" t="str">
        <f t="shared" si="16"/>
        <v>E2_1_1_45_mRNA:E2_1_1_45_mRNA</v>
      </c>
      <c r="H92" s="31" t="str">
        <f t="shared" si="17"/>
        <v>E2_1_1_45:E2_1_1_45</v>
      </c>
      <c r="I92" s="42" t="str">
        <f t="shared" si="18"/>
        <v>E2_1_1_45_mRNA:0</v>
      </c>
      <c r="J92" s="31" t="str">
        <f t="shared" si="19"/>
        <v>E2_1_1_45:0</v>
      </c>
      <c r="K92" s="31" t="str">
        <f t="shared" si="20"/>
        <v>0.00292 - (0.0093 * E2_1_1_45_mRNA)</v>
      </c>
      <c r="L92" s="31" t="str">
        <f t="shared" si="21"/>
        <v>(0.278 * E2_1_1_45_mRNA) - (0.00000278 * E2_1_1_45)</v>
      </c>
      <c r="M92" s="31" t="str">
        <f t="shared" si="22"/>
        <v>mRNA91: -&gt; E2_1_1_45_mRNA | 0.00292 - (0.0093 * E2_1_1_45_mRNA)</v>
      </c>
      <c r="N92" s="31" t="str">
        <f t="shared" si="23"/>
        <v>Peptide91:E2_1_1_45_mRNA -&gt; E2_1_1_45 | (0.278 * E2_1_1_45_mRNA) -  (0.00000278 * E2_1_1_45)</v>
      </c>
    </row>
    <row r="93" spans="1:14" ht="43.5" x14ac:dyDescent="0.35">
      <c r="A93" s="31">
        <v>92</v>
      </c>
      <c r="B93" s="31" t="s">
        <v>14018</v>
      </c>
      <c r="C93" s="31" t="str">
        <f t="shared" si="12"/>
        <v>E2_1_1_63_mRNA</v>
      </c>
      <c r="D93" s="31" t="str">
        <f t="shared" si="13"/>
        <v>E2_1_1_63</v>
      </c>
      <c r="E93" s="31" t="str">
        <f t="shared" si="14"/>
        <v>E2_1_1_63_Kcat : 13.7</v>
      </c>
      <c r="F93" s="31" t="str">
        <f t="shared" si="15"/>
        <v>E2_1_1_63_Km :1</v>
      </c>
      <c r="G93" s="31" t="str">
        <f t="shared" si="16"/>
        <v>E2_1_1_63_mRNA:E2_1_1_63_mRNA</v>
      </c>
      <c r="H93" s="31" t="str">
        <f t="shared" si="17"/>
        <v>E2_1_1_63:E2_1_1_63</v>
      </c>
      <c r="I93" s="42" t="str">
        <f t="shared" si="18"/>
        <v>E2_1_1_63_mRNA:0</v>
      </c>
      <c r="J93" s="31" t="str">
        <f t="shared" si="19"/>
        <v>E2_1_1_63:0</v>
      </c>
      <c r="K93" s="31" t="str">
        <f t="shared" si="20"/>
        <v>0.00292 - (0.0093 * E2_1_1_63_mRNA)</v>
      </c>
      <c r="L93" s="31" t="str">
        <f t="shared" si="21"/>
        <v>(0.278 * E2_1_1_63_mRNA) - (0.00000278 * E2_1_1_63)</v>
      </c>
      <c r="M93" s="31" t="str">
        <f t="shared" si="22"/>
        <v>mRNA92: -&gt; E2_1_1_63_mRNA | 0.00292 - (0.0093 * E2_1_1_63_mRNA)</v>
      </c>
      <c r="N93" s="31" t="str">
        <f t="shared" si="23"/>
        <v>Peptide92:E2_1_1_63_mRNA -&gt; E2_1_1_63 | (0.278 * E2_1_1_63_mRNA) -  (0.00000278 * E2_1_1_63)</v>
      </c>
    </row>
    <row r="94" spans="1:14" ht="29" x14ac:dyDescent="0.35">
      <c r="A94" s="31">
        <v>93</v>
      </c>
      <c r="B94" s="31" t="s">
        <v>14019</v>
      </c>
      <c r="C94" s="31" t="str">
        <f t="shared" si="12"/>
        <v>E2_1_2_1_mRNA</v>
      </c>
      <c r="D94" s="31" t="str">
        <f t="shared" si="13"/>
        <v>E2_1_2_1</v>
      </c>
      <c r="E94" s="31" t="str">
        <f t="shared" si="14"/>
        <v>E2_1_2_1_Kcat : 13.7</v>
      </c>
      <c r="F94" s="31" t="str">
        <f t="shared" si="15"/>
        <v>E2_1_2_1_Km :1</v>
      </c>
      <c r="G94" s="31" t="str">
        <f t="shared" si="16"/>
        <v>E2_1_2_1_mRNA:E2_1_2_1_mRNA</v>
      </c>
      <c r="H94" s="31" t="str">
        <f t="shared" si="17"/>
        <v>E2_1_2_1:E2_1_2_1</v>
      </c>
      <c r="I94" s="42" t="str">
        <f t="shared" si="18"/>
        <v>E2_1_2_1_mRNA:0</v>
      </c>
      <c r="J94" s="31" t="str">
        <f t="shared" si="19"/>
        <v>E2_1_2_1:0</v>
      </c>
      <c r="K94" s="31" t="str">
        <f t="shared" si="20"/>
        <v>0.00292 - (0.0093 * E2_1_2_1_mRNA)</v>
      </c>
      <c r="L94" s="31" t="str">
        <f t="shared" si="21"/>
        <v>(0.278 * E2_1_2_1_mRNA) - (0.00000278 * E2_1_2_1)</v>
      </c>
      <c r="M94" s="31" t="str">
        <f t="shared" si="22"/>
        <v>mRNA93: -&gt; E2_1_2_1_mRNA | 0.00292 - (0.0093 * E2_1_2_1_mRNA)</v>
      </c>
      <c r="N94" s="31" t="str">
        <f t="shared" si="23"/>
        <v>Peptide93:E2_1_2_1_mRNA -&gt; E2_1_2_1 | (0.278 * E2_1_2_1_mRNA) -  (0.00000278 * E2_1_2_1)</v>
      </c>
    </row>
    <row r="95" spans="1:14" ht="43.5" x14ac:dyDescent="0.35">
      <c r="A95" s="31">
        <v>94</v>
      </c>
      <c r="B95" s="31" t="s">
        <v>14020</v>
      </c>
      <c r="C95" s="31" t="str">
        <f t="shared" si="12"/>
        <v>E2_1_2_11_mRNA</v>
      </c>
      <c r="D95" s="31" t="str">
        <f t="shared" si="13"/>
        <v>E2_1_2_11</v>
      </c>
      <c r="E95" s="31" t="str">
        <f t="shared" si="14"/>
        <v>E2_1_2_11_Kcat : 13.7</v>
      </c>
      <c r="F95" s="31" t="str">
        <f t="shared" si="15"/>
        <v>E2_1_2_11_Km :1</v>
      </c>
      <c r="G95" s="31" t="str">
        <f t="shared" si="16"/>
        <v>E2_1_2_11_mRNA:E2_1_2_11_mRNA</v>
      </c>
      <c r="H95" s="31" t="str">
        <f t="shared" si="17"/>
        <v>E2_1_2_11:E2_1_2_11</v>
      </c>
      <c r="I95" s="42" t="str">
        <f t="shared" si="18"/>
        <v>E2_1_2_11_mRNA:0</v>
      </c>
      <c r="J95" s="31" t="str">
        <f t="shared" si="19"/>
        <v>E2_1_2_11:0</v>
      </c>
      <c r="K95" s="31" t="str">
        <f t="shared" si="20"/>
        <v>0.00292 - (0.0093 * E2_1_2_11_mRNA)</v>
      </c>
      <c r="L95" s="31" t="str">
        <f t="shared" si="21"/>
        <v>(0.278 * E2_1_2_11_mRNA) - (0.00000278 * E2_1_2_11)</v>
      </c>
      <c r="M95" s="31" t="str">
        <f t="shared" si="22"/>
        <v>mRNA94: -&gt; E2_1_2_11_mRNA | 0.00292 - (0.0093 * E2_1_2_11_mRNA)</v>
      </c>
      <c r="N95" s="31" t="str">
        <f t="shared" si="23"/>
        <v>Peptide94:E2_1_2_11_mRNA -&gt; E2_1_2_11 | (0.278 * E2_1_2_11_mRNA) -  (0.00000278 * E2_1_2_11)</v>
      </c>
    </row>
    <row r="96" spans="1:14" ht="29" x14ac:dyDescent="0.35">
      <c r="A96" s="31">
        <v>95</v>
      </c>
      <c r="B96" s="31" t="s">
        <v>14021</v>
      </c>
      <c r="C96" s="31" t="str">
        <f t="shared" si="12"/>
        <v>E2_1_2_2_mRNA</v>
      </c>
      <c r="D96" s="31" t="str">
        <f t="shared" si="13"/>
        <v>E2_1_2_2</v>
      </c>
      <c r="E96" s="31" t="str">
        <f t="shared" si="14"/>
        <v>E2_1_2_2_Kcat : 13.7</v>
      </c>
      <c r="F96" s="31" t="str">
        <f t="shared" si="15"/>
        <v>E2_1_2_2_Km :1</v>
      </c>
      <c r="G96" s="31" t="str">
        <f t="shared" si="16"/>
        <v>E2_1_2_2_mRNA:E2_1_2_2_mRNA</v>
      </c>
      <c r="H96" s="31" t="str">
        <f t="shared" si="17"/>
        <v>E2_1_2_2:E2_1_2_2</v>
      </c>
      <c r="I96" s="42" t="str">
        <f t="shared" si="18"/>
        <v>E2_1_2_2_mRNA:0</v>
      </c>
      <c r="J96" s="31" t="str">
        <f t="shared" si="19"/>
        <v>E2_1_2_2:0</v>
      </c>
      <c r="K96" s="31" t="str">
        <f t="shared" si="20"/>
        <v>0.00292 - (0.0093 * E2_1_2_2_mRNA)</v>
      </c>
      <c r="L96" s="31" t="str">
        <f t="shared" si="21"/>
        <v>(0.278 * E2_1_2_2_mRNA) - (0.00000278 * E2_1_2_2)</v>
      </c>
      <c r="M96" s="31" t="str">
        <f t="shared" si="22"/>
        <v>mRNA95: -&gt; E2_1_2_2_mRNA | 0.00292 - (0.0093 * E2_1_2_2_mRNA)</v>
      </c>
      <c r="N96" s="31" t="str">
        <f t="shared" si="23"/>
        <v>Peptide95:E2_1_2_2_mRNA -&gt; E2_1_2_2 | (0.278 * E2_1_2_2_mRNA) -  (0.00000278 * E2_1_2_2)</v>
      </c>
    </row>
    <row r="97" spans="1:14" ht="29" x14ac:dyDescent="0.35">
      <c r="A97" s="31">
        <v>96</v>
      </c>
      <c r="B97" s="31" t="s">
        <v>14022</v>
      </c>
      <c r="C97" s="31" t="str">
        <f t="shared" si="12"/>
        <v>E2_1_2_3 _mRNA</v>
      </c>
      <c r="D97" s="31" t="str">
        <f t="shared" si="13"/>
        <v xml:space="preserve">E2_1_2_3 </v>
      </c>
      <c r="E97" s="31" t="str">
        <f t="shared" si="14"/>
        <v>E2_1_2_3 _Kcat : 13.7</v>
      </c>
      <c r="F97" s="31" t="str">
        <f t="shared" si="15"/>
        <v>E2_1_2_3 _Km :1</v>
      </c>
      <c r="G97" s="31" t="str">
        <f t="shared" si="16"/>
        <v>E2_1_2_3 _mRNA:E2_1_2_3 _mRNA</v>
      </c>
      <c r="H97" s="31" t="str">
        <f t="shared" si="17"/>
        <v xml:space="preserve">E2_1_2_3 :E2_1_2_3 </v>
      </c>
      <c r="I97" s="42" t="str">
        <f t="shared" si="18"/>
        <v>E2_1_2_3 _mRNA:0</v>
      </c>
      <c r="J97" s="31" t="str">
        <f t="shared" si="19"/>
        <v>E2_1_2_3 :0</v>
      </c>
      <c r="K97" s="31" t="str">
        <f t="shared" si="20"/>
        <v>0.00292 - (0.0093 * E2_1_2_3 _mRNA)</v>
      </c>
      <c r="L97" s="31" t="str">
        <f t="shared" si="21"/>
        <v>(0.278 * E2_1_2_3 _mRNA) - (0.00000278 * E2_1_2_3 )</v>
      </c>
      <c r="M97" s="31" t="str">
        <f t="shared" si="22"/>
        <v>mRNA96: -&gt; E2_1_2_3 _mRNA | 0.00292 - (0.0093 * E2_1_2_3 _mRNA)</v>
      </c>
      <c r="N97" s="31" t="str">
        <f t="shared" si="23"/>
        <v>Peptide96:E2_1_2_3 _mRNA -&gt; E2_1_2_3  | (0.278 * E2_1_2_3 _mRNA) -  (0.00000278 * E2_1_2_3 )</v>
      </c>
    </row>
    <row r="98" spans="1:14" ht="43.5" x14ac:dyDescent="0.35">
      <c r="A98" s="31">
        <v>97</v>
      </c>
      <c r="B98" s="31" t="s">
        <v>14023</v>
      </c>
      <c r="C98" s="31" t="str">
        <f t="shared" si="12"/>
        <v>E3_5_4_10_mRNA</v>
      </c>
      <c r="D98" s="31" t="str">
        <f t="shared" si="13"/>
        <v>E3_5_4_10</v>
      </c>
      <c r="E98" s="31" t="str">
        <f t="shared" si="14"/>
        <v>E3_5_4_10_Kcat : 13.7</v>
      </c>
      <c r="F98" s="31" t="str">
        <f t="shared" si="15"/>
        <v>E3_5_4_10_Km :1</v>
      </c>
      <c r="G98" s="31" t="str">
        <f t="shared" si="16"/>
        <v>E3_5_4_10_mRNA:E3_5_4_10_mRNA</v>
      </c>
      <c r="H98" s="31" t="str">
        <f t="shared" si="17"/>
        <v>E3_5_4_10:E3_5_4_10</v>
      </c>
      <c r="I98" s="42" t="str">
        <f t="shared" si="18"/>
        <v>E3_5_4_10_mRNA:0</v>
      </c>
      <c r="J98" s="31" t="str">
        <f t="shared" si="19"/>
        <v>E3_5_4_10:0</v>
      </c>
      <c r="K98" s="31" t="str">
        <f t="shared" si="20"/>
        <v>0.00292 - (0.0093 * E3_5_4_10_mRNA)</v>
      </c>
      <c r="L98" s="31" t="str">
        <f t="shared" si="21"/>
        <v>(0.278 * E3_5_4_10_mRNA) - (0.00000278 * E3_5_4_10)</v>
      </c>
      <c r="M98" s="31" t="str">
        <f t="shared" si="22"/>
        <v>mRNA97: -&gt; E3_5_4_10_mRNA | 0.00292 - (0.0093 * E3_5_4_10_mRNA)</v>
      </c>
      <c r="N98" s="31" t="str">
        <f t="shared" si="23"/>
        <v>Peptide97:E3_5_4_10_mRNA -&gt; E3_5_4_10 | (0.278 * E3_5_4_10_mRNA) -  (0.00000278 * E3_5_4_10)</v>
      </c>
    </row>
    <row r="99" spans="1:14" ht="29" x14ac:dyDescent="0.35">
      <c r="A99" s="31">
        <v>98</v>
      </c>
      <c r="B99" s="31" t="s">
        <v>14024</v>
      </c>
      <c r="C99" s="31" t="str">
        <f t="shared" si="12"/>
        <v>E2_1_2_9_mRNA</v>
      </c>
      <c r="D99" s="31" t="str">
        <f t="shared" si="13"/>
        <v>E2_1_2_9</v>
      </c>
      <c r="E99" s="31" t="str">
        <f t="shared" si="14"/>
        <v>E2_1_2_9_Kcat : 13.7</v>
      </c>
      <c r="F99" s="31" t="str">
        <f t="shared" si="15"/>
        <v>E2_1_2_9_Km :1</v>
      </c>
      <c r="G99" s="31" t="str">
        <f t="shared" si="16"/>
        <v>E2_1_2_9_mRNA:E2_1_2_9_mRNA</v>
      </c>
      <c r="H99" s="31" t="str">
        <f t="shared" si="17"/>
        <v>E2_1_2_9:E2_1_2_9</v>
      </c>
      <c r="I99" s="42" t="str">
        <f t="shared" si="18"/>
        <v>E2_1_2_9_mRNA:0</v>
      </c>
      <c r="J99" s="31" t="str">
        <f t="shared" si="19"/>
        <v>E2_1_2_9:0</v>
      </c>
      <c r="K99" s="31" t="str">
        <f t="shared" si="20"/>
        <v>0.00292 - (0.0093 * E2_1_2_9_mRNA)</v>
      </c>
      <c r="L99" s="31" t="str">
        <f t="shared" si="21"/>
        <v>(0.278 * E2_1_2_9_mRNA) - (0.00000278 * E2_1_2_9)</v>
      </c>
      <c r="M99" s="31" t="str">
        <f t="shared" si="22"/>
        <v>mRNA98: -&gt; E2_1_2_9_mRNA | 0.00292 - (0.0093 * E2_1_2_9_mRNA)</v>
      </c>
      <c r="N99" s="31" t="str">
        <f t="shared" si="23"/>
        <v>Peptide98:E2_1_2_9_mRNA -&gt; E2_1_2_9 | (0.278 * E2_1_2_9_mRNA) -  (0.00000278 * E2_1_2_9)</v>
      </c>
    </row>
    <row r="100" spans="1:14" ht="43.5" x14ac:dyDescent="0.35">
      <c r="A100" s="31">
        <v>99</v>
      </c>
      <c r="B100" s="31" t="s">
        <v>14025</v>
      </c>
      <c r="C100" s="31" t="str">
        <f t="shared" si="12"/>
        <v>E2_1_3_15_mRNA</v>
      </c>
      <c r="D100" s="31" t="str">
        <f t="shared" si="13"/>
        <v>E2_1_3_15</v>
      </c>
      <c r="E100" s="31" t="str">
        <f t="shared" si="14"/>
        <v>E2_1_3_15_Kcat : 13.7</v>
      </c>
      <c r="F100" s="31" t="str">
        <f t="shared" si="15"/>
        <v>E2_1_3_15_Km :1</v>
      </c>
      <c r="G100" s="31" t="str">
        <f t="shared" si="16"/>
        <v>E2_1_3_15_mRNA:E2_1_3_15_mRNA</v>
      </c>
      <c r="H100" s="31" t="str">
        <f t="shared" si="17"/>
        <v>E2_1_3_15:E2_1_3_15</v>
      </c>
      <c r="I100" s="42" t="str">
        <f t="shared" si="18"/>
        <v>E2_1_3_15_mRNA:0</v>
      </c>
      <c r="J100" s="31" t="str">
        <f t="shared" si="19"/>
        <v>E2_1_3_15:0</v>
      </c>
      <c r="K100" s="31" t="str">
        <f t="shared" si="20"/>
        <v>0.00292 - (0.0093 * E2_1_3_15_mRNA)</v>
      </c>
      <c r="L100" s="31" t="str">
        <f t="shared" si="21"/>
        <v>(0.278 * E2_1_3_15_mRNA) - (0.00000278 * E2_1_3_15)</v>
      </c>
      <c r="M100" s="31" t="str">
        <f t="shared" si="22"/>
        <v>mRNA99: -&gt; E2_1_3_15_mRNA | 0.00292 - (0.0093 * E2_1_3_15_mRNA)</v>
      </c>
      <c r="N100" s="31" t="str">
        <f t="shared" si="23"/>
        <v>Peptide99:E2_1_3_15_mRNA -&gt; E2_1_3_15 | (0.278 * E2_1_3_15_mRNA) -  (0.00000278 * E2_1_3_15)</v>
      </c>
    </row>
    <row r="101" spans="1:14" ht="29" x14ac:dyDescent="0.35">
      <c r="A101" s="31">
        <v>100</v>
      </c>
      <c r="B101" s="31" t="s">
        <v>14026</v>
      </c>
      <c r="C101" s="31" t="str">
        <f t="shared" si="12"/>
        <v>E2_1_3_2_mRNA</v>
      </c>
      <c r="D101" s="31" t="str">
        <f t="shared" si="13"/>
        <v>E2_1_3_2</v>
      </c>
      <c r="E101" s="31" t="str">
        <f t="shared" si="14"/>
        <v>E2_1_3_2_Kcat : 13.7</v>
      </c>
      <c r="F101" s="31" t="str">
        <f t="shared" si="15"/>
        <v>E2_1_3_2_Km :1</v>
      </c>
      <c r="G101" s="31" t="str">
        <f t="shared" si="16"/>
        <v>E2_1_3_2_mRNA:E2_1_3_2_mRNA</v>
      </c>
      <c r="H101" s="31" t="str">
        <f t="shared" si="17"/>
        <v>E2_1_3_2:E2_1_3_2</v>
      </c>
      <c r="I101" s="42" t="str">
        <f t="shared" si="18"/>
        <v>E2_1_3_2_mRNA:0</v>
      </c>
      <c r="J101" s="31" t="str">
        <f t="shared" si="19"/>
        <v>E2_1_3_2:0</v>
      </c>
      <c r="K101" s="31" t="str">
        <f t="shared" si="20"/>
        <v>0.00292 - (0.0093 * E2_1_3_2_mRNA)</v>
      </c>
      <c r="L101" s="31" t="str">
        <f t="shared" si="21"/>
        <v>(0.278 * E2_1_3_2_mRNA) - (0.00000278 * E2_1_3_2)</v>
      </c>
      <c r="M101" s="31" t="str">
        <f t="shared" si="22"/>
        <v>mRNA100: -&gt; E2_1_3_2_mRNA | 0.00292 - (0.0093 * E2_1_3_2_mRNA)</v>
      </c>
      <c r="N101" s="31" t="str">
        <f t="shared" si="23"/>
        <v>Peptide100:E2_1_3_2_mRNA -&gt; E2_1_3_2 | (0.278 * E2_1_3_2_mRNA) -  (0.00000278 * E2_1_3_2)</v>
      </c>
    </row>
    <row r="102" spans="1:14" ht="29" x14ac:dyDescent="0.35">
      <c r="A102" s="31">
        <v>101</v>
      </c>
      <c r="B102" s="31" t="s">
        <v>14027</v>
      </c>
      <c r="C102" s="31" t="str">
        <f t="shared" si="12"/>
        <v>E2_1_3_3_mRNA</v>
      </c>
      <c r="D102" s="31" t="str">
        <f t="shared" si="13"/>
        <v>E2_1_3_3</v>
      </c>
      <c r="E102" s="31" t="str">
        <f t="shared" si="14"/>
        <v>E2_1_3_3_Kcat : 13.7</v>
      </c>
      <c r="F102" s="31" t="str">
        <f t="shared" si="15"/>
        <v>E2_1_3_3_Km :1</v>
      </c>
      <c r="G102" s="31" t="str">
        <f t="shared" si="16"/>
        <v>E2_1_3_3_mRNA:E2_1_3_3_mRNA</v>
      </c>
      <c r="H102" s="31" t="str">
        <f t="shared" si="17"/>
        <v>E2_1_3_3:E2_1_3_3</v>
      </c>
      <c r="I102" s="42" t="str">
        <f t="shared" si="18"/>
        <v>E2_1_3_3_mRNA:0</v>
      </c>
      <c r="J102" s="31" t="str">
        <f t="shared" si="19"/>
        <v>E2_1_3_3:0</v>
      </c>
      <c r="K102" s="31" t="str">
        <f t="shared" si="20"/>
        <v>0.00292 - (0.0093 * E2_1_3_3_mRNA)</v>
      </c>
      <c r="L102" s="31" t="str">
        <f t="shared" si="21"/>
        <v>(0.278 * E2_1_3_3_mRNA) - (0.00000278 * E2_1_3_3)</v>
      </c>
      <c r="M102" s="31" t="str">
        <f t="shared" si="22"/>
        <v>mRNA101: -&gt; E2_1_3_3_mRNA | 0.00292 - (0.0093 * E2_1_3_3_mRNA)</v>
      </c>
      <c r="N102" s="31" t="str">
        <f t="shared" si="23"/>
        <v>Peptide101:E2_1_3_3_mRNA -&gt; E2_1_3_3 | (0.278 * E2_1_3_3_mRNA) -  (0.00000278 * E2_1_3_3)</v>
      </c>
    </row>
    <row r="103" spans="1:14" ht="29" x14ac:dyDescent="0.35">
      <c r="A103" s="31">
        <v>102</v>
      </c>
      <c r="B103" s="31" t="s">
        <v>14028</v>
      </c>
      <c r="C103" s="31" t="str">
        <f t="shared" si="12"/>
        <v>E2_2_1_1_mRNA</v>
      </c>
      <c r="D103" s="31" t="str">
        <f t="shared" si="13"/>
        <v>E2_2_1_1</v>
      </c>
      <c r="E103" s="31" t="str">
        <f t="shared" si="14"/>
        <v>E2_2_1_1_Kcat : 13.7</v>
      </c>
      <c r="F103" s="31" t="str">
        <f t="shared" si="15"/>
        <v>E2_2_1_1_Km :1</v>
      </c>
      <c r="G103" s="31" t="str">
        <f t="shared" si="16"/>
        <v>E2_2_1_1_mRNA:E2_2_1_1_mRNA</v>
      </c>
      <c r="H103" s="31" t="str">
        <f t="shared" si="17"/>
        <v>E2_2_1_1:E2_2_1_1</v>
      </c>
      <c r="I103" s="42" t="str">
        <f t="shared" si="18"/>
        <v>E2_2_1_1_mRNA:0</v>
      </c>
      <c r="J103" s="31" t="str">
        <f t="shared" si="19"/>
        <v>E2_2_1_1:0</v>
      </c>
      <c r="K103" s="31" t="str">
        <f t="shared" si="20"/>
        <v>0.00292 - (0.0093 * E2_2_1_1_mRNA)</v>
      </c>
      <c r="L103" s="31" t="str">
        <f t="shared" si="21"/>
        <v>(0.278 * E2_2_1_1_mRNA) - (0.00000278 * E2_2_1_1)</v>
      </c>
      <c r="M103" s="31" t="str">
        <f t="shared" si="22"/>
        <v>mRNA102: -&gt; E2_2_1_1_mRNA | 0.00292 - (0.0093 * E2_2_1_1_mRNA)</v>
      </c>
      <c r="N103" s="31" t="str">
        <f t="shared" si="23"/>
        <v>Peptide102:E2_2_1_1_mRNA -&gt; E2_2_1_1 | (0.278 * E2_2_1_1_mRNA) -  (0.00000278 * E2_2_1_1)</v>
      </c>
    </row>
    <row r="104" spans="1:14" ht="29" x14ac:dyDescent="0.35">
      <c r="A104" s="31">
        <v>103</v>
      </c>
      <c r="B104" s="31" t="s">
        <v>14029</v>
      </c>
      <c r="C104" s="31" t="str">
        <f t="shared" si="12"/>
        <v>E2_2_1_2_mRNA</v>
      </c>
      <c r="D104" s="31" t="str">
        <f t="shared" si="13"/>
        <v>E2_2_1_2</v>
      </c>
      <c r="E104" s="31" t="str">
        <f t="shared" si="14"/>
        <v>E2_2_1_2_Kcat : 13.7</v>
      </c>
      <c r="F104" s="31" t="str">
        <f t="shared" si="15"/>
        <v>E2_2_1_2_Km :1</v>
      </c>
      <c r="G104" s="31" t="str">
        <f t="shared" si="16"/>
        <v>E2_2_1_2_mRNA:E2_2_1_2_mRNA</v>
      </c>
      <c r="H104" s="31" t="str">
        <f t="shared" si="17"/>
        <v>E2_2_1_2:E2_2_1_2</v>
      </c>
      <c r="I104" s="42" t="str">
        <f t="shared" si="18"/>
        <v>E2_2_1_2_mRNA:0</v>
      </c>
      <c r="J104" s="31" t="str">
        <f t="shared" si="19"/>
        <v>E2_2_1_2:0</v>
      </c>
      <c r="K104" s="31" t="str">
        <f t="shared" si="20"/>
        <v>0.00292 - (0.0093 * E2_2_1_2_mRNA)</v>
      </c>
      <c r="L104" s="31" t="str">
        <f t="shared" si="21"/>
        <v>(0.278 * E2_2_1_2_mRNA) - (0.00000278 * E2_2_1_2)</v>
      </c>
      <c r="M104" s="31" t="str">
        <f t="shared" si="22"/>
        <v>mRNA103: -&gt; E2_2_1_2_mRNA | 0.00292 - (0.0093 * E2_2_1_2_mRNA)</v>
      </c>
      <c r="N104" s="31" t="str">
        <f t="shared" si="23"/>
        <v>Peptide103:E2_2_1_2_mRNA -&gt; E2_2_1_2 | (0.278 * E2_2_1_2_mRNA) -  (0.00000278 * E2_2_1_2)</v>
      </c>
    </row>
    <row r="105" spans="1:14" ht="29" x14ac:dyDescent="0.35">
      <c r="A105" s="31">
        <v>104</v>
      </c>
      <c r="B105" s="31" t="s">
        <v>14030</v>
      </c>
      <c r="C105" s="31" t="str">
        <f t="shared" si="12"/>
        <v>E2_2_1_6_mRNA</v>
      </c>
      <c r="D105" s="31" t="str">
        <f t="shared" si="13"/>
        <v>E2_2_1_6</v>
      </c>
      <c r="E105" s="31" t="str">
        <f t="shared" si="14"/>
        <v>E2_2_1_6_Kcat : 13.7</v>
      </c>
      <c r="F105" s="31" t="str">
        <f t="shared" si="15"/>
        <v>E2_2_1_6_Km :1</v>
      </c>
      <c r="G105" s="31" t="str">
        <f t="shared" si="16"/>
        <v>E2_2_1_6_mRNA:E2_2_1_6_mRNA</v>
      </c>
      <c r="H105" s="31" t="str">
        <f t="shared" si="17"/>
        <v>E2_2_1_6:E2_2_1_6</v>
      </c>
      <c r="I105" s="42" t="str">
        <f t="shared" si="18"/>
        <v>E2_2_1_6_mRNA:0</v>
      </c>
      <c r="J105" s="31" t="str">
        <f t="shared" si="19"/>
        <v>E2_2_1_6:0</v>
      </c>
      <c r="K105" s="31" t="str">
        <f t="shared" si="20"/>
        <v>0.00292 - (0.0093 * E2_2_1_6_mRNA)</v>
      </c>
      <c r="L105" s="31" t="str">
        <f t="shared" si="21"/>
        <v>(0.278 * E2_2_1_6_mRNA) - (0.00000278 * E2_2_1_6)</v>
      </c>
      <c r="M105" s="31" t="str">
        <f t="shared" si="22"/>
        <v>mRNA104: -&gt; E2_2_1_6_mRNA | 0.00292 - (0.0093 * E2_2_1_6_mRNA)</v>
      </c>
      <c r="N105" s="31" t="str">
        <f t="shared" si="23"/>
        <v>Peptide104:E2_2_1_6_mRNA -&gt; E2_2_1_6 | (0.278 * E2_2_1_6_mRNA) -  (0.00000278 * E2_2_1_6)</v>
      </c>
    </row>
    <row r="106" spans="1:14" ht="29" x14ac:dyDescent="0.35">
      <c r="A106" s="31">
        <v>105</v>
      </c>
      <c r="B106" s="31" t="s">
        <v>14031</v>
      </c>
      <c r="C106" s="31" t="str">
        <f t="shared" si="12"/>
        <v>E2_2_1_7_mRNA</v>
      </c>
      <c r="D106" s="31" t="str">
        <f t="shared" si="13"/>
        <v>E2_2_1_7</v>
      </c>
      <c r="E106" s="31" t="str">
        <f t="shared" si="14"/>
        <v>E2_2_1_7_Kcat : 13.7</v>
      </c>
      <c r="F106" s="31" t="str">
        <f t="shared" si="15"/>
        <v>E2_2_1_7_Km :1</v>
      </c>
      <c r="G106" s="31" t="str">
        <f t="shared" si="16"/>
        <v>E2_2_1_7_mRNA:E2_2_1_7_mRNA</v>
      </c>
      <c r="H106" s="31" t="str">
        <f t="shared" si="17"/>
        <v>E2_2_1_7:E2_2_1_7</v>
      </c>
      <c r="I106" s="42" t="str">
        <f t="shared" si="18"/>
        <v>E2_2_1_7_mRNA:0</v>
      </c>
      <c r="J106" s="31" t="str">
        <f t="shared" si="19"/>
        <v>E2_2_1_7:0</v>
      </c>
      <c r="K106" s="31" t="str">
        <f t="shared" si="20"/>
        <v>0.00292 - (0.0093 * E2_2_1_7_mRNA)</v>
      </c>
      <c r="L106" s="31" t="str">
        <f t="shared" si="21"/>
        <v>(0.278 * E2_2_1_7_mRNA) - (0.00000278 * E2_2_1_7)</v>
      </c>
      <c r="M106" s="31" t="str">
        <f t="shared" si="22"/>
        <v>mRNA105: -&gt; E2_2_1_7_mRNA | 0.00292 - (0.0093 * E2_2_1_7_mRNA)</v>
      </c>
      <c r="N106" s="31" t="str">
        <f t="shared" si="23"/>
        <v>Peptide105:E2_2_1_7_mRNA -&gt; E2_2_1_7 | (0.278 * E2_2_1_7_mRNA) -  (0.00000278 * E2_2_1_7)</v>
      </c>
    </row>
    <row r="107" spans="1:14" ht="29" x14ac:dyDescent="0.35">
      <c r="A107" s="31">
        <v>106</v>
      </c>
      <c r="B107" s="31" t="s">
        <v>14032</v>
      </c>
      <c r="C107" s="31" t="str">
        <f t="shared" si="12"/>
        <v>E2_2_1_9_mRNA</v>
      </c>
      <c r="D107" s="31" t="str">
        <f t="shared" si="13"/>
        <v>E2_2_1_9</v>
      </c>
      <c r="E107" s="31" t="str">
        <f t="shared" si="14"/>
        <v>E2_2_1_9_Kcat : 13.7</v>
      </c>
      <c r="F107" s="31" t="str">
        <f t="shared" si="15"/>
        <v>E2_2_1_9_Km :1</v>
      </c>
      <c r="G107" s="31" t="str">
        <f t="shared" si="16"/>
        <v>E2_2_1_9_mRNA:E2_2_1_9_mRNA</v>
      </c>
      <c r="H107" s="31" t="str">
        <f t="shared" si="17"/>
        <v>E2_2_1_9:E2_2_1_9</v>
      </c>
      <c r="I107" s="42" t="str">
        <f t="shared" si="18"/>
        <v>E2_2_1_9_mRNA:0</v>
      </c>
      <c r="J107" s="31" t="str">
        <f t="shared" si="19"/>
        <v>E2_2_1_9:0</v>
      </c>
      <c r="K107" s="31" t="str">
        <f t="shared" si="20"/>
        <v>0.00292 - (0.0093 * E2_2_1_9_mRNA)</v>
      </c>
      <c r="L107" s="31" t="str">
        <f t="shared" si="21"/>
        <v>(0.278 * E2_2_1_9_mRNA) - (0.00000278 * E2_2_1_9)</v>
      </c>
      <c r="M107" s="31" t="str">
        <f t="shared" si="22"/>
        <v>mRNA106: -&gt; E2_2_1_9_mRNA | 0.00292 - (0.0093 * E2_2_1_9_mRNA)</v>
      </c>
      <c r="N107" s="31" t="str">
        <f t="shared" si="23"/>
        <v>Peptide106:E2_2_1_9_mRNA -&gt; E2_2_1_9 | (0.278 * E2_2_1_9_mRNA) -  (0.00000278 * E2_2_1_9)</v>
      </c>
    </row>
    <row r="108" spans="1:14" ht="29" x14ac:dyDescent="0.35">
      <c r="A108" s="31">
        <v>107</v>
      </c>
      <c r="B108" s="31" t="s">
        <v>14033</v>
      </c>
      <c r="C108" s="31" t="str">
        <f t="shared" si="12"/>
        <v>E2_3_1_1_mRNA</v>
      </c>
      <c r="D108" s="31" t="str">
        <f t="shared" si="13"/>
        <v>E2_3_1_1</v>
      </c>
      <c r="E108" s="31" t="str">
        <f t="shared" si="14"/>
        <v>E2_3_1_1_Kcat : 13.7</v>
      </c>
      <c r="F108" s="31" t="str">
        <f t="shared" si="15"/>
        <v>E2_3_1_1_Km :1</v>
      </c>
      <c r="G108" s="31" t="str">
        <f t="shared" si="16"/>
        <v>E2_3_1_1_mRNA:E2_3_1_1_mRNA</v>
      </c>
      <c r="H108" s="31" t="str">
        <f t="shared" si="17"/>
        <v>E2_3_1_1:E2_3_1_1</v>
      </c>
      <c r="I108" s="42" t="str">
        <f t="shared" si="18"/>
        <v>E2_3_1_1_mRNA:0</v>
      </c>
      <c r="J108" s="31" t="str">
        <f t="shared" si="19"/>
        <v>E2_3_1_1:0</v>
      </c>
      <c r="K108" s="31" t="str">
        <f t="shared" si="20"/>
        <v>0.00292 - (0.0093 * E2_3_1_1_mRNA)</v>
      </c>
      <c r="L108" s="31" t="str">
        <f t="shared" si="21"/>
        <v>(0.278 * E2_3_1_1_mRNA) - (0.00000278 * E2_3_1_1)</v>
      </c>
      <c r="M108" s="31" t="str">
        <f t="shared" si="22"/>
        <v>mRNA107: -&gt; E2_3_1_1_mRNA | 0.00292 - (0.0093 * E2_3_1_1_mRNA)</v>
      </c>
      <c r="N108" s="31" t="str">
        <f t="shared" si="23"/>
        <v>Peptide107:E2_3_1_1_mRNA -&gt; E2_3_1_1 | (0.278 * E2_3_1_1_mRNA) -  (0.00000278 * E2_3_1_1)</v>
      </c>
    </row>
    <row r="109" spans="1:14" ht="43.5" x14ac:dyDescent="0.35">
      <c r="A109" s="31">
        <v>108</v>
      </c>
      <c r="B109" s="31" t="s">
        <v>14035</v>
      </c>
      <c r="C109" s="31" t="str">
        <f t="shared" si="12"/>
        <v>E2_3_1_35_mRNA</v>
      </c>
      <c r="D109" s="31" t="str">
        <f t="shared" si="13"/>
        <v>E2_3_1_35</v>
      </c>
      <c r="E109" s="31" t="str">
        <f t="shared" si="14"/>
        <v>E2_3_1_35_Kcat : 13.7</v>
      </c>
      <c r="F109" s="31" t="str">
        <f t="shared" si="15"/>
        <v>E2_3_1_35_Km :1</v>
      </c>
      <c r="G109" s="31" t="str">
        <f t="shared" si="16"/>
        <v>E2_3_1_35_mRNA:E2_3_1_35_mRNA</v>
      </c>
      <c r="H109" s="31" t="str">
        <f t="shared" si="17"/>
        <v>E2_3_1_35:E2_3_1_35</v>
      </c>
      <c r="I109" s="42" t="str">
        <f t="shared" si="18"/>
        <v>E2_3_1_35_mRNA:0</v>
      </c>
      <c r="J109" s="31" t="str">
        <f t="shared" si="19"/>
        <v>E2_3_1_35:0</v>
      </c>
      <c r="K109" s="31" t="str">
        <f t="shared" si="20"/>
        <v>0.00292 - (0.0093 * E2_3_1_35_mRNA)</v>
      </c>
      <c r="L109" s="31" t="str">
        <f t="shared" si="21"/>
        <v>(0.278 * E2_3_1_35_mRNA) - (0.00000278 * E2_3_1_35)</v>
      </c>
      <c r="M109" s="31" t="str">
        <f t="shared" si="22"/>
        <v>mRNA108: -&gt; E2_3_1_35_mRNA | 0.00292 - (0.0093 * E2_3_1_35_mRNA)</v>
      </c>
      <c r="N109" s="31" t="str">
        <f t="shared" si="23"/>
        <v>Peptide108:E2_3_1_35_mRNA -&gt; E2_3_1_35 | (0.278 * E2_3_1_35_mRNA) -  (0.00000278 * E2_3_1_35)</v>
      </c>
    </row>
    <row r="110" spans="1:14" ht="43.5" x14ac:dyDescent="0.35">
      <c r="A110" s="31">
        <v>109</v>
      </c>
      <c r="B110" s="31" t="s">
        <v>14036</v>
      </c>
      <c r="C110" s="31" t="str">
        <f t="shared" si="12"/>
        <v>E2_3_1_117_mRNA</v>
      </c>
      <c r="D110" s="31" t="str">
        <f t="shared" si="13"/>
        <v>E2_3_1_117</v>
      </c>
      <c r="E110" s="31" t="str">
        <f t="shared" si="14"/>
        <v>E2_3_1_117_Kcat : 13.7</v>
      </c>
      <c r="F110" s="31" t="str">
        <f t="shared" si="15"/>
        <v>E2_3_1_117_Km :1</v>
      </c>
      <c r="G110" s="31" t="str">
        <f t="shared" si="16"/>
        <v>E2_3_1_117_mRNA:E2_3_1_117_mRNA</v>
      </c>
      <c r="H110" s="31" t="str">
        <f t="shared" si="17"/>
        <v>E2_3_1_117:E2_3_1_117</v>
      </c>
      <c r="I110" s="42" t="str">
        <f t="shared" si="18"/>
        <v>E2_3_1_117_mRNA:0</v>
      </c>
      <c r="J110" s="31" t="str">
        <f t="shared" si="19"/>
        <v>E2_3_1_117:0</v>
      </c>
      <c r="K110" s="31" t="str">
        <f t="shared" si="20"/>
        <v>0.00292 - (0.0093 * E2_3_1_117_mRNA)</v>
      </c>
      <c r="L110" s="31" t="str">
        <f t="shared" si="21"/>
        <v>(0.278 * E2_3_1_117_mRNA) - (0.00000278 * E2_3_1_117)</v>
      </c>
      <c r="M110" s="31" t="str">
        <f t="shared" si="22"/>
        <v>mRNA109: -&gt; E2_3_1_117_mRNA | 0.00292 - (0.0093 * E2_3_1_117_mRNA)</v>
      </c>
      <c r="N110" s="31" t="str">
        <f t="shared" si="23"/>
        <v>Peptide109:E2_3_1_117_mRNA -&gt; E2_3_1_117 | (0.278 * E2_3_1_117_mRNA) -  (0.00000278 * E2_3_1_117)</v>
      </c>
    </row>
    <row r="111" spans="1:14" ht="43.5" x14ac:dyDescent="0.35">
      <c r="A111" s="31">
        <v>110</v>
      </c>
      <c r="B111" s="31" t="s">
        <v>14037</v>
      </c>
      <c r="C111" s="31" t="str">
        <f t="shared" si="12"/>
        <v>E2_3_1_181_mRNA</v>
      </c>
      <c r="D111" s="31" t="str">
        <f t="shared" si="13"/>
        <v>E2_3_1_181</v>
      </c>
      <c r="E111" s="31" t="str">
        <f t="shared" si="14"/>
        <v>E2_3_1_181_Kcat : 13.7</v>
      </c>
      <c r="F111" s="31" t="str">
        <f t="shared" si="15"/>
        <v>E2_3_1_181_Km :1</v>
      </c>
      <c r="G111" s="31" t="str">
        <f t="shared" si="16"/>
        <v>E2_3_1_181_mRNA:E2_3_1_181_mRNA</v>
      </c>
      <c r="H111" s="31" t="str">
        <f t="shared" si="17"/>
        <v>E2_3_1_181:E2_3_1_181</v>
      </c>
      <c r="I111" s="42" t="str">
        <f t="shared" si="18"/>
        <v>E2_3_1_181_mRNA:0</v>
      </c>
      <c r="J111" s="31" t="str">
        <f t="shared" si="19"/>
        <v>E2_3_1_181:0</v>
      </c>
      <c r="K111" s="31" t="str">
        <f t="shared" si="20"/>
        <v>0.00292 - (0.0093 * E2_3_1_181_mRNA)</v>
      </c>
      <c r="L111" s="31" t="str">
        <f t="shared" si="21"/>
        <v>(0.278 * E2_3_1_181_mRNA) - (0.00000278 * E2_3_1_181)</v>
      </c>
      <c r="M111" s="31" t="str">
        <f t="shared" si="22"/>
        <v>mRNA110: -&gt; E2_3_1_181_mRNA | 0.00292 - (0.0093 * E2_3_1_181_mRNA)</v>
      </c>
      <c r="N111" s="31" t="str">
        <f t="shared" si="23"/>
        <v>Peptide110:E2_3_1_181_mRNA -&gt; E2_3_1_181 | (0.278 * E2_3_1_181_mRNA) -  (0.00000278 * E2_3_1_181)</v>
      </c>
    </row>
    <row r="112" spans="1:14" ht="43.5" x14ac:dyDescent="0.35">
      <c r="A112" s="31">
        <v>111</v>
      </c>
      <c r="B112" s="31" t="s">
        <v>14038</v>
      </c>
      <c r="C112" s="31" t="str">
        <f t="shared" si="12"/>
        <v>E2_3_1_189_mRNA</v>
      </c>
      <c r="D112" s="31" t="str">
        <f t="shared" si="13"/>
        <v>E2_3_1_189</v>
      </c>
      <c r="E112" s="31" t="str">
        <f t="shared" si="14"/>
        <v>E2_3_1_189_Kcat : 13.7</v>
      </c>
      <c r="F112" s="31" t="str">
        <f t="shared" si="15"/>
        <v>E2_3_1_189_Km :1</v>
      </c>
      <c r="G112" s="31" t="str">
        <f t="shared" si="16"/>
        <v>E2_3_1_189_mRNA:E2_3_1_189_mRNA</v>
      </c>
      <c r="H112" s="31" t="str">
        <f t="shared" si="17"/>
        <v>E2_3_1_189:E2_3_1_189</v>
      </c>
      <c r="I112" s="42" t="str">
        <f t="shared" si="18"/>
        <v>E2_3_1_189_mRNA:0</v>
      </c>
      <c r="J112" s="31" t="str">
        <f t="shared" si="19"/>
        <v>E2_3_1_189:0</v>
      </c>
      <c r="K112" s="31" t="str">
        <f t="shared" si="20"/>
        <v>0.00292 - (0.0093 * E2_3_1_189_mRNA)</v>
      </c>
      <c r="L112" s="31" t="str">
        <f t="shared" si="21"/>
        <v>(0.278 * E2_3_1_189_mRNA) - (0.00000278 * E2_3_1_189)</v>
      </c>
      <c r="M112" s="31" t="str">
        <f t="shared" si="22"/>
        <v>mRNA111: -&gt; E2_3_1_189_mRNA | 0.00292 - (0.0093 * E2_3_1_189_mRNA)</v>
      </c>
      <c r="N112" s="31" t="str">
        <f t="shared" si="23"/>
        <v>Peptide111:E2_3_1_189_mRNA -&gt; E2_3_1_189 | (0.278 * E2_3_1_189_mRNA) -  (0.00000278 * E2_3_1_189)</v>
      </c>
    </row>
    <row r="113" spans="1:14" ht="43.5" x14ac:dyDescent="0.35">
      <c r="A113" s="31">
        <v>112</v>
      </c>
      <c r="B113" s="31" t="s">
        <v>14039</v>
      </c>
      <c r="C113" s="31" t="str">
        <f t="shared" si="12"/>
        <v>E2_3_1_234_mRNA</v>
      </c>
      <c r="D113" s="31" t="str">
        <f t="shared" si="13"/>
        <v>E2_3_1_234</v>
      </c>
      <c r="E113" s="31" t="str">
        <f t="shared" si="14"/>
        <v>E2_3_1_234_Kcat : 13.7</v>
      </c>
      <c r="F113" s="31" t="str">
        <f t="shared" si="15"/>
        <v>E2_3_1_234_Km :1</v>
      </c>
      <c r="G113" s="31" t="str">
        <f t="shared" si="16"/>
        <v>E2_3_1_234_mRNA:E2_3_1_234_mRNA</v>
      </c>
      <c r="H113" s="31" t="str">
        <f t="shared" si="17"/>
        <v>E2_3_1_234:E2_3_1_234</v>
      </c>
      <c r="I113" s="42" t="str">
        <f t="shared" si="18"/>
        <v>E2_3_1_234_mRNA:0</v>
      </c>
      <c r="J113" s="31" t="str">
        <f t="shared" si="19"/>
        <v>E2_3_1_234:0</v>
      </c>
      <c r="K113" s="31" t="str">
        <f t="shared" si="20"/>
        <v>0.00292 - (0.0093 * E2_3_1_234_mRNA)</v>
      </c>
      <c r="L113" s="31" t="str">
        <f t="shared" si="21"/>
        <v>(0.278 * E2_3_1_234_mRNA) - (0.00000278 * E2_3_1_234)</v>
      </c>
      <c r="M113" s="31" t="str">
        <f t="shared" si="22"/>
        <v>mRNA112: -&gt; E2_3_1_234_mRNA | 0.00292 - (0.0093 * E2_3_1_234_mRNA)</v>
      </c>
      <c r="N113" s="31" t="str">
        <f t="shared" si="23"/>
        <v>Peptide112:E2_3_1_234_mRNA -&gt; E2_3_1_234 | (0.278 * E2_3_1_234_mRNA) -  (0.00000278 * E2_3_1_234)</v>
      </c>
    </row>
    <row r="114" spans="1:14" ht="43.5" x14ac:dyDescent="0.35">
      <c r="A114" s="31">
        <v>113</v>
      </c>
      <c r="B114" s="31" t="s">
        <v>14040</v>
      </c>
      <c r="C114" s="31" t="str">
        <f t="shared" si="12"/>
        <v>E2_3_1_266_mRNA</v>
      </c>
      <c r="D114" s="31" t="str">
        <f t="shared" si="13"/>
        <v>E2_3_1_266</v>
      </c>
      <c r="E114" s="31" t="str">
        <f t="shared" si="14"/>
        <v>E2_3_1_266_Kcat : 13.7</v>
      </c>
      <c r="F114" s="31" t="str">
        <f t="shared" si="15"/>
        <v>E2_3_1_266_Km :1</v>
      </c>
      <c r="G114" s="31" t="str">
        <f t="shared" si="16"/>
        <v>E2_3_1_266_mRNA:E2_3_1_266_mRNA</v>
      </c>
      <c r="H114" s="31" t="str">
        <f t="shared" si="17"/>
        <v>E2_3_1_266:E2_3_1_266</v>
      </c>
      <c r="I114" s="42" t="str">
        <f t="shared" si="18"/>
        <v>E2_3_1_266_mRNA:0</v>
      </c>
      <c r="J114" s="31" t="str">
        <f t="shared" si="19"/>
        <v>E2_3_1_266:0</v>
      </c>
      <c r="K114" s="31" t="str">
        <f t="shared" si="20"/>
        <v>0.00292 - (0.0093 * E2_3_1_266_mRNA)</v>
      </c>
      <c r="L114" s="31" t="str">
        <f t="shared" si="21"/>
        <v>(0.278 * E2_3_1_266_mRNA) - (0.00000278 * E2_3_1_266)</v>
      </c>
      <c r="M114" s="31" t="str">
        <f t="shared" si="22"/>
        <v>mRNA113: -&gt; E2_3_1_266_mRNA | 0.00292 - (0.0093 * E2_3_1_266_mRNA)</v>
      </c>
      <c r="N114" s="31" t="str">
        <f t="shared" si="23"/>
        <v>Peptide113:E2_3_1_266_mRNA -&gt; E2_3_1_266 | (0.278 * E2_3_1_266_mRNA) -  (0.00000278 * E2_3_1_266)</v>
      </c>
    </row>
    <row r="115" spans="1:14" ht="43.5" x14ac:dyDescent="0.35">
      <c r="A115" s="31">
        <v>114</v>
      </c>
      <c r="B115" s="31" t="s">
        <v>14041</v>
      </c>
      <c r="C115" s="31" t="str">
        <f t="shared" si="12"/>
        <v>E2_3_1_286_mRNA</v>
      </c>
      <c r="D115" s="31" t="str">
        <f t="shared" si="13"/>
        <v>E2_3_1_286</v>
      </c>
      <c r="E115" s="31" t="str">
        <f t="shared" si="14"/>
        <v>E2_3_1_286_Kcat : 13.7</v>
      </c>
      <c r="F115" s="31" t="str">
        <f t="shared" si="15"/>
        <v>E2_3_1_286_Km :1</v>
      </c>
      <c r="G115" s="31" t="str">
        <f t="shared" si="16"/>
        <v>E2_3_1_286_mRNA:E2_3_1_286_mRNA</v>
      </c>
      <c r="H115" s="31" t="str">
        <f t="shared" si="17"/>
        <v>E2_3_1_286:E2_3_1_286</v>
      </c>
      <c r="I115" s="42" t="str">
        <f t="shared" si="18"/>
        <v>E2_3_1_286_mRNA:0</v>
      </c>
      <c r="J115" s="31" t="str">
        <f t="shared" si="19"/>
        <v>E2_3_1_286:0</v>
      </c>
      <c r="K115" s="31" t="str">
        <f t="shared" si="20"/>
        <v>0.00292 - (0.0093 * E2_3_1_286_mRNA)</v>
      </c>
      <c r="L115" s="31" t="str">
        <f t="shared" si="21"/>
        <v>(0.278 * E2_3_1_286_mRNA) - (0.00000278 * E2_3_1_286)</v>
      </c>
      <c r="M115" s="31" t="str">
        <f t="shared" si="22"/>
        <v>mRNA114: -&gt; E2_3_1_286_mRNA | 0.00292 - (0.0093 * E2_3_1_286_mRNA)</v>
      </c>
      <c r="N115" s="31" t="str">
        <f t="shared" si="23"/>
        <v>Peptide114:E2_3_1_286_mRNA -&gt; E2_3_1_286 | (0.278 * E2_3_1_286_mRNA) -  (0.00000278 * E2_3_1_286)</v>
      </c>
    </row>
    <row r="116" spans="1:14" ht="43.5" x14ac:dyDescent="0.35">
      <c r="A116" s="31">
        <v>115</v>
      </c>
      <c r="B116" s="31" t="s">
        <v>14042</v>
      </c>
      <c r="C116" s="31" t="str">
        <f t="shared" si="12"/>
        <v>E2_3_1_31_mRNA</v>
      </c>
      <c r="D116" s="31" t="str">
        <f t="shared" si="13"/>
        <v>E2_3_1_31</v>
      </c>
      <c r="E116" s="31" t="str">
        <f t="shared" si="14"/>
        <v>E2_3_1_31_Kcat : 13.7</v>
      </c>
      <c r="F116" s="31" t="str">
        <f t="shared" si="15"/>
        <v>E2_3_1_31_Km :1</v>
      </c>
      <c r="G116" s="31" t="str">
        <f t="shared" si="16"/>
        <v>E2_3_1_31_mRNA:E2_3_1_31_mRNA</v>
      </c>
      <c r="H116" s="31" t="str">
        <f t="shared" si="17"/>
        <v>E2_3_1_31:E2_3_1_31</v>
      </c>
      <c r="I116" s="42" t="str">
        <f t="shared" si="18"/>
        <v>E2_3_1_31_mRNA:0</v>
      </c>
      <c r="J116" s="31" t="str">
        <f t="shared" si="19"/>
        <v>E2_3_1_31:0</v>
      </c>
      <c r="K116" s="31" t="str">
        <f t="shared" si="20"/>
        <v>0.00292 - (0.0093 * E2_3_1_31_mRNA)</v>
      </c>
      <c r="L116" s="31" t="str">
        <f t="shared" si="21"/>
        <v>(0.278 * E2_3_1_31_mRNA) - (0.00000278 * E2_3_1_31)</v>
      </c>
      <c r="M116" s="31" t="str">
        <f t="shared" si="22"/>
        <v>mRNA115: -&gt; E2_3_1_31_mRNA | 0.00292 - (0.0093 * E2_3_1_31_mRNA)</v>
      </c>
      <c r="N116" s="31" t="str">
        <f t="shared" si="23"/>
        <v>Peptide115:E2_3_1_31_mRNA -&gt; E2_3_1_31 | (0.278 * E2_3_1_31_mRNA) -  (0.00000278 * E2_3_1_31)</v>
      </c>
    </row>
    <row r="117" spans="1:14" ht="29" x14ac:dyDescent="0.35">
      <c r="A117" s="31">
        <v>116</v>
      </c>
      <c r="B117" s="31" t="s">
        <v>14043</v>
      </c>
      <c r="C117" s="31" t="str">
        <f t="shared" si="12"/>
        <v>E2_3_1_8_mRNA</v>
      </c>
      <c r="D117" s="31" t="str">
        <f t="shared" si="13"/>
        <v>E2_3_1_8</v>
      </c>
      <c r="E117" s="31" t="str">
        <f t="shared" si="14"/>
        <v>E2_3_1_8_Kcat : 13.7</v>
      </c>
      <c r="F117" s="31" t="str">
        <f t="shared" si="15"/>
        <v>E2_3_1_8_Km :1</v>
      </c>
      <c r="G117" s="31" t="str">
        <f t="shared" si="16"/>
        <v>E2_3_1_8_mRNA:E2_3_1_8_mRNA</v>
      </c>
      <c r="H117" s="31" t="str">
        <f t="shared" si="17"/>
        <v>E2_3_1_8:E2_3_1_8</v>
      </c>
      <c r="I117" s="42" t="str">
        <f t="shared" si="18"/>
        <v>E2_3_1_8_mRNA:0</v>
      </c>
      <c r="J117" s="31" t="str">
        <f t="shared" si="19"/>
        <v>E2_3_1_8:0</v>
      </c>
      <c r="K117" s="31" t="str">
        <f t="shared" si="20"/>
        <v>0.00292 - (0.0093 * E2_3_1_8_mRNA)</v>
      </c>
      <c r="L117" s="31" t="str">
        <f t="shared" si="21"/>
        <v>(0.278 * E2_3_1_8_mRNA) - (0.00000278 * E2_3_1_8)</v>
      </c>
      <c r="M117" s="31" t="str">
        <f t="shared" si="22"/>
        <v>mRNA116: -&gt; E2_3_1_8_mRNA | 0.00292 - (0.0093 * E2_3_1_8_mRNA)</v>
      </c>
      <c r="N117" s="31" t="str">
        <f t="shared" si="23"/>
        <v>Peptide116:E2_3_1_8_mRNA -&gt; E2_3_1_8 | (0.278 * E2_3_1_8_mRNA) -  (0.00000278 * E2_3_1_8)</v>
      </c>
    </row>
    <row r="118" spans="1:14" ht="43.5" x14ac:dyDescent="0.35">
      <c r="A118" s="31">
        <v>117</v>
      </c>
      <c r="B118" s="31" t="s">
        <v>14044</v>
      </c>
      <c r="C118" s="31" t="str">
        <f t="shared" si="12"/>
        <v>E2_3_1_85_mRNA</v>
      </c>
      <c r="D118" s="31" t="str">
        <f t="shared" si="13"/>
        <v>E2_3_1_85</v>
      </c>
      <c r="E118" s="31" t="str">
        <f t="shared" si="14"/>
        <v>E2_3_1_85_Kcat : 13.7</v>
      </c>
      <c r="F118" s="31" t="str">
        <f t="shared" si="15"/>
        <v>E2_3_1_85_Km :1</v>
      </c>
      <c r="G118" s="31" t="str">
        <f t="shared" si="16"/>
        <v>E2_3_1_85_mRNA:E2_3_1_85_mRNA</v>
      </c>
      <c r="H118" s="31" t="str">
        <f t="shared" si="17"/>
        <v>E2_3_1_85:E2_3_1_85</v>
      </c>
      <c r="I118" s="42" t="str">
        <f t="shared" si="18"/>
        <v>E2_3_1_85_mRNA:0</v>
      </c>
      <c r="J118" s="31" t="str">
        <f t="shared" si="19"/>
        <v>E2_3_1_85:0</v>
      </c>
      <c r="K118" s="31" t="str">
        <f t="shared" si="20"/>
        <v>0.00292 - (0.0093 * E2_3_1_85_mRNA)</v>
      </c>
      <c r="L118" s="31" t="str">
        <f t="shared" si="21"/>
        <v>(0.278 * E2_3_1_85_mRNA) - (0.00000278 * E2_3_1_85)</v>
      </c>
      <c r="M118" s="31" t="str">
        <f t="shared" si="22"/>
        <v>mRNA117: -&gt; E2_3_1_85_mRNA | 0.00292 - (0.0093 * E2_3_1_85_mRNA)</v>
      </c>
      <c r="N118" s="31" t="str">
        <f t="shared" si="23"/>
        <v>Peptide117:E2_3_1_85_mRNA -&gt; E2_3_1_85 | (0.278 * E2_3_1_85_mRNA) -  (0.00000278 * E2_3_1_85)</v>
      </c>
    </row>
    <row r="119" spans="1:14" ht="29" x14ac:dyDescent="0.35">
      <c r="A119" s="31">
        <v>118</v>
      </c>
      <c r="B119" s="31" t="s">
        <v>14045</v>
      </c>
      <c r="C119" s="31" t="str">
        <f t="shared" si="12"/>
        <v>E2_3_1_9_mRNA</v>
      </c>
      <c r="D119" s="31" t="str">
        <f t="shared" si="13"/>
        <v>E2_3_1_9</v>
      </c>
      <c r="E119" s="31" t="str">
        <f t="shared" si="14"/>
        <v>E2_3_1_9_Kcat : 13.7</v>
      </c>
      <c r="F119" s="31" t="str">
        <f t="shared" si="15"/>
        <v>E2_3_1_9_Km :1</v>
      </c>
      <c r="G119" s="31" t="str">
        <f t="shared" si="16"/>
        <v>E2_3_1_9_mRNA:E2_3_1_9_mRNA</v>
      </c>
      <c r="H119" s="31" t="str">
        <f t="shared" si="17"/>
        <v>E2_3_1_9:E2_3_1_9</v>
      </c>
      <c r="I119" s="42" t="str">
        <f t="shared" si="18"/>
        <v>E2_3_1_9_mRNA:0</v>
      </c>
      <c r="J119" s="31" t="str">
        <f t="shared" si="19"/>
        <v>E2_3_1_9:0</v>
      </c>
      <c r="K119" s="31" t="str">
        <f t="shared" si="20"/>
        <v>0.00292 - (0.0093 * E2_3_1_9_mRNA)</v>
      </c>
      <c r="L119" s="31" t="str">
        <f t="shared" si="21"/>
        <v>(0.278 * E2_3_1_9_mRNA) - (0.00000278 * E2_3_1_9)</v>
      </c>
      <c r="M119" s="31" t="str">
        <f t="shared" si="22"/>
        <v>mRNA118: -&gt; E2_3_1_9_mRNA | 0.00292 - (0.0093 * E2_3_1_9_mRNA)</v>
      </c>
      <c r="N119" s="31" t="str">
        <f t="shared" si="23"/>
        <v>Peptide118:E2_3_1_9_mRNA -&gt; E2_3_1_9 | (0.278 * E2_3_1_9_mRNA) -  (0.00000278 * E2_3_1_9)</v>
      </c>
    </row>
    <row r="120" spans="1:14" ht="29" x14ac:dyDescent="0.35">
      <c r="A120" s="31">
        <v>119</v>
      </c>
      <c r="B120" s="31" t="s">
        <v>14046</v>
      </c>
      <c r="C120" s="31" t="str">
        <f t="shared" si="12"/>
        <v>E2_3_2_2_mRNA</v>
      </c>
      <c r="D120" s="31" t="str">
        <f t="shared" si="13"/>
        <v>E2_3_2_2</v>
      </c>
      <c r="E120" s="31" t="str">
        <f t="shared" si="14"/>
        <v>E2_3_2_2_Kcat : 13.7</v>
      </c>
      <c r="F120" s="31" t="str">
        <f t="shared" si="15"/>
        <v>E2_3_2_2_Km :1</v>
      </c>
      <c r="G120" s="31" t="str">
        <f t="shared" si="16"/>
        <v>E2_3_2_2_mRNA:E2_3_2_2_mRNA</v>
      </c>
      <c r="H120" s="31" t="str">
        <f t="shared" si="17"/>
        <v>E2_3_2_2:E2_3_2_2</v>
      </c>
      <c r="I120" s="42" t="str">
        <f t="shared" si="18"/>
        <v>E2_3_2_2_mRNA:0</v>
      </c>
      <c r="J120" s="31" t="str">
        <f t="shared" si="19"/>
        <v>E2_3_2_2:0</v>
      </c>
      <c r="K120" s="31" t="str">
        <f t="shared" si="20"/>
        <v>0.00292 - (0.0093 * E2_3_2_2_mRNA)</v>
      </c>
      <c r="L120" s="31" t="str">
        <f t="shared" si="21"/>
        <v>(0.278 * E2_3_2_2_mRNA) - (0.00000278 * E2_3_2_2)</v>
      </c>
      <c r="M120" s="31" t="str">
        <f t="shared" si="22"/>
        <v>mRNA119: -&gt; E2_3_2_2_mRNA | 0.00292 - (0.0093 * E2_3_2_2_mRNA)</v>
      </c>
      <c r="N120" s="31" t="str">
        <f t="shared" si="23"/>
        <v>Peptide119:E2_3_2_2_mRNA -&gt; E2_3_2_2 | (0.278 * E2_3_2_2_mRNA) -  (0.00000278 * E2_3_2_2)</v>
      </c>
    </row>
    <row r="121" spans="1:14" ht="43.5" x14ac:dyDescent="0.35">
      <c r="A121" s="31">
        <v>120</v>
      </c>
      <c r="B121" s="31" t="s">
        <v>14047</v>
      </c>
      <c r="C121" s="31" t="str">
        <f t="shared" si="12"/>
        <v>E2_3_3_13_mRNA</v>
      </c>
      <c r="D121" s="31" t="str">
        <f t="shared" si="13"/>
        <v>E2_3_3_13</v>
      </c>
      <c r="E121" s="31" t="str">
        <f t="shared" si="14"/>
        <v>E2_3_3_13_Kcat : 13.7</v>
      </c>
      <c r="F121" s="31" t="str">
        <f t="shared" si="15"/>
        <v>E2_3_3_13_Km :1</v>
      </c>
      <c r="G121" s="31" t="str">
        <f t="shared" si="16"/>
        <v>E2_3_3_13_mRNA:E2_3_3_13_mRNA</v>
      </c>
      <c r="H121" s="31" t="str">
        <f t="shared" si="17"/>
        <v>E2_3_3_13:E2_3_3_13</v>
      </c>
      <c r="I121" s="42" t="str">
        <f t="shared" si="18"/>
        <v>E2_3_3_13_mRNA:0</v>
      </c>
      <c r="J121" s="31" t="str">
        <f t="shared" si="19"/>
        <v>E2_3_3_13:0</v>
      </c>
      <c r="K121" s="31" t="str">
        <f t="shared" si="20"/>
        <v>0.00292 - (0.0093 * E2_3_3_13_mRNA)</v>
      </c>
      <c r="L121" s="31" t="str">
        <f t="shared" si="21"/>
        <v>(0.278 * E2_3_3_13_mRNA) - (0.00000278 * E2_3_3_13)</v>
      </c>
      <c r="M121" s="31" t="str">
        <f t="shared" si="22"/>
        <v>mRNA120: -&gt; E2_3_3_13_mRNA | 0.00292 - (0.0093 * E2_3_3_13_mRNA)</v>
      </c>
      <c r="N121" s="31" t="str">
        <f t="shared" si="23"/>
        <v>Peptide120:E2_3_3_13_mRNA -&gt; E2_3_3_13 | (0.278 * E2_3_3_13_mRNA) -  (0.00000278 * E2_3_3_13)</v>
      </c>
    </row>
    <row r="122" spans="1:14" ht="43.5" x14ac:dyDescent="0.35">
      <c r="A122" s="31">
        <v>121</v>
      </c>
      <c r="B122" s="31" t="s">
        <v>14048</v>
      </c>
      <c r="C122" s="31" t="str">
        <f t="shared" si="12"/>
        <v>E2_3_3_16_mRNA</v>
      </c>
      <c r="D122" s="31" t="str">
        <f t="shared" si="13"/>
        <v>E2_3_3_16</v>
      </c>
      <c r="E122" s="31" t="str">
        <f t="shared" si="14"/>
        <v>E2_3_3_16_Kcat : 13.7</v>
      </c>
      <c r="F122" s="31" t="str">
        <f t="shared" si="15"/>
        <v>E2_3_3_16_Km :1</v>
      </c>
      <c r="G122" s="31" t="str">
        <f t="shared" si="16"/>
        <v>E2_3_3_16_mRNA:E2_3_3_16_mRNA</v>
      </c>
      <c r="H122" s="31" t="str">
        <f t="shared" si="17"/>
        <v>E2_3_3_16:E2_3_3_16</v>
      </c>
      <c r="I122" s="42" t="str">
        <f t="shared" si="18"/>
        <v>E2_3_3_16_mRNA:0</v>
      </c>
      <c r="J122" s="31" t="str">
        <f t="shared" si="19"/>
        <v>E2_3_3_16:0</v>
      </c>
      <c r="K122" s="31" t="str">
        <f t="shared" si="20"/>
        <v>0.00292 - (0.0093 * E2_3_3_16_mRNA)</v>
      </c>
      <c r="L122" s="31" t="str">
        <f t="shared" si="21"/>
        <v>(0.278 * E2_3_3_16_mRNA) - (0.00000278 * E2_3_3_16)</v>
      </c>
      <c r="M122" s="31" t="str">
        <f t="shared" si="22"/>
        <v>mRNA121: -&gt; E2_3_3_16_mRNA | 0.00292 - (0.0093 * E2_3_3_16_mRNA)</v>
      </c>
      <c r="N122" s="31" t="str">
        <f t="shared" si="23"/>
        <v>Peptide121:E2_3_3_16_mRNA -&gt; E2_3_3_16 | (0.278 * E2_3_3_16_mRNA) -  (0.00000278 * E2_3_3_16)</v>
      </c>
    </row>
    <row r="123" spans="1:14" ht="29" x14ac:dyDescent="0.35">
      <c r="A123" s="31">
        <v>122</v>
      </c>
      <c r="B123" s="31" t="s">
        <v>14050</v>
      </c>
      <c r="C123" s="31" t="str">
        <f t="shared" si="12"/>
        <v>E2_3_3_5_mRNA</v>
      </c>
      <c r="D123" s="31" t="str">
        <f t="shared" si="13"/>
        <v>E2_3_3_5</v>
      </c>
      <c r="E123" s="31" t="str">
        <f t="shared" si="14"/>
        <v>E2_3_3_5_Kcat : 13.7</v>
      </c>
      <c r="F123" s="31" t="str">
        <f t="shared" si="15"/>
        <v>E2_3_3_5_Km :1</v>
      </c>
      <c r="G123" s="31" t="str">
        <f t="shared" si="16"/>
        <v>E2_3_3_5_mRNA:E2_3_3_5_mRNA</v>
      </c>
      <c r="H123" s="31" t="str">
        <f t="shared" si="17"/>
        <v>E2_3_3_5:E2_3_3_5</v>
      </c>
      <c r="I123" s="42" t="str">
        <f t="shared" si="18"/>
        <v>E2_3_3_5_mRNA:0</v>
      </c>
      <c r="J123" s="31" t="str">
        <f t="shared" si="19"/>
        <v>E2_3_3_5:0</v>
      </c>
      <c r="K123" s="31" t="str">
        <f t="shared" si="20"/>
        <v>0.00292 - (0.0093 * E2_3_3_5_mRNA)</v>
      </c>
      <c r="L123" s="31" t="str">
        <f t="shared" si="21"/>
        <v>(0.278 * E2_3_3_5_mRNA) - (0.00000278 * E2_3_3_5)</v>
      </c>
      <c r="M123" s="31" t="str">
        <f t="shared" si="22"/>
        <v>mRNA122: -&gt; E2_3_3_5_mRNA | 0.00292 - (0.0093 * E2_3_3_5_mRNA)</v>
      </c>
      <c r="N123" s="31" t="str">
        <f t="shared" si="23"/>
        <v>Peptide122:E2_3_3_5_mRNA -&gt; E2_3_3_5 | (0.278 * E2_3_3_5_mRNA) -  (0.00000278 * E2_3_3_5)</v>
      </c>
    </row>
    <row r="124" spans="1:14" ht="29" x14ac:dyDescent="0.35">
      <c r="A124" s="31">
        <v>123</v>
      </c>
      <c r="B124" s="31" t="s">
        <v>14051</v>
      </c>
      <c r="C124" s="31" t="str">
        <f t="shared" si="12"/>
        <v>E2_3_3_9_mRNA</v>
      </c>
      <c r="D124" s="31" t="str">
        <f t="shared" si="13"/>
        <v>E2_3_3_9</v>
      </c>
      <c r="E124" s="31" t="str">
        <f t="shared" si="14"/>
        <v>E2_3_3_9_Kcat : 13.7</v>
      </c>
      <c r="F124" s="31" t="str">
        <f t="shared" si="15"/>
        <v>E2_3_3_9_Km :1</v>
      </c>
      <c r="G124" s="31" t="str">
        <f t="shared" si="16"/>
        <v>E2_3_3_9_mRNA:E2_3_3_9_mRNA</v>
      </c>
      <c r="H124" s="31" t="str">
        <f t="shared" si="17"/>
        <v>E2_3_3_9:E2_3_3_9</v>
      </c>
      <c r="I124" s="42" t="str">
        <f t="shared" si="18"/>
        <v>E2_3_3_9_mRNA:0</v>
      </c>
      <c r="J124" s="31" t="str">
        <f t="shared" si="19"/>
        <v>E2_3_3_9:0</v>
      </c>
      <c r="K124" s="31" t="str">
        <f t="shared" si="20"/>
        <v>0.00292 - (0.0093 * E2_3_3_9_mRNA)</v>
      </c>
      <c r="L124" s="31" t="str">
        <f t="shared" si="21"/>
        <v>(0.278 * E2_3_3_9_mRNA) - (0.00000278 * E2_3_3_9)</v>
      </c>
      <c r="M124" s="31" t="str">
        <f t="shared" si="22"/>
        <v>mRNA123: -&gt; E2_3_3_9_mRNA | 0.00292 - (0.0093 * E2_3_3_9_mRNA)</v>
      </c>
      <c r="N124" s="31" t="str">
        <f t="shared" si="23"/>
        <v>Peptide123:E2_3_3_9_mRNA -&gt; E2_3_3_9 | (0.278 * E2_3_3_9_mRNA) -  (0.00000278 * E2_3_3_9)</v>
      </c>
    </row>
    <row r="125" spans="1:14" ht="43.5" x14ac:dyDescent="0.35">
      <c r="A125" s="31">
        <v>124</v>
      </c>
      <c r="B125" s="31" t="s">
        <v>14052</v>
      </c>
      <c r="C125" s="31" t="str">
        <f t="shared" si="12"/>
        <v>E2_4_1_109_mRNA</v>
      </c>
      <c r="D125" s="31" t="str">
        <f t="shared" si="13"/>
        <v>E2_4_1_109</v>
      </c>
      <c r="E125" s="31" t="str">
        <f t="shared" si="14"/>
        <v>E2_4_1_109_Kcat : 13.7</v>
      </c>
      <c r="F125" s="31" t="str">
        <f t="shared" si="15"/>
        <v>E2_4_1_109_Km :1</v>
      </c>
      <c r="G125" s="31" t="str">
        <f t="shared" si="16"/>
        <v>E2_4_1_109_mRNA:E2_4_1_109_mRNA</v>
      </c>
      <c r="H125" s="31" t="str">
        <f t="shared" si="17"/>
        <v>E2_4_1_109:E2_4_1_109</v>
      </c>
      <c r="I125" s="42" t="str">
        <f t="shared" si="18"/>
        <v>E2_4_1_109_mRNA:0</v>
      </c>
      <c r="J125" s="31" t="str">
        <f t="shared" si="19"/>
        <v>E2_4_1_109:0</v>
      </c>
      <c r="K125" s="31" t="str">
        <f t="shared" si="20"/>
        <v>0.00292 - (0.0093 * E2_4_1_109_mRNA)</v>
      </c>
      <c r="L125" s="31" t="str">
        <f t="shared" si="21"/>
        <v>(0.278 * E2_4_1_109_mRNA) - (0.00000278 * E2_4_1_109)</v>
      </c>
      <c r="M125" s="31" t="str">
        <f t="shared" si="22"/>
        <v>mRNA124: -&gt; E2_4_1_109_mRNA | 0.00292 - (0.0093 * E2_4_1_109_mRNA)</v>
      </c>
      <c r="N125" s="31" t="str">
        <f t="shared" si="23"/>
        <v>Peptide124:E2_4_1_109_mRNA -&gt; E2_4_1_109 | (0.278 * E2_4_1_109_mRNA) -  (0.00000278 * E2_4_1_109)</v>
      </c>
    </row>
    <row r="126" spans="1:14" ht="43.5" x14ac:dyDescent="0.35">
      <c r="A126" s="31">
        <v>125</v>
      </c>
      <c r="B126" s="31" t="s">
        <v>14053</v>
      </c>
      <c r="C126" s="31" t="str">
        <f t="shared" si="12"/>
        <v>E2_4_1_15_mRNA</v>
      </c>
      <c r="D126" s="31" t="str">
        <f t="shared" si="13"/>
        <v>E2_4_1_15</v>
      </c>
      <c r="E126" s="31" t="str">
        <f t="shared" si="14"/>
        <v>E2_4_1_15_Kcat : 13.7</v>
      </c>
      <c r="F126" s="31" t="str">
        <f t="shared" si="15"/>
        <v>E2_4_1_15_Km :1</v>
      </c>
      <c r="G126" s="31" t="str">
        <f t="shared" si="16"/>
        <v>E2_4_1_15_mRNA:E2_4_1_15_mRNA</v>
      </c>
      <c r="H126" s="31" t="str">
        <f t="shared" si="17"/>
        <v>E2_4_1_15:E2_4_1_15</v>
      </c>
      <c r="I126" s="42" t="str">
        <f t="shared" si="18"/>
        <v>E2_4_1_15_mRNA:0</v>
      </c>
      <c r="J126" s="31" t="str">
        <f t="shared" si="19"/>
        <v>E2_4_1_15:0</v>
      </c>
      <c r="K126" s="31" t="str">
        <f t="shared" si="20"/>
        <v>0.00292 - (0.0093 * E2_4_1_15_mRNA)</v>
      </c>
      <c r="L126" s="31" t="str">
        <f t="shared" si="21"/>
        <v>(0.278 * E2_4_1_15_mRNA) - (0.00000278 * E2_4_1_15)</v>
      </c>
      <c r="M126" s="31" t="str">
        <f t="shared" si="22"/>
        <v>mRNA125: -&gt; E2_4_1_15_mRNA | 0.00292 - (0.0093 * E2_4_1_15_mRNA)</v>
      </c>
      <c r="N126" s="31" t="str">
        <f t="shared" si="23"/>
        <v>Peptide125:E2_4_1_15_mRNA -&gt; E2_4_1_15 | (0.278 * E2_4_1_15_mRNA) -  (0.00000278 * E2_4_1_15)</v>
      </c>
    </row>
    <row r="127" spans="1:14" ht="43.5" x14ac:dyDescent="0.35">
      <c r="A127" s="31">
        <v>126</v>
      </c>
      <c r="B127" s="31" t="s">
        <v>14054</v>
      </c>
      <c r="C127" s="31" t="str">
        <f t="shared" si="12"/>
        <v>E2_4_1_18_mRNA</v>
      </c>
      <c r="D127" s="31" t="str">
        <f t="shared" si="13"/>
        <v>E2_4_1_18</v>
      </c>
      <c r="E127" s="31" t="str">
        <f t="shared" si="14"/>
        <v>E2_4_1_18_Kcat : 13.7</v>
      </c>
      <c r="F127" s="31" t="str">
        <f t="shared" si="15"/>
        <v>E2_4_1_18_Km :1</v>
      </c>
      <c r="G127" s="31" t="str">
        <f t="shared" si="16"/>
        <v>E2_4_1_18_mRNA:E2_4_1_18_mRNA</v>
      </c>
      <c r="H127" s="31" t="str">
        <f t="shared" si="17"/>
        <v>E2_4_1_18:E2_4_1_18</v>
      </c>
      <c r="I127" s="42" t="str">
        <f t="shared" si="18"/>
        <v>E2_4_1_18_mRNA:0</v>
      </c>
      <c r="J127" s="31" t="str">
        <f t="shared" si="19"/>
        <v>E2_4_1_18:0</v>
      </c>
      <c r="K127" s="31" t="str">
        <f t="shared" si="20"/>
        <v>0.00292 - (0.0093 * E2_4_1_18_mRNA)</v>
      </c>
      <c r="L127" s="31" t="str">
        <f t="shared" si="21"/>
        <v>(0.278 * E2_4_1_18_mRNA) - (0.00000278 * E2_4_1_18)</v>
      </c>
      <c r="M127" s="31" t="str">
        <f t="shared" si="22"/>
        <v>mRNA126: -&gt; E2_4_1_18_mRNA | 0.00292 - (0.0093 * E2_4_1_18_mRNA)</v>
      </c>
      <c r="N127" s="31" t="str">
        <f t="shared" si="23"/>
        <v>Peptide126:E2_4_1_18_mRNA -&gt; E2_4_1_18 | (0.278 * E2_4_1_18_mRNA) -  (0.00000278 * E2_4_1_18)</v>
      </c>
    </row>
    <row r="128" spans="1:14" ht="43.5" x14ac:dyDescent="0.35">
      <c r="A128" s="31">
        <v>127</v>
      </c>
      <c r="B128" s="31" t="s">
        <v>14055</v>
      </c>
      <c r="C128" s="31" t="str">
        <f t="shared" si="12"/>
        <v>E2_4_1_21_mRNA</v>
      </c>
      <c r="D128" s="31" t="str">
        <f t="shared" si="13"/>
        <v>E2_4_1_21</v>
      </c>
      <c r="E128" s="31" t="str">
        <f t="shared" si="14"/>
        <v>E2_4_1_21_Kcat : 13.7</v>
      </c>
      <c r="F128" s="31" t="str">
        <f t="shared" si="15"/>
        <v>E2_4_1_21_Km :1</v>
      </c>
      <c r="G128" s="31" t="str">
        <f t="shared" si="16"/>
        <v>E2_4_1_21_mRNA:E2_4_1_21_mRNA</v>
      </c>
      <c r="H128" s="31" t="str">
        <f t="shared" si="17"/>
        <v>E2_4_1_21:E2_4_1_21</v>
      </c>
      <c r="I128" s="42" t="str">
        <f t="shared" si="18"/>
        <v>E2_4_1_21_mRNA:0</v>
      </c>
      <c r="J128" s="31" t="str">
        <f t="shared" si="19"/>
        <v>E2_4_1_21:0</v>
      </c>
      <c r="K128" s="31" t="str">
        <f t="shared" si="20"/>
        <v>0.00292 - (0.0093 * E2_4_1_21_mRNA)</v>
      </c>
      <c r="L128" s="31" t="str">
        <f t="shared" si="21"/>
        <v>(0.278 * E2_4_1_21_mRNA) - (0.00000278 * E2_4_1_21)</v>
      </c>
      <c r="M128" s="31" t="str">
        <f t="shared" si="22"/>
        <v>mRNA127: -&gt; E2_4_1_21_mRNA | 0.00292 - (0.0093 * E2_4_1_21_mRNA)</v>
      </c>
      <c r="N128" s="31" t="str">
        <f t="shared" si="23"/>
        <v>Peptide127:E2_4_1_21_mRNA -&gt; E2_4_1_21 | (0.278 * E2_4_1_21_mRNA) -  (0.00000278 * E2_4_1_21)</v>
      </c>
    </row>
    <row r="129" spans="1:14" ht="43.5" x14ac:dyDescent="0.35">
      <c r="A129" s="31">
        <v>128</v>
      </c>
      <c r="B129" s="31" t="s">
        <v>14056</v>
      </c>
      <c r="C129" s="31" t="str">
        <f t="shared" ref="C129:C191" si="24">CONCATENATE(D129,"_mRNA")</f>
        <v>E2_4_1_227_mRNA</v>
      </c>
      <c r="D129" s="31" t="str">
        <f t="shared" ref="D129:D191" si="25">CONCATENATE("E",B129)</f>
        <v>E2_4_1_227</v>
      </c>
      <c r="E129" s="31" t="str">
        <f t="shared" ref="E129:E191" si="26">CONCATENATE(D129,"_Kcat : 13.7")</f>
        <v>E2_4_1_227_Kcat : 13.7</v>
      </c>
      <c r="F129" s="31" t="str">
        <f t="shared" ref="F129:F191" si="27">CONCATENATE(D129,"_Km :1")</f>
        <v>E2_4_1_227_Km :1</v>
      </c>
      <c r="G129" s="31" t="str">
        <f t="shared" ref="G129:G191" si="28">CONCATENATE(C129,":",C129)</f>
        <v>E2_4_1_227_mRNA:E2_4_1_227_mRNA</v>
      </c>
      <c r="H129" s="31" t="str">
        <f t="shared" ref="H129:H191" si="29">CONCATENATE(D129,":",D129)</f>
        <v>E2_4_1_227:E2_4_1_227</v>
      </c>
      <c r="I129" s="42" t="str">
        <f t="shared" ref="I129:I191" si="30">CONCATENATE(C129,":","0")</f>
        <v>E2_4_1_227_mRNA:0</v>
      </c>
      <c r="J129" s="31" t="str">
        <f t="shared" ref="J129:J191" si="31">CONCATENATE(D129,":","0")</f>
        <v>E2_4_1_227:0</v>
      </c>
      <c r="K129" s="31" t="str">
        <f t="shared" ref="K129:K191" si="32">CONCATENATE("0.00292 - (0.0093 * ",C129,")")</f>
        <v>0.00292 - (0.0093 * E2_4_1_227_mRNA)</v>
      </c>
      <c r="L129" s="31" t="str">
        <f t="shared" ref="L129:L191" si="33">CONCATENATE("(0.278 * ",C129,")", " - (0.00000278 * ",D129,")")</f>
        <v>(0.278 * E2_4_1_227_mRNA) - (0.00000278 * E2_4_1_227)</v>
      </c>
      <c r="M129" s="31" t="str">
        <f t="shared" ref="M129:M191" si="34">CONCATENATE("mRNA",A129,": -&gt; ",C129," | ","0.00292", " -"," (","0.0093"," * ",C129,")")</f>
        <v>mRNA128: -&gt; E2_4_1_227_mRNA | 0.00292 - (0.0093 * E2_4_1_227_mRNA)</v>
      </c>
      <c r="N129" s="31" t="str">
        <f t="shared" ref="N129:N191" si="35">CONCATENATE("Peptide",A129,":",C129," -&gt; ",D129," | ","(","0.278"," * ",C129,")"," - "," (","0.00000278"," * ",D129,")")</f>
        <v>Peptide128:E2_4_1_227_mRNA -&gt; E2_4_1_227 | (0.278 * E2_4_1_227_mRNA) -  (0.00000278 * E2_4_1_227)</v>
      </c>
    </row>
    <row r="130" spans="1:14" ht="43.5" x14ac:dyDescent="0.35">
      <c r="A130" s="31">
        <v>129</v>
      </c>
      <c r="B130" s="31" t="s">
        <v>14057</v>
      </c>
      <c r="C130" s="31" t="str">
        <f t="shared" si="24"/>
        <v>E2_4_1_25_mRNA</v>
      </c>
      <c r="D130" s="31" t="str">
        <f t="shared" si="25"/>
        <v>E2_4_1_25</v>
      </c>
      <c r="E130" s="31" t="str">
        <f t="shared" si="26"/>
        <v>E2_4_1_25_Kcat : 13.7</v>
      </c>
      <c r="F130" s="31" t="str">
        <f t="shared" si="27"/>
        <v>E2_4_1_25_Km :1</v>
      </c>
      <c r="G130" s="31" t="str">
        <f t="shared" si="28"/>
        <v>E2_4_1_25_mRNA:E2_4_1_25_mRNA</v>
      </c>
      <c r="H130" s="31" t="str">
        <f t="shared" si="29"/>
        <v>E2_4_1_25:E2_4_1_25</v>
      </c>
      <c r="I130" s="42" t="str">
        <f t="shared" si="30"/>
        <v>E2_4_1_25_mRNA:0</v>
      </c>
      <c r="J130" s="31" t="str">
        <f t="shared" si="31"/>
        <v>E2_4_1_25:0</v>
      </c>
      <c r="K130" s="31" t="str">
        <f t="shared" si="32"/>
        <v>0.00292 - (0.0093 * E2_4_1_25_mRNA)</v>
      </c>
      <c r="L130" s="31" t="str">
        <f t="shared" si="33"/>
        <v>(0.278 * E2_4_1_25_mRNA) - (0.00000278 * E2_4_1_25)</v>
      </c>
      <c r="M130" s="31" t="str">
        <f t="shared" si="34"/>
        <v>mRNA129: -&gt; E2_4_1_25_mRNA | 0.00292 - (0.0093 * E2_4_1_25_mRNA)</v>
      </c>
      <c r="N130" s="31" t="str">
        <f t="shared" si="35"/>
        <v>Peptide129:E2_4_1_25_mRNA -&gt; E2_4_1_25 | (0.278 * E2_4_1_25_mRNA) -  (0.00000278 * E2_4_1_25)</v>
      </c>
    </row>
    <row r="131" spans="1:14" ht="43.5" x14ac:dyDescent="0.35">
      <c r="A131" s="31">
        <v>130</v>
      </c>
      <c r="B131" s="31" t="s">
        <v>14058</v>
      </c>
      <c r="C131" s="31" t="str">
        <f t="shared" si="24"/>
        <v>E2_4_1_250_mRNA</v>
      </c>
      <c r="D131" s="31" t="str">
        <f t="shared" si="25"/>
        <v>E2_4_1_250</v>
      </c>
      <c r="E131" s="31" t="str">
        <f t="shared" si="26"/>
        <v>E2_4_1_250_Kcat : 13.7</v>
      </c>
      <c r="F131" s="31" t="str">
        <f t="shared" si="27"/>
        <v>E2_4_1_250_Km :1</v>
      </c>
      <c r="G131" s="31" t="str">
        <f t="shared" si="28"/>
        <v>E2_4_1_250_mRNA:E2_4_1_250_mRNA</v>
      </c>
      <c r="H131" s="31" t="str">
        <f t="shared" si="29"/>
        <v>E2_4_1_250:E2_4_1_250</v>
      </c>
      <c r="I131" s="42" t="str">
        <f t="shared" si="30"/>
        <v>E2_4_1_250_mRNA:0</v>
      </c>
      <c r="J131" s="31" t="str">
        <f t="shared" si="31"/>
        <v>E2_4_1_250:0</v>
      </c>
      <c r="K131" s="31" t="str">
        <f t="shared" si="32"/>
        <v>0.00292 - (0.0093 * E2_4_1_250_mRNA)</v>
      </c>
      <c r="L131" s="31" t="str">
        <f t="shared" si="33"/>
        <v>(0.278 * E2_4_1_250_mRNA) - (0.00000278 * E2_4_1_250)</v>
      </c>
      <c r="M131" s="31" t="str">
        <f t="shared" si="34"/>
        <v>mRNA130: -&gt; E2_4_1_250_mRNA | 0.00292 - (0.0093 * E2_4_1_250_mRNA)</v>
      </c>
      <c r="N131" s="31" t="str">
        <f t="shared" si="35"/>
        <v>Peptide130:E2_4_1_250_mRNA -&gt; E2_4_1_250 | (0.278 * E2_4_1_250_mRNA) -  (0.00000278 * E2_4_1_250)</v>
      </c>
    </row>
    <row r="132" spans="1:14" ht="43.5" x14ac:dyDescent="0.35">
      <c r="A132" s="31">
        <v>131</v>
      </c>
      <c r="B132" s="31" t="s">
        <v>14059</v>
      </c>
      <c r="C132" s="31" t="str">
        <f t="shared" si="24"/>
        <v>E2_4_1_266_mRNA</v>
      </c>
      <c r="D132" s="31" t="str">
        <f t="shared" si="25"/>
        <v>E2_4_1_266</v>
      </c>
      <c r="E132" s="31" t="str">
        <f t="shared" si="26"/>
        <v>E2_4_1_266_Kcat : 13.7</v>
      </c>
      <c r="F132" s="31" t="str">
        <f t="shared" si="27"/>
        <v>E2_4_1_266_Km :1</v>
      </c>
      <c r="G132" s="31" t="str">
        <f t="shared" si="28"/>
        <v>E2_4_1_266_mRNA:E2_4_1_266_mRNA</v>
      </c>
      <c r="H132" s="31" t="str">
        <f t="shared" si="29"/>
        <v>E2_4_1_266:E2_4_1_266</v>
      </c>
      <c r="I132" s="42" t="str">
        <f t="shared" si="30"/>
        <v>E2_4_1_266_mRNA:0</v>
      </c>
      <c r="J132" s="31" t="str">
        <f t="shared" si="31"/>
        <v>E2_4_1_266:0</v>
      </c>
      <c r="K132" s="31" t="str">
        <f t="shared" si="32"/>
        <v>0.00292 - (0.0093 * E2_4_1_266_mRNA)</v>
      </c>
      <c r="L132" s="31" t="str">
        <f t="shared" si="33"/>
        <v>(0.278 * E2_4_1_266_mRNA) - (0.00000278 * E2_4_1_266)</v>
      </c>
      <c r="M132" s="31" t="str">
        <f t="shared" si="34"/>
        <v>mRNA131: -&gt; E2_4_1_266_mRNA | 0.00292 - (0.0093 * E2_4_1_266_mRNA)</v>
      </c>
      <c r="N132" s="31" t="str">
        <f t="shared" si="35"/>
        <v>Peptide131:E2_4_1_266_mRNA -&gt; E2_4_1_266 | (0.278 * E2_4_1_266_mRNA) -  (0.00000278 * E2_4_1_266)</v>
      </c>
    </row>
    <row r="133" spans="1:14" ht="43.5" x14ac:dyDescent="0.35">
      <c r="A133" s="31">
        <v>132</v>
      </c>
      <c r="B133" s="31" t="s">
        <v>14060</v>
      </c>
      <c r="C133" s="31" t="str">
        <f t="shared" si="24"/>
        <v>E2_4_1_287_mRNA</v>
      </c>
      <c r="D133" s="31" t="str">
        <f t="shared" si="25"/>
        <v>E2_4_1_287</v>
      </c>
      <c r="E133" s="31" t="str">
        <f t="shared" si="26"/>
        <v>E2_4_1_287_Kcat : 13.7</v>
      </c>
      <c r="F133" s="31" t="str">
        <f t="shared" si="27"/>
        <v>E2_4_1_287_Km :1</v>
      </c>
      <c r="G133" s="31" t="str">
        <f t="shared" si="28"/>
        <v>E2_4_1_287_mRNA:E2_4_1_287_mRNA</v>
      </c>
      <c r="H133" s="31" t="str">
        <f t="shared" si="29"/>
        <v>E2_4_1_287:E2_4_1_287</v>
      </c>
      <c r="I133" s="42" t="str">
        <f t="shared" si="30"/>
        <v>E2_4_1_287_mRNA:0</v>
      </c>
      <c r="J133" s="31" t="str">
        <f t="shared" si="31"/>
        <v>E2_4_1_287:0</v>
      </c>
      <c r="K133" s="31" t="str">
        <f t="shared" si="32"/>
        <v>0.00292 - (0.0093 * E2_4_1_287_mRNA)</v>
      </c>
      <c r="L133" s="31" t="str">
        <f t="shared" si="33"/>
        <v>(0.278 * E2_4_1_287_mRNA) - (0.00000278 * E2_4_1_287)</v>
      </c>
      <c r="M133" s="31" t="str">
        <f t="shared" si="34"/>
        <v>mRNA132: -&gt; E2_4_1_287_mRNA | 0.00292 - (0.0093 * E2_4_1_287_mRNA)</v>
      </c>
      <c r="N133" s="31" t="str">
        <f t="shared" si="35"/>
        <v>Peptide132:E2_4_1_287_mRNA -&gt; E2_4_1_287 | (0.278 * E2_4_1_287_mRNA) -  (0.00000278 * E2_4_1_287)</v>
      </c>
    </row>
    <row r="134" spans="1:14" ht="43.5" x14ac:dyDescent="0.35">
      <c r="A134" s="31">
        <v>133</v>
      </c>
      <c r="B134" s="31" t="s">
        <v>14061</v>
      </c>
      <c r="C134" s="31" t="str">
        <f t="shared" si="24"/>
        <v>E2_4_1_346_mRNA</v>
      </c>
      <c r="D134" s="31" t="str">
        <f t="shared" si="25"/>
        <v>E2_4_1_346</v>
      </c>
      <c r="E134" s="31" t="str">
        <f t="shared" si="26"/>
        <v>E2_4_1_346_Kcat : 13.7</v>
      </c>
      <c r="F134" s="31" t="str">
        <f t="shared" si="27"/>
        <v>E2_4_1_346_Km :1</v>
      </c>
      <c r="G134" s="31" t="str">
        <f t="shared" si="28"/>
        <v>E2_4_1_346_mRNA:E2_4_1_346_mRNA</v>
      </c>
      <c r="H134" s="31" t="str">
        <f t="shared" si="29"/>
        <v>E2_4_1_346:E2_4_1_346</v>
      </c>
      <c r="I134" s="42" t="str">
        <f t="shared" si="30"/>
        <v>E2_4_1_346_mRNA:0</v>
      </c>
      <c r="J134" s="31" t="str">
        <f t="shared" si="31"/>
        <v>E2_4_1_346:0</v>
      </c>
      <c r="K134" s="31" t="str">
        <f t="shared" si="32"/>
        <v>0.00292 - (0.0093 * E2_4_1_346_mRNA)</v>
      </c>
      <c r="L134" s="31" t="str">
        <f t="shared" si="33"/>
        <v>(0.278 * E2_4_1_346_mRNA) - (0.00000278 * E2_4_1_346)</v>
      </c>
      <c r="M134" s="31" t="str">
        <f t="shared" si="34"/>
        <v>mRNA133: -&gt; E2_4_1_346_mRNA | 0.00292 - (0.0093 * E2_4_1_346_mRNA)</v>
      </c>
      <c r="N134" s="31" t="str">
        <f t="shared" si="35"/>
        <v>Peptide133:E2_4_1_346_mRNA -&gt; E2_4_1_346 | (0.278 * E2_4_1_346_mRNA) -  (0.00000278 * E2_4_1_346)</v>
      </c>
    </row>
    <row r="135" spans="1:14" ht="43.5" x14ac:dyDescent="0.35">
      <c r="A135" s="31">
        <v>134</v>
      </c>
      <c r="B135" s="31" t="s">
        <v>14062</v>
      </c>
      <c r="C135" s="31" t="str">
        <f t="shared" si="24"/>
        <v>E2_4_2_10_mRNA</v>
      </c>
      <c r="D135" s="31" t="str">
        <f t="shared" si="25"/>
        <v>E2_4_2_10</v>
      </c>
      <c r="E135" s="31" t="str">
        <f t="shared" si="26"/>
        <v>E2_4_2_10_Kcat : 13.7</v>
      </c>
      <c r="F135" s="31" t="str">
        <f t="shared" si="27"/>
        <v>E2_4_2_10_Km :1</v>
      </c>
      <c r="G135" s="31" t="str">
        <f t="shared" si="28"/>
        <v>E2_4_2_10_mRNA:E2_4_2_10_mRNA</v>
      </c>
      <c r="H135" s="31" t="str">
        <f t="shared" si="29"/>
        <v>E2_4_2_10:E2_4_2_10</v>
      </c>
      <c r="I135" s="42" t="str">
        <f t="shared" si="30"/>
        <v>E2_4_2_10_mRNA:0</v>
      </c>
      <c r="J135" s="31" t="str">
        <f t="shared" si="31"/>
        <v>E2_4_2_10:0</v>
      </c>
      <c r="K135" s="31" t="str">
        <f t="shared" si="32"/>
        <v>0.00292 - (0.0093 * E2_4_2_10_mRNA)</v>
      </c>
      <c r="L135" s="31" t="str">
        <f t="shared" si="33"/>
        <v>(0.278 * E2_4_2_10_mRNA) - (0.00000278 * E2_4_2_10)</v>
      </c>
      <c r="M135" s="31" t="str">
        <f t="shared" si="34"/>
        <v>mRNA134: -&gt; E2_4_2_10_mRNA | 0.00292 - (0.0093 * E2_4_2_10_mRNA)</v>
      </c>
      <c r="N135" s="31" t="str">
        <f t="shared" si="35"/>
        <v>Peptide134:E2_4_2_10_mRNA -&gt; E2_4_2_10 | (0.278 * E2_4_2_10_mRNA) -  (0.00000278 * E2_4_2_10)</v>
      </c>
    </row>
    <row r="136" spans="1:14" ht="43.5" x14ac:dyDescent="0.35">
      <c r="A136" s="31">
        <v>135</v>
      </c>
      <c r="B136" s="31" t="s">
        <v>14063</v>
      </c>
      <c r="C136" s="31" t="str">
        <f t="shared" si="24"/>
        <v>E2_4_2_14_mRNA</v>
      </c>
      <c r="D136" s="31" t="str">
        <f t="shared" si="25"/>
        <v>E2_4_2_14</v>
      </c>
      <c r="E136" s="31" t="str">
        <f t="shared" si="26"/>
        <v>E2_4_2_14_Kcat : 13.7</v>
      </c>
      <c r="F136" s="31" t="str">
        <f t="shared" si="27"/>
        <v>E2_4_2_14_Km :1</v>
      </c>
      <c r="G136" s="31" t="str">
        <f t="shared" si="28"/>
        <v>E2_4_2_14_mRNA:E2_4_2_14_mRNA</v>
      </c>
      <c r="H136" s="31" t="str">
        <f t="shared" si="29"/>
        <v>E2_4_2_14:E2_4_2_14</v>
      </c>
      <c r="I136" s="42" t="str">
        <f t="shared" si="30"/>
        <v>E2_4_2_14_mRNA:0</v>
      </c>
      <c r="J136" s="31" t="str">
        <f t="shared" si="31"/>
        <v>E2_4_2_14:0</v>
      </c>
      <c r="K136" s="31" t="str">
        <f t="shared" si="32"/>
        <v>0.00292 - (0.0093 * E2_4_2_14_mRNA)</v>
      </c>
      <c r="L136" s="31" t="str">
        <f t="shared" si="33"/>
        <v>(0.278 * E2_4_2_14_mRNA) - (0.00000278 * E2_4_2_14)</v>
      </c>
      <c r="M136" s="31" t="str">
        <f t="shared" si="34"/>
        <v>mRNA135: -&gt; E2_4_2_14_mRNA | 0.00292 - (0.0093 * E2_4_2_14_mRNA)</v>
      </c>
      <c r="N136" s="31" t="str">
        <f t="shared" si="35"/>
        <v>Peptide135:E2_4_2_14_mRNA -&gt; E2_4_2_14 | (0.278 * E2_4_2_14_mRNA) -  (0.00000278 * E2_4_2_14)</v>
      </c>
    </row>
    <row r="137" spans="1:14" ht="43.5" x14ac:dyDescent="0.35">
      <c r="A137" s="31">
        <v>136</v>
      </c>
      <c r="B137" s="31" t="s">
        <v>14064</v>
      </c>
      <c r="C137" s="31" t="str">
        <f t="shared" si="24"/>
        <v>E2_4_2_17_mRNA</v>
      </c>
      <c r="D137" s="31" t="str">
        <f t="shared" si="25"/>
        <v>E2_4_2_17</v>
      </c>
      <c r="E137" s="31" t="str">
        <f t="shared" si="26"/>
        <v>E2_4_2_17_Kcat : 13.7</v>
      </c>
      <c r="F137" s="31" t="str">
        <f t="shared" si="27"/>
        <v>E2_4_2_17_Km :1</v>
      </c>
      <c r="G137" s="31" t="str">
        <f t="shared" si="28"/>
        <v>E2_4_2_17_mRNA:E2_4_2_17_mRNA</v>
      </c>
      <c r="H137" s="31" t="str">
        <f t="shared" si="29"/>
        <v>E2_4_2_17:E2_4_2_17</v>
      </c>
      <c r="I137" s="42" t="str">
        <f t="shared" si="30"/>
        <v>E2_4_2_17_mRNA:0</v>
      </c>
      <c r="J137" s="31" t="str">
        <f t="shared" si="31"/>
        <v>E2_4_2_17:0</v>
      </c>
      <c r="K137" s="31" t="str">
        <f t="shared" si="32"/>
        <v>0.00292 - (0.0093 * E2_4_2_17_mRNA)</v>
      </c>
      <c r="L137" s="31" t="str">
        <f t="shared" si="33"/>
        <v>(0.278 * E2_4_2_17_mRNA) - (0.00000278 * E2_4_2_17)</v>
      </c>
      <c r="M137" s="31" t="str">
        <f t="shared" si="34"/>
        <v>mRNA136: -&gt; E2_4_2_17_mRNA | 0.00292 - (0.0093 * E2_4_2_17_mRNA)</v>
      </c>
      <c r="N137" s="31" t="str">
        <f t="shared" si="35"/>
        <v>Peptide136:E2_4_2_17_mRNA -&gt; E2_4_2_17 | (0.278 * E2_4_2_17_mRNA) -  (0.00000278 * E2_4_2_17)</v>
      </c>
    </row>
    <row r="138" spans="1:14" ht="43.5" x14ac:dyDescent="0.35">
      <c r="A138" s="31">
        <v>137</v>
      </c>
      <c r="B138" s="31" t="s">
        <v>14065</v>
      </c>
      <c r="C138" s="31" t="str">
        <f t="shared" si="24"/>
        <v>E2_4_2_18_mRNA</v>
      </c>
      <c r="D138" s="31" t="str">
        <f t="shared" si="25"/>
        <v>E2_4_2_18</v>
      </c>
      <c r="E138" s="31" t="str">
        <f t="shared" si="26"/>
        <v>E2_4_2_18_Kcat : 13.7</v>
      </c>
      <c r="F138" s="31" t="str">
        <f t="shared" si="27"/>
        <v>E2_4_2_18_Km :1</v>
      </c>
      <c r="G138" s="31" t="str">
        <f t="shared" si="28"/>
        <v>E2_4_2_18_mRNA:E2_4_2_18_mRNA</v>
      </c>
      <c r="H138" s="31" t="str">
        <f t="shared" si="29"/>
        <v>E2_4_2_18:E2_4_2_18</v>
      </c>
      <c r="I138" s="42" t="str">
        <f t="shared" si="30"/>
        <v>E2_4_2_18_mRNA:0</v>
      </c>
      <c r="J138" s="31" t="str">
        <f t="shared" si="31"/>
        <v>E2_4_2_18:0</v>
      </c>
      <c r="K138" s="31" t="str">
        <f t="shared" si="32"/>
        <v>0.00292 - (0.0093 * E2_4_2_18_mRNA)</v>
      </c>
      <c r="L138" s="31" t="str">
        <f t="shared" si="33"/>
        <v>(0.278 * E2_4_2_18_mRNA) - (0.00000278 * E2_4_2_18)</v>
      </c>
      <c r="M138" s="31" t="str">
        <f t="shared" si="34"/>
        <v>mRNA137: -&gt; E2_4_2_18_mRNA | 0.00292 - (0.0093 * E2_4_2_18_mRNA)</v>
      </c>
      <c r="N138" s="31" t="str">
        <f t="shared" si="35"/>
        <v>Peptide137:E2_4_2_18_mRNA -&gt; E2_4_2_18 | (0.278 * E2_4_2_18_mRNA) -  (0.00000278 * E2_4_2_18)</v>
      </c>
    </row>
    <row r="139" spans="1:14" ht="43.5" x14ac:dyDescent="0.35">
      <c r="A139" s="31">
        <v>138</v>
      </c>
      <c r="B139" s="31" t="s">
        <v>14066</v>
      </c>
      <c r="C139" s="31" t="str">
        <f t="shared" si="24"/>
        <v>E2_4_2_19_mRNA</v>
      </c>
      <c r="D139" s="31" t="str">
        <f t="shared" si="25"/>
        <v>E2_4_2_19</v>
      </c>
      <c r="E139" s="31" t="str">
        <f t="shared" si="26"/>
        <v>E2_4_2_19_Kcat : 13.7</v>
      </c>
      <c r="F139" s="31" t="str">
        <f t="shared" si="27"/>
        <v>E2_4_2_19_Km :1</v>
      </c>
      <c r="G139" s="31" t="str">
        <f t="shared" si="28"/>
        <v>E2_4_2_19_mRNA:E2_4_2_19_mRNA</v>
      </c>
      <c r="H139" s="31" t="str">
        <f t="shared" si="29"/>
        <v>E2_4_2_19:E2_4_2_19</v>
      </c>
      <c r="I139" s="42" t="str">
        <f t="shared" si="30"/>
        <v>E2_4_2_19_mRNA:0</v>
      </c>
      <c r="J139" s="31" t="str">
        <f t="shared" si="31"/>
        <v>E2_4_2_19:0</v>
      </c>
      <c r="K139" s="31" t="str">
        <f t="shared" si="32"/>
        <v>0.00292 - (0.0093 * E2_4_2_19_mRNA)</v>
      </c>
      <c r="L139" s="31" t="str">
        <f t="shared" si="33"/>
        <v>(0.278 * E2_4_2_19_mRNA) - (0.00000278 * E2_4_2_19)</v>
      </c>
      <c r="M139" s="31" t="str">
        <f t="shared" si="34"/>
        <v>mRNA138: -&gt; E2_4_2_19_mRNA | 0.00292 - (0.0093 * E2_4_2_19_mRNA)</v>
      </c>
      <c r="N139" s="31" t="str">
        <f t="shared" si="35"/>
        <v>Peptide138:E2_4_2_19_mRNA -&gt; E2_4_2_19 | (0.278 * E2_4_2_19_mRNA) -  (0.00000278 * E2_4_2_19)</v>
      </c>
    </row>
    <row r="140" spans="1:14" ht="43.5" x14ac:dyDescent="0.35">
      <c r="A140" s="31">
        <v>139</v>
      </c>
      <c r="B140" s="31" t="s">
        <v>14067</v>
      </c>
      <c r="C140" s="31" t="str">
        <f t="shared" si="24"/>
        <v>E2_4_2_21_mRNA</v>
      </c>
      <c r="D140" s="31" t="str">
        <f t="shared" si="25"/>
        <v>E2_4_2_21</v>
      </c>
      <c r="E140" s="31" t="str">
        <f t="shared" si="26"/>
        <v>E2_4_2_21_Kcat : 13.7</v>
      </c>
      <c r="F140" s="31" t="str">
        <f t="shared" si="27"/>
        <v>E2_4_2_21_Km :1</v>
      </c>
      <c r="G140" s="31" t="str">
        <f t="shared" si="28"/>
        <v>E2_4_2_21_mRNA:E2_4_2_21_mRNA</v>
      </c>
      <c r="H140" s="31" t="str">
        <f t="shared" si="29"/>
        <v>E2_4_2_21:E2_4_2_21</v>
      </c>
      <c r="I140" s="42" t="str">
        <f t="shared" si="30"/>
        <v>E2_4_2_21_mRNA:0</v>
      </c>
      <c r="J140" s="31" t="str">
        <f t="shared" si="31"/>
        <v>E2_4_2_21:0</v>
      </c>
      <c r="K140" s="31" t="str">
        <f t="shared" si="32"/>
        <v>0.00292 - (0.0093 * E2_4_2_21_mRNA)</v>
      </c>
      <c r="L140" s="31" t="str">
        <f t="shared" si="33"/>
        <v>(0.278 * E2_4_2_21_mRNA) - (0.00000278 * E2_4_2_21)</v>
      </c>
      <c r="M140" s="31" t="str">
        <f t="shared" si="34"/>
        <v>mRNA139: -&gt; E2_4_2_21_mRNA | 0.00292 - (0.0093 * E2_4_2_21_mRNA)</v>
      </c>
      <c r="N140" s="31" t="str">
        <f t="shared" si="35"/>
        <v>Peptide139:E2_4_2_21_mRNA -&gt; E2_4_2_21 | (0.278 * E2_4_2_21_mRNA) -  (0.00000278 * E2_4_2_21)</v>
      </c>
    </row>
    <row r="141" spans="1:14" ht="43.5" x14ac:dyDescent="0.35">
      <c r="A141" s="31">
        <v>140</v>
      </c>
      <c r="B141" s="31" t="s">
        <v>14068</v>
      </c>
      <c r="C141" s="31" t="str">
        <f t="shared" si="24"/>
        <v>E2_4_2_29_mRNA</v>
      </c>
      <c r="D141" s="31" t="str">
        <f t="shared" si="25"/>
        <v>E2_4_2_29</v>
      </c>
      <c r="E141" s="31" t="str">
        <f t="shared" si="26"/>
        <v>E2_4_2_29_Kcat : 13.7</v>
      </c>
      <c r="F141" s="31" t="str">
        <f t="shared" si="27"/>
        <v>E2_4_2_29_Km :1</v>
      </c>
      <c r="G141" s="31" t="str">
        <f t="shared" si="28"/>
        <v>E2_4_2_29_mRNA:E2_4_2_29_mRNA</v>
      </c>
      <c r="H141" s="31" t="str">
        <f t="shared" si="29"/>
        <v>E2_4_2_29:E2_4_2_29</v>
      </c>
      <c r="I141" s="42" t="str">
        <f t="shared" si="30"/>
        <v>E2_4_2_29_mRNA:0</v>
      </c>
      <c r="J141" s="31" t="str">
        <f t="shared" si="31"/>
        <v>E2_4_2_29:0</v>
      </c>
      <c r="K141" s="31" t="str">
        <f t="shared" si="32"/>
        <v>0.00292 - (0.0093 * E2_4_2_29_mRNA)</v>
      </c>
      <c r="L141" s="31" t="str">
        <f t="shared" si="33"/>
        <v>(0.278 * E2_4_2_29_mRNA) - (0.00000278 * E2_4_2_29)</v>
      </c>
      <c r="M141" s="31" t="str">
        <f t="shared" si="34"/>
        <v>mRNA140: -&gt; E2_4_2_29_mRNA | 0.00292 - (0.0093 * E2_4_2_29_mRNA)</v>
      </c>
      <c r="N141" s="31" t="str">
        <f t="shared" si="35"/>
        <v>Peptide140:E2_4_2_29_mRNA -&gt; E2_4_2_29 | (0.278 * E2_4_2_29_mRNA) -  (0.00000278 * E2_4_2_29)</v>
      </c>
    </row>
    <row r="142" spans="1:14" ht="43.5" x14ac:dyDescent="0.35">
      <c r="A142" s="31">
        <v>141</v>
      </c>
      <c r="B142" s="31" t="s">
        <v>14069</v>
      </c>
      <c r="C142" s="31" t="str">
        <f t="shared" si="24"/>
        <v>E2_4_2_45_mRNA</v>
      </c>
      <c r="D142" s="31" t="str">
        <f t="shared" si="25"/>
        <v>E2_4_2_45</v>
      </c>
      <c r="E142" s="31" t="str">
        <f t="shared" si="26"/>
        <v>E2_4_2_45_Kcat : 13.7</v>
      </c>
      <c r="F142" s="31" t="str">
        <f t="shared" si="27"/>
        <v>E2_4_2_45_Km :1</v>
      </c>
      <c r="G142" s="31" t="str">
        <f t="shared" si="28"/>
        <v>E2_4_2_45_mRNA:E2_4_2_45_mRNA</v>
      </c>
      <c r="H142" s="31" t="str">
        <f t="shared" si="29"/>
        <v>E2_4_2_45:E2_4_2_45</v>
      </c>
      <c r="I142" s="42" t="str">
        <f t="shared" si="30"/>
        <v>E2_4_2_45_mRNA:0</v>
      </c>
      <c r="J142" s="31" t="str">
        <f t="shared" si="31"/>
        <v>E2_4_2_45:0</v>
      </c>
      <c r="K142" s="31" t="str">
        <f t="shared" si="32"/>
        <v>0.00292 - (0.0093 * E2_4_2_45_mRNA)</v>
      </c>
      <c r="L142" s="31" t="str">
        <f t="shared" si="33"/>
        <v>(0.278 * E2_4_2_45_mRNA) - (0.00000278 * E2_4_2_45)</v>
      </c>
      <c r="M142" s="31" t="str">
        <f t="shared" si="34"/>
        <v>mRNA141: -&gt; E2_4_2_45_mRNA | 0.00292 - (0.0093 * E2_4_2_45_mRNA)</v>
      </c>
      <c r="N142" s="31" t="str">
        <f t="shared" si="35"/>
        <v>Peptide141:E2_4_2_45_mRNA -&gt; E2_4_2_45 | (0.278 * E2_4_2_45_mRNA) -  (0.00000278 * E2_4_2_45)</v>
      </c>
    </row>
    <row r="143" spans="1:14" ht="29" x14ac:dyDescent="0.35">
      <c r="A143" s="31">
        <v>142</v>
      </c>
      <c r="B143" s="31" t="s">
        <v>14070</v>
      </c>
      <c r="C143" s="31" t="str">
        <f t="shared" si="24"/>
        <v>E2_4_2_7_mRNA</v>
      </c>
      <c r="D143" s="31" t="str">
        <f t="shared" si="25"/>
        <v>E2_4_2_7</v>
      </c>
      <c r="E143" s="31" t="str">
        <f t="shared" si="26"/>
        <v>E2_4_2_7_Kcat : 13.7</v>
      </c>
      <c r="F143" s="31" t="str">
        <f t="shared" si="27"/>
        <v>E2_4_2_7_Km :1</v>
      </c>
      <c r="G143" s="31" t="str">
        <f t="shared" si="28"/>
        <v>E2_4_2_7_mRNA:E2_4_2_7_mRNA</v>
      </c>
      <c r="H143" s="31" t="str">
        <f t="shared" si="29"/>
        <v>E2_4_2_7:E2_4_2_7</v>
      </c>
      <c r="I143" s="42" t="str">
        <f t="shared" si="30"/>
        <v>E2_4_2_7_mRNA:0</v>
      </c>
      <c r="J143" s="31" t="str">
        <f t="shared" si="31"/>
        <v>E2_4_2_7:0</v>
      </c>
      <c r="K143" s="31" t="str">
        <f t="shared" si="32"/>
        <v>0.00292 - (0.0093 * E2_4_2_7_mRNA)</v>
      </c>
      <c r="L143" s="31" t="str">
        <f t="shared" si="33"/>
        <v>(0.278 * E2_4_2_7_mRNA) - (0.00000278 * E2_4_2_7)</v>
      </c>
      <c r="M143" s="31" t="str">
        <f t="shared" si="34"/>
        <v>mRNA142: -&gt; E2_4_2_7_mRNA | 0.00292 - (0.0093 * E2_4_2_7_mRNA)</v>
      </c>
      <c r="N143" s="31" t="str">
        <f t="shared" si="35"/>
        <v>Peptide142:E2_4_2_7_mRNA -&gt; E2_4_2_7 | (0.278 * E2_4_2_7_mRNA) -  (0.00000278 * E2_4_2_7)</v>
      </c>
    </row>
    <row r="144" spans="1:14" ht="29" x14ac:dyDescent="0.35">
      <c r="A144" s="31">
        <v>143</v>
      </c>
      <c r="B144" s="31" t="s">
        <v>14071</v>
      </c>
      <c r="C144" s="31" t="str">
        <f t="shared" si="24"/>
        <v>E2_4_2_8_mRNA</v>
      </c>
      <c r="D144" s="31" t="str">
        <f t="shared" si="25"/>
        <v>E2_4_2_8</v>
      </c>
      <c r="E144" s="31" t="str">
        <f t="shared" si="26"/>
        <v>E2_4_2_8_Kcat : 13.7</v>
      </c>
      <c r="F144" s="31" t="str">
        <f t="shared" si="27"/>
        <v>E2_4_2_8_Km :1</v>
      </c>
      <c r="G144" s="31" t="str">
        <f t="shared" si="28"/>
        <v>E2_4_2_8_mRNA:E2_4_2_8_mRNA</v>
      </c>
      <c r="H144" s="31" t="str">
        <f t="shared" si="29"/>
        <v>E2_4_2_8:E2_4_2_8</v>
      </c>
      <c r="I144" s="42" t="str">
        <f t="shared" si="30"/>
        <v>E2_4_2_8_mRNA:0</v>
      </c>
      <c r="J144" s="31" t="str">
        <f t="shared" si="31"/>
        <v>E2_4_2_8:0</v>
      </c>
      <c r="K144" s="31" t="str">
        <f t="shared" si="32"/>
        <v>0.00292 - (0.0093 * E2_4_2_8_mRNA)</v>
      </c>
      <c r="L144" s="31" t="str">
        <f t="shared" si="33"/>
        <v>(0.278 * E2_4_2_8_mRNA) - (0.00000278 * E2_4_2_8)</v>
      </c>
      <c r="M144" s="31" t="str">
        <f t="shared" si="34"/>
        <v>mRNA143: -&gt; E2_4_2_8_mRNA | 0.00292 - (0.0093 * E2_4_2_8_mRNA)</v>
      </c>
      <c r="N144" s="31" t="str">
        <f t="shared" si="35"/>
        <v>Peptide143:E2_4_2_8_mRNA -&gt; E2_4_2_8 | (0.278 * E2_4_2_8_mRNA) -  (0.00000278 * E2_4_2_8)</v>
      </c>
    </row>
    <row r="145" spans="1:14" ht="29" x14ac:dyDescent="0.35">
      <c r="A145" s="31">
        <v>144</v>
      </c>
      <c r="B145" s="31" t="s">
        <v>14072</v>
      </c>
      <c r="C145" s="31" t="str">
        <f t="shared" si="24"/>
        <v>E2_4_2_9_mRNA</v>
      </c>
      <c r="D145" s="31" t="str">
        <f t="shared" si="25"/>
        <v>E2_4_2_9</v>
      </c>
      <c r="E145" s="31" t="str">
        <f t="shared" si="26"/>
        <v>E2_4_2_9_Kcat : 13.7</v>
      </c>
      <c r="F145" s="31" t="str">
        <f t="shared" si="27"/>
        <v>E2_4_2_9_Km :1</v>
      </c>
      <c r="G145" s="31" t="str">
        <f t="shared" si="28"/>
        <v>E2_4_2_9_mRNA:E2_4_2_9_mRNA</v>
      </c>
      <c r="H145" s="31" t="str">
        <f t="shared" si="29"/>
        <v>E2_4_2_9:E2_4_2_9</v>
      </c>
      <c r="I145" s="42" t="str">
        <f t="shared" si="30"/>
        <v>E2_4_2_9_mRNA:0</v>
      </c>
      <c r="J145" s="31" t="str">
        <f t="shared" si="31"/>
        <v>E2_4_2_9:0</v>
      </c>
      <c r="K145" s="31" t="str">
        <f t="shared" si="32"/>
        <v>0.00292 - (0.0093 * E2_4_2_9_mRNA)</v>
      </c>
      <c r="L145" s="31" t="str">
        <f t="shared" si="33"/>
        <v>(0.278 * E2_4_2_9_mRNA) - (0.00000278 * E2_4_2_9)</v>
      </c>
      <c r="M145" s="31" t="str">
        <f t="shared" si="34"/>
        <v>mRNA144: -&gt; E2_4_2_9_mRNA | 0.00292 - (0.0093 * E2_4_2_9_mRNA)</v>
      </c>
      <c r="N145" s="31" t="str">
        <f t="shared" si="35"/>
        <v>Peptide144:E2_4_2_9_mRNA -&gt; E2_4_2_9 | (0.278 * E2_4_2_9_mRNA) -  (0.00000278 * E2_4_2_9)</v>
      </c>
    </row>
    <row r="146" spans="1:14" ht="43.5" x14ac:dyDescent="0.35">
      <c r="A146" s="31">
        <v>145</v>
      </c>
      <c r="B146" s="31" t="s">
        <v>14073</v>
      </c>
      <c r="C146" s="31" t="str">
        <f t="shared" si="24"/>
        <v>E2_4_99_16_mRNA</v>
      </c>
      <c r="D146" s="31" t="str">
        <f t="shared" si="25"/>
        <v>E2_4_99_16</v>
      </c>
      <c r="E146" s="31" t="str">
        <f t="shared" si="26"/>
        <v>E2_4_99_16_Kcat : 13.7</v>
      </c>
      <c r="F146" s="31" t="str">
        <f t="shared" si="27"/>
        <v>E2_4_99_16_Km :1</v>
      </c>
      <c r="G146" s="31" t="str">
        <f t="shared" si="28"/>
        <v>E2_4_99_16_mRNA:E2_4_99_16_mRNA</v>
      </c>
      <c r="H146" s="31" t="str">
        <f t="shared" si="29"/>
        <v>E2_4_99_16:E2_4_99_16</v>
      </c>
      <c r="I146" s="42" t="str">
        <f t="shared" si="30"/>
        <v>E2_4_99_16_mRNA:0</v>
      </c>
      <c r="J146" s="31" t="str">
        <f t="shared" si="31"/>
        <v>E2_4_99_16:0</v>
      </c>
      <c r="K146" s="31" t="str">
        <f t="shared" si="32"/>
        <v>0.00292 - (0.0093 * E2_4_99_16_mRNA)</v>
      </c>
      <c r="L146" s="31" t="str">
        <f t="shared" si="33"/>
        <v>(0.278 * E2_4_99_16_mRNA) - (0.00000278 * E2_4_99_16)</v>
      </c>
      <c r="M146" s="31" t="str">
        <f t="shared" si="34"/>
        <v>mRNA145: -&gt; E2_4_99_16_mRNA | 0.00292 - (0.0093 * E2_4_99_16_mRNA)</v>
      </c>
      <c r="N146" s="31" t="str">
        <f t="shared" si="35"/>
        <v>Peptide145:E2_4_99_16_mRNA -&gt; E2_4_99_16 | (0.278 * E2_4_99_16_mRNA) -  (0.00000278 * E2_4_99_16)</v>
      </c>
    </row>
    <row r="147" spans="1:14" ht="43.5" x14ac:dyDescent="0.35">
      <c r="A147" s="31">
        <v>146</v>
      </c>
      <c r="B147" s="31" t="s">
        <v>14074</v>
      </c>
      <c r="C147" s="31" t="str">
        <f t="shared" si="24"/>
        <v>E2_4_99_28_mRNA</v>
      </c>
      <c r="D147" s="31" t="str">
        <f t="shared" si="25"/>
        <v>E2_4_99_28</v>
      </c>
      <c r="E147" s="31" t="str">
        <f t="shared" si="26"/>
        <v>E2_4_99_28_Kcat : 13.7</v>
      </c>
      <c r="F147" s="31" t="str">
        <f t="shared" si="27"/>
        <v>E2_4_99_28_Km :1</v>
      </c>
      <c r="G147" s="31" t="str">
        <f t="shared" si="28"/>
        <v>E2_4_99_28_mRNA:E2_4_99_28_mRNA</v>
      </c>
      <c r="H147" s="31" t="str">
        <f t="shared" si="29"/>
        <v>E2_4_99_28:E2_4_99_28</v>
      </c>
      <c r="I147" s="42" t="str">
        <f t="shared" si="30"/>
        <v>E2_4_99_28_mRNA:0</v>
      </c>
      <c r="J147" s="31" t="str">
        <f t="shared" si="31"/>
        <v>E2_4_99_28:0</v>
      </c>
      <c r="K147" s="31" t="str">
        <f t="shared" si="32"/>
        <v>0.00292 - (0.0093 * E2_4_99_28_mRNA)</v>
      </c>
      <c r="L147" s="31" t="str">
        <f t="shared" si="33"/>
        <v>(0.278 * E2_4_99_28_mRNA) - (0.00000278 * E2_4_99_28)</v>
      </c>
      <c r="M147" s="31" t="str">
        <f t="shared" si="34"/>
        <v>mRNA146: -&gt; E2_4_99_28_mRNA | 0.00292 - (0.0093 * E2_4_99_28_mRNA)</v>
      </c>
      <c r="N147" s="31" t="str">
        <f t="shared" si="35"/>
        <v>Peptide146:E2_4_99_28_mRNA -&gt; E2_4_99_28 | (0.278 * E2_4_99_28_mRNA) -  (0.00000278 * E2_4_99_28)</v>
      </c>
    </row>
    <row r="148" spans="1:14" ht="43.5" x14ac:dyDescent="0.35">
      <c r="A148" s="31">
        <v>147</v>
      </c>
      <c r="B148" s="31" t="s">
        <v>14075</v>
      </c>
      <c r="C148" s="31" t="str">
        <f t="shared" si="24"/>
        <v>E2_5_1_141_mRNA</v>
      </c>
      <c r="D148" s="31" t="str">
        <f t="shared" si="25"/>
        <v>E2_5_1_141</v>
      </c>
      <c r="E148" s="31" t="str">
        <f t="shared" si="26"/>
        <v>E2_5_1_141_Kcat : 13.7</v>
      </c>
      <c r="F148" s="31" t="str">
        <f t="shared" si="27"/>
        <v>E2_5_1_141_Km :1</v>
      </c>
      <c r="G148" s="31" t="str">
        <f t="shared" si="28"/>
        <v>E2_5_1_141_mRNA:E2_5_1_141_mRNA</v>
      </c>
      <c r="H148" s="31" t="str">
        <f t="shared" si="29"/>
        <v>E2_5_1_141:E2_5_1_141</v>
      </c>
      <c r="I148" s="31" t="str">
        <f t="shared" si="30"/>
        <v>E2_5_1_141_mRNA:0</v>
      </c>
      <c r="J148" s="31" t="str">
        <f t="shared" si="31"/>
        <v>E2_5_1_141:0</v>
      </c>
      <c r="K148" s="31" t="str">
        <f t="shared" si="32"/>
        <v>0.00292 - (0.0093 * E2_5_1_141_mRNA)</v>
      </c>
      <c r="L148" s="31" t="str">
        <f t="shared" si="33"/>
        <v>(0.278 * E2_5_1_141_mRNA) - (0.00000278 * E2_5_1_141)</v>
      </c>
      <c r="M148" s="43" t="str">
        <f t="shared" si="34"/>
        <v>mRNA147: -&gt; E2_5_1_141_mRNA | 0.00292 - (0.0093 * E2_5_1_141_mRNA)</v>
      </c>
      <c r="N148" s="31" t="str">
        <f t="shared" si="35"/>
        <v>Peptide147:E2_5_1_141_mRNA -&gt; E2_5_1_141 | (0.278 * E2_5_1_141_mRNA) -  (0.00000278 * E2_5_1_141)</v>
      </c>
    </row>
    <row r="149" spans="1:14" ht="43.5" x14ac:dyDescent="0.35">
      <c r="A149" s="31">
        <v>148</v>
      </c>
      <c r="B149" s="31" t="s">
        <v>14076</v>
      </c>
      <c r="C149" s="31" t="str">
        <f t="shared" si="24"/>
        <v>E2_5_1_15_mRNA</v>
      </c>
      <c r="D149" s="31" t="str">
        <f t="shared" si="25"/>
        <v>E2_5_1_15</v>
      </c>
      <c r="E149" s="31" t="str">
        <f t="shared" si="26"/>
        <v>E2_5_1_15_Kcat : 13.7</v>
      </c>
      <c r="F149" s="31" t="str">
        <f t="shared" si="27"/>
        <v>E2_5_1_15_Km :1</v>
      </c>
      <c r="G149" s="31" t="str">
        <f t="shared" si="28"/>
        <v>E2_5_1_15_mRNA:E2_5_1_15_mRNA</v>
      </c>
      <c r="H149" s="31" t="str">
        <f t="shared" si="29"/>
        <v>E2_5_1_15:E2_5_1_15</v>
      </c>
      <c r="I149" s="31" t="str">
        <f t="shared" si="30"/>
        <v>E2_5_1_15_mRNA:0</v>
      </c>
      <c r="J149" s="31" t="str">
        <f t="shared" si="31"/>
        <v>E2_5_1_15:0</v>
      </c>
      <c r="K149" s="31" t="str">
        <f t="shared" si="32"/>
        <v>0.00292 - (0.0093 * E2_5_1_15_mRNA)</v>
      </c>
      <c r="L149" s="31" t="str">
        <f t="shared" si="33"/>
        <v>(0.278 * E2_5_1_15_mRNA) - (0.00000278 * E2_5_1_15)</v>
      </c>
      <c r="M149" s="43" t="str">
        <f t="shared" si="34"/>
        <v>mRNA148: -&gt; E2_5_1_15_mRNA | 0.00292 - (0.0093 * E2_5_1_15_mRNA)</v>
      </c>
      <c r="N149" s="31" t="str">
        <f t="shared" si="35"/>
        <v>Peptide148:E2_5_1_15_mRNA -&gt; E2_5_1_15 | (0.278 * E2_5_1_15_mRNA) -  (0.00000278 * E2_5_1_15)</v>
      </c>
    </row>
    <row r="150" spans="1:14" ht="43.5" x14ac:dyDescent="0.35">
      <c r="A150" s="31">
        <v>149</v>
      </c>
      <c r="B150" s="31" t="s">
        <v>14077</v>
      </c>
      <c r="C150" s="31" t="str">
        <f t="shared" si="24"/>
        <v>E2_5_1_16_mRNA</v>
      </c>
      <c r="D150" s="31" t="str">
        <f t="shared" si="25"/>
        <v>E2_5_1_16</v>
      </c>
      <c r="E150" s="31" t="str">
        <f t="shared" si="26"/>
        <v>E2_5_1_16_Kcat : 13.7</v>
      </c>
      <c r="F150" s="31" t="str">
        <f t="shared" si="27"/>
        <v>E2_5_1_16_Km :1</v>
      </c>
      <c r="G150" s="31" t="str">
        <f t="shared" si="28"/>
        <v>E2_5_1_16_mRNA:E2_5_1_16_mRNA</v>
      </c>
      <c r="H150" s="31" t="str">
        <f t="shared" si="29"/>
        <v>E2_5_1_16:E2_5_1_16</v>
      </c>
      <c r="I150" s="31" t="str">
        <f t="shared" si="30"/>
        <v>E2_5_1_16_mRNA:0</v>
      </c>
      <c r="J150" s="31" t="str">
        <f t="shared" si="31"/>
        <v>E2_5_1_16:0</v>
      </c>
      <c r="K150" s="31" t="str">
        <f t="shared" si="32"/>
        <v>0.00292 - (0.0093 * E2_5_1_16_mRNA)</v>
      </c>
      <c r="L150" s="31" t="str">
        <f t="shared" si="33"/>
        <v>(0.278 * E2_5_1_16_mRNA) - (0.00000278 * E2_5_1_16)</v>
      </c>
      <c r="M150" s="43" t="str">
        <f t="shared" si="34"/>
        <v>mRNA149: -&gt; E2_5_1_16_mRNA | 0.00292 - (0.0093 * E2_5_1_16_mRNA)</v>
      </c>
      <c r="N150" s="31" t="str">
        <f t="shared" si="35"/>
        <v>Peptide149:E2_5_1_16_mRNA -&gt; E2_5_1_16 | (0.278 * E2_5_1_16_mRNA) -  (0.00000278 * E2_5_1_16)</v>
      </c>
    </row>
    <row r="151" spans="1:14" ht="43.5" x14ac:dyDescent="0.35">
      <c r="A151" s="31">
        <v>150</v>
      </c>
      <c r="B151" s="31" t="s">
        <v>14078</v>
      </c>
      <c r="C151" s="31" t="str">
        <f t="shared" si="24"/>
        <v>E2_5_1_17_mRNA</v>
      </c>
      <c r="D151" s="31" t="str">
        <f t="shared" si="25"/>
        <v>E2_5_1_17</v>
      </c>
      <c r="E151" s="31" t="str">
        <f t="shared" si="26"/>
        <v>E2_5_1_17_Kcat : 13.7</v>
      </c>
      <c r="F151" s="31" t="str">
        <f t="shared" si="27"/>
        <v>E2_5_1_17_Km :1</v>
      </c>
      <c r="G151" s="31" t="str">
        <f t="shared" si="28"/>
        <v>E2_5_1_17_mRNA:E2_5_1_17_mRNA</v>
      </c>
      <c r="H151" s="31" t="str">
        <f t="shared" si="29"/>
        <v>E2_5_1_17:E2_5_1_17</v>
      </c>
      <c r="I151" s="31" t="str">
        <f t="shared" si="30"/>
        <v>E2_5_1_17_mRNA:0</v>
      </c>
      <c r="J151" s="31" t="str">
        <f t="shared" si="31"/>
        <v>E2_5_1_17:0</v>
      </c>
      <c r="K151" s="31" t="str">
        <f t="shared" si="32"/>
        <v>0.00292 - (0.0093 * E2_5_1_17_mRNA)</v>
      </c>
      <c r="L151" s="31" t="str">
        <f t="shared" si="33"/>
        <v>(0.278 * E2_5_1_17_mRNA) - (0.00000278 * E2_5_1_17)</v>
      </c>
      <c r="M151" s="43" t="str">
        <f t="shared" si="34"/>
        <v>mRNA150: -&gt; E2_5_1_17_mRNA | 0.00292 - (0.0093 * E2_5_1_17_mRNA)</v>
      </c>
      <c r="N151" s="31" t="str">
        <f t="shared" si="35"/>
        <v>Peptide150:E2_5_1_17_mRNA -&gt; E2_5_1_17 | (0.278 * E2_5_1_17_mRNA) -  (0.00000278 * E2_5_1_17)</v>
      </c>
    </row>
    <row r="152" spans="1:14" ht="43.5" x14ac:dyDescent="0.35">
      <c r="A152" s="31">
        <v>151</v>
      </c>
      <c r="B152" s="31" t="s">
        <v>14079</v>
      </c>
      <c r="C152" s="31" t="str">
        <f t="shared" si="24"/>
        <v>E2_5_1_19_mRNA</v>
      </c>
      <c r="D152" s="31" t="str">
        <f t="shared" si="25"/>
        <v>E2_5_1_19</v>
      </c>
      <c r="E152" s="31" t="str">
        <f t="shared" si="26"/>
        <v>E2_5_1_19_Kcat : 13.7</v>
      </c>
      <c r="F152" s="31" t="str">
        <f t="shared" si="27"/>
        <v>E2_5_1_19_Km :1</v>
      </c>
      <c r="G152" s="31" t="str">
        <f t="shared" si="28"/>
        <v>E2_5_1_19_mRNA:E2_5_1_19_mRNA</v>
      </c>
      <c r="H152" s="31" t="str">
        <f t="shared" si="29"/>
        <v>E2_5_1_19:E2_5_1_19</v>
      </c>
      <c r="I152" s="31" t="str">
        <f t="shared" si="30"/>
        <v>E2_5_1_19_mRNA:0</v>
      </c>
      <c r="J152" s="31" t="str">
        <f t="shared" si="31"/>
        <v>E2_5_1_19:0</v>
      </c>
      <c r="K152" s="31" t="str">
        <f t="shared" si="32"/>
        <v>0.00292 - (0.0093 * E2_5_1_19_mRNA)</v>
      </c>
      <c r="L152" s="31" t="str">
        <f t="shared" si="33"/>
        <v>(0.278 * E2_5_1_19_mRNA) - (0.00000278 * E2_5_1_19)</v>
      </c>
      <c r="M152" s="43" t="str">
        <f t="shared" si="34"/>
        <v>mRNA151: -&gt; E2_5_1_19_mRNA | 0.00292 - (0.0093 * E2_5_1_19_mRNA)</v>
      </c>
      <c r="N152" s="31" t="str">
        <f t="shared" si="35"/>
        <v>Peptide151:E2_5_1_19_mRNA -&gt; E2_5_1_19 | (0.278 * E2_5_1_19_mRNA) -  (0.00000278 * E2_5_1_19)</v>
      </c>
    </row>
    <row r="153" spans="1:14" ht="29" x14ac:dyDescent="0.35">
      <c r="A153" s="31">
        <v>152</v>
      </c>
      <c r="B153" s="31" t="s">
        <v>14080</v>
      </c>
      <c r="C153" s="31" t="str">
        <f t="shared" si="24"/>
        <v>E2_5_1_3_mRNA</v>
      </c>
      <c r="D153" s="31" t="str">
        <f t="shared" si="25"/>
        <v>E2_5_1_3</v>
      </c>
      <c r="E153" s="31" t="str">
        <f t="shared" si="26"/>
        <v>E2_5_1_3_Kcat : 13.7</v>
      </c>
      <c r="F153" s="31" t="str">
        <f t="shared" si="27"/>
        <v>E2_5_1_3_Km :1</v>
      </c>
      <c r="G153" s="31" t="str">
        <f t="shared" si="28"/>
        <v>E2_5_1_3_mRNA:E2_5_1_3_mRNA</v>
      </c>
      <c r="H153" s="31" t="str">
        <f t="shared" si="29"/>
        <v>E2_5_1_3:E2_5_1_3</v>
      </c>
      <c r="I153" s="31" t="str">
        <f t="shared" si="30"/>
        <v>E2_5_1_3_mRNA:0</v>
      </c>
      <c r="J153" s="31" t="str">
        <f t="shared" si="31"/>
        <v>E2_5_1_3:0</v>
      </c>
      <c r="K153" s="31" t="str">
        <f t="shared" si="32"/>
        <v>0.00292 - (0.0093 * E2_5_1_3_mRNA)</v>
      </c>
      <c r="L153" s="31" t="str">
        <f t="shared" si="33"/>
        <v>(0.278 * E2_5_1_3_mRNA) - (0.00000278 * E2_5_1_3)</v>
      </c>
      <c r="M153" s="43" t="str">
        <f t="shared" si="34"/>
        <v>mRNA152: -&gt; E2_5_1_3_mRNA | 0.00292 - (0.0093 * E2_5_1_3_mRNA)</v>
      </c>
      <c r="N153" s="31" t="str">
        <f t="shared" si="35"/>
        <v>Peptide152:E2_5_1_3_mRNA -&gt; E2_5_1_3 | (0.278 * E2_5_1_3_mRNA) -  (0.00000278 * E2_5_1_3)</v>
      </c>
    </row>
    <row r="154" spans="1:14" ht="43.5" x14ac:dyDescent="0.35">
      <c r="A154" s="31">
        <v>153</v>
      </c>
      <c r="B154" s="31" t="s">
        <v>14081</v>
      </c>
      <c r="C154" s="31" t="str">
        <f t="shared" si="24"/>
        <v>E2_5_1_47_mRNA</v>
      </c>
      <c r="D154" s="31" t="str">
        <f t="shared" si="25"/>
        <v>E2_5_1_47</v>
      </c>
      <c r="E154" s="31" t="str">
        <f t="shared" si="26"/>
        <v>E2_5_1_47_Kcat : 13.7</v>
      </c>
      <c r="F154" s="31" t="str">
        <f t="shared" si="27"/>
        <v>E2_5_1_47_Km :1</v>
      </c>
      <c r="G154" s="31" t="str">
        <f t="shared" si="28"/>
        <v>E2_5_1_47_mRNA:E2_5_1_47_mRNA</v>
      </c>
      <c r="H154" s="31" t="str">
        <f t="shared" si="29"/>
        <v>E2_5_1_47:E2_5_1_47</v>
      </c>
      <c r="I154" s="31" t="str">
        <f t="shared" si="30"/>
        <v>E2_5_1_47_mRNA:0</v>
      </c>
      <c r="J154" s="31" t="str">
        <f t="shared" si="31"/>
        <v>E2_5_1_47:0</v>
      </c>
      <c r="K154" s="31" t="str">
        <f t="shared" si="32"/>
        <v>0.00292 - (0.0093 * E2_5_1_47_mRNA)</v>
      </c>
      <c r="L154" s="31" t="str">
        <f t="shared" si="33"/>
        <v>(0.278 * E2_5_1_47_mRNA) - (0.00000278 * E2_5_1_47)</v>
      </c>
      <c r="M154" s="43" t="str">
        <f t="shared" si="34"/>
        <v>mRNA153: -&gt; E2_5_1_47_mRNA | 0.00292 - (0.0093 * E2_5_1_47_mRNA)</v>
      </c>
      <c r="N154" s="31" t="str">
        <f t="shared" si="35"/>
        <v>Peptide153:E2_5_1_47_mRNA -&gt; E2_5_1_47 | (0.278 * E2_5_1_47_mRNA) -  (0.00000278 * E2_5_1_47)</v>
      </c>
    </row>
    <row r="155" spans="1:14" ht="43.5" x14ac:dyDescent="0.35">
      <c r="A155" s="31">
        <v>154</v>
      </c>
      <c r="B155" s="31" t="s">
        <v>14082</v>
      </c>
      <c r="C155" s="31" t="str">
        <f t="shared" si="24"/>
        <v>E2_5_1_48_mRNA</v>
      </c>
      <c r="D155" s="31" t="str">
        <f t="shared" si="25"/>
        <v>E2_5_1_48</v>
      </c>
      <c r="E155" s="31" t="str">
        <f t="shared" si="26"/>
        <v>E2_5_1_48_Kcat : 13.7</v>
      </c>
      <c r="F155" s="31" t="str">
        <f t="shared" si="27"/>
        <v>E2_5_1_48_Km :1</v>
      </c>
      <c r="G155" s="31" t="str">
        <f t="shared" si="28"/>
        <v>E2_5_1_48_mRNA:E2_5_1_48_mRNA</v>
      </c>
      <c r="H155" s="31" t="str">
        <f t="shared" si="29"/>
        <v>E2_5_1_48:E2_5_1_48</v>
      </c>
      <c r="I155" s="31" t="str">
        <f t="shared" si="30"/>
        <v>E2_5_1_48_mRNA:0</v>
      </c>
      <c r="J155" s="31" t="str">
        <f t="shared" si="31"/>
        <v>E2_5_1_48:0</v>
      </c>
      <c r="K155" s="31" t="str">
        <f t="shared" si="32"/>
        <v>0.00292 - (0.0093 * E2_5_1_48_mRNA)</v>
      </c>
      <c r="L155" s="31" t="str">
        <f t="shared" si="33"/>
        <v>(0.278 * E2_5_1_48_mRNA) - (0.00000278 * E2_5_1_48)</v>
      </c>
      <c r="M155" s="43" t="str">
        <f t="shared" si="34"/>
        <v>mRNA154: -&gt; E2_5_1_48_mRNA | 0.00292 - (0.0093 * E2_5_1_48_mRNA)</v>
      </c>
      <c r="N155" s="31" t="str">
        <f t="shared" si="35"/>
        <v>Peptide154:E2_5_1_48_mRNA -&gt; E2_5_1_48 | (0.278 * E2_5_1_48_mRNA) -  (0.00000278 * E2_5_1_48)</v>
      </c>
    </row>
    <row r="156" spans="1:14" ht="43.5" x14ac:dyDescent="0.35">
      <c r="A156" s="31">
        <v>155</v>
      </c>
      <c r="B156" s="31" t="s">
        <v>14083</v>
      </c>
      <c r="C156" s="31" t="str">
        <f t="shared" si="24"/>
        <v>E2_5_1_54_mRNA</v>
      </c>
      <c r="D156" s="31" t="str">
        <f t="shared" si="25"/>
        <v>E2_5_1_54</v>
      </c>
      <c r="E156" s="31" t="str">
        <f t="shared" si="26"/>
        <v>E2_5_1_54_Kcat : 13.7</v>
      </c>
      <c r="F156" s="31" t="str">
        <f t="shared" si="27"/>
        <v>E2_5_1_54_Km :1</v>
      </c>
      <c r="G156" s="31" t="str">
        <f t="shared" si="28"/>
        <v>E2_5_1_54_mRNA:E2_5_1_54_mRNA</v>
      </c>
      <c r="H156" s="31" t="str">
        <f t="shared" si="29"/>
        <v>E2_5_1_54:E2_5_1_54</v>
      </c>
      <c r="I156" s="31" t="str">
        <f t="shared" si="30"/>
        <v>E2_5_1_54_mRNA:0</v>
      </c>
      <c r="J156" s="31" t="str">
        <f t="shared" si="31"/>
        <v>E2_5_1_54:0</v>
      </c>
      <c r="K156" s="31" t="str">
        <f t="shared" si="32"/>
        <v>0.00292 - (0.0093 * E2_5_1_54_mRNA)</v>
      </c>
      <c r="L156" s="31" t="str">
        <f t="shared" si="33"/>
        <v>(0.278 * E2_5_1_54_mRNA) - (0.00000278 * E2_5_1_54)</v>
      </c>
      <c r="M156" s="43" t="str">
        <f t="shared" si="34"/>
        <v>mRNA155: -&gt; E2_5_1_54_mRNA | 0.00292 - (0.0093 * E2_5_1_54_mRNA)</v>
      </c>
      <c r="N156" s="31" t="str">
        <f t="shared" si="35"/>
        <v>Peptide155:E2_5_1_54_mRNA -&gt; E2_5_1_54 | (0.278 * E2_5_1_54_mRNA) -  (0.00000278 * E2_5_1_54)</v>
      </c>
    </row>
    <row r="157" spans="1:14" ht="29" x14ac:dyDescent="0.35">
      <c r="A157" s="31">
        <v>156</v>
      </c>
      <c r="B157" s="31" t="s">
        <v>14084</v>
      </c>
      <c r="C157" s="31" t="str">
        <f t="shared" si="24"/>
        <v>E2_5_1_6_mRNA</v>
      </c>
      <c r="D157" s="31" t="str">
        <f t="shared" si="25"/>
        <v>E2_5_1_6</v>
      </c>
      <c r="E157" s="31" t="str">
        <f t="shared" si="26"/>
        <v>E2_5_1_6_Kcat : 13.7</v>
      </c>
      <c r="F157" s="31" t="str">
        <f t="shared" si="27"/>
        <v>E2_5_1_6_Km :1</v>
      </c>
      <c r="G157" s="31" t="str">
        <f t="shared" si="28"/>
        <v>E2_5_1_6_mRNA:E2_5_1_6_mRNA</v>
      </c>
      <c r="H157" s="31" t="str">
        <f t="shared" si="29"/>
        <v>E2_5_1_6:E2_5_1_6</v>
      </c>
      <c r="I157" s="31" t="str">
        <f t="shared" si="30"/>
        <v>E2_5_1_6_mRNA:0</v>
      </c>
      <c r="J157" s="31" t="str">
        <f t="shared" si="31"/>
        <v>E2_5_1_6:0</v>
      </c>
      <c r="K157" s="31" t="str">
        <f t="shared" si="32"/>
        <v>0.00292 - (0.0093 * E2_5_1_6_mRNA)</v>
      </c>
      <c r="L157" s="31" t="str">
        <f t="shared" si="33"/>
        <v>(0.278 * E2_5_1_6_mRNA) - (0.00000278 * E2_5_1_6)</v>
      </c>
      <c r="M157" s="43" t="str">
        <f t="shared" si="34"/>
        <v>mRNA156: -&gt; E2_5_1_6_mRNA | 0.00292 - (0.0093 * E2_5_1_6_mRNA)</v>
      </c>
      <c r="N157" s="31" t="str">
        <f t="shared" si="35"/>
        <v>Peptide156:E2_5_1_6_mRNA -&gt; E2_5_1_6 | (0.278 * E2_5_1_6_mRNA) -  (0.00000278 * E2_5_1_6)</v>
      </c>
    </row>
    <row r="158" spans="1:14" ht="43.5" x14ac:dyDescent="0.35">
      <c r="A158" s="31">
        <v>157</v>
      </c>
      <c r="B158" s="31" t="s">
        <v>14085</v>
      </c>
      <c r="C158" s="31" t="str">
        <f t="shared" si="24"/>
        <v>E2_5_1_61_mRNA</v>
      </c>
      <c r="D158" s="31" t="str">
        <f t="shared" si="25"/>
        <v>E2_5_1_61</v>
      </c>
      <c r="E158" s="31" t="str">
        <f t="shared" si="26"/>
        <v>E2_5_1_61_Kcat : 13.7</v>
      </c>
      <c r="F158" s="31" t="str">
        <f t="shared" si="27"/>
        <v>E2_5_1_61_Km :1</v>
      </c>
      <c r="G158" s="31" t="str">
        <f t="shared" si="28"/>
        <v>E2_5_1_61_mRNA:E2_5_1_61_mRNA</v>
      </c>
      <c r="H158" s="31" t="str">
        <f t="shared" si="29"/>
        <v>E2_5_1_61:E2_5_1_61</v>
      </c>
      <c r="I158" s="31" t="str">
        <f t="shared" si="30"/>
        <v>E2_5_1_61_mRNA:0</v>
      </c>
      <c r="J158" s="31" t="str">
        <f t="shared" si="31"/>
        <v>E2_5_1_61:0</v>
      </c>
      <c r="K158" s="31" t="str">
        <f t="shared" si="32"/>
        <v>0.00292 - (0.0093 * E2_5_1_61_mRNA)</v>
      </c>
      <c r="L158" s="31" t="str">
        <f t="shared" si="33"/>
        <v>(0.278 * E2_5_1_61_mRNA) - (0.00000278 * E2_5_1_61)</v>
      </c>
      <c r="M158" s="43" t="str">
        <f t="shared" si="34"/>
        <v>mRNA157: -&gt; E2_5_1_61_mRNA | 0.00292 - (0.0093 * E2_5_1_61_mRNA)</v>
      </c>
      <c r="N158" s="31" t="str">
        <f t="shared" si="35"/>
        <v>Peptide157:E2_5_1_61_mRNA -&gt; E2_5_1_61 | (0.278 * E2_5_1_61_mRNA) -  (0.00000278 * E2_5_1_61)</v>
      </c>
    </row>
    <row r="159" spans="1:14" ht="29" x14ac:dyDescent="0.35">
      <c r="A159" s="31">
        <v>158</v>
      </c>
      <c r="B159" s="31" t="s">
        <v>14086</v>
      </c>
      <c r="C159" s="31" t="str">
        <f t="shared" si="24"/>
        <v>E2_5_1_7_mRNA</v>
      </c>
      <c r="D159" s="31" t="str">
        <f t="shared" si="25"/>
        <v>E2_5_1_7</v>
      </c>
      <c r="E159" s="31" t="str">
        <f t="shared" si="26"/>
        <v>E2_5_1_7_Kcat : 13.7</v>
      </c>
      <c r="F159" s="31" t="str">
        <f t="shared" si="27"/>
        <v>E2_5_1_7_Km :1</v>
      </c>
      <c r="G159" s="31" t="str">
        <f t="shared" si="28"/>
        <v>E2_5_1_7_mRNA:E2_5_1_7_mRNA</v>
      </c>
      <c r="H159" s="31" t="str">
        <f t="shared" si="29"/>
        <v>E2_5_1_7:E2_5_1_7</v>
      </c>
      <c r="I159" s="31" t="str">
        <f t="shared" si="30"/>
        <v>E2_5_1_7_mRNA:0</v>
      </c>
      <c r="J159" s="31" t="str">
        <f t="shared" si="31"/>
        <v>E2_5_1_7:0</v>
      </c>
      <c r="K159" s="31" t="str">
        <f t="shared" si="32"/>
        <v>0.00292 - (0.0093 * E2_5_1_7_mRNA)</v>
      </c>
      <c r="L159" s="31" t="str">
        <f t="shared" si="33"/>
        <v>(0.278 * E2_5_1_7_mRNA) - (0.00000278 * E2_5_1_7)</v>
      </c>
      <c r="M159" s="43" t="str">
        <f t="shared" si="34"/>
        <v>mRNA158: -&gt; E2_5_1_7_mRNA | 0.00292 - (0.0093 * E2_5_1_7_mRNA)</v>
      </c>
      <c r="N159" s="31" t="str">
        <f t="shared" si="35"/>
        <v>Peptide158:E2_5_1_7_mRNA -&gt; E2_5_1_7 | (0.278 * E2_5_1_7_mRNA) -  (0.00000278 * E2_5_1_7)</v>
      </c>
    </row>
    <row r="160" spans="1:14" ht="43.5" x14ac:dyDescent="0.35">
      <c r="A160" s="31">
        <v>159</v>
      </c>
      <c r="B160" s="31" t="s">
        <v>14087</v>
      </c>
      <c r="C160" s="31" t="str">
        <f t="shared" si="24"/>
        <v>E2_5_1_72_mRNA</v>
      </c>
      <c r="D160" s="31" t="str">
        <f t="shared" si="25"/>
        <v>E2_5_1_72</v>
      </c>
      <c r="E160" s="31" t="str">
        <f t="shared" si="26"/>
        <v>E2_5_1_72_Kcat : 13.7</v>
      </c>
      <c r="F160" s="31" t="str">
        <f t="shared" si="27"/>
        <v>E2_5_1_72_Km :1</v>
      </c>
      <c r="G160" s="31" t="str">
        <f t="shared" si="28"/>
        <v>E2_5_1_72_mRNA:E2_5_1_72_mRNA</v>
      </c>
      <c r="H160" s="31" t="str">
        <f t="shared" si="29"/>
        <v>E2_5_1_72:E2_5_1_72</v>
      </c>
      <c r="I160" s="31" t="str">
        <f t="shared" si="30"/>
        <v>E2_5_1_72_mRNA:0</v>
      </c>
      <c r="J160" s="31" t="str">
        <f t="shared" si="31"/>
        <v>E2_5_1_72:0</v>
      </c>
      <c r="K160" s="31" t="str">
        <f t="shared" si="32"/>
        <v>0.00292 - (0.0093 * E2_5_1_72_mRNA)</v>
      </c>
      <c r="L160" s="31" t="str">
        <f t="shared" si="33"/>
        <v>(0.278 * E2_5_1_72_mRNA) - (0.00000278 * E2_5_1_72)</v>
      </c>
      <c r="M160" s="43" t="str">
        <f t="shared" si="34"/>
        <v>mRNA159: -&gt; E2_5_1_72_mRNA | 0.00292 - (0.0093 * E2_5_1_72_mRNA)</v>
      </c>
      <c r="N160" s="31" t="str">
        <f t="shared" si="35"/>
        <v>Peptide159:E2_5_1_72_mRNA -&gt; E2_5_1_72 | (0.278 * E2_5_1_72_mRNA) -  (0.00000278 * E2_5_1_72)</v>
      </c>
    </row>
    <row r="161" spans="1:14" ht="43.5" x14ac:dyDescent="0.35">
      <c r="A161" s="31">
        <v>160</v>
      </c>
      <c r="B161" s="31" t="s">
        <v>14088</v>
      </c>
      <c r="C161" s="31" t="str">
        <f t="shared" si="24"/>
        <v>E2_5_1_74_mRNA</v>
      </c>
      <c r="D161" s="31" t="str">
        <f t="shared" si="25"/>
        <v>E2_5_1_74</v>
      </c>
      <c r="E161" s="31" t="str">
        <f t="shared" si="26"/>
        <v>E2_5_1_74_Kcat : 13.7</v>
      </c>
      <c r="F161" s="31" t="str">
        <f t="shared" si="27"/>
        <v>E2_5_1_74_Km :1</v>
      </c>
      <c r="G161" s="31" t="str">
        <f t="shared" si="28"/>
        <v>E2_5_1_74_mRNA:E2_5_1_74_mRNA</v>
      </c>
      <c r="H161" s="31" t="str">
        <f t="shared" si="29"/>
        <v>E2_5_1_74:E2_5_1_74</v>
      </c>
      <c r="I161" s="31" t="str">
        <f t="shared" si="30"/>
        <v>E2_5_1_74_mRNA:0</v>
      </c>
      <c r="J161" s="31" t="str">
        <f t="shared" si="31"/>
        <v>E2_5_1_74:0</v>
      </c>
      <c r="K161" s="31" t="str">
        <f t="shared" si="32"/>
        <v>0.00292 - (0.0093 * E2_5_1_74_mRNA)</v>
      </c>
      <c r="L161" s="31" t="str">
        <f t="shared" si="33"/>
        <v>(0.278 * E2_5_1_74_mRNA) - (0.00000278 * E2_5_1_74)</v>
      </c>
      <c r="M161" s="43" t="str">
        <f t="shared" si="34"/>
        <v>mRNA160: -&gt; E2_5_1_74_mRNA | 0.00292 - (0.0093 * E2_5_1_74_mRNA)</v>
      </c>
      <c r="N161" s="31" t="str">
        <f t="shared" si="35"/>
        <v>Peptide160:E2_5_1_74_mRNA -&gt; E2_5_1_74 | (0.278 * E2_5_1_74_mRNA) -  (0.00000278 * E2_5_1_74)</v>
      </c>
    </row>
    <row r="162" spans="1:14" ht="43.5" x14ac:dyDescent="0.35">
      <c r="A162" s="31">
        <v>161</v>
      </c>
      <c r="B162" s="31" t="s">
        <v>14089</v>
      </c>
      <c r="C162" s="31" t="str">
        <f t="shared" si="24"/>
        <v>E2_5_1_75_mRNA</v>
      </c>
      <c r="D162" s="31" t="str">
        <f t="shared" si="25"/>
        <v>E2_5_1_75</v>
      </c>
      <c r="E162" s="31" t="str">
        <f t="shared" si="26"/>
        <v>E2_5_1_75_Kcat : 13.7</v>
      </c>
      <c r="F162" s="31" t="str">
        <f t="shared" si="27"/>
        <v>E2_5_1_75_Km :1</v>
      </c>
      <c r="G162" s="31" t="str">
        <f t="shared" si="28"/>
        <v>E2_5_1_75_mRNA:E2_5_1_75_mRNA</v>
      </c>
      <c r="H162" s="31" t="str">
        <f t="shared" si="29"/>
        <v>E2_5_1_75:E2_5_1_75</v>
      </c>
      <c r="I162" s="31" t="str">
        <f t="shared" si="30"/>
        <v>E2_5_1_75_mRNA:0</v>
      </c>
      <c r="J162" s="31" t="str">
        <f t="shared" si="31"/>
        <v>E2_5_1_75:0</v>
      </c>
      <c r="K162" s="31" t="str">
        <f t="shared" si="32"/>
        <v>0.00292 - (0.0093 * E2_5_1_75_mRNA)</v>
      </c>
      <c r="L162" s="31" t="str">
        <f t="shared" si="33"/>
        <v>(0.278 * E2_5_1_75_mRNA) - (0.00000278 * E2_5_1_75)</v>
      </c>
      <c r="M162" s="43" t="str">
        <f t="shared" si="34"/>
        <v>mRNA161: -&gt; E2_5_1_75_mRNA | 0.00292 - (0.0093 * E2_5_1_75_mRNA)</v>
      </c>
      <c r="N162" s="31" t="str">
        <f t="shared" si="35"/>
        <v>Peptide161:E2_5_1_75_mRNA -&gt; E2_5_1_75 | (0.278 * E2_5_1_75_mRNA) -  (0.00000278 * E2_5_1_75)</v>
      </c>
    </row>
    <row r="163" spans="1:14" ht="43.5" x14ac:dyDescent="0.35">
      <c r="A163" s="31">
        <v>162</v>
      </c>
      <c r="B163" s="31" t="s">
        <v>14090</v>
      </c>
      <c r="C163" s="31" t="str">
        <f t="shared" si="24"/>
        <v>E2_5_1_78_mRNA</v>
      </c>
      <c r="D163" s="31" t="str">
        <f t="shared" si="25"/>
        <v>E2_5_1_78</v>
      </c>
      <c r="E163" s="31" t="str">
        <f t="shared" si="26"/>
        <v>E2_5_1_78_Kcat : 13.7</v>
      </c>
      <c r="F163" s="31" t="str">
        <f t="shared" si="27"/>
        <v>E2_5_1_78_Km :1</v>
      </c>
      <c r="G163" s="31" t="str">
        <f t="shared" si="28"/>
        <v>E2_5_1_78_mRNA:E2_5_1_78_mRNA</v>
      </c>
      <c r="H163" s="31" t="str">
        <f t="shared" si="29"/>
        <v>E2_5_1_78:E2_5_1_78</v>
      </c>
      <c r="I163" s="31" t="str">
        <f t="shared" si="30"/>
        <v>E2_5_1_78_mRNA:0</v>
      </c>
      <c r="J163" s="31" t="str">
        <f t="shared" si="31"/>
        <v>E2_5_1_78:0</v>
      </c>
      <c r="K163" s="31" t="str">
        <f t="shared" si="32"/>
        <v>0.00292 - (0.0093 * E2_5_1_78_mRNA)</v>
      </c>
      <c r="L163" s="31" t="str">
        <f t="shared" si="33"/>
        <v>(0.278 * E2_5_1_78_mRNA) - (0.00000278 * E2_5_1_78)</v>
      </c>
      <c r="M163" s="43" t="str">
        <f t="shared" si="34"/>
        <v>mRNA162: -&gt; E2_5_1_78_mRNA | 0.00292 - (0.0093 * E2_5_1_78_mRNA)</v>
      </c>
      <c r="N163" s="31" t="str">
        <f t="shared" si="35"/>
        <v>Peptide162:E2_5_1_78_mRNA -&gt; E2_5_1_78 | (0.278 * E2_5_1_78_mRNA) -  (0.00000278 * E2_5_1_78)</v>
      </c>
    </row>
    <row r="164" spans="1:14" ht="29" x14ac:dyDescent="0.35">
      <c r="A164" s="31">
        <v>163</v>
      </c>
      <c r="B164" s="31" t="s">
        <v>14091</v>
      </c>
      <c r="C164" s="31" t="str">
        <f t="shared" si="24"/>
        <v>E2_5_1_9_mRNA</v>
      </c>
      <c r="D164" s="31" t="str">
        <f t="shared" si="25"/>
        <v>E2_5_1_9</v>
      </c>
      <c r="E164" s="31" t="str">
        <f t="shared" si="26"/>
        <v>E2_5_1_9_Kcat : 13.7</v>
      </c>
      <c r="F164" s="31" t="str">
        <f t="shared" si="27"/>
        <v>E2_5_1_9_Km :1</v>
      </c>
      <c r="G164" s="31" t="str">
        <f t="shared" si="28"/>
        <v>E2_5_1_9_mRNA:E2_5_1_9_mRNA</v>
      </c>
      <c r="H164" s="31" t="str">
        <f t="shared" si="29"/>
        <v>E2_5_1_9:E2_5_1_9</v>
      </c>
      <c r="I164" s="31" t="str">
        <f t="shared" si="30"/>
        <v>E2_5_1_9_mRNA:0</v>
      </c>
      <c r="J164" s="31" t="str">
        <f t="shared" si="31"/>
        <v>E2_5_1_9:0</v>
      </c>
      <c r="K164" s="31" t="str">
        <f t="shared" si="32"/>
        <v>0.00292 - (0.0093 * E2_5_1_9_mRNA)</v>
      </c>
      <c r="L164" s="31" t="str">
        <f t="shared" si="33"/>
        <v>(0.278 * E2_5_1_9_mRNA) - (0.00000278 * E2_5_1_9)</v>
      </c>
      <c r="M164" s="43" t="str">
        <f t="shared" si="34"/>
        <v>mRNA163: -&gt; E2_5_1_9_mRNA | 0.00292 - (0.0093 * E2_5_1_9_mRNA)</v>
      </c>
      <c r="N164" s="31" t="str">
        <f t="shared" si="35"/>
        <v>Peptide163:E2_5_1_9_mRNA -&gt; E2_5_1_9 | (0.278 * E2_5_1_9_mRNA) -  (0.00000278 * E2_5_1_9)</v>
      </c>
    </row>
    <row r="165" spans="1:14" ht="43.5" x14ac:dyDescent="0.35">
      <c r="A165" s="31">
        <v>164</v>
      </c>
      <c r="B165" s="31" t="s">
        <v>14092</v>
      </c>
      <c r="C165" s="31" t="str">
        <f t="shared" si="24"/>
        <v>E2_6_1_11_mRNA</v>
      </c>
      <c r="D165" s="31" t="str">
        <f t="shared" si="25"/>
        <v>E2_6_1_11</v>
      </c>
      <c r="E165" s="31" t="str">
        <f t="shared" si="26"/>
        <v>E2_6_1_11_Kcat : 13.7</v>
      </c>
      <c r="F165" s="31" t="str">
        <f t="shared" si="27"/>
        <v>E2_6_1_11_Km :1</v>
      </c>
      <c r="G165" s="31" t="str">
        <f t="shared" si="28"/>
        <v>E2_6_1_11_mRNA:E2_6_1_11_mRNA</v>
      </c>
      <c r="H165" s="31" t="str">
        <f t="shared" si="29"/>
        <v>E2_6_1_11:E2_6_1_11</v>
      </c>
      <c r="I165" s="31" t="str">
        <f t="shared" si="30"/>
        <v>E2_6_1_11_mRNA:0</v>
      </c>
      <c r="J165" s="31" t="str">
        <f t="shared" si="31"/>
        <v>E2_6_1_11:0</v>
      </c>
      <c r="K165" s="31" t="str">
        <f t="shared" si="32"/>
        <v>0.00292 - (0.0093 * E2_6_1_11_mRNA)</v>
      </c>
      <c r="L165" s="31" t="str">
        <f t="shared" si="33"/>
        <v>(0.278 * E2_6_1_11_mRNA) - (0.00000278 * E2_6_1_11)</v>
      </c>
      <c r="M165" s="43" t="str">
        <f t="shared" si="34"/>
        <v>mRNA164: -&gt; E2_6_1_11_mRNA | 0.00292 - (0.0093 * E2_6_1_11_mRNA)</v>
      </c>
      <c r="N165" s="31" t="str">
        <f t="shared" si="35"/>
        <v>Peptide164:E2_6_1_11_mRNA -&gt; E2_6_1_11 | (0.278 * E2_6_1_11_mRNA) -  (0.00000278 * E2_6_1_11)</v>
      </c>
    </row>
    <row r="166" spans="1:14" ht="43.5" x14ac:dyDescent="0.35">
      <c r="A166" s="31">
        <v>165</v>
      </c>
      <c r="B166" s="31" t="s">
        <v>14093</v>
      </c>
      <c r="C166" s="31" t="str">
        <f t="shared" si="24"/>
        <v>E2_6_1_16_mRNA</v>
      </c>
      <c r="D166" s="31" t="str">
        <f t="shared" si="25"/>
        <v>E2_6_1_16</v>
      </c>
      <c r="E166" s="31" t="str">
        <f t="shared" si="26"/>
        <v>E2_6_1_16_Kcat : 13.7</v>
      </c>
      <c r="F166" s="31" t="str">
        <f t="shared" si="27"/>
        <v>E2_6_1_16_Km :1</v>
      </c>
      <c r="G166" s="31" t="str">
        <f t="shared" si="28"/>
        <v>E2_6_1_16_mRNA:E2_6_1_16_mRNA</v>
      </c>
      <c r="H166" s="31" t="str">
        <f t="shared" si="29"/>
        <v>E2_6_1_16:E2_6_1_16</v>
      </c>
      <c r="I166" s="31" t="str">
        <f t="shared" si="30"/>
        <v>E2_6_1_16_mRNA:0</v>
      </c>
      <c r="J166" s="31" t="str">
        <f t="shared" si="31"/>
        <v>E2_6_1_16:0</v>
      </c>
      <c r="K166" s="31" t="str">
        <f t="shared" si="32"/>
        <v>0.00292 - (0.0093 * E2_6_1_16_mRNA)</v>
      </c>
      <c r="L166" s="31" t="str">
        <f t="shared" si="33"/>
        <v>(0.278 * E2_6_1_16_mRNA) - (0.00000278 * E2_6_1_16)</v>
      </c>
      <c r="M166" s="43" t="str">
        <f t="shared" si="34"/>
        <v>mRNA165: -&gt; E2_6_1_16_mRNA | 0.00292 - (0.0093 * E2_6_1_16_mRNA)</v>
      </c>
      <c r="N166" s="31" t="str">
        <f t="shared" si="35"/>
        <v>Peptide165:E2_6_1_16_mRNA -&gt; E2_6_1_16 | (0.278 * E2_6_1_16_mRNA) -  (0.00000278 * E2_6_1_16)</v>
      </c>
    </row>
    <row r="167" spans="1:14" ht="43.5" x14ac:dyDescent="0.35">
      <c r="A167" s="31">
        <v>166</v>
      </c>
      <c r="B167" s="31" t="s">
        <v>14094</v>
      </c>
      <c r="C167" s="31" t="str">
        <f t="shared" si="24"/>
        <v>E2_6_1_17_mRNA</v>
      </c>
      <c r="D167" s="31" t="str">
        <f t="shared" si="25"/>
        <v>E2_6_1_17</v>
      </c>
      <c r="E167" s="31" t="str">
        <f t="shared" si="26"/>
        <v>E2_6_1_17_Kcat : 13.7</v>
      </c>
      <c r="F167" s="31" t="str">
        <f t="shared" si="27"/>
        <v>E2_6_1_17_Km :1</v>
      </c>
      <c r="G167" s="31" t="str">
        <f t="shared" si="28"/>
        <v>E2_6_1_17_mRNA:E2_6_1_17_mRNA</v>
      </c>
      <c r="H167" s="31" t="str">
        <f t="shared" si="29"/>
        <v>E2_6_1_17:E2_6_1_17</v>
      </c>
      <c r="I167" s="31" t="str">
        <f t="shared" si="30"/>
        <v>E2_6_1_17_mRNA:0</v>
      </c>
      <c r="J167" s="31" t="str">
        <f t="shared" si="31"/>
        <v>E2_6_1_17:0</v>
      </c>
      <c r="K167" s="31" t="str">
        <f t="shared" si="32"/>
        <v>0.00292 - (0.0093 * E2_6_1_17_mRNA)</v>
      </c>
      <c r="L167" s="31" t="str">
        <f t="shared" si="33"/>
        <v>(0.278 * E2_6_1_17_mRNA) - (0.00000278 * E2_6_1_17)</v>
      </c>
      <c r="M167" s="43" t="str">
        <f t="shared" si="34"/>
        <v>mRNA166: -&gt; E2_6_1_17_mRNA | 0.00292 - (0.0093 * E2_6_1_17_mRNA)</v>
      </c>
      <c r="N167" s="31" t="str">
        <f t="shared" si="35"/>
        <v>Peptide166:E2_6_1_17_mRNA -&gt; E2_6_1_17 | (0.278 * E2_6_1_17_mRNA) -  (0.00000278 * E2_6_1_17)</v>
      </c>
    </row>
    <row r="168" spans="1:14" ht="43.5" x14ac:dyDescent="0.35">
      <c r="A168" s="31">
        <v>167</v>
      </c>
      <c r="B168" s="31" t="s">
        <v>14095</v>
      </c>
      <c r="C168" s="31" t="str">
        <f t="shared" si="24"/>
        <v>E2_6_1_19_mRNA</v>
      </c>
      <c r="D168" s="31" t="str">
        <f t="shared" si="25"/>
        <v>E2_6_1_19</v>
      </c>
      <c r="E168" s="31" t="str">
        <f t="shared" si="26"/>
        <v>E2_6_1_19_Kcat : 13.7</v>
      </c>
      <c r="F168" s="31" t="str">
        <f t="shared" si="27"/>
        <v>E2_6_1_19_Km :1</v>
      </c>
      <c r="G168" s="31" t="str">
        <f t="shared" si="28"/>
        <v>E2_6_1_19_mRNA:E2_6_1_19_mRNA</v>
      </c>
      <c r="H168" s="31" t="str">
        <f t="shared" si="29"/>
        <v>E2_6_1_19:E2_6_1_19</v>
      </c>
      <c r="I168" s="31" t="str">
        <f t="shared" si="30"/>
        <v>E2_6_1_19_mRNA:0</v>
      </c>
      <c r="J168" s="31" t="str">
        <f t="shared" si="31"/>
        <v>E2_6_1_19:0</v>
      </c>
      <c r="K168" s="31" t="str">
        <f t="shared" si="32"/>
        <v>0.00292 - (0.0093 * E2_6_1_19_mRNA)</v>
      </c>
      <c r="L168" s="31" t="str">
        <f t="shared" si="33"/>
        <v>(0.278 * E2_6_1_19_mRNA) - (0.00000278 * E2_6_1_19)</v>
      </c>
      <c r="M168" s="43" t="str">
        <f t="shared" si="34"/>
        <v>mRNA167: -&gt; E2_6_1_19_mRNA | 0.00292 - (0.0093 * E2_6_1_19_mRNA)</v>
      </c>
      <c r="N168" s="31" t="str">
        <f t="shared" si="35"/>
        <v>Peptide167:E2_6_1_19_mRNA -&gt; E2_6_1_19 | (0.278 * E2_6_1_19_mRNA) -  (0.00000278 * E2_6_1_19)</v>
      </c>
    </row>
    <row r="169" spans="1:14" ht="43.5" x14ac:dyDescent="0.35">
      <c r="A169" s="31">
        <v>168</v>
      </c>
      <c r="B169" s="31" t="s">
        <v>14096</v>
      </c>
      <c r="C169" s="31" t="str">
        <f t="shared" si="24"/>
        <v>E2_6_1_42_mRNA</v>
      </c>
      <c r="D169" s="31" t="str">
        <f t="shared" si="25"/>
        <v>E2_6_1_42</v>
      </c>
      <c r="E169" s="31" t="str">
        <f t="shared" si="26"/>
        <v>E2_6_1_42_Kcat : 13.7</v>
      </c>
      <c r="F169" s="31" t="str">
        <f t="shared" si="27"/>
        <v>E2_6_1_42_Km :1</v>
      </c>
      <c r="G169" s="31" t="str">
        <f t="shared" si="28"/>
        <v>E2_6_1_42_mRNA:E2_6_1_42_mRNA</v>
      </c>
      <c r="H169" s="31" t="str">
        <f t="shared" si="29"/>
        <v>E2_6_1_42:E2_6_1_42</v>
      </c>
      <c r="I169" s="31" t="str">
        <f t="shared" si="30"/>
        <v>E2_6_1_42_mRNA:0</v>
      </c>
      <c r="J169" s="31" t="str">
        <f t="shared" si="31"/>
        <v>E2_6_1_42:0</v>
      </c>
      <c r="K169" s="31" t="str">
        <f t="shared" si="32"/>
        <v>0.00292 - (0.0093 * E2_6_1_42_mRNA)</v>
      </c>
      <c r="L169" s="31" t="str">
        <f t="shared" si="33"/>
        <v>(0.278 * E2_6_1_42_mRNA) - (0.00000278 * E2_6_1_42)</v>
      </c>
      <c r="M169" s="43" t="str">
        <f t="shared" si="34"/>
        <v>mRNA168: -&gt; E2_6_1_42_mRNA | 0.00292 - (0.0093 * E2_6_1_42_mRNA)</v>
      </c>
      <c r="N169" s="31" t="str">
        <f t="shared" si="35"/>
        <v>Peptide168:E2_6_1_42_mRNA -&gt; E2_6_1_42 | (0.278 * E2_6_1_42_mRNA) -  (0.00000278 * E2_6_1_42)</v>
      </c>
    </row>
    <row r="170" spans="1:14" ht="43.5" x14ac:dyDescent="0.35">
      <c r="A170" s="31">
        <v>169</v>
      </c>
      <c r="B170" s="31" t="s">
        <v>14097</v>
      </c>
      <c r="C170" s="31" t="str">
        <f t="shared" si="24"/>
        <v>E2_6_1_52_mRNA</v>
      </c>
      <c r="D170" s="31" t="str">
        <f t="shared" si="25"/>
        <v>E2_6_1_52</v>
      </c>
      <c r="E170" s="31" t="str">
        <f t="shared" si="26"/>
        <v>E2_6_1_52_Kcat : 13.7</v>
      </c>
      <c r="F170" s="31" t="str">
        <f t="shared" si="27"/>
        <v>E2_6_1_52_Km :1</v>
      </c>
      <c r="G170" s="31" t="str">
        <f t="shared" si="28"/>
        <v>E2_6_1_52_mRNA:E2_6_1_52_mRNA</v>
      </c>
      <c r="H170" s="31" t="str">
        <f t="shared" si="29"/>
        <v>E2_6_1_52:E2_6_1_52</v>
      </c>
      <c r="I170" s="31" t="str">
        <f t="shared" si="30"/>
        <v>E2_6_1_52_mRNA:0</v>
      </c>
      <c r="J170" s="31" t="str">
        <f t="shared" si="31"/>
        <v>E2_6_1_52:0</v>
      </c>
      <c r="K170" s="31" t="str">
        <f t="shared" si="32"/>
        <v>0.00292 - (0.0093 * E2_6_1_52_mRNA)</v>
      </c>
      <c r="L170" s="31" t="str">
        <f t="shared" si="33"/>
        <v>(0.278 * E2_6_1_52_mRNA) - (0.00000278 * E2_6_1_52)</v>
      </c>
      <c r="M170" s="43" t="str">
        <f t="shared" si="34"/>
        <v>mRNA169: -&gt; E2_6_1_52_mRNA | 0.00292 - (0.0093 * E2_6_1_52_mRNA)</v>
      </c>
      <c r="N170" s="31" t="str">
        <f t="shared" si="35"/>
        <v>Peptide169:E2_6_1_52_mRNA -&gt; E2_6_1_52 | (0.278 * E2_6_1_52_mRNA) -  (0.00000278 * E2_6_1_52)</v>
      </c>
    </row>
    <row r="171" spans="1:14" ht="43.5" x14ac:dyDescent="0.35">
      <c r="A171" s="31">
        <v>170</v>
      </c>
      <c r="B171" s="31" t="s">
        <v>14098</v>
      </c>
      <c r="C171" s="31" t="str">
        <f t="shared" si="24"/>
        <v>E2_6_1_62_mRNA</v>
      </c>
      <c r="D171" s="31" t="str">
        <f t="shared" si="25"/>
        <v>E2_6_1_62</v>
      </c>
      <c r="E171" s="31" t="str">
        <f t="shared" si="26"/>
        <v>E2_6_1_62_Kcat : 13.7</v>
      </c>
      <c r="F171" s="31" t="str">
        <f t="shared" si="27"/>
        <v>E2_6_1_62_Km :1</v>
      </c>
      <c r="G171" s="31" t="str">
        <f t="shared" si="28"/>
        <v>E2_6_1_62_mRNA:E2_6_1_62_mRNA</v>
      </c>
      <c r="H171" s="31" t="str">
        <f t="shared" si="29"/>
        <v>E2_6_1_62:E2_6_1_62</v>
      </c>
      <c r="I171" s="31" t="str">
        <f t="shared" si="30"/>
        <v>E2_6_1_62_mRNA:0</v>
      </c>
      <c r="J171" s="31" t="str">
        <f t="shared" si="31"/>
        <v>E2_6_1_62:0</v>
      </c>
      <c r="K171" s="31" t="str">
        <f t="shared" si="32"/>
        <v>0.00292 - (0.0093 * E2_6_1_62_mRNA)</v>
      </c>
      <c r="L171" s="31" t="str">
        <f t="shared" si="33"/>
        <v>(0.278 * E2_6_1_62_mRNA) - (0.00000278 * E2_6_1_62)</v>
      </c>
      <c r="M171" s="43" t="str">
        <f t="shared" si="34"/>
        <v>mRNA170: -&gt; E2_6_1_62_mRNA | 0.00292 - (0.0093 * E2_6_1_62_mRNA)</v>
      </c>
      <c r="N171" s="31" t="str">
        <f t="shared" si="35"/>
        <v>Peptide170:E2_6_1_62_mRNA -&gt; E2_6_1_62 | (0.278 * E2_6_1_62_mRNA) -  (0.00000278 * E2_6_1_62)</v>
      </c>
    </row>
    <row r="172" spans="1:14" ht="43.5" x14ac:dyDescent="0.35">
      <c r="A172" s="31">
        <v>171</v>
      </c>
      <c r="B172" s="31" t="s">
        <v>14099</v>
      </c>
      <c r="C172" s="31" t="str">
        <f t="shared" si="24"/>
        <v>E2_6_1_85_mRNA</v>
      </c>
      <c r="D172" s="31" t="str">
        <f t="shared" si="25"/>
        <v>E2_6_1_85</v>
      </c>
      <c r="E172" s="31" t="str">
        <f t="shared" si="26"/>
        <v>E2_6_1_85_Kcat : 13.7</v>
      </c>
      <c r="F172" s="31" t="str">
        <f t="shared" si="27"/>
        <v>E2_6_1_85_Km :1</v>
      </c>
      <c r="G172" s="31" t="str">
        <f t="shared" si="28"/>
        <v>E2_6_1_85_mRNA:E2_6_1_85_mRNA</v>
      </c>
      <c r="H172" s="31" t="str">
        <f t="shared" si="29"/>
        <v>E2_6_1_85:E2_6_1_85</v>
      </c>
      <c r="I172" s="31" t="str">
        <f t="shared" si="30"/>
        <v>E2_6_1_85_mRNA:0</v>
      </c>
      <c r="J172" s="31" t="str">
        <f t="shared" si="31"/>
        <v>E2_6_1_85:0</v>
      </c>
      <c r="K172" s="31" t="str">
        <f t="shared" si="32"/>
        <v>0.00292 - (0.0093 * E2_6_1_85_mRNA)</v>
      </c>
      <c r="L172" s="31" t="str">
        <f t="shared" si="33"/>
        <v>(0.278 * E2_6_1_85_mRNA) - (0.00000278 * E2_6_1_85)</v>
      </c>
      <c r="M172" s="43" t="str">
        <f t="shared" si="34"/>
        <v>mRNA171: -&gt; E2_6_1_85_mRNA | 0.00292 - (0.0093 * E2_6_1_85_mRNA)</v>
      </c>
      <c r="N172" s="31" t="str">
        <f t="shared" si="35"/>
        <v>Peptide171:E2_6_1_85_mRNA -&gt; E2_6_1_85 | (0.278 * E2_6_1_85_mRNA) -  (0.00000278 * E2_6_1_85)</v>
      </c>
    </row>
    <row r="173" spans="1:14" ht="29" x14ac:dyDescent="0.35">
      <c r="A173" s="31">
        <v>172</v>
      </c>
      <c r="B173" s="31" t="s">
        <v>14100</v>
      </c>
      <c r="C173" s="31" t="str">
        <f t="shared" si="24"/>
        <v>E2_6_1_9_mRNA</v>
      </c>
      <c r="D173" s="31" t="str">
        <f t="shared" si="25"/>
        <v>E2_6_1_9</v>
      </c>
      <c r="E173" s="31" t="str">
        <f t="shared" si="26"/>
        <v>E2_6_1_9_Kcat : 13.7</v>
      </c>
      <c r="F173" s="31" t="str">
        <f t="shared" si="27"/>
        <v>E2_6_1_9_Km :1</v>
      </c>
      <c r="G173" s="31" t="str">
        <f t="shared" si="28"/>
        <v>E2_6_1_9_mRNA:E2_6_1_9_mRNA</v>
      </c>
      <c r="H173" s="31" t="str">
        <f t="shared" si="29"/>
        <v>E2_6_1_9:E2_6_1_9</v>
      </c>
      <c r="I173" s="31" t="str">
        <f t="shared" si="30"/>
        <v>E2_6_1_9_mRNA:0</v>
      </c>
      <c r="J173" s="31" t="str">
        <f t="shared" si="31"/>
        <v>E2_6_1_9:0</v>
      </c>
      <c r="K173" s="31" t="str">
        <f t="shared" si="32"/>
        <v>0.00292 - (0.0093 * E2_6_1_9_mRNA)</v>
      </c>
      <c r="L173" s="31" t="str">
        <f t="shared" si="33"/>
        <v>(0.278 * E2_6_1_9_mRNA) - (0.00000278 * E2_6_1_9)</v>
      </c>
      <c r="M173" s="43" t="str">
        <f t="shared" si="34"/>
        <v>mRNA172: -&gt; E2_6_1_9_mRNA | 0.00292 - (0.0093 * E2_6_1_9_mRNA)</v>
      </c>
      <c r="N173" s="31" t="str">
        <f t="shared" si="35"/>
        <v>Peptide172:E2_6_1_9_mRNA -&gt; E2_6_1_9 | (0.278 * E2_6_1_9_mRNA) -  (0.00000278 * E2_6_1_9)</v>
      </c>
    </row>
    <row r="174" spans="1:14" ht="43.5" x14ac:dyDescent="0.35">
      <c r="A174" s="31">
        <v>173</v>
      </c>
      <c r="B174" s="31" t="s">
        <v>14101</v>
      </c>
      <c r="C174" s="31" t="str">
        <f t="shared" si="24"/>
        <v>E2_7_1_12_mRNA</v>
      </c>
      <c r="D174" s="31" t="str">
        <f t="shared" si="25"/>
        <v>E2_7_1_12</v>
      </c>
      <c r="E174" s="31" t="str">
        <f t="shared" si="26"/>
        <v>E2_7_1_12_Kcat : 13.7</v>
      </c>
      <c r="F174" s="31" t="str">
        <f t="shared" si="27"/>
        <v>E2_7_1_12_Km :1</v>
      </c>
      <c r="G174" s="31" t="str">
        <f t="shared" si="28"/>
        <v>E2_7_1_12_mRNA:E2_7_1_12_mRNA</v>
      </c>
      <c r="H174" s="31" t="str">
        <f t="shared" si="29"/>
        <v>E2_7_1_12:E2_7_1_12</v>
      </c>
      <c r="I174" s="31" t="str">
        <f t="shared" si="30"/>
        <v>E2_7_1_12_mRNA:0</v>
      </c>
      <c r="J174" s="31" t="str">
        <f t="shared" si="31"/>
        <v>E2_7_1_12:0</v>
      </c>
      <c r="K174" s="31" t="str">
        <f t="shared" si="32"/>
        <v>0.00292 - (0.0093 * E2_7_1_12_mRNA)</v>
      </c>
      <c r="L174" s="31" t="str">
        <f t="shared" si="33"/>
        <v>(0.278 * E2_7_1_12_mRNA) - (0.00000278 * E2_7_1_12)</v>
      </c>
      <c r="M174" s="43" t="str">
        <f t="shared" si="34"/>
        <v>mRNA173: -&gt; E2_7_1_12_mRNA | 0.00292 - (0.0093 * E2_7_1_12_mRNA)</v>
      </c>
      <c r="N174" s="31" t="str">
        <f t="shared" si="35"/>
        <v>Peptide173:E2_7_1_12_mRNA -&gt; E2_7_1_12 | (0.278 * E2_7_1_12_mRNA) -  (0.00000278 * E2_7_1_12)</v>
      </c>
    </row>
    <row r="175" spans="1:14" ht="43.5" x14ac:dyDescent="0.35">
      <c r="A175" s="31">
        <v>174</v>
      </c>
      <c r="B175" s="31" t="s">
        <v>14102</v>
      </c>
      <c r="C175" s="31" t="str">
        <f t="shared" si="24"/>
        <v>E2_7_1_148_mRNA</v>
      </c>
      <c r="D175" s="31" t="str">
        <f t="shared" si="25"/>
        <v>E2_7_1_148</v>
      </c>
      <c r="E175" s="31" t="str">
        <f t="shared" si="26"/>
        <v>E2_7_1_148_Kcat : 13.7</v>
      </c>
      <c r="F175" s="31" t="str">
        <f t="shared" si="27"/>
        <v>E2_7_1_148_Km :1</v>
      </c>
      <c r="G175" s="31" t="str">
        <f t="shared" si="28"/>
        <v>E2_7_1_148_mRNA:E2_7_1_148_mRNA</v>
      </c>
      <c r="H175" s="31" t="str">
        <f t="shared" si="29"/>
        <v>E2_7_1_148:E2_7_1_148</v>
      </c>
      <c r="I175" s="31" t="str">
        <f t="shared" si="30"/>
        <v>E2_7_1_148_mRNA:0</v>
      </c>
      <c r="J175" s="31" t="str">
        <f t="shared" si="31"/>
        <v>E2_7_1_148:0</v>
      </c>
      <c r="K175" s="31" t="str">
        <f t="shared" si="32"/>
        <v>0.00292 - (0.0093 * E2_7_1_148_mRNA)</v>
      </c>
      <c r="L175" s="31" t="str">
        <f t="shared" si="33"/>
        <v>(0.278 * E2_7_1_148_mRNA) - (0.00000278 * E2_7_1_148)</v>
      </c>
      <c r="M175" s="43" t="str">
        <f t="shared" si="34"/>
        <v>mRNA174: -&gt; E2_7_1_148_mRNA | 0.00292 - (0.0093 * E2_7_1_148_mRNA)</v>
      </c>
      <c r="N175" s="31" t="str">
        <f t="shared" si="35"/>
        <v>Peptide174:E2_7_1_148_mRNA -&gt; E2_7_1_148 | (0.278 * E2_7_1_148_mRNA) -  (0.00000278 * E2_7_1_148)</v>
      </c>
    </row>
    <row r="176" spans="1:14" ht="43.5" x14ac:dyDescent="0.35">
      <c r="A176" s="31">
        <v>175</v>
      </c>
      <c r="B176" s="31" t="s">
        <v>14103</v>
      </c>
      <c r="C176" s="31" t="str">
        <f t="shared" si="24"/>
        <v>E2_7_1_156 _mRNA</v>
      </c>
      <c r="D176" s="31" t="str">
        <f t="shared" si="25"/>
        <v xml:space="preserve">E2_7_1_156 </v>
      </c>
      <c r="E176" s="31" t="str">
        <f t="shared" si="26"/>
        <v>E2_7_1_156 _Kcat : 13.7</v>
      </c>
      <c r="F176" s="31" t="str">
        <f t="shared" si="27"/>
        <v>E2_7_1_156 _Km :1</v>
      </c>
      <c r="G176" s="31" t="str">
        <f t="shared" si="28"/>
        <v>E2_7_1_156 _mRNA:E2_7_1_156 _mRNA</v>
      </c>
      <c r="H176" s="31" t="str">
        <f t="shared" si="29"/>
        <v xml:space="preserve">E2_7_1_156 :E2_7_1_156 </v>
      </c>
      <c r="I176" s="31" t="str">
        <f t="shared" si="30"/>
        <v>E2_7_1_156 _mRNA:0</v>
      </c>
      <c r="J176" s="31" t="str">
        <f t="shared" si="31"/>
        <v>E2_7_1_156 :0</v>
      </c>
      <c r="K176" s="31" t="str">
        <f t="shared" si="32"/>
        <v>0.00292 - (0.0093 * E2_7_1_156 _mRNA)</v>
      </c>
      <c r="L176" s="31" t="str">
        <f t="shared" si="33"/>
        <v>(0.278 * E2_7_1_156 _mRNA) - (0.00000278 * E2_7_1_156 )</v>
      </c>
      <c r="M176" s="43" t="str">
        <f t="shared" si="34"/>
        <v>mRNA175: -&gt; E2_7_1_156 _mRNA | 0.00292 - (0.0093 * E2_7_1_156 _mRNA)</v>
      </c>
      <c r="N176" s="31" t="str">
        <f t="shared" si="35"/>
        <v>Peptide175:E2_7_1_156 _mRNA -&gt; E2_7_1_156  | (0.278 * E2_7_1_156 _mRNA) -  (0.00000278 * E2_7_1_156 )</v>
      </c>
    </row>
    <row r="177" spans="1:14" ht="43.5" x14ac:dyDescent="0.35">
      <c r="A177" s="31">
        <v>176</v>
      </c>
      <c r="B177" s="31" t="s">
        <v>14105</v>
      </c>
      <c r="C177" s="31" t="str">
        <f t="shared" si="24"/>
        <v>E2_7_7_62_mRNA</v>
      </c>
      <c r="D177" s="31" t="str">
        <f t="shared" si="25"/>
        <v>E2_7_7_62</v>
      </c>
      <c r="E177" s="31" t="str">
        <f t="shared" si="26"/>
        <v>E2_7_7_62_Kcat : 13.7</v>
      </c>
      <c r="F177" s="31" t="str">
        <f t="shared" si="27"/>
        <v>E2_7_7_62_Km :1</v>
      </c>
      <c r="G177" s="31" t="str">
        <f t="shared" si="28"/>
        <v>E2_7_7_62_mRNA:E2_7_7_62_mRNA</v>
      </c>
      <c r="H177" s="31" t="str">
        <f t="shared" si="29"/>
        <v>E2_7_7_62:E2_7_7_62</v>
      </c>
      <c r="I177" s="31" t="str">
        <f t="shared" si="30"/>
        <v>E2_7_7_62_mRNA:0</v>
      </c>
      <c r="J177" s="31" t="str">
        <f t="shared" si="31"/>
        <v>E2_7_7_62:0</v>
      </c>
      <c r="K177" s="31" t="str">
        <f t="shared" si="32"/>
        <v>0.00292 - (0.0093 * E2_7_7_62_mRNA)</v>
      </c>
      <c r="L177" s="31" t="str">
        <f t="shared" si="33"/>
        <v>(0.278 * E2_7_7_62_mRNA) - (0.00000278 * E2_7_7_62)</v>
      </c>
      <c r="M177" s="43" t="str">
        <f t="shared" si="34"/>
        <v>mRNA176: -&gt; E2_7_7_62_mRNA | 0.00292 - (0.0093 * E2_7_7_62_mRNA)</v>
      </c>
      <c r="N177" s="31" t="str">
        <f t="shared" si="35"/>
        <v>Peptide176:E2_7_7_62_mRNA -&gt; E2_7_7_62 | (0.278 * E2_7_7_62_mRNA) -  (0.00000278 * E2_7_7_62)</v>
      </c>
    </row>
    <row r="178" spans="1:14" ht="43.5" x14ac:dyDescent="0.35">
      <c r="A178" s="31">
        <v>177</v>
      </c>
      <c r="B178" s="31" t="s">
        <v>14106</v>
      </c>
      <c r="C178" s="31" t="str">
        <f t="shared" si="24"/>
        <v>E2_7_1_17_mRNA</v>
      </c>
      <c r="D178" s="31" t="str">
        <f t="shared" si="25"/>
        <v>E2_7_1_17</v>
      </c>
      <c r="E178" s="31" t="str">
        <f t="shared" si="26"/>
        <v>E2_7_1_17_Kcat : 13.7</v>
      </c>
      <c r="F178" s="31" t="str">
        <f t="shared" si="27"/>
        <v>E2_7_1_17_Km :1</v>
      </c>
      <c r="G178" s="31" t="str">
        <f t="shared" si="28"/>
        <v>E2_7_1_17_mRNA:E2_7_1_17_mRNA</v>
      </c>
      <c r="H178" s="31" t="str">
        <f t="shared" si="29"/>
        <v>E2_7_1_17:E2_7_1_17</v>
      </c>
      <c r="I178" s="31" t="str">
        <f t="shared" si="30"/>
        <v>E2_7_1_17_mRNA:0</v>
      </c>
      <c r="J178" s="31" t="str">
        <f t="shared" si="31"/>
        <v>E2_7_1_17:0</v>
      </c>
      <c r="K178" s="31" t="str">
        <f t="shared" si="32"/>
        <v>0.00292 - (0.0093 * E2_7_1_17_mRNA)</v>
      </c>
      <c r="L178" s="31" t="str">
        <f t="shared" si="33"/>
        <v>(0.278 * E2_7_1_17_mRNA) - (0.00000278 * E2_7_1_17)</v>
      </c>
      <c r="M178" s="43" t="str">
        <f t="shared" si="34"/>
        <v>mRNA177: -&gt; E2_7_1_17_mRNA | 0.00292 - (0.0093 * E2_7_1_17_mRNA)</v>
      </c>
      <c r="N178" s="31" t="str">
        <f t="shared" si="35"/>
        <v>Peptide177:E2_7_1_17_mRNA -&gt; E2_7_1_17 | (0.278 * E2_7_1_17_mRNA) -  (0.00000278 * E2_7_1_17)</v>
      </c>
    </row>
    <row r="179" spans="1:14" ht="29" x14ac:dyDescent="0.35">
      <c r="A179" s="31">
        <v>178</v>
      </c>
      <c r="B179" s="31" t="s">
        <v>14107</v>
      </c>
      <c r="C179" s="31" t="str">
        <f t="shared" si="24"/>
        <v>E2_7_1_2_mRNA</v>
      </c>
      <c r="D179" s="31" t="str">
        <f t="shared" si="25"/>
        <v>E2_7_1_2</v>
      </c>
      <c r="E179" s="31" t="str">
        <f t="shared" si="26"/>
        <v>E2_7_1_2_Kcat : 13.7</v>
      </c>
      <c r="F179" s="31" t="str">
        <f t="shared" si="27"/>
        <v>E2_7_1_2_Km :1</v>
      </c>
      <c r="G179" s="31" t="str">
        <f t="shared" si="28"/>
        <v>E2_7_1_2_mRNA:E2_7_1_2_mRNA</v>
      </c>
      <c r="H179" s="31" t="str">
        <f t="shared" si="29"/>
        <v>E2_7_1_2:E2_7_1_2</v>
      </c>
      <c r="I179" s="31" t="str">
        <f t="shared" si="30"/>
        <v>E2_7_1_2_mRNA:0</v>
      </c>
      <c r="J179" s="31" t="str">
        <f t="shared" si="31"/>
        <v>E2_7_1_2:0</v>
      </c>
      <c r="K179" s="31" t="str">
        <f t="shared" si="32"/>
        <v>0.00292 - (0.0093 * E2_7_1_2_mRNA)</v>
      </c>
      <c r="L179" s="31" t="str">
        <f t="shared" si="33"/>
        <v>(0.278 * E2_7_1_2_mRNA) - (0.00000278 * E2_7_1_2)</v>
      </c>
      <c r="M179" s="43" t="str">
        <f t="shared" si="34"/>
        <v>mRNA178: -&gt; E2_7_1_2_mRNA | 0.00292 - (0.0093 * E2_7_1_2_mRNA)</v>
      </c>
      <c r="N179" s="31" t="str">
        <f t="shared" si="35"/>
        <v>Peptide178:E2_7_1_2_mRNA -&gt; E2_7_1_2 | (0.278 * E2_7_1_2_mRNA) -  (0.00000278 * E2_7_1_2)</v>
      </c>
    </row>
    <row r="180" spans="1:14" ht="43.5" x14ac:dyDescent="0.35">
      <c r="A180" s="31">
        <v>179</v>
      </c>
      <c r="B180" s="31" t="s">
        <v>14108</v>
      </c>
      <c r="C180" s="31" t="str">
        <f t="shared" si="24"/>
        <v>E2_7_1_211_mRNA</v>
      </c>
      <c r="D180" s="31" t="str">
        <f t="shared" si="25"/>
        <v>E2_7_1_211</v>
      </c>
      <c r="E180" s="31" t="str">
        <f t="shared" si="26"/>
        <v>E2_7_1_211_Kcat : 13.7</v>
      </c>
      <c r="F180" s="31" t="str">
        <f t="shared" si="27"/>
        <v>E2_7_1_211_Km :1</v>
      </c>
      <c r="G180" s="31" t="str">
        <f t="shared" si="28"/>
        <v>E2_7_1_211_mRNA:E2_7_1_211_mRNA</v>
      </c>
      <c r="H180" s="31" t="str">
        <f t="shared" si="29"/>
        <v>E2_7_1_211:E2_7_1_211</v>
      </c>
      <c r="I180" s="31" t="str">
        <f t="shared" si="30"/>
        <v>E2_7_1_211_mRNA:0</v>
      </c>
      <c r="J180" s="31" t="str">
        <f t="shared" si="31"/>
        <v>E2_7_1_211:0</v>
      </c>
      <c r="K180" s="31" t="str">
        <f t="shared" si="32"/>
        <v>0.00292 - (0.0093 * E2_7_1_211_mRNA)</v>
      </c>
      <c r="L180" s="31" t="str">
        <f t="shared" si="33"/>
        <v>(0.278 * E2_7_1_211_mRNA) - (0.00000278 * E2_7_1_211)</v>
      </c>
      <c r="M180" s="43" t="str">
        <f t="shared" si="34"/>
        <v>mRNA179: -&gt; E2_7_1_211_mRNA | 0.00292 - (0.0093 * E2_7_1_211_mRNA)</v>
      </c>
      <c r="N180" s="31" t="str">
        <f t="shared" si="35"/>
        <v>Peptide179:E2_7_1_211_mRNA -&gt; E2_7_1_211 | (0.278 * E2_7_1_211_mRNA) -  (0.00000278 * E2_7_1_211)</v>
      </c>
    </row>
    <row r="181" spans="1:14" ht="43.5" x14ac:dyDescent="0.35">
      <c r="A181" s="31">
        <v>180</v>
      </c>
      <c r="B181" s="31" t="s">
        <v>14109</v>
      </c>
      <c r="C181" s="31" t="str">
        <f t="shared" si="24"/>
        <v>E2_7_1_23_mRNA</v>
      </c>
      <c r="D181" s="31" t="str">
        <f t="shared" si="25"/>
        <v>E2_7_1_23</v>
      </c>
      <c r="E181" s="31" t="str">
        <f t="shared" si="26"/>
        <v>E2_7_1_23_Kcat : 13.7</v>
      </c>
      <c r="F181" s="31" t="str">
        <f t="shared" si="27"/>
        <v>E2_7_1_23_Km :1</v>
      </c>
      <c r="G181" s="31" t="str">
        <f t="shared" si="28"/>
        <v>E2_7_1_23_mRNA:E2_7_1_23_mRNA</v>
      </c>
      <c r="H181" s="31" t="str">
        <f t="shared" si="29"/>
        <v>E2_7_1_23:E2_7_1_23</v>
      </c>
      <c r="I181" s="31" t="str">
        <f t="shared" si="30"/>
        <v>E2_7_1_23_mRNA:0</v>
      </c>
      <c r="J181" s="31" t="str">
        <f t="shared" si="31"/>
        <v>E2_7_1_23:0</v>
      </c>
      <c r="K181" s="31" t="str">
        <f t="shared" si="32"/>
        <v>0.00292 - (0.0093 * E2_7_1_23_mRNA)</v>
      </c>
      <c r="L181" s="31" t="str">
        <f t="shared" si="33"/>
        <v>(0.278 * E2_7_1_23_mRNA) - (0.00000278 * E2_7_1_23)</v>
      </c>
      <c r="M181" s="43" t="str">
        <f t="shared" si="34"/>
        <v>mRNA180: -&gt; E2_7_1_23_mRNA | 0.00292 - (0.0093 * E2_7_1_23_mRNA)</v>
      </c>
      <c r="N181" s="31" t="str">
        <f t="shared" si="35"/>
        <v>Peptide180:E2_7_1_23_mRNA -&gt; E2_7_1_23 | (0.278 * E2_7_1_23_mRNA) -  (0.00000278 * E2_7_1_23)</v>
      </c>
    </row>
    <row r="182" spans="1:14" ht="43.5" x14ac:dyDescent="0.35">
      <c r="A182" s="31">
        <v>181</v>
      </c>
      <c r="B182" s="31" t="s">
        <v>14110</v>
      </c>
      <c r="C182" s="31" t="str">
        <f t="shared" si="24"/>
        <v>E2_7_1_24_mRNA</v>
      </c>
      <c r="D182" s="31" t="str">
        <f t="shared" si="25"/>
        <v>E2_7_1_24</v>
      </c>
      <c r="E182" s="31" t="str">
        <f t="shared" si="26"/>
        <v>E2_7_1_24_Kcat : 13.7</v>
      </c>
      <c r="F182" s="31" t="str">
        <f t="shared" si="27"/>
        <v>E2_7_1_24_Km :1</v>
      </c>
      <c r="G182" s="31" t="str">
        <f t="shared" si="28"/>
        <v>E2_7_1_24_mRNA:E2_7_1_24_mRNA</v>
      </c>
      <c r="H182" s="31" t="str">
        <f t="shared" si="29"/>
        <v>E2_7_1_24:E2_7_1_24</v>
      </c>
      <c r="I182" s="31" t="str">
        <f t="shared" si="30"/>
        <v>E2_7_1_24_mRNA:0</v>
      </c>
      <c r="J182" s="31" t="str">
        <f t="shared" si="31"/>
        <v>E2_7_1_24:0</v>
      </c>
      <c r="K182" s="31" t="str">
        <f t="shared" si="32"/>
        <v>0.00292 - (0.0093 * E2_7_1_24_mRNA)</v>
      </c>
      <c r="L182" s="31" t="str">
        <f t="shared" si="33"/>
        <v>(0.278 * E2_7_1_24_mRNA) - (0.00000278 * E2_7_1_24)</v>
      </c>
      <c r="M182" s="43" t="str">
        <f t="shared" si="34"/>
        <v>mRNA181: -&gt; E2_7_1_24_mRNA | 0.00292 - (0.0093 * E2_7_1_24_mRNA)</v>
      </c>
      <c r="N182" s="31" t="str">
        <f t="shared" si="35"/>
        <v>Peptide181:E2_7_1_24_mRNA -&gt; E2_7_1_24 | (0.278 * E2_7_1_24_mRNA) -  (0.00000278 * E2_7_1_24)</v>
      </c>
    </row>
    <row r="183" spans="1:14" ht="43.5" x14ac:dyDescent="0.35">
      <c r="A183" s="31">
        <v>182</v>
      </c>
      <c r="B183" s="31" t="s">
        <v>14111</v>
      </c>
      <c r="C183" s="31" t="str">
        <f t="shared" si="24"/>
        <v>E2_7_1_26 _mRNA</v>
      </c>
      <c r="D183" s="31" t="str">
        <f t="shared" si="25"/>
        <v xml:space="preserve">E2_7_1_26 </v>
      </c>
      <c r="E183" s="31" t="str">
        <f t="shared" si="26"/>
        <v>E2_7_1_26 _Kcat : 13.7</v>
      </c>
      <c r="F183" s="31" t="str">
        <f t="shared" si="27"/>
        <v>E2_7_1_26 _Km :1</v>
      </c>
      <c r="G183" s="31" t="str">
        <f t="shared" si="28"/>
        <v>E2_7_1_26 _mRNA:E2_7_1_26 _mRNA</v>
      </c>
      <c r="H183" s="31" t="str">
        <f t="shared" si="29"/>
        <v xml:space="preserve">E2_7_1_26 :E2_7_1_26 </v>
      </c>
      <c r="I183" s="31" t="str">
        <f t="shared" si="30"/>
        <v>E2_7_1_26 _mRNA:0</v>
      </c>
      <c r="J183" s="31" t="str">
        <f t="shared" si="31"/>
        <v>E2_7_1_26 :0</v>
      </c>
      <c r="K183" s="31" t="str">
        <f t="shared" si="32"/>
        <v>0.00292 - (0.0093 * E2_7_1_26 _mRNA)</v>
      </c>
      <c r="L183" s="31" t="str">
        <f t="shared" si="33"/>
        <v>(0.278 * E2_7_1_26 _mRNA) - (0.00000278 * E2_7_1_26 )</v>
      </c>
      <c r="M183" s="43" t="str">
        <f t="shared" si="34"/>
        <v>mRNA182: -&gt; E2_7_1_26 _mRNA | 0.00292 - (0.0093 * E2_7_1_26 _mRNA)</v>
      </c>
      <c r="N183" s="31" t="str">
        <f t="shared" si="35"/>
        <v>Peptide182:E2_7_1_26 _mRNA -&gt; E2_7_1_26  | (0.278 * E2_7_1_26 _mRNA) -  (0.00000278 * E2_7_1_26 )</v>
      </c>
    </row>
    <row r="184" spans="1:14" ht="29" x14ac:dyDescent="0.35">
      <c r="A184" s="31">
        <v>183</v>
      </c>
      <c r="B184" s="31" t="s">
        <v>14112</v>
      </c>
      <c r="C184" s="31" t="str">
        <f t="shared" si="24"/>
        <v>E2_7_7_2_mRNA</v>
      </c>
      <c r="D184" s="31" t="str">
        <f t="shared" si="25"/>
        <v>E2_7_7_2</v>
      </c>
      <c r="E184" s="31" t="str">
        <f t="shared" si="26"/>
        <v>E2_7_7_2_Kcat : 13.7</v>
      </c>
      <c r="F184" s="31" t="str">
        <f t="shared" si="27"/>
        <v>E2_7_7_2_Km :1</v>
      </c>
      <c r="G184" s="31" t="str">
        <f t="shared" si="28"/>
        <v>E2_7_7_2_mRNA:E2_7_7_2_mRNA</v>
      </c>
      <c r="H184" s="31" t="str">
        <f t="shared" si="29"/>
        <v>E2_7_7_2:E2_7_7_2</v>
      </c>
      <c r="I184" s="31" t="str">
        <f t="shared" si="30"/>
        <v>E2_7_7_2_mRNA:0</v>
      </c>
      <c r="J184" s="31" t="str">
        <f t="shared" si="31"/>
        <v>E2_7_7_2:0</v>
      </c>
      <c r="K184" s="31" t="str">
        <f t="shared" si="32"/>
        <v>0.00292 - (0.0093 * E2_7_7_2_mRNA)</v>
      </c>
      <c r="L184" s="31" t="str">
        <f t="shared" si="33"/>
        <v>(0.278 * E2_7_7_2_mRNA) - (0.00000278 * E2_7_7_2)</v>
      </c>
      <c r="M184" s="43" t="str">
        <f t="shared" si="34"/>
        <v>mRNA183: -&gt; E2_7_7_2_mRNA | 0.00292 - (0.0093 * E2_7_7_2_mRNA)</v>
      </c>
      <c r="N184" s="31" t="str">
        <f t="shared" si="35"/>
        <v>Peptide183:E2_7_7_2_mRNA -&gt; E2_7_7_2 | (0.278 * E2_7_7_2_mRNA) -  (0.00000278 * E2_7_7_2)</v>
      </c>
    </row>
    <row r="185" spans="1:14" ht="43.5" x14ac:dyDescent="0.35">
      <c r="A185" s="31">
        <v>184</v>
      </c>
      <c r="B185" s="31" t="s">
        <v>14113</v>
      </c>
      <c r="C185" s="31" t="str">
        <f t="shared" si="24"/>
        <v>E2_7_1_30_mRNA</v>
      </c>
      <c r="D185" s="31" t="str">
        <f t="shared" si="25"/>
        <v>E2_7_1_30</v>
      </c>
      <c r="E185" s="31" t="str">
        <f t="shared" si="26"/>
        <v>E2_7_1_30_Kcat : 13.7</v>
      </c>
      <c r="F185" s="31" t="str">
        <f t="shared" si="27"/>
        <v>E2_7_1_30_Km :1</v>
      </c>
      <c r="G185" s="31" t="str">
        <f t="shared" si="28"/>
        <v>E2_7_1_30_mRNA:E2_7_1_30_mRNA</v>
      </c>
      <c r="H185" s="31" t="str">
        <f t="shared" si="29"/>
        <v>E2_7_1_30:E2_7_1_30</v>
      </c>
      <c r="I185" s="31" t="str">
        <f t="shared" si="30"/>
        <v>E2_7_1_30_mRNA:0</v>
      </c>
      <c r="J185" s="31" t="str">
        <f t="shared" si="31"/>
        <v>E2_7_1_30:0</v>
      </c>
      <c r="K185" s="31" t="str">
        <f t="shared" si="32"/>
        <v>0.00292 - (0.0093 * E2_7_1_30_mRNA)</v>
      </c>
      <c r="L185" s="31" t="str">
        <f t="shared" si="33"/>
        <v>(0.278 * E2_7_1_30_mRNA) - (0.00000278 * E2_7_1_30)</v>
      </c>
      <c r="M185" s="43" t="str">
        <f t="shared" si="34"/>
        <v>mRNA184: -&gt; E2_7_1_30_mRNA | 0.00292 - (0.0093 * E2_7_1_30_mRNA)</v>
      </c>
      <c r="N185" s="31" t="str">
        <f t="shared" si="35"/>
        <v>Peptide184:E2_7_1_30_mRNA -&gt; E2_7_1_30 | (0.278 * E2_7_1_30_mRNA) -  (0.00000278 * E2_7_1_30)</v>
      </c>
    </row>
    <row r="186" spans="1:14" ht="43.5" x14ac:dyDescent="0.35">
      <c r="A186" s="31">
        <v>185</v>
      </c>
      <c r="B186" s="31" t="s">
        <v>14114</v>
      </c>
      <c r="C186" s="31" t="str">
        <f t="shared" si="24"/>
        <v>E2_7_1_31_mRNA</v>
      </c>
      <c r="D186" s="31" t="str">
        <f t="shared" si="25"/>
        <v>E2_7_1_31</v>
      </c>
      <c r="E186" s="31" t="str">
        <f t="shared" si="26"/>
        <v>E2_7_1_31_Kcat : 13.7</v>
      </c>
      <c r="F186" s="31" t="str">
        <f t="shared" si="27"/>
        <v>E2_7_1_31_Km :1</v>
      </c>
      <c r="G186" s="31" t="str">
        <f t="shared" si="28"/>
        <v>E2_7_1_31_mRNA:E2_7_1_31_mRNA</v>
      </c>
      <c r="H186" s="31" t="str">
        <f t="shared" si="29"/>
        <v>E2_7_1_31:E2_7_1_31</v>
      </c>
      <c r="I186" s="31" t="str">
        <f t="shared" si="30"/>
        <v>E2_7_1_31_mRNA:0</v>
      </c>
      <c r="J186" s="31" t="str">
        <f t="shared" si="31"/>
        <v>E2_7_1_31:0</v>
      </c>
      <c r="K186" s="31" t="str">
        <f t="shared" si="32"/>
        <v>0.00292 - (0.0093 * E2_7_1_31_mRNA)</v>
      </c>
      <c r="L186" s="31" t="str">
        <f t="shared" si="33"/>
        <v>(0.278 * E2_7_1_31_mRNA) - (0.00000278 * E2_7_1_31)</v>
      </c>
      <c r="M186" s="43" t="str">
        <f t="shared" si="34"/>
        <v>mRNA185: -&gt; E2_7_1_31_mRNA | 0.00292 - (0.0093 * E2_7_1_31_mRNA)</v>
      </c>
      <c r="N186" s="31" t="str">
        <f t="shared" si="35"/>
        <v>Peptide185:E2_7_1_31_mRNA -&gt; E2_7_1_31 | (0.278 * E2_7_1_31_mRNA) -  (0.00000278 * E2_7_1_31)</v>
      </c>
    </row>
    <row r="187" spans="1:14" ht="43.5" x14ac:dyDescent="0.35">
      <c r="A187" s="31">
        <v>186</v>
      </c>
      <c r="B187" s="31" t="s">
        <v>14115</v>
      </c>
      <c r="C187" s="31" t="str">
        <f t="shared" si="24"/>
        <v>E2_7_1_33_mRNA</v>
      </c>
      <c r="D187" s="31" t="str">
        <f t="shared" si="25"/>
        <v>E2_7_1_33</v>
      </c>
      <c r="E187" s="31" t="str">
        <f t="shared" si="26"/>
        <v>E2_7_1_33_Kcat : 13.7</v>
      </c>
      <c r="F187" s="31" t="str">
        <f t="shared" si="27"/>
        <v>E2_7_1_33_Km :1</v>
      </c>
      <c r="G187" s="31" t="str">
        <f t="shared" si="28"/>
        <v>E2_7_1_33_mRNA:E2_7_1_33_mRNA</v>
      </c>
      <c r="H187" s="31" t="str">
        <f t="shared" si="29"/>
        <v>E2_7_1_33:E2_7_1_33</v>
      </c>
      <c r="I187" s="31" t="str">
        <f t="shared" si="30"/>
        <v>E2_7_1_33_mRNA:0</v>
      </c>
      <c r="J187" s="31" t="str">
        <f t="shared" si="31"/>
        <v>E2_7_1_33:0</v>
      </c>
      <c r="K187" s="31" t="str">
        <f t="shared" si="32"/>
        <v>0.00292 - (0.0093 * E2_7_1_33_mRNA)</v>
      </c>
      <c r="L187" s="31" t="str">
        <f t="shared" si="33"/>
        <v>(0.278 * E2_7_1_33_mRNA) - (0.00000278 * E2_7_1_33)</v>
      </c>
      <c r="M187" s="43" t="str">
        <f t="shared" si="34"/>
        <v>mRNA186: -&gt; E2_7_1_33_mRNA | 0.00292 - (0.0093 * E2_7_1_33_mRNA)</v>
      </c>
      <c r="N187" s="31" t="str">
        <f t="shared" si="35"/>
        <v>Peptide186:E2_7_1_33_mRNA -&gt; E2_7_1_33 | (0.278 * E2_7_1_33_mRNA) -  (0.00000278 * E2_7_1_33)</v>
      </c>
    </row>
    <row r="188" spans="1:14" ht="43.5" x14ac:dyDescent="0.35">
      <c r="A188" s="31">
        <v>187</v>
      </c>
      <c r="B188" s="31" t="s">
        <v>14116</v>
      </c>
      <c r="C188" s="31" t="str">
        <f t="shared" si="24"/>
        <v>E2_7_1_35_mRNA</v>
      </c>
      <c r="D188" s="31" t="str">
        <f t="shared" si="25"/>
        <v>E2_7_1_35</v>
      </c>
      <c r="E188" s="31" t="str">
        <f t="shared" si="26"/>
        <v>E2_7_1_35_Kcat : 13.7</v>
      </c>
      <c r="F188" s="31" t="str">
        <f t="shared" si="27"/>
        <v>E2_7_1_35_Km :1</v>
      </c>
      <c r="G188" s="31" t="str">
        <f t="shared" si="28"/>
        <v>E2_7_1_35_mRNA:E2_7_1_35_mRNA</v>
      </c>
      <c r="H188" s="31" t="str">
        <f t="shared" si="29"/>
        <v>E2_7_1_35:E2_7_1_35</v>
      </c>
      <c r="I188" s="31" t="str">
        <f t="shared" si="30"/>
        <v>E2_7_1_35_mRNA:0</v>
      </c>
      <c r="J188" s="31" t="str">
        <f t="shared" si="31"/>
        <v>E2_7_1_35:0</v>
      </c>
      <c r="K188" s="31" t="str">
        <f t="shared" si="32"/>
        <v>0.00292 - (0.0093 * E2_7_1_35_mRNA)</v>
      </c>
      <c r="L188" s="31" t="str">
        <f t="shared" si="33"/>
        <v>(0.278 * E2_7_1_35_mRNA) - (0.00000278 * E2_7_1_35)</v>
      </c>
      <c r="M188" s="43" t="str">
        <f t="shared" si="34"/>
        <v>mRNA187: -&gt; E2_7_1_35_mRNA | 0.00292 - (0.0093 * E2_7_1_35_mRNA)</v>
      </c>
      <c r="N188" s="31" t="str">
        <f t="shared" si="35"/>
        <v>Peptide187:E2_7_1_35_mRNA -&gt; E2_7_1_35 | (0.278 * E2_7_1_35_mRNA) -  (0.00000278 * E2_7_1_35)</v>
      </c>
    </row>
    <row r="189" spans="1:14" ht="43.5" x14ac:dyDescent="0.35">
      <c r="A189" s="31">
        <v>188</v>
      </c>
      <c r="B189" s="31" t="s">
        <v>14117</v>
      </c>
      <c r="C189" s="31" t="str">
        <f t="shared" si="24"/>
        <v>E2_7_1_39_mRNA</v>
      </c>
      <c r="D189" s="31" t="str">
        <f t="shared" si="25"/>
        <v>E2_7_1_39</v>
      </c>
      <c r="E189" s="31" t="str">
        <f t="shared" si="26"/>
        <v>E2_7_1_39_Kcat : 13.7</v>
      </c>
      <c r="F189" s="31" t="str">
        <f t="shared" si="27"/>
        <v>E2_7_1_39_Km :1</v>
      </c>
      <c r="G189" s="31" t="str">
        <f t="shared" si="28"/>
        <v>E2_7_1_39_mRNA:E2_7_1_39_mRNA</v>
      </c>
      <c r="H189" s="31" t="str">
        <f t="shared" si="29"/>
        <v>E2_7_1_39:E2_7_1_39</v>
      </c>
      <c r="I189" s="31" t="str">
        <f t="shared" si="30"/>
        <v>E2_7_1_39_mRNA:0</v>
      </c>
      <c r="J189" s="31" t="str">
        <f t="shared" si="31"/>
        <v>E2_7_1_39:0</v>
      </c>
      <c r="K189" s="31" t="str">
        <f t="shared" si="32"/>
        <v>0.00292 - (0.0093 * E2_7_1_39_mRNA)</v>
      </c>
      <c r="L189" s="31" t="str">
        <f t="shared" si="33"/>
        <v>(0.278 * E2_7_1_39_mRNA) - (0.00000278 * E2_7_1_39)</v>
      </c>
      <c r="M189" s="43" t="str">
        <f t="shared" si="34"/>
        <v>mRNA188: -&gt; E2_7_1_39_mRNA | 0.00292 - (0.0093 * E2_7_1_39_mRNA)</v>
      </c>
      <c r="N189" s="31" t="str">
        <f t="shared" si="35"/>
        <v>Peptide188:E2_7_1_39_mRNA -&gt; E2_7_1_39 | (0.278 * E2_7_1_39_mRNA) -  (0.00000278 * E2_7_1_39)</v>
      </c>
    </row>
    <row r="190" spans="1:14" ht="43.5" x14ac:dyDescent="0.35">
      <c r="A190" s="31">
        <v>189</v>
      </c>
      <c r="B190" s="31" t="s">
        <v>14118</v>
      </c>
      <c r="C190" s="31" t="str">
        <f t="shared" si="24"/>
        <v>E2_7_1_40_mRNA</v>
      </c>
      <c r="D190" s="31" t="str">
        <f t="shared" si="25"/>
        <v>E2_7_1_40</v>
      </c>
      <c r="E190" s="31" t="str">
        <f t="shared" si="26"/>
        <v>E2_7_1_40_Kcat : 13.7</v>
      </c>
      <c r="F190" s="31" t="str">
        <f t="shared" si="27"/>
        <v>E2_7_1_40_Km :1</v>
      </c>
      <c r="G190" s="31" t="str">
        <f t="shared" si="28"/>
        <v>E2_7_1_40_mRNA:E2_7_1_40_mRNA</v>
      </c>
      <c r="H190" s="31" t="str">
        <f t="shared" si="29"/>
        <v>E2_7_1_40:E2_7_1_40</v>
      </c>
      <c r="I190" s="31" t="str">
        <f t="shared" si="30"/>
        <v>E2_7_1_40_mRNA:0</v>
      </c>
      <c r="J190" s="31" t="str">
        <f t="shared" si="31"/>
        <v>E2_7_1_40:0</v>
      </c>
      <c r="K190" s="31" t="str">
        <f t="shared" si="32"/>
        <v>0.00292 - (0.0093 * E2_7_1_40_mRNA)</v>
      </c>
      <c r="L190" s="31" t="str">
        <f t="shared" si="33"/>
        <v>(0.278 * E2_7_1_40_mRNA) - (0.00000278 * E2_7_1_40)</v>
      </c>
      <c r="M190" s="43" t="str">
        <f t="shared" si="34"/>
        <v>mRNA189: -&gt; E2_7_1_40_mRNA | 0.00292 - (0.0093 * E2_7_1_40_mRNA)</v>
      </c>
      <c r="N190" s="31" t="str">
        <f t="shared" si="35"/>
        <v>Peptide189:E2_7_1_40_mRNA -&gt; E2_7_1_40 | (0.278 * E2_7_1_40_mRNA) -  (0.00000278 * E2_7_1_40)</v>
      </c>
    </row>
    <row r="191" spans="1:14" ht="43.5" x14ac:dyDescent="0.35">
      <c r="A191" s="31">
        <v>190</v>
      </c>
      <c r="B191" s="31" t="s">
        <v>14119</v>
      </c>
      <c r="C191" s="31" t="str">
        <f t="shared" si="24"/>
        <v>E2_7_1_49 _mRNA</v>
      </c>
      <c r="D191" s="31" t="str">
        <f t="shared" si="25"/>
        <v xml:space="preserve">E2_7_1_49 </v>
      </c>
      <c r="E191" s="31" t="str">
        <f t="shared" si="26"/>
        <v>E2_7_1_49 _Kcat : 13.7</v>
      </c>
      <c r="F191" s="31" t="str">
        <f t="shared" si="27"/>
        <v>E2_7_1_49 _Km :1</v>
      </c>
      <c r="G191" s="31" t="str">
        <f t="shared" si="28"/>
        <v>E2_7_1_49 _mRNA:E2_7_1_49 _mRNA</v>
      </c>
      <c r="H191" s="31" t="str">
        <f t="shared" si="29"/>
        <v xml:space="preserve">E2_7_1_49 :E2_7_1_49 </v>
      </c>
      <c r="I191" s="31" t="str">
        <f t="shared" si="30"/>
        <v>E2_7_1_49 _mRNA:0</v>
      </c>
      <c r="J191" s="31" t="str">
        <f t="shared" si="31"/>
        <v>E2_7_1_49 :0</v>
      </c>
      <c r="K191" s="31" t="str">
        <f t="shared" si="32"/>
        <v>0.00292 - (0.0093 * E2_7_1_49 _mRNA)</v>
      </c>
      <c r="L191" s="31" t="str">
        <f t="shared" si="33"/>
        <v>(0.278 * E2_7_1_49 _mRNA) - (0.00000278 * E2_7_1_49 )</v>
      </c>
      <c r="M191" s="43" t="str">
        <f t="shared" si="34"/>
        <v>mRNA190: -&gt; E2_7_1_49 _mRNA | 0.00292 - (0.0093 * E2_7_1_49 _mRNA)</v>
      </c>
      <c r="N191" s="31" t="str">
        <f t="shared" si="35"/>
        <v>Peptide190:E2_7_1_49 _mRNA -&gt; E2_7_1_49  | (0.278 * E2_7_1_49 _mRNA) -  (0.00000278 * E2_7_1_49 )</v>
      </c>
    </row>
    <row r="192" spans="1:14" ht="29" x14ac:dyDescent="0.35">
      <c r="A192" s="31">
        <v>191</v>
      </c>
      <c r="B192" s="31" t="s">
        <v>14120</v>
      </c>
      <c r="C192" s="31" t="str">
        <f t="shared" ref="C192:C255" si="36">CONCATENATE(D192,"_mRNA")</f>
        <v>E2_7_4_7_mRNA</v>
      </c>
      <c r="D192" s="31" t="str">
        <f t="shared" ref="D192:D255" si="37">CONCATENATE("E",B192)</f>
        <v>E2_7_4_7</v>
      </c>
      <c r="E192" s="31" t="str">
        <f t="shared" ref="E192:E255" si="38">CONCATENATE(D192,"_Kcat : 13.7")</f>
        <v>E2_7_4_7_Kcat : 13.7</v>
      </c>
      <c r="F192" s="31" t="str">
        <f t="shared" ref="F192:F255" si="39">CONCATENATE(D192,"_Km :1")</f>
        <v>E2_7_4_7_Km :1</v>
      </c>
      <c r="G192" s="31" t="str">
        <f t="shared" ref="G192:G255" si="40">CONCATENATE(C192,":",C192)</f>
        <v>E2_7_4_7_mRNA:E2_7_4_7_mRNA</v>
      </c>
      <c r="H192" s="31" t="str">
        <f t="shared" ref="H192:H255" si="41">CONCATENATE(D192,":",D192)</f>
        <v>E2_7_4_7:E2_7_4_7</v>
      </c>
      <c r="I192" s="31" t="str">
        <f t="shared" ref="I192:I255" si="42">CONCATENATE(C192,":","0")</f>
        <v>E2_7_4_7_mRNA:0</v>
      </c>
      <c r="J192" s="31" t="str">
        <f t="shared" ref="J192:J255" si="43">CONCATENATE(D192,":","0")</f>
        <v>E2_7_4_7:0</v>
      </c>
      <c r="K192" s="31" t="str">
        <f t="shared" ref="K192:K255" si="44">CONCATENATE("0.00292 - (0.0093 * ",C192,")")</f>
        <v>0.00292 - (0.0093 * E2_7_4_7_mRNA)</v>
      </c>
      <c r="L192" s="31" t="str">
        <f t="shared" ref="L192:L255" si="45">CONCATENATE("(0.278 * ",C192,")", " - (0.00000278 * ",D192,")")</f>
        <v>(0.278 * E2_7_4_7_mRNA) - (0.00000278 * E2_7_4_7)</v>
      </c>
      <c r="M192" s="43" t="str">
        <f t="shared" ref="M192:M255" si="46">CONCATENATE("mRNA",A192,": -&gt; ",C192," | ","0.00292", " -"," (","0.0093"," * ",C192,")")</f>
        <v>mRNA191: -&gt; E2_7_4_7_mRNA | 0.00292 - (0.0093 * E2_7_4_7_mRNA)</v>
      </c>
      <c r="N192" s="31" t="str">
        <f t="shared" ref="N192:N255" si="47">CONCATENATE("Peptide",A192,":",C192," -&gt; ",D192," | ","(","0.278"," * ",C192,")"," - "," (","0.00000278"," * ",D192,")")</f>
        <v>Peptide191:E2_7_4_7_mRNA -&gt; E2_7_4_7 | (0.278 * E2_7_4_7_mRNA) -  (0.00000278 * E2_7_4_7)</v>
      </c>
    </row>
    <row r="193" spans="1:14" ht="43.5" x14ac:dyDescent="0.35">
      <c r="A193" s="31">
        <v>192</v>
      </c>
      <c r="B193" s="31" t="s">
        <v>14121</v>
      </c>
      <c r="C193" s="31" t="str">
        <f t="shared" si="36"/>
        <v>E2_7_1_50_mRNA</v>
      </c>
      <c r="D193" s="31" t="str">
        <f t="shared" si="37"/>
        <v>E2_7_1_50</v>
      </c>
      <c r="E193" s="31" t="str">
        <f t="shared" si="38"/>
        <v>E2_7_1_50_Kcat : 13.7</v>
      </c>
      <c r="F193" s="31" t="str">
        <f t="shared" si="39"/>
        <v>E2_7_1_50_Km :1</v>
      </c>
      <c r="G193" s="31" t="str">
        <f t="shared" si="40"/>
        <v>E2_7_1_50_mRNA:E2_7_1_50_mRNA</v>
      </c>
      <c r="H193" s="31" t="str">
        <f t="shared" si="41"/>
        <v>E2_7_1_50:E2_7_1_50</v>
      </c>
      <c r="I193" s="31" t="str">
        <f t="shared" si="42"/>
        <v>E2_7_1_50_mRNA:0</v>
      </c>
      <c r="J193" s="31" t="str">
        <f t="shared" si="43"/>
        <v>E2_7_1_50:0</v>
      </c>
      <c r="K193" s="31" t="str">
        <f t="shared" si="44"/>
        <v>0.00292 - (0.0093 * E2_7_1_50_mRNA)</v>
      </c>
      <c r="L193" s="31" t="str">
        <f t="shared" si="45"/>
        <v>(0.278 * E2_7_1_50_mRNA) - (0.00000278 * E2_7_1_50)</v>
      </c>
      <c r="M193" s="43" t="str">
        <f t="shared" si="46"/>
        <v>mRNA192: -&gt; E2_7_1_50_mRNA | 0.00292 - (0.0093 * E2_7_1_50_mRNA)</v>
      </c>
      <c r="N193" s="31" t="str">
        <f t="shared" si="47"/>
        <v>Peptide192:E2_7_1_50_mRNA -&gt; E2_7_1_50 | (0.278 * E2_7_1_50_mRNA) -  (0.00000278 * E2_7_1_50)</v>
      </c>
    </row>
    <row r="194" spans="1:14" ht="43.5" x14ac:dyDescent="0.35">
      <c r="A194" s="31">
        <v>193</v>
      </c>
      <c r="B194" s="31" t="s">
        <v>14122</v>
      </c>
      <c r="C194" s="31" t="str">
        <f t="shared" si="36"/>
        <v>E2_7_1_56_mRNA</v>
      </c>
      <c r="D194" s="31" t="str">
        <f t="shared" si="37"/>
        <v>E2_7_1_56</v>
      </c>
      <c r="E194" s="31" t="str">
        <f t="shared" si="38"/>
        <v>E2_7_1_56_Kcat : 13.7</v>
      </c>
      <c r="F194" s="31" t="str">
        <f t="shared" si="39"/>
        <v>E2_7_1_56_Km :1</v>
      </c>
      <c r="G194" s="31" t="str">
        <f t="shared" si="40"/>
        <v>E2_7_1_56_mRNA:E2_7_1_56_mRNA</v>
      </c>
      <c r="H194" s="31" t="str">
        <f t="shared" si="41"/>
        <v>E2_7_1_56:E2_7_1_56</v>
      </c>
      <c r="I194" s="31" t="str">
        <f t="shared" si="42"/>
        <v>E2_7_1_56_mRNA:0</v>
      </c>
      <c r="J194" s="31" t="str">
        <f t="shared" si="43"/>
        <v>E2_7_1_56:0</v>
      </c>
      <c r="K194" s="31" t="str">
        <f t="shared" si="44"/>
        <v>0.00292 - (0.0093 * E2_7_1_56_mRNA)</v>
      </c>
      <c r="L194" s="31" t="str">
        <f t="shared" si="45"/>
        <v>(0.278 * E2_7_1_56_mRNA) - (0.00000278 * E2_7_1_56)</v>
      </c>
      <c r="M194" s="43" t="str">
        <f t="shared" si="46"/>
        <v>mRNA193: -&gt; E2_7_1_56_mRNA | 0.00292 - (0.0093 * E2_7_1_56_mRNA)</v>
      </c>
      <c r="N194" s="31" t="str">
        <f t="shared" si="47"/>
        <v>Peptide193:E2_7_1_56_mRNA -&gt; E2_7_1_56 | (0.278 * E2_7_1_56_mRNA) -  (0.00000278 * E2_7_1_56)</v>
      </c>
    </row>
    <row r="195" spans="1:14" ht="43.5" x14ac:dyDescent="0.35">
      <c r="A195" s="31">
        <v>194</v>
      </c>
      <c r="B195" s="31" t="s">
        <v>14123</v>
      </c>
      <c r="C195" s="31" t="str">
        <f t="shared" si="36"/>
        <v>E2_7_1_63_mRNA</v>
      </c>
      <c r="D195" s="31" t="str">
        <f t="shared" si="37"/>
        <v>E2_7_1_63</v>
      </c>
      <c r="E195" s="31" t="str">
        <f t="shared" si="38"/>
        <v>E2_7_1_63_Kcat : 13.7</v>
      </c>
      <c r="F195" s="31" t="str">
        <f t="shared" si="39"/>
        <v>E2_7_1_63_Km :1</v>
      </c>
      <c r="G195" s="31" t="str">
        <f t="shared" si="40"/>
        <v>E2_7_1_63_mRNA:E2_7_1_63_mRNA</v>
      </c>
      <c r="H195" s="31" t="str">
        <f t="shared" si="41"/>
        <v>E2_7_1_63:E2_7_1_63</v>
      </c>
      <c r="I195" s="31" t="str">
        <f t="shared" si="42"/>
        <v>E2_7_1_63_mRNA:0</v>
      </c>
      <c r="J195" s="31" t="str">
        <f t="shared" si="43"/>
        <v>E2_7_1_63:0</v>
      </c>
      <c r="K195" s="31" t="str">
        <f t="shared" si="44"/>
        <v>0.00292 - (0.0093 * E2_7_1_63_mRNA)</v>
      </c>
      <c r="L195" s="31" t="str">
        <f t="shared" si="45"/>
        <v>(0.278 * E2_7_1_63_mRNA) - (0.00000278 * E2_7_1_63)</v>
      </c>
      <c r="M195" s="43" t="str">
        <f t="shared" si="46"/>
        <v>mRNA194: -&gt; E2_7_1_63_mRNA | 0.00292 - (0.0093 * E2_7_1_63_mRNA)</v>
      </c>
      <c r="N195" s="31" t="str">
        <f t="shared" si="47"/>
        <v>Peptide194:E2_7_1_63_mRNA -&gt; E2_7_1_63 | (0.278 * E2_7_1_63_mRNA) -  (0.00000278 * E2_7_1_63)</v>
      </c>
    </row>
    <row r="196" spans="1:14" ht="43.5" x14ac:dyDescent="0.35">
      <c r="A196" s="31">
        <v>195</v>
      </c>
      <c r="B196" s="31" t="s">
        <v>14124</v>
      </c>
      <c r="C196" s="31" t="str">
        <f t="shared" si="36"/>
        <v>E2_7_1_71_mRNA</v>
      </c>
      <c r="D196" s="31" t="str">
        <f t="shared" si="37"/>
        <v>E2_7_1_71</v>
      </c>
      <c r="E196" s="31" t="str">
        <f t="shared" si="38"/>
        <v>E2_7_1_71_Kcat : 13.7</v>
      </c>
      <c r="F196" s="31" t="str">
        <f t="shared" si="39"/>
        <v>E2_7_1_71_Km :1</v>
      </c>
      <c r="G196" s="31" t="str">
        <f t="shared" si="40"/>
        <v>E2_7_1_71_mRNA:E2_7_1_71_mRNA</v>
      </c>
      <c r="H196" s="31" t="str">
        <f t="shared" si="41"/>
        <v>E2_7_1_71:E2_7_1_71</v>
      </c>
      <c r="I196" s="31" t="str">
        <f t="shared" si="42"/>
        <v>E2_7_1_71_mRNA:0</v>
      </c>
      <c r="J196" s="31" t="str">
        <f t="shared" si="43"/>
        <v>E2_7_1_71:0</v>
      </c>
      <c r="K196" s="31" t="str">
        <f t="shared" si="44"/>
        <v>0.00292 - (0.0093 * E2_7_1_71_mRNA)</v>
      </c>
      <c r="L196" s="31" t="str">
        <f t="shared" si="45"/>
        <v>(0.278 * E2_7_1_71_mRNA) - (0.00000278 * E2_7_1_71)</v>
      </c>
      <c r="M196" s="43" t="str">
        <f t="shared" si="46"/>
        <v>mRNA195: -&gt; E2_7_1_71_mRNA | 0.00292 - (0.0093 * E2_7_1_71_mRNA)</v>
      </c>
      <c r="N196" s="31" t="str">
        <f t="shared" si="47"/>
        <v>Peptide195:E2_7_1_71_mRNA -&gt; E2_7_1_71 | (0.278 * E2_7_1_71_mRNA) -  (0.00000278 * E2_7_1_71)</v>
      </c>
    </row>
    <row r="197" spans="1:14" ht="43.5" x14ac:dyDescent="0.35">
      <c r="A197" s="31">
        <v>196</v>
      </c>
      <c r="B197" s="31" t="s">
        <v>14125</v>
      </c>
      <c r="C197" s="31" t="str">
        <f t="shared" si="36"/>
        <v>E2_7_1_92_mRNA</v>
      </c>
      <c r="D197" s="31" t="str">
        <f t="shared" si="37"/>
        <v>E2_7_1_92</v>
      </c>
      <c r="E197" s="31" t="str">
        <f t="shared" si="38"/>
        <v>E2_7_1_92_Kcat : 13.7</v>
      </c>
      <c r="F197" s="31" t="str">
        <f t="shared" si="39"/>
        <v>E2_7_1_92_Km :1</v>
      </c>
      <c r="G197" s="31" t="str">
        <f t="shared" si="40"/>
        <v>E2_7_1_92_mRNA:E2_7_1_92_mRNA</v>
      </c>
      <c r="H197" s="31" t="str">
        <f t="shared" si="41"/>
        <v>E2_7_1_92:E2_7_1_92</v>
      </c>
      <c r="I197" s="31" t="str">
        <f t="shared" si="42"/>
        <v>E2_7_1_92_mRNA:0</v>
      </c>
      <c r="J197" s="31" t="str">
        <f t="shared" si="43"/>
        <v>E2_7_1_92:0</v>
      </c>
      <c r="K197" s="31" t="str">
        <f t="shared" si="44"/>
        <v>0.00292 - (0.0093 * E2_7_1_92_mRNA)</v>
      </c>
      <c r="L197" s="31" t="str">
        <f t="shared" si="45"/>
        <v>(0.278 * E2_7_1_92_mRNA) - (0.00000278 * E2_7_1_92)</v>
      </c>
      <c r="M197" s="43" t="str">
        <f t="shared" si="46"/>
        <v>mRNA196: -&gt; E2_7_1_92_mRNA | 0.00292 - (0.0093 * E2_7_1_92_mRNA)</v>
      </c>
      <c r="N197" s="31" t="str">
        <f t="shared" si="47"/>
        <v>Peptide196:E2_7_1_92_mRNA -&gt; E2_7_1_92 | (0.278 * E2_7_1_92_mRNA) -  (0.00000278 * E2_7_1_92)</v>
      </c>
    </row>
    <row r="198" spans="1:14" ht="43.5" x14ac:dyDescent="0.35">
      <c r="A198" s="31">
        <v>197</v>
      </c>
      <c r="B198" s="31" t="s">
        <v>14126</v>
      </c>
      <c r="C198" s="31" t="str">
        <f t="shared" si="36"/>
        <v>E2_7_10_2_mRNA</v>
      </c>
      <c r="D198" s="31" t="str">
        <f t="shared" si="37"/>
        <v>E2_7_10_2</v>
      </c>
      <c r="E198" s="31" t="str">
        <f t="shared" si="38"/>
        <v>E2_7_10_2_Kcat : 13.7</v>
      </c>
      <c r="F198" s="31" t="str">
        <f t="shared" si="39"/>
        <v>E2_7_10_2_Km :1</v>
      </c>
      <c r="G198" s="31" t="str">
        <f t="shared" si="40"/>
        <v>E2_7_10_2_mRNA:E2_7_10_2_mRNA</v>
      </c>
      <c r="H198" s="31" t="str">
        <f t="shared" si="41"/>
        <v>E2_7_10_2:E2_7_10_2</v>
      </c>
      <c r="I198" s="31" t="str">
        <f t="shared" si="42"/>
        <v>E2_7_10_2_mRNA:0</v>
      </c>
      <c r="J198" s="31" t="str">
        <f t="shared" si="43"/>
        <v>E2_7_10_2:0</v>
      </c>
      <c r="K198" s="31" t="str">
        <f t="shared" si="44"/>
        <v>0.00292 - (0.0093 * E2_7_10_2_mRNA)</v>
      </c>
      <c r="L198" s="31" t="str">
        <f t="shared" si="45"/>
        <v>(0.278 * E2_7_10_2_mRNA) - (0.00000278 * E2_7_10_2)</v>
      </c>
      <c r="M198" s="43" t="str">
        <f t="shared" si="46"/>
        <v>mRNA197: -&gt; E2_7_10_2_mRNA | 0.00292 - (0.0093 * E2_7_10_2_mRNA)</v>
      </c>
      <c r="N198" s="31" t="str">
        <f t="shared" si="47"/>
        <v>Peptide197:E2_7_10_2_mRNA -&gt; E2_7_10_2 | (0.278 * E2_7_10_2_mRNA) -  (0.00000278 * E2_7_10_2)</v>
      </c>
    </row>
    <row r="199" spans="1:14" ht="43.5" x14ac:dyDescent="0.35">
      <c r="A199" s="31">
        <v>198</v>
      </c>
      <c r="B199" s="31" t="s">
        <v>14127</v>
      </c>
      <c r="C199" s="31" t="str">
        <f t="shared" si="36"/>
        <v>E2_7_11_1_mRNA</v>
      </c>
      <c r="D199" s="31" t="str">
        <f t="shared" si="37"/>
        <v>E2_7_11_1</v>
      </c>
      <c r="E199" s="31" t="str">
        <f t="shared" si="38"/>
        <v>E2_7_11_1_Kcat : 13.7</v>
      </c>
      <c r="F199" s="31" t="str">
        <f t="shared" si="39"/>
        <v>E2_7_11_1_Km :1</v>
      </c>
      <c r="G199" s="31" t="str">
        <f t="shared" si="40"/>
        <v>E2_7_11_1_mRNA:E2_7_11_1_mRNA</v>
      </c>
      <c r="H199" s="31" t="str">
        <f t="shared" si="41"/>
        <v>E2_7_11_1:E2_7_11_1</v>
      </c>
      <c r="I199" s="31" t="str">
        <f t="shared" si="42"/>
        <v>E2_7_11_1_mRNA:0</v>
      </c>
      <c r="J199" s="31" t="str">
        <f t="shared" si="43"/>
        <v>E2_7_11_1:0</v>
      </c>
      <c r="K199" s="31" t="str">
        <f t="shared" si="44"/>
        <v>0.00292 - (0.0093 * E2_7_11_1_mRNA)</v>
      </c>
      <c r="L199" s="31" t="str">
        <f t="shared" si="45"/>
        <v>(0.278 * E2_7_11_1_mRNA) - (0.00000278 * E2_7_11_1)</v>
      </c>
      <c r="M199" s="43" t="str">
        <f t="shared" si="46"/>
        <v>mRNA198: -&gt; E2_7_11_1_mRNA | 0.00292 - (0.0093 * E2_7_11_1_mRNA)</v>
      </c>
      <c r="N199" s="31" t="str">
        <f t="shared" si="47"/>
        <v>Peptide198:E2_7_11_1_mRNA -&gt; E2_7_11_1 | (0.278 * E2_7_11_1_mRNA) -  (0.00000278 * E2_7_11_1)</v>
      </c>
    </row>
    <row r="200" spans="1:14" ht="43.5" x14ac:dyDescent="0.35">
      <c r="A200" s="31">
        <v>199</v>
      </c>
      <c r="B200" s="31" t="s">
        <v>14128</v>
      </c>
      <c r="C200" s="31" t="str">
        <f t="shared" si="36"/>
        <v>E2_7_13_3_mRNA</v>
      </c>
      <c r="D200" s="31" t="str">
        <f t="shared" si="37"/>
        <v>E2_7_13_3</v>
      </c>
      <c r="E200" s="31" t="str">
        <f t="shared" si="38"/>
        <v>E2_7_13_3_Kcat : 13.7</v>
      </c>
      <c r="F200" s="31" t="str">
        <f t="shared" si="39"/>
        <v>E2_7_13_3_Km :1</v>
      </c>
      <c r="G200" s="31" t="str">
        <f t="shared" si="40"/>
        <v>E2_7_13_3_mRNA:E2_7_13_3_mRNA</v>
      </c>
      <c r="H200" s="31" t="str">
        <f t="shared" si="41"/>
        <v>E2_7_13_3:E2_7_13_3</v>
      </c>
      <c r="I200" s="31" t="str">
        <f t="shared" si="42"/>
        <v>E2_7_13_3_mRNA:0</v>
      </c>
      <c r="J200" s="31" t="str">
        <f t="shared" si="43"/>
        <v>E2_7_13_3:0</v>
      </c>
      <c r="K200" s="31" t="str">
        <f t="shared" si="44"/>
        <v>0.00292 - (0.0093 * E2_7_13_3_mRNA)</v>
      </c>
      <c r="L200" s="31" t="str">
        <f t="shared" si="45"/>
        <v>(0.278 * E2_7_13_3_mRNA) - (0.00000278 * E2_7_13_3)</v>
      </c>
      <c r="M200" s="43" t="str">
        <f t="shared" si="46"/>
        <v>mRNA199: -&gt; E2_7_13_3_mRNA | 0.00292 - (0.0093 * E2_7_13_3_mRNA)</v>
      </c>
      <c r="N200" s="31" t="str">
        <f t="shared" si="47"/>
        <v>Peptide199:E2_7_13_3_mRNA -&gt; E2_7_13_3 | (0.278 * E2_7_13_3_mRNA) -  (0.00000278 * E2_7_13_3)</v>
      </c>
    </row>
    <row r="201" spans="1:14" ht="29" x14ac:dyDescent="0.35">
      <c r="A201" s="31">
        <v>200</v>
      </c>
      <c r="B201" s="31" t="s">
        <v>14129</v>
      </c>
      <c r="C201" s="31" t="str">
        <f t="shared" si="36"/>
        <v>E2_7_2_1_mRNA</v>
      </c>
      <c r="D201" s="31" t="str">
        <f t="shared" si="37"/>
        <v>E2_7_2_1</v>
      </c>
      <c r="E201" s="31" t="str">
        <f t="shared" si="38"/>
        <v>E2_7_2_1_Kcat : 13.7</v>
      </c>
      <c r="F201" s="31" t="str">
        <f t="shared" si="39"/>
        <v>E2_7_2_1_Km :1</v>
      </c>
      <c r="G201" s="31" t="str">
        <f t="shared" si="40"/>
        <v>E2_7_2_1_mRNA:E2_7_2_1_mRNA</v>
      </c>
      <c r="H201" s="31" t="str">
        <f t="shared" si="41"/>
        <v>E2_7_2_1:E2_7_2_1</v>
      </c>
      <c r="I201" s="31" t="str">
        <f t="shared" si="42"/>
        <v>E2_7_2_1_mRNA:0</v>
      </c>
      <c r="J201" s="31" t="str">
        <f t="shared" si="43"/>
        <v>E2_7_2_1:0</v>
      </c>
      <c r="K201" s="31" t="str">
        <f t="shared" si="44"/>
        <v>0.00292 - (0.0093 * E2_7_2_1_mRNA)</v>
      </c>
      <c r="L201" s="31" t="str">
        <f t="shared" si="45"/>
        <v>(0.278 * E2_7_2_1_mRNA) - (0.00000278 * E2_7_2_1)</v>
      </c>
      <c r="M201" s="43" t="str">
        <f t="shared" si="46"/>
        <v>mRNA200: -&gt; E2_7_2_1_mRNA | 0.00292 - (0.0093 * E2_7_2_1_mRNA)</v>
      </c>
      <c r="N201" s="31" t="str">
        <f t="shared" si="47"/>
        <v>Peptide200:E2_7_2_1_mRNA -&gt; E2_7_2_1 | (0.278 * E2_7_2_1_mRNA) -  (0.00000278 * E2_7_2_1)</v>
      </c>
    </row>
    <row r="202" spans="1:14" ht="43.5" x14ac:dyDescent="0.35">
      <c r="A202" s="31">
        <v>201</v>
      </c>
      <c r="B202" s="31" t="s">
        <v>14130</v>
      </c>
      <c r="C202" s="31" t="str">
        <f t="shared" si="36"/>
        <v>E2_7_2_11_mRNA</v>
      </c>
      <c r="D202" s="31" t="str">
        <f t="shared" si="37"/>
        <v>E2_7_2_11</v>
      </c>
      <c r="E202" s="31" t="str">
        <f t="shared" si="38"/>
        <v>E2_7_2_11_Kcat : 13.7</v>
      </c>
      <c r="F202" s="31" t="str">
        <f t="shared" si="39"/>
        <v>E2_7_2_11_Km :1</v>
      </c>
      <c r="G202" s="31" t="str">
        <f t="shared" si="40"/>
        <v>E2_7_2_11_mRNA:E2_7_2_11_mRNA</v>
      </c>
      <c r="H202" s="31" t="str">
        <f t="shared" si="41"/>
        <v>E2_7_2_11:E2_7_2_11</v>
      </c>
      <c r="I202" s="31" t="str">
        <f t="shared" si="42"/>
        <v>E2_7_2_11_mRNA:0</v>
      </c>
      <c r="J202" s="31" t="str">
        <f t="shared" si="43"/>
        <v>E2_7_2_11:0</v>
      </c>
      <c r="K202" s="31" t="str">
        <f t="shared" si="44"/>
        <v>0.00292 - (0.0093 * E2_7_2_11_mRNA)</v>
      </c>
      <c r="L202" s="31" t="str">
        <f t="shared" si="45"/>
        <v>(0.278 * E2_7_2_11_mRNA) - (0.00000278 * E2_7_2_11)</v>
      </c>
      <c r="M202" s="43" t="str">
        <f t="shared" si="46"/>
        <v>mRNA201: -&gt; E2_7_2_11_mRNA | 0.00292 - (0.0093 * E2_7_2_11_mRNA)</v>
      </c>
      <c r="N202" s="31" t="str">
        <f t="shared" si="47"/>
        <v>Peptide201:E2_7_2_11_mRNA -&gt; E2_7_2_11 | (0.278 * E2_7_2_11_mRNA) -  (0.00000278 * E2_7_2_11)</v>
      </c>
    </row>
    <row r="203" spans="1:14" ht="29" x14ac:dyDescent="0.35">
      <c r="A203" s="31">
        <v>202</v>
      </c>
      <c r="B203" s="31" t="s">
        <v>14131</v>
      </c>
      <c r="C203" s="31" t="str">
        <f t="shared" si="36"/>
        <v>E2_7_2_3_mRNA</v>
      </c>
      <c r="D203" s="31" t="str">
        <f t="shared" si="37"/>
        <v>E2_7_2_3</v>
      </c>
      <c r="E203" s="31" t="str">
        <f t="shared" si="38"/>
        <v>E2_7_2_3_Kcat : 13.7</v>
      </c>
      <c r="F203" s="31" t="str">
        <f t="shared" si="39"/>
        <v>E2_7_2_3_Km :1</v>
      </c>
      <c r="G203" s="31" t="str">
        <f t="shared" si="40"/>
        <v>E2_7_2_3_mRNA:E2_7_2_3_mRNA</v>
      </c>
      <c r="H203" s="31" t="str">
        <f t="shared" si="41"/>
        <v>E2_7_2_3:E2_7_2_3</v>
      </c>
      <c r="I203" s="31" t="str">
        <f t="shared" si="42"/>
        <v>E2_7_2_3_mRNA:0</v>
      </c>
      <c r="J203" s="31" t="str">
        <f t="shared" si="43"/>
        <v>E2_7_2_3:0</v>
      </c>
      <c r="K203" s="31" t="str">
        <f t="shared" si="44"/>
        <v>0.00292 - (0.0093 * E2_7_2_3_mRNA)</v>
      </c>
      <c r="L203" s="31" t="str">
        <f t="shared" si="45"/>
        <v>(0.278 * E2_7_2_3_mRNA) - (0.00000278 * E2_7_2_3)</v>
      </c>
      <c r="M203" s="43" t="str">
        <f t="shared" si="46"/>
        <v>mRNA202: -&gt; E2_7_2_3_mRNA | 0.00292 - (0.0093 * E2_7_2_3_mRNA)</v>
      </c>
      <c r="N203" s="31" t="str">
        <f t="shared" si="47"/>
        <v>Peptide202:E2_7_2_3_mRNA -&gt; E2_7_2_3 | (0.278 * E2_7_2_3_mRNA) -  (0.00000278 * E2_7_2_3)</v>
      </c>
    </row>
    <row r="204" spans="1:14" ht="29" x14ac:dyDescent="0.35">
      <c r="A204" s="31">
        <v>203</v>
      </c>
      <c r="B204" s="31" t="s">
        <v>14132</v>
      </c>
      <c r="C204" s="31" t="str">
        <f t="shared" si="36"/>
        <v>E2_7_2_4_mRNA</v>
      </c>
      <c r="D204" s="31" t="str">
        <f t="shared" si="37"/>
        <v>E2_7_2_4</v>
      </c>
      <c r="E204" s="31" t="str">
        <f t="shared" si="38"/>
        <v>E2_7_2_4_Kcat : 13.7</v>
      </c>
      <c r="F204" s="31" t="str">
        <f t="shared" si="39"/>
        <v>E2_7_2_4_Km :1</v>
      </c>
      <c r="G204" s="31" t="str">
        <f t="shared" si="40"/>
        <v>E2_7_2_4_mRNA:E2_7_2_4_mRNA</v>
      </c>
      <c r="H204" s="31" t="str">
        <f t="shared" si="41"/>
        <v>E2_7_2_4:E2_7_2_4</v>
      </c>
      <c r="I204" s="31" t="str">
        <f t="shared" si="42"/>
        <v>E2_7_2_4_mRNA:0</v>
      </c>
      <c r="J204" s="31" t="str">
        <f t="shared" si="43"/>
        <v>E2_7_2_4:0</v>
      </c>
      <c r="K204" s="31" t="str">
        <f t="shared" si="44"/>
        <v>0.00292 - (0.0093 * E2_7_2_4_mRNA)</v>
      </c>
      <c r="L204" s="31" t="str">
        <f t="shared" si="45"/>
        <v>(0.278 * E2_7_2_4_mRNA) - (0.00000278 * E2_7_2_4)</v>
      </c>
      <c r="M204" s="43" t="str">
        <f t="shared" si="46"/>
        <v>mRNA203: -&gt; E2_7_2_4_mRNA | 0.00292 - (0.0093 * E2_7_2_4_mRNA)</v>
      </c>
      <c r="N204" s="31" t="str">
        <f t="shared" si="47"/>
        <v>Peptide203:E2_7_2_4_mRNA -&gt; E2_7_2_4 | (0.278 * E2_7_2_4_mRNA) -  (0.00000278 * E2_7_2_4)</v>
      </c>
    </row>
    <row r="205" spans="1:14" ht="29" x14ac:dyDescent="0.35">
      <c r="A205" s="31">
        <v>204</v>
      </c>
      <c r="B205" s="31" t="s">
        <v>14133</v>
      </c>
      <c r="C205" s="31" t="str">
        <f t="shared" si="36"/>
        <v>E2_7_2_8_mRNA</v>
      </c>
      <c r="D205" s="31" t="str">
        <f t="shared" si="37"/>
        <v>E2_7_2_8</v>
      </c>
      <c r="E205" s="31" t="str">
        <f t="shared" si="38"/>
        <v>E2_7_2_8_Kcat : 13.7</v>
      </c>
      <c r="F205" s="31" t="str">
        <f t="shared" si="39"/>
        <v>E2_7_2_8_Km :1</v>
      </c>
      <c r="G205" s="31" t="str">
        <f t="shared" si="40"/>
        <v>E2_7_2_8_mRNA:E2_7_2_8_mRNA</v>
      </c>
      <c r="H205" s="31" t="str">
        <f t="shared" si="41"/>
        <v>E2_7_2_8:E2_7_2_8</v>
      </c>
      <c r="I205" s="31" t="str">
        <f t="shared" si="42"/>
        <v>E2_7_2_8_mRNA:0</v>
      </c>
      <c r="J205" s="31" t="str">
        <f t="shared" si="43"/>
        <v>E2_7_2_8:0</v>
      </c>
      <c r="K205" s="31" t="str">
        <f t="shared" si="44"/>
        <v>0.00292 - (0.0093 * E2_7_2_8_mRNA)</v>
      </c>
      <c r="L205" s="31" t="str">
        <f t="shared" si="45"/>
        <v>(0.278 * E2_7_2_8_mRNA) - (0.00000278 * E2_7_2_8)</v>
      </c>
      <c r="M205" s="43" t="str">
        <f t="shared" si="46"/>
        <v>mRNA204: -&gt; E2_7_2_8_mRNA | 0.00292 - (0.0093 * E2_7_2_8_mRNA)</v>
      </c>
      <c r="N205" s="31" t="str">
        <f t="shared" si="47"/>
        <v>Peptide204:E2_7_2_8_mRNA -&gt; E2_7_2_8 | (0.278 * E2_7_2_8_mRNA) -  (0.00000278 * E2_7_2_8)</v>
      </c>
    </row>
    <row r="206" spans="1:14" ht="29" x14ac:dyDescent="0.35">
      <c r="A206" s="31">
        <v>205</v>
      </c>
      <c r="B206" s="31" t="s">
        <v>14134</v>
      </c>
      <c r="C206" s="31" t="str">
        <f t="shared" si="36"/>
        <v>E2_7_3_9_mRNA</v>
      </c>
      <c r="D206" s="31" t="str">
        <f t="shared" si="37"/>
        <v>E2_7_3_9</v>
      </c>
      <c r="E206" s="31" t="str">
        <f t="shared" si="38"/>
        <v>E2_7_3_9_Kcat : 13.7</v>
      </c>
      <c r="F206" s="31" t="str">
        <f t="shared" si="39"/>
        <v>E2_7_3_9_Km :1</v>
      </c>
      <c r="G206" s="31" t="str">
        <f t="shared" si="40"/>
        <v>E2_7_3_9_mRNA:E2_7_3_9_mRNA</v>
      </c>
      <c r="H206" s="31" t="str">
        <f t="shared" si="41"/>
        <v>E2_7_3_9:E2_7_3_9</v>
      </c>
      <c r="I206" s="31" t="str">
        <f t="shared" si="42"/>
        <v>E2_7_3_9_mRNA:0</v>
      </c>
      <c r="J206" s="31" t="str">
        <f t="shared" si="43"/>
        <v>E2_7_3_9:0</v>
      </c>
      <c r="K206" s="31" t="str">
        <f t="shared" si="44"/>
        <v>0.00292 - (0.0093 * E2_7_3_9_mRNA)</v>
      </c>
      <c r="L206" s="31" t="str">
        <f t="shared" si="45"/>
        <v>(0.278 * E2_7_3_9_mRNA) - (0.00000278 * E2_7_3_9)</v>
      </c>
      <c r="M206" s="43" t="str">
        <f t="shared" si="46"/>
        <v>mRNA205: -&gt; E2_7_3_9_mRNA | 0.00292 - (0.0093 * E2_7_3_9_mRNA)</v>
      </c>
      <c r="N206" s="31" t="str">
        <f t="shared" si="47"/>
        <v>Peptide205:E2_7_3_9_mRNA -&gt; E2_7_3_9 | (0.278 * E2_7_3_9_mRNA) -  (0.00000278 * E2_7_3_9)</v>
      </c>
    </row>
    <row r="207" spans="1:14" ht="29" x14ac:dyDescent="0.35">
      <c r="A207" s="31">
        <v>206</v>
      </c>
      <c r="B207" s="31" t="s">
        <v>14135</v>
      </c>
      <c r="C207" s="31" t="str">
        <f t="shared" si="36"/>
        <v>E2_7_4_1_mRNA</v>
      </c>
      <c r="D207" s="31" t="str">
        <f t="shared" si="37"/>
        <v>E2_7_4_1</v>
      </c>
      <c r="E207" s="31" t="str">
        <f t="shared" si="38"/>
        <v>E2_7_4_1_Kcat : 13.7</v>
      </c>
      <c r="F207" s="31" t="str">
        <f t="shared" si="39"/>
        <v>E2_7_4_1_Km :1</v>
      </c>
      <c r="G207" s="31" t="str">
        <f t="shared" si="40"/>
        <v>E2_7_4_1_mRNA:E2_7_4_1_mRNA</v>
      </c>
      <c r="H207" s="31" t="str">
        <f t="shared" si="41"/>
        <v>E2_7_4_1:E2_7_4_1</v>
      </c>
      <c r="I207" s="31" t="str">
        <f t="shared" si="42"/>
        <v>E2_7_4_1_mRNA:0</v>
      </c>
      <c r="J207" s="31" t="str">
        <f t="shared" si="43"/>
        <v>E2_7_4_1:0</v>
      </c>
      <c r="K207" s="31" t="str">
        <f t="shared" si="44"/>
        <v>0.00292 - (0.0093 * E2_7_4_1_mRNA)</v>
      </c>
      <c r="L207" s="31" t="str">
        <f t="shared" si="45"/>
        <v>(0.278 * E2_7_4_1_mRNA) - (0.00000278 * E2_7_4_1)</v>
      </c>
      <c r="M207" s="43" t="str">
        <f t="shared" si="46"/>
        <v>mRNA206: -&gt; E2_7_4_1_mRNA | 0.00292 - (0.0093 * E2_7_4_1_mRNA)</v>
      </c>
      <c r="N207" s="31" t="str">
        <f t="shared" si="47"/>
        <v>Peptide206:E2_7_4_1_mRNA -&gt; E2_7_4_1 | (0.278 * E2_7_4_1_mRNA) -  (0.00000278 * E2_7_4_1)</v>
      </c>
    </row>
    <row r="208" spans="1:14" ht="43.5" x14ac:dyDescent="0.35">
      <c r="A208" s="31">
        <v>207</v>
      </c>
      <c r="B208" s="31" t="s">
        <v>14136</v>
      </c>
      <c r="C208" s="31" t="str">
        <f t="shared" si="36"/>
        <v>E2_7_4_16_mRNA</v>
      </c>
      <c r="D208" s="31" t="str">
        <f t="shared" si="37"/>
        <v>E2_7_4_16</v>
      </c>
      <c r="E208" s="31" t="str">
        <f t="shared" si="38"/>
        <v>E2_7_4_16_Kcat : 13.7</v>
      </c>
      <c r="F208" s="31" t="str">
        <f t="shared" si="39"/>
        <v>E2_7_4_16_Km :1</v>
      </c>
      <c r="G208" s="31" t="str">
        <f t="shared" si="40"/>
        <v>E2_7_4_16_mRNA:E2_7_4_16_mRNA</v>
      </c>
      <c r="H208" s="31" t="str">
        <f t="shared" si="41"/>
        <v>E2_7_4_16:E2_7_4_16</v>
      </c>
      <c r="I208" s="31" t="str">
        <f t="shared" si="42"/>
        <v>E2_7_4_16_mRNA:0</v>
      </c>
      <c r="J208" s="31" t="str">
        <f t="shared" si="43"/>
        <v>E2_7_4_16:0</v>
      </c>
      <c r="K208" s="31" t="str">
        <f t="shared" si="44"/>
        <v>0.00292 - (0.0093 * E2_7_4_16_mRNA)</v>
      </c>
      <c r="L208" s="31" t="str">
        <f t="shared" si="45"/>
        <v>(0.278 * E2_7_4_16_mRNA) - (0.00000278 * E2_7_4_16)</v>
      </c>
      <c r="M208" s="43" t="str">
        <f t="shared" si="46"/>
        <v>mRNA207: -&gt; E2_7_4_16_mRNA | 0.00292 - (0.0093 * E2_7_4_16_mRNA)</v>
      </c>
      <c r="N208" s="31" t="str">
        <f t="shared" si="47"/>
        <v>Peptide207:E2_7_4_16_mRNA -&gt; E2_7_4_16 | (0.278 * E2_7_4_16_mRNA) -  (0.00000278 * E2_7_4_16)</v>
      </c>
    </row>
    <row r="209" spans="1:14" ht="43.5" x14ac:dyDescent="0.35">
      <c r="A209" s="31">
        <v>208</v>
      </c>
      <c r="B209" s="31" t="s">
        <v>14137</v>
      </c>
      <c r="C209" s="31" t="str">
        <f t="shared" si="36"/>
        <v>E2_7_4_22_mRNA</v>
      </c>
      <c r="D209" s="31" t="str">
        <f t="shared" si="37"/>
        <v>E2_7_4_22</v>
      </c>
      <c r="E209" s="31" t="str">
        <f t="shared" si="38"/>
        <v>E2_7_4_22_Kcat : 13.7</v>
      </c>
      <c r="F209" s="31" t="str">
        <f t="shared" si="39"/>
        <v>E2_7_4_22_Km :1</v>
      </c>
      <c r="G209" s="31" t="str">
        <f t="shared" si="40"/>
        <v>E2_7_4_22_mRNA:E2_7_4_22_mRNA</v>
      </c>
      <c r="H209" s="31" t="str">
        <f t="shared" si="41"/>
        <v>E2_7_4_22:E2_7_4_22</v>
      </c>
      <c r="I209" s="31" t="str">
        <f t="shared" si="42"/>
        <v>E2_7_4_22_mRNA:0</v>
      </c>
      <c r="J209" s="31" t="str">
        <f t="shared" si="43"/>
        <v>E2_7_4_22:0</v>
      </c>
      <c r="K209" s="31" t="str">
        <f t="shared" si="44"/>
        <v>0.00292 - (0.0093 * E2_7_4_22_mRNA)</v>
      </c>
      <c r="L209" s="31" t="str">
        <f t="shared" si="45"/>
        <v>(0.278 * E2_7_4_22_mRNA) - (0.00000278 * E2_7_4_22)</v>
      </c>
      <c r="M209" s="43" t="str">
        <f t="shared" si="46"/>
        <v>mRNA208: -&gt; E2_7_4_22_mRNA | 0.00292 - (0.0093 * E2_7_4_22_mRNA)</v>
      </c>
      <c r="N209" s="31" t="str">
        <f t="shared" si="47"/>
        <v>Peptide208:E2_7_4_22_mRNA -&gt; E2_7_4_22 | (0.278 * E2_7_4_22_mRNA) -  (0.00000278 * E2_7_4_22)</v>
      </c>
    </row>
    <row r="210" spans="1:14" ht="43.5" x14ac:dyDescent="0.35">
      <c r="A210" s="31">
        <v>209</v>
      </c>
      <c r="B210" s="31" t="s">
        <v>14138</v>
      </c>
      <c r="C210" s="31" t="str">
        <f t="shared" si="36"/>
        <v>E2_7_4_25_mRNA</v>
      </c>
      <c r="D210" s="31" t="str">
        <f t="shared" si="37"/>
        <v>E2_7_4_25</v>
      </c>
      <c r="E210" s="31" t="str">
        <f t="shared" si="38"/>
        <v>E2_7_4_25_Kcat : 13.7</v>
      </c>
      <c r="F210" s="31" t="str">
        <f t="shared" si="39"/>
        <v>E2_7_4_25_Km :1</v>
      </c>
      <c r="G210" s="31" t="str">
        <f t="shared" si="40"/>
        <v>E2_7_4_25_mRNA:E2_7_4_25_mRNA</v>
      </c>
      <c r="H210" s="31" t="str">
        <f t="shared" si="41"/>
        <v>E2_7_4_25:E2_7_4_25</v>
      </c>
      <c r="I210" s="31" t="str">
        <f t="shared" si="42"/>
        <v>E2_7_4_25_mRNA:0</v>
      </c>
      <c r="J210" s="31" t="str">
        <f t="shared" si="43"/>
        <v>E2_7_4_25:0</v>
      </c>
      <c r="K210" s="31" t="str">
        <f t="shared" si="44"/>
        <v>0.00292 - (0.0093 * E2_7_4_25_mRNA)</v>
      </c>
      <c r="L210" s="31" t="str">
        <f t="shared" si="45"/>
        <v>(0.278 * E2_7_4_25_mRNA) - (0.00000278 * E2_7_4_25)</v>
      </c>
      <c r="M210" s="43" t="str">
        <f t="shared" si="46"/>
        <v>mRNA209: -&gt; E2_7_4_25_mRNA | 0.00292 - (0.0093 * E2_7_4_25_mRNA)</v>
      </c>
      <c r="N210" s="31" t="str">
        <f t="shared" si="47"/>
        <v>Peptide209:E2_7_4_25_mRNA -&gt; E2_7_4_25 | (0.278 * E2_7_4_25_mRNA) -  (0.00000278 * E2_7_4_25)</v>
      </c>
    </row>
    <row r="211" spans="1:14" ht="29" x14ac:dyDescent="0.35">
      <c r="A211" s="31">
        <v>210</v>
      </c>
      <c r="B211" s="31" t="s">
        <v>14139</v>
      </c>
      <c r="C211" s="31" t="str">
        <f t="shared" si="36"/>
        <v>E2_7_4_3_mRNA</v>
      </c>
      <c r="D211" s="31" t="str">
        <f t="shared" si="37"/>
        <v>E2_7_4_3</v>
      </c>
      <c r="E211" s="31" t="str">
        <f t="shared" si="38"/>
        <v>E2_7_4_3_Kcat : 13.7</v>
      </c>
      <c r="F211" s="31" t="str">
        <f t="shared" si="39"/>
        <v>E2_7_4_3_Km :1</v>
      </c>
      <c r="G211" s="31" t="str">
        <f t="shared" si="40"/>
        <v>E2_7_4_3_mRNA:E2_7_4_3_mRNA</v>
      </c>
      <c r="H211" s="31" t="str">
        <f t="shared" si="41"/>
        <v>E2_7_4_3:E2_7_4_3</v>
      </c>
      <c r="I211" s="31" t="str">
        <f t="shared" si="42"/>
        <v>E2_7_4_3_mRNA:0</v>
      </c>
      <c r="J211" s="31" t="str">
        <f t="shared" si="43"/>
        <v>E2_7_4_3:0</v>
      </c>
      <c r="K211" s="31" t="str">
        <f t="shared" si="44"/>
        <v>0.00292 - (0.0093 * E2_7_4_3_mRNA)</v>
      </c>
      <c r="L211" s="31" t="str">
        <f t="shared" si="45"/>
        <v>(0.278 * E2_7_4_3_mRNA) - (0.00000278 * E2_7_4_3)</v>
      </c>
      <c r="M211" s="43" t="str">
        <f t="shared" si="46"/>
        <v>mRNA210: -&gt; E2_7_4_3_mRNA | 0.00292 - (0.0093 * E2_7_4_3_mRNA)</v>
      </c>
      <c r="N211" s="31" t="str">
        <f t="shared" si="47"/>
        <v>Peptide210:E2_7_4_3_mRNA -&gt; E2_7_4_3 | (0.278 * E2_7_4_3_mRNA) -  (0.00000278 * E2_7_4_3)</v>
      </c>
    </row>
    <row r="212" spans="1:14" ht="29" x14ac:dyDescent="0.35">
      <c r="A212" s="31">
        <v>211</v>
      </c>
      <c r="B212" s="31" t="s">
        <v>14140</v>
      </c>
      <c r="C212" s="31" t="str">
        <f t="shared" si="36"/>
        <v>E2_7_4_6_mRNA</v>
      </c>
      <c r="D212" s="31" t="str">
        <f t="shared" si="37"/>
        <v>E2_7_4_6</v>
      </c>
      <c r="E212" s="31" t="str">
        <f t="shared" si="38"/>
        <v>E2_7_4_6_Kcat : 13.7</v>
      </c>
      <c r="F212" s="31" t="str">
        <f t="shared" si="39"/>
        <v>E2_7_4_6_Km :1</v>
      </c>
      <c r="G212" s="31" t="str">
        <f t="shared" si="40"/>
        <v>E2_7_4_6_mRNA:E2_7_4_6_mRNA</v>
      </c>
      <c r="H212" s="31" t="str">
        <f t="shared" si="41"/>
        <v>E2_7_4_6:E2_7_4_6</v>
      </c>
      <c r="I212" s="31" t="str">
        <f t="shared" si="42"/>
        <v>E2_7_4_6_mRNA:0</v>
      </c>
      <c r="J212" s="31" t="str">
        <f t="shared" si="43"/>
        <v>E2_7_4_6:0</v>
      </c>
      <c r="K212" s="31" t="str">
        <f t="shared" si="44"/>
        <v>0.00292 - (0.0093 * E2_7_4_6_mRNA)</v>
      </c>
      <c r="L212" s="31" t="str">
        <f t="shared" si="45"/>
        <v>(0.278 * E2_7_4_6_mRNA) - (0.00000278 * E2_7_4_6)</v>
      </c>
      <c r="M212" s="43" t="str">
        <f t="shared" si="46"/>
        <v>mRNA211: -&gt; E2_7_4_6_mRNA | 0.00292 - (0.0093 * E2_7_4_6_mRNA)</v>
      </c>
      <c r="N212" s="31" t="str">
        <f t="shared" si="47"/>
        <v>Peptide211:E2_7_4_6_mRNA -&gt; E2_7_4_6 | (0.278 * E2_7_4_6_mRNA) -  (0.00000278 * E2_7_4_6)</v>
      </c>
    </row>
    <row r="213" spans="1:14" ht="29" x14ac:dyDescent="0.35">
      <c r="A213" s="31">
        <v>212</v>
      </c>
      <c r="B213" s="31" t="s">
        <v>14141</v>
      </c>
      <c r="C213" s="31" t="str">
        <f t="shared" si="36"/>
        <v>E2_7_4_8_mRNA</v>
      </c>
      <c r="D213" s="31" t="str">
        <f t="shared" si="37"/>
        <v>E2_7_4_8</v>
      </c>
      <c r="E213" s="31" t="str">
        <f t="shared" si="38"/>
        <v>E2_7_4_8_Kcat : 13.7</v>
      </c>
      <c r="F213" s="31" t="str">
        <f t="shared" si="39"/>
        <v>E2_7_4_8_Km :1</v>
      </c>
      <c r="G213" s="31" t="str">
        <f t="shared" si="40"/>
        <v>E2_7_4_8_mRNA:E2_7_4_8_mRNA</v>
      </c>
      <c r="H213" s="31" t="str">
        <f t="shared" si="41"/>
        <v>E2_7_4_8:E2_7_4_8</v>
      </c>
      <c r="I213" s="31" t="str">
        <f t="shared" si="42"/>
        <v>E2_7_4_8_mRNA:0</v>
      </c>
      <c r="J213" s="31" t="str">
        <f t="shared" si="43"/>
        <v>E2_7_4_8:0</v>
      </c>
      <c r="K213" s="31" t="str">
        <f t="shared" si="44"/>
        <v>0.00292 - (0.0093 * E2_7_4_8_mRNA)</v>
      </c>
      <c r="L213" s="31" t="str">
        <f t="shared" si="45"/>
        <v>(0.278 * E2_7_4_8_mRNA) - (0.00000278 * E2_7_4_8)</v>
      </c>
      <c r="M213" s="43" t="str">
        <f t="shared" si="46"/>
        <v>mRNA212: -&gt; E2_7_4_8_mRNA | 0.00292 - (0.0093 * E2_7_4_8_mRNA)</v>
      </c>
      <c r="N213" s="31" t="str">
        <f t="shared" si="47"/>
        <v>Peptide212:E2_7_4_8_mRNA -&gt; E2_7_4_8 | (0.278 * E2_7_4_8_mRNA) -  (0.00000278 * E2_7_4_8)</v>
      </c>
    </row>
    <row r="214" spans="1:14" ht="29" x14ac:dyDescent="0.35">
      <c r="A214" s="31">
        <v>213</v>
      </c>
      <c r="B214" s="31" t="s">
        <v>14142</v>
      </c>
      <c r="C214" s="31" t="str">
        <f t="shared" si="36"/>
        <v>E2_7_4_9_mRNA</v>
      </c>
      <c r="D214" s="31" t="str">
        <f t="shared" si="37"/>
        <v>E2_7_4_9</v>
      </c>
      <c r="E214" s="31" t="str">
        <f t="shared" si="38"/>
        <v>E2_7_4_9_Kcat : 13.7</v>
      </c>
      <c r="F214" s="31" t="str">
        <f t="shared" si="39"/>
        <v>E2_7_4_9_Km :1</v>
      </c>
      <c r="G214" s="31" t="str">
        <f t="shared" si="40"/>
        <v>E2_7_4_9_mRNA:E2_7_4_9_mRNA</v>
      </c>
      <c r="H214" s="31" t="str">
        <f t="shared" si="41"/>
        <v>E2_7_4_9:E2_7_4_9</v>
      </c>
      <c r="I214" s="31" t="str">
        <f t="shared" si="42"/>
        <v>E2_7_4_9_mRNA:0</v>
      </c>
      <c r="J214" s="31" t="str">
        <f t="shared" si="43"/>
        <v>E2_7_4_9:0</v>
      </c>
      <c r="K214" s="31" t="str">
        <f t="shared" si="44"/>
        <v>0.00292 - (0.0093 * E2_7_4_9_mRNA)</v>
      </c>
      <c r="L214" s="31" t="str">
        <f t="shared" si="45"/>
        <v>(0.278 * E2_7_4_9_mRNA) - (0.00000278 * E2_7_4_9)</v>
      </c>
      <c r="M214" s="43" t="str">
        <f t="shared" si="46"/>
        <v>mRNA213: -&gt; E2_7_4_9_mRNA | 0.00292 - (0.0093 * E2_7_4_9_mRNA)</v>
      </c>
      <c r="N214" s="31" t="str">
        <f t="shared" si="47"/>
        <v>Peptide213:E2_7_4_9_mRNA -&gt; E2_7_4_9 | (0.278 * E2_7_4_9_mRNA) -  (0.00000278 * E2_7_4_9)</v>
      </c>
    </row>
    <row r="215" spans="1:14" ht="29" x14ac:dyDescent="0.35">
      <c r="A215" s="31">
        <v>214</v>
      </c>
      <c r="B215" s="31" t="s">
        <v>14143</v>
      </c>
      <c r="C215" s="31" t="str">
        <f t="shared" si="36"/>
        <v>E2_7_6_1_mRNA</v>
      </c>
      <c r="D215" s="31" t="str">
        <f t="shared" si="37"/>
        <v>E2_7_6_1</v>
      </c>
      <c r="E215" s="31" t="str">
        <f t="shared" si="38"/>
        <v>E2_7_6_1_Kcat : 13.7</v>
      </c>
      <c r="F215" s="31" t="str">
        <f t="shared" si="39"/>
        <v>E2_7_6_1_Km :1</v>
      </c>
      <c r="G215" s="31" t="str">
        <f t="shared" si="40"/>
        <v>E2_7_6_1_mRNA:E2_7_6_1_mRNA</v>
      </c>
      <c r="H215" s="31" t="str">
        <f t="shared" si="41"/>
        <v>E2_7_6_1:E2_7_6_1</v>
      </c>
      <c r="I215" s="31" t="str">
        <f t="shared" si="42"/>
        <v>E2_7_6_1_mRNA:0</v>
      </c>
      <c r="J215" s="31" t="str">
        <f t="shared" si="43"/>
        <v>E2_7_6_1:0</v>
      </c>
      <c r="K215" s="31" t="str">
        <f t="shared" si="44"/>
        <v>0.00292 - (0.0093 * E2_7_6_1_mRNA)</v>
      </c>
      <c r="L215" s="31" t="str">
        <f t="shared" si="45"/>
        <v>(0.278 * E2_7_6_1_mRNA) - (0.00000278 * E2_7_6_1)</v>
      </c>
      <c r="M215" s="43" t="str">
        <f t="shared" si="46"/>
        <v>mRNA214: -&gt; E2_7_6_1_mRNA | 0.00292 - (0.0093 * E2_7_6_1_mRNA)</v>
      </c>
      <c r="N215" s="31" t="str">
        <f t="shared" si="47"/>
        <v>Peptide214:E2_7_6_1_mRNA -&gt; E2_7_6_1 | (0.278 * E2_7_6_1_mRNA) -  (0.00000278 * E2_7_6_1)</v>
      </c>
    </row>
    <row r="216" spans="1:14" ht="29" x14ac:dyDescent="0.35">
      <c r="A216" s="31">
        <v>215</v>
      </c>
      <c r="B216" s="31" t="s">
        <v>14144</v>
      </c>
      <c r="C216" s="31" t="str">
        <f t="shared" si="36"/>
        <v>E2_7_6_3_mRNA</v>
      </c>
      <c r="D216" s="31" t="str">
        <f t="shared" si="37"/>
        <v>E2_7_6_3</v>
      </c>
      <c r="E216" s="31" t="str">
        <f t="shared" si="38"/>
        <v>E2_7_6_3_Kcat : 13.7</v>
      </c>
      <c r="F216" s="31" t="str">
        <f t="shared" si="39"/>
        <v>E2_7_6_3_Km :1</v>
      </c>
      <c r="G216" s="31" t="str">
        <f t="shared" si="40"/>
        <v>E2_7_6_3_mRNA:E2_7_6_3_mRNA</v>
      </c>
      <c r="H216" s="31" t="str">
        <f t="shared" si="41"/>
        <v>E2_7_6_3:E2_7_6_3</v>
      </c>
      <c r="I216" s="31" t="str">
        <f t="shared" si="42"/>
        <v>E2_7_6_3_mRNA:0</v>
      </c>
      <c r="J216" s="31" t="str">
        <f t="shared" si="43"/>
        <v>E2_7_6_3:0</v>
      </c>
      <c r="K216" s="31" t="str">
        <f t="shared" si="44"/>
        <v>0.00292 - (0.0093 * E2_7_6_3_mRNA)</v>
      </c>
      <c r="L216" s="31" t="str">
        <f t="shared" si="45"/>
        <v>(0.278 * E2_7_6_3_mRNA) - (0.00000278 * E2_7_6_3)</v>
      </c>
      <c r="M216" s="43" t="str">
        <f t="shared" si="46"/>
        <v>mRNA215: -&gt; E2_7_6_3_mRNA | 0.00292 - (0.0093 * E2_7_6_3_mRNA)</v>
      </c>
      <c r="N216" s="31" t="str">
        <f t="shared" si="47"/>
        <v>Peptide215:E2_7_6_3_mRNA -&gt; E2_7_6_3 | (0.278 * E2_7_6_3_mRNA) -  (0.00000278 * E2_7_6_3)</v>
      </c>
    </row>
    <row r="217" spans="1:14" ht="29" x14ac:dyDescent="0.35">
      <c r="A217" s="31">
        <v>216</v>
      </c>
      <c r="B217" s="31" t="s">
        <v>14145</v>
      </c>
      <c r="C217" s="31" t="str">
        <f t="shared" si="36"/>
        <v>E2_7_6_5_mRNA</v>
      </c>
      <c r="D217" s="31" t="str">
        <f t="shared" si="37"/>
        <v>E2_7_6_5</v>
      </c>
      <c r="E217" s="31" t="str">
        <f t="shared" si="38"/>
        <v>E2_7_6_5_Kcat : 13.7</v>
      </c>
      <c r="F217" s="31" t="str">
        <f t="shared" si="39"/>
        <v>E2_7_6_5_Km :1</v>
      </c>
      <c r="G217" s="31" t="str">
        <f t="shared" si="40"/>
        <v>E2_7_6_5_mRNA:E2_7_6_5_mRNA</v>
      </c>
      <c r="H217" s="31" t="str">
        <f t="shared" si="41"/>
        <v>E2_7_6_5:E2_7_6_5</v>
      </c>
      <c r="I217" s="31" t="str">
        <f t="shared" si="42"/>
        <v>E2_7_6_5_mRNA:0</v>
      </c>
      <c r="J217" s="31" t="str">
        <f t="shared" si="43"/>
        <v>E2_7_6_5:0</v>
      </c>
      <c r="K217" s="31" t="str">
        <f t="shared" si="44"/>
        <v>0.00292 - (0.0093 * E2_7_6_5_mRNA)</v>
      </c>
      <c r="L217" s="31" t="str">
        <f t="shared" si="45"/>
        <v>(0.278 * E2_7_6_5_mRNA) - (0.00000278 * E2_7_6_5)</v>
      </c>
      <c r="M217" s="43" t="str">
        <f t="shared" si="46"/>
        <v>mRNA216: -&gt; E2_7_6_5_mRNA | 0.00292 - (0.0093 * E2_7_6_5_mRNA)</v>
      </c>
      <c r="N217" s="31" t="str">
        <f t="shared" si="47"/>
        <v>Peptide216:E2_7_6_5_mRNA -&gt; E2_7_6_5 | (0.278 * E2_7_6_5_mRNA) -  (0.00000278 * E2_7_6_5)</v>
      </c>
    </row>
    <row r="218" spans="1:14" ht="43.5" x14ac:dyDescent="0.35">
      <c r="A218" s="31">
        <v>217</v>
      </c>
      <c r="B218" s="31" t="s">
        <v>14146</v>
      </c>
      <c r="C218" s="31" t="str">
        <f t="shared" si="36"/>
        <v>E2_7_7_108_mRNA</v>
      </c>
      <c r="D218" s="31" t="str">
        <f t="shared" si="37"/>
        <v>E2_7_7_108</v>
      </c>
      <c r="E218" s="31" t="str">
        <f t="shared" si="38"/>
        <v>E2_7_7_108_Kcat : 13.7</v>
      </c>
      <c r="F218" s="31" t="str">
        <f t="shared" si="39"/>
        <v>E2_7_7_108_Km :1</v>
      </c>
      <c r="G218" s="31" t="str">
        <f t="shared" si="40"/>
        <v>E2_7_7_108_mRNA:E2_7_7_108_mRNA</v>
      </c>
      <c r="H218" s="31" t="str">
        <f t="shared" si="41"/>
        <v>E2_7_7_108:E2_7_7_108</v>
      </c>
      <c r="I218" s="31" t="str">
        <f t="shared" si="42"/>
        <v>E2_7_7_108_mRNA:0</v>
      </c>
      <c r="J218" s="31" t="str">
        <f t="shared" si="43"/>
        <v>E2_7_7_108:0</v>
      </c>
      <c r="K218" s="31" t="str">
        <f t="shared" si="44"/>
        <v>0.00292 - (0.0093 * E2_7_7_108_mRNA)</v>
      </c>
      <c r="L218" s="31" t="str">
        <f t="shared" si="45"/>
        <v>(0.278 * E2_7_7_108_mRNA) - (0.00000278 * E2_7_7_108)</v>
      </c>
      <c r="M218" s="43" t="str">
        <f t="shared" si="46"/>
        <v>mRNA217: -&gt; E2_7_7_108_mRNA | 0.00292 - (0.0093 * E2_7_7_108_mRNA)</v>
      </c>
      <c r="N218" s="31" t="str">
        <f t="shared" si="47"/>
        <v>Peptide217:E2_7_7_108_mRNA -&gt; E2_7_7_108 | (0.278 * E2_7_7_108_mRNA) -  (0.00000278 * E2_7_7_108)</v>
      </c>
    </row>
    <row r="219" spans="1:14" ht="43.5" x14ac:dyDescent="0.35">
      <c r="A219" s="31">
        <v>218</v>
      </c>
      <c r="B219" s="31" t="s">
        <v>14147</v>
      </c>
      <c r="C219" s="31" t="str">
        <f t="shared" si="36"/>
        <v>E2_7_7_18_mRNA</v>
      </c>
      <c r="D219" s="31" t="str">
        <f t="shared" si="37"/>
        <v>E2_7_7_18</v>
      </c>
      <c r="E219" s="31" t="str">
        <f t="shared" si="38"/>
        <v>E2_7_7_18_Kcat : 13.7</v>
      </c>
      <c r="F219" s="31" t="str">
        <f t="shared" si="39"/>
        <v>E2_7_7_18_Km :1</v>
      </c>
      <c r="G219" s="31" t="str">
        <f t="shared" si="40"/>
        <v>E2_7_7_18_mRNA:E2_7_7_18_mRNA</v>
      </c>
      <c r="H219" s="31" t="str">
        <f t="shared" si="41"/>
        <v>E2_7_7_18:E2_7_7_18</v>
      </c>
      <c r="I219" s="31" t="str">
        <f t="shared" si="42"/>
        <v>E2_7_7_18_mRNA:0</v>
      </c>
      <c r="J219" s="31" t="str">
        <f t="shared" si="43"/>
        <v>E2_7_7_18:0</v>
      </c>
      <c r="K219" s="31" t="str">
        <f t="shared" si="44"/>
        <v>0.00292 - (0.0093 * E2_7_7_18_mRNA)</v>
      </c>
      <c r="L219" s="31" t="str">
        <f t="shared" si="45"/>
        <v>(0.278 * E2_7_7_18_mRNA) - (0.00000278 * E2_7_7_18)</v>
      </c>
      <c r="M219" s="43" t="str">
        <f t="shared" si="46"/>
        <v>mRNA218: -&gt; E2_7_7_18_mRNA | 0.00292 - (0.0093 * E2_7_7_18_mRNA)</v>
      </c>
      <c r="N219" s="31" t="str">
        <f t="shared" si="47"/>
        <v>Peptide218:E2_7_7_18_mRNA -&gt; E2_7_7_18 | (0.278 * E2_7_7_18_mRNA) -  (0.00000278 * E2_7_7_18)</v>
      </c>
    </row>
    <row r="220" spans="1:14" ht="43.5" x14ac:dyDescent="0.35">
      <c r="A220" s="31">
        <v>219</v>
      </c>
      <c r="B220" s="31" t="s">
        <v>14148</v>
      </c>
      <c r="C220" s="31" t="str">
        <f t="shared" si="36"/>
        <v>E2_7_7_23_mRNA</v>
      </c>
      <c r="D220" s="31" t="str">
        <f t="shared" si="37"/>
        <v>E2_7_7_23</v>
      </c>
      <c r="E220" s="31" t="str">
        <f t="shared" si="38"/>
        <v>E2_7_7_23_Kcat : 13.7</v>
      </c>
      <c r="F220" s="31" t="str">
        <f t="shared" si="39"/>
        <v>E2_7_7_23_Km :1</v>
      </c>
      <c r="G220" s="31" t="str">
        <f t="shared" si="40"/>
        <v>E2_7_7_23_mRNA:E2_7_7_23_mRNA</v>
      </c>
      <c r="H220" s="31" t="str">
        <f t="shared" si="41"/>
        <v>E2_7_7_23:E2_7_7_23</v>
      </c>
      <c r="I220" s="31" t="str">
        <f t="shared" si="42"/>
        <v>E2_7_7_23_mRNA:0</v>
      </c>
      <c r="J220" s="31" t="str">
        <f t="shared" si="43"/>
        <v>E2_7_7_23:0</v>
      </c>
      <c r="K220" s="31" t="str">
        <f t="shared" si="44"/>
        <v>0.00292 - (0.0093 * E2_7_7_23_mRNA)</v>
      </c>
      <c r="L220" s="31" t="str">
        <f t="shared" si="45"/>
        <v>(0.278 * E2_7_7_23_mRNA) - (0.00000278 * E2_7_7_23)</v>
      </c>
      <c r="M220" s="43" t="str">
        <f t="shared" si="46"/>
        <v>mRNA219: -&gt; E2_7_7_23_mRNA | 0.00292 - (0.0093 * E2_7_7_23_mRNA)</v>
      </c>
      <c r="N220" s="31" t="str">
        <f t="shared" si="47"/>
        <v>Peptide219:E2_7_7_23_mRNA -&gt; E2_7_7_23 | (0.278 * E2_7_7_23_mRNA) -  (0.00000278 * E2_7_7_23)</v>
      </c>
    </row>
    <row r="221" spans="1:14" ht="43.5" x14ac:dyDescent="0.35">
      <c r="A221" s="31">
        <v>220</v>
      </c>
      <c r="B221" s="31" t="s">
        <v>14149</v>
      </c>
      <c r="C221" s="31" t="str">
        <f t="shared" si="36"/>
        <v>E2_7_7_24_mRNA</v>
      </c>
      <c r="D221" s="31" t="str">
        <f t="shared" si="37"/>
        <v>E2_7_7_24</v>
      </c>
      <c r="E221" s="31" t="str">
        <f t="shared" si="38"/>
        <v>E2_7_7_24_Kcat : 13.7</v>
      </c>
      <c r="F221" s="31" t="str">
        <f t="shared" si="39"/>
        <v>E2_7_7_24_Km :1</v>
      </c>
      <c r="G221" s="31" t="str">
        <f t="shared" si="40"/>
        <v>E2_7_7_24_mRNA:E2_7_7_24_mRNA</v>
      </c>
      <c r="H221" s="31" t="str">
        <f t="shared" si="41"/>
        <v>E2_7_7_24:E2_7_7_24</v>
      </c>
      <c r="I221" s="31" t="str">
        <f t="shared" si="42"/>
        <v>E2_7_7_24_mRNA:0</v>
      </c>
      <c r="J221" s="31" t="str">
        <f t="shared" si="43"/>
        <v>E2_7_7_24:0</v>
      </c>
      <c r="K221" s="31" t="str">
        <f t="shared" si="44"/>
        <v>0.00292 - (0.0093 * E2_7_7_24_mRNA)</v>
      </c>
      <c r="L221" s="31" t="str">
        <f t="shared" si="45"/>
        <v>(0.278 * E2_7_7_24_mRNA) - (0.00000278 * E2_7_7_24)</v>
      </c>
      <c r="M221" s="43" t="str">
        <f t="shared" si="46"/>
        <v>mRNA220: -&gt; E2_7_7_24_mRNA | 0.00292 - (0.0093 * E2_7_7_24_mRNA)</v>
      </c>
      <c r="N221" s="31" t="str">
        <f t="shared" si="47"/>
        <v>Peptide220:E2_7_7_24_mRNA -&gt; E2_7_7_24 | (0.278 * E2_7_7_24_mRNA) -  (0.00000278 * E2_7_7_24)</v>
      </c>
    </row>
    <row r="222" spans="1:14" ht="43.5" x14ac:dyDescent="0.35">
      <c r="A222" s="31">
        <v>221</v>
      </c>
      <c r="B222" s="31" t="s">
        <v>14150</v>
      </c>
      <c r="C222" s="31" t="str">
        <f t="shared" si="36"/>
        <v>E2_7_7_27_mRNA</v>
      </c>
      <c r="D222" s="31" t="str">
        <f t="shared" si="37"/>
        <v>E2_7_7_27</v>
      </c>
      <c r="E222" s="31" t="str">
        <f t="shared" si="38"/>
        <v>E2_7_7_27_Kcat : 13.7</v>
      </c>
      <c r="F222" s="31" t="str">
        <f t="shared" si="39"/>
        <v>E2_7_7_27_Km :1</v>
      </c>
      <c r="G222" s="31" t="str">
        <f t="shared" si="40"/>
        <v>E2_7_7_27_mRNA:E2_7_7_27_mRNA</v>
      </c>
      <c r="H222" s="31" t="str">
        <f t="shared" si="41"/>
        <v>E2_7_7_27:E2_7_7_27</v>
      </c>
      <c r="I222" s="31" t="str">
        <f t="shared" si="42"/>
        <v>E2_7_7_27_mRNA:0</v>
      </c>
      <c r="J222" s="31" t="str">
        <f t="shared" si="43"/>
        <v>E2_7_7_27:0</v>
      </c>
      <c r="K222" s="31" t="str">
        <f t="shared" si="44"/>
        <v>0.00292 - (0.0093 * E2_7_7_27_mRNA)</v>
      </c>
      <c r="L222" s="31" t="str">
        <f t="shared" si="45"/>
        <v>(0.278 * E2_7_7_27_mRNA) - (0.00000278 * E2_7_7_27)</v>
      </c>
      <c r="M222" s="43" t="str">
        <f t="shared" si="46"/>
        <v>mRNA221: -&gt; E2_7_7_27_mRNA | 0.00292 - (0.0093 * E2_7_7_27_mRNA)</v>
      </c>
      <c r="N222" s="31" t="str">
        <f t="shared" si="47"/>
        <v>Peptide221:E2_7_7_27_mRNA -&gt; E2_7_7_27 | (0.278 * E2_7_7_27_mRNA) -  (0.00000278 * E2_7_7_27)</v>
      </c>
    </row>
    <row r="223" spans="1:14" ht="29" x14ac:dyDescent="0.35">
      <c r="A223" s="31">
        <v>222</v>
      </c>
      <c r="B223" s="31" t="s">
        <v>14151</v>
      </c>
      <c r="C223" s="31" t="str">
        <f t="shared" si="36"/>
        <v>E2_7_7_3_mRNA</v>
      </c>
      <c r="D223" s="31" t="str">
        <f t="shared" si="37"/>
        <v>E2_7_7_3</v>
      </c>
      <c r="E223" s="31" t="str">
        <f t="shared" si="38"/>
        <v>E2_7_7_3_Kcat : 13.7</v>
      </c>
      <c r="F223" s="31" t="str">
        <f t="shared" si="39"/>
        <v>E2_7_7_3_Km :1</v>
      </c>
      <c r="G223" s="31" t="str">
        <f t="shared" si="40"/>
        <v>E2_7_7_3_mRNA:E2_7_7_3_mRNA</v>
      </c>
      <c r="H223" s="31" t="str">
        <f t="shared" si="41"/>
        <v>E2_7_7_3:E2_7_7_3</v>
      </c>
      <c r="I223" s="31" t="str">
        <f t="shared" si="42"/>
        <v>E2_7_7_3_mRNA:0</v>
      </c>
      <c r="J223" s="31" t="str">
        <f t="shared" si="43"/>
        <v>E2_7_7_3:0</v>
      </c>
      <c r="K223" s="31" t="str">
        <f t="shared" si="44"/>
        <v>0.00292 - (0.0093 * E2_7_7_3_mRNA)</v>
      </c>
      <c r="L223" s="31" t="str">
        <f t="shared" si="45"/>
        <v>(0.278 * E2_7_7_3_mRNA) - (0.00000278 * E2_7_7_3)</v>
      </c>
      <c r="M223" s="43" t="str">
        <f t="shared" si="46"/>
        <v>mRNA222: -&gt; E2_7_7_3_mRNA | 0.00292 - (0.0093 * E2_7_7_3_mRNA)</v>
      </c>
      <c r="N223" s="31" t="str">
        <f t="shared" si="47"/>
        <v>Peptide222:E2_7_7_3_mRNA -&gt; E2_7_7_3 | (0.278 * E2_7_7_3_mRNA) -  (0.00000278 * E2_7_7_3)</v>
      </c>
    </row>
    <row r="224" spans="1:14" ht="29" x14ac:dyDescent="0.35">
      <c r="A224" s="31">
        <v>223</v>
      </c>
      <c r="B224" s="31" t="s">
        <v>14152</v>
      </c>
      <c r="C224" s="31" t="str">
        <f t="shared" si="36"/>
        <v>E2_7_7_4_mRNA</v>
      </c>
      <c r="D224" s="31" t="str">
        <f t="shared" si="37"/>
        <v>E2_7_7_4</v>
      </c>
      <c r="E224" s="31" t="str">
        <f t="shared" si="38"/>
        <v>E2_7_7_4_Kcat : 13.7</v>
      </c>
      <c r="F224" s="31" t="str">
        <f t="shared" si="39"/>
        <v>E2_7_7_4_Km :1</v>
      </c>
      <c r="G224" s="31" t="str">
        <f t="shared" si="40"/>
        <v>E2_7_7_4_mRNA:E2_7_7_4_mRNA</v>
      </c>
      <c r="H224" s="31" t="str">
        <f t="shared" si="41"/>
        <v>E2_7_7_4:E2_7_7_4</v>
      </c>
      <c r="I224" s="31" t="str">
        <f t="shared" si="42"/>
        <v>E2_7_7_4_mRNA:0</v>
      </c>
      <c r="J224" s="31" t="str">
        <f t="shared" si="43"/>
        <v>E2_7_7_4:0</v>
      </c>
      <c r="K224" s="31" t="str">
        <f t="shared" si="44"/>
        <v>0.00292 - (0.0093 * E2_7_7_4_mRNA)</v>
      </c>
      <c r="L224" s="31" t="str">
        <f t="shared" si="45"/>
        <v>(0.278 * E2_7_7_4_mRNA) - (0.00000278 * E2_7_7_4)</v>
      </c>
      <c r="M224" s="43" t="str">
        <f t="shared" si="46"/>
        <v>mRNA223: -&gt; E2_7_7_4_mRNA | 0.00292 - (0.0093 * E2_7_7_4_mRNA)</v>
      </c>
      <c r="N224" s="31" t="str">
        <f t="shared" si="47"/>
        <v>Peptide223:E2_7_7_4_mRNA -&gt; E2_7_7_4 | (0.278 * E2_7_7_4_mRNA) -  (0.00000278 * E2_7_7_4)</v>
      </c>
    </row>
    <row r="225" spans="1:14" ht="43.5" x14ac:dyDescent="0.35">
      <c r="A225" s="31">
        <v>224</v>
      </c>
      <c r="B225" s="31" t="s">
        <v>14153</v>
      </c>
      <c r="C225" s="31" t="str">
        <f t="shared" si="36"/>
        <v>E2_7_7_41_mRNA</v>
      </c>
      <c r="D225" s="31" t="str">
        <f t="shared" si="37"/>
        <v>E2_7_7_41</v>
      </c>
      <c r="E225" s="31" t="str">
        <f t="shared" si="38"/>
        <v>E2_7_7_41_Kcat : 13.7</v>
      </c>
      <c r="F225" s="31" t="str">
        <f t="shared" si="39"/>
        <v>E2_7_7_41_Km :1</v>
      </c>
      <c r="G225" s="31" t="str">
        <f t="shared" si="40"/>
        <v>E2_7_7_41_mRNA:E2_7_7_41_mRNA</v>
      </c>
      <c r="H225" s="31" t="str">
        <f t="shared" si="41"/>
        <v>E2_7_7_41:E2_7_7_41</v>
      </c>
      <c r="I225" s="31" t="str">
        <f t="shared" si="42"/>
        <v>E2_7_7_41_mRNA:0</v>
      </c>
      <c r="J225" s="31" t="str">
        <f t="shared" si="43"/>
        <v>E2_7_7_41:0</v>
      </c>
      <c r="K225" s="31" t="str">
        <f t="shared" si="44"/>
        <v>0.00292 - (0.0093 * E2_7_7_41_mRNA)</v>
      </c>
      <c r="L225" s="31" t="str">
        <f t="shared" si="45"/>
        <v>(0.278 * E2_7_7_41_mRNA) - (0.00000278 * E2_7_7_41)</v>
      </c>
      <c r="M225" s="43" t="str">
        <f t="shared" si="46"/>
        <v>mRNA224: -&gt; E2_7_7_41_mRNA | 0.00292 - (0.0093 * E2_7_7_41_mRNA)</v>
      </c>
      <c r="N225" s="31" t="str">
        <f t="shared" si="47"/>
        <v>Peptide224:E2_7_7_41_mRNA -&gt; E2_7_7_41 | (0.278 * E2_7_7_41_mRNA) -  (0.00000278 * E2_7_7_41)</v>
      </c>
    </row>
    <row r="226" spans="1:14" ht="43.5" x14ac:dyDescent="0.35">
      <c r="A226" s="31">
        <v>225</v>
      </c>
      <c r="B226" s="31" t="s">
        <v>14154</v>
      </c>
      <c r="C226" s="31" t="str">
        <f t="shared" si="36"/>
        <v>E2_7_7_42 _mRNA</v>
      </c>
      <c r="D226" s="31" t="str">
        <f t="shared" si="37"/>
        <v xml:space="preserve">E2_7_7_42 </v>
      </c>
      <c r="E226" s="31" t="str">
        <f t="shared" si="38"/>
        <v>E2_7_7_42 _Kcat : 13.7</v>
      </c>
      <c r="F226" s="31" t="str">
        <f t="shared" si="39"/>
        <v>E2_7_7_42 _Km :1</v>
      </c>
      <c r="G226" s="31" t="str">
        <f t="shared" si="40"/>
        <v>E2_7_7_42 _mRNA:E2_7_7_42 _mRNA</v>
      </c>
      <c r="H226" s="31" t="str">
        <f t="shared" si="41"/>
        <v xml:space="preserve">E2_7_7_42 :E2_7_7_42 </v>
      </c>
      <c r="I226" s="31" t="str">
        <f t="shared" si="42"/>
        <v>E2_7_7_42 _mRNA:0</v>
      </c>
      <c r="J226" s="31" t="str">
        <f t="shared" si="43"/>
        <v>E2_7_7_42 :0</v>
      </c>
      <c r="K226" s="31" t="str">
        <f t="shared" si="44"/>
        <v>0.00292 - (0.0093 * E2_7_7_42 _mRNA)</v>
      </c>
      <c r="L226" s="31" t="str">
        <f t="shared" si="45"/>
        <v>(0.278 * E2_7_7_42 _mRNA) - (0.00000278 * E2_7_7_42 )</v>
      </c>
      <c r="M226" s="43" t="str">
        <f t="shared" si="46"/>
        <v>mRNA225: -&gt; E2_7_7_42 _mRNA | 0.00292 - (0.0093 * E2_7_7_42 _mRNA)</v>
      </c>
      <c r="N226" s="31" t="str">
        <f t="shared" si="47"/>
        <v>Peptide225:E2_7_7_42 _mRNA -&gt; E2_7_7_42  | (0.278 * E2_7_7_42 _mRNA) -  (0.00000278 * E2_7_7_42 )</v>
      </c>
    </row>
    <row r="227" spans="1:14" ht="43.5" x14ac:dyDescent="0.35">
      <c r="A227" s="31">
        <v>226</v>
      </c>
      <c r="B227" s="31" t="s">
        <v>14155</v>
      </c>
      <c r="C227" s="31" t="str">
        <f t="shared" si="36"/>
        <v>E2_7_7_89_mRNA</v>
      </c>
      <c r="D227" s="31" t="str">
        <f t="shared" si="37"/>
        <v>E2_7_7_89</v>
      </c>
      <c r="E227" s="31" t="str">
        <f t="shared" si="38"/>
        <v>E2_7_7_89_Kcat : 13.7</v>
      </c>
      <c r="F227" s="31" t="str">
        <f t="shared" si="39"/>
        <v>E2_7_7_89_Km :1</v>
      </c>
      <c r="G227" s="31" t="str">
        <f t="shared" si="40"/>
        <v>E2_7_7_89_mRNA:E2_7_7_89_mRNA</v>
      </c>
      <c r="H227" s="31" t="str">
        <f t="shared" si="41"/>
        <v>E2_7_7_89:E2_7_7_89</v>
      </c>
      <c r="I227" s="31" t="str">
        <f t="shared" si="42"/>
        <v>E2_7_7_89_mRNA:0</v>
      </c>
      <c r="J227" s="31" t="str">
        <f t="shared" si="43"/>
        <v>E2_7_7_89:0</v>
      </c>
      <c r="K227" s="31" t="str">
        <f t="shared" si="44"/>
        <v>0.00292 - (0.0093 * E2_7_7_89_mRNA)</v>
      </c>
      <c r="L227" s="31" t="str">
        <f t="shared" si="45"/>
        <v>(0.278 * E2_7_7_89_mRNA) - (0.00000278 * E2_7_7_89)</v>
      </c>
      <c r="M227" s="43" t="str">
        <f t="shared" si="46"/>
        <v>mRNA226: -&gt; E2_7_7_89_mRNA | 0.00292 - (0.0093 * E2_7_7_89_mRNA)</v>
      </c>
      <c r="N227" s="31" t="str">
        <f t="shared" si="47"/>
        <v>Peptide226:E2_7_7_89_mRNA -&gt; E2_7_7_89 | (0.278 * E2_7_7_89_mRNA) -  (0.00000278 * E2_7_7_89)</v>
      </c>
    </row>
    <row r="228" spans="1:14" ht="43.5" x14ac:dyDescent="0.35">
      <c r="A228" s="31">
        <v>227</v>
      </c>
      <c r="B228" s="31" t="s">
        <v>14156</v>
      </c>
      <c r="C228" s="31" t="str">
        <f t="shared" si="36"/>
        <v>E2_7_7_56_mRNA</v>
      </c>
      <c r="D228" s="31" t="str">
        <f t="shared" si="37"/>
        <v>E2_7_7_56</v>
      </c>
      <c r="E228" s="31" t="str">
        <f t="shared" si="38"/>
        <v>E2_7_7_56_Kcat : 13.7</v>
      </c>
      <c r="F228" s="31" t="str">
        <f t="shared" si="39"/>
        <v>E2_7_7_56_Km :1</v>
      </c>
      <c r="G228" s="31" t="str">
        <f t="shared" si="40"/>
        <v>E2_7_7_56_mRNA:E2_7_7_56_mRNA</v>
      </c>
      <c r="H228" s="31" t="str">
        <f t="shared" si="41"/>
        <v>E2_7_7_56:E2_7_7_56</v>
      </c>
      <c r="I228" s="31" t="str">
        <f t="shared" si="42"/>
        <v>E2_7_7_56_mRNA:0</v>
      </c>
      <c r="J228" s="31" t="str">
        <f t="shared" si="43"/>
        <v>E2_7_7_56:0</v>
      </c>
      <c r="K228" s="31" t="str">
        <f t="shared" si="44"/>
        <v>0.00292 - (0.0093 * E2_7_7_56_mRNA)</v>
      </c>
      <c r="L228" s="31" t="str">
        <f t="shared" si="45"/>
        <v>(0.278 * E2_7_7_56_mRNA) - (0.00000278 * E2_7_7_56)</v>
      </c>
      <c r="M228" s="43" t="str">
        <f t="shared" si="46"/>
        <v>mRNA227: -&gt; E2_7_7_56_mRNA | 0.00292 - (0.0093 * E2_7_7_56_mRNA)</v>
      </c>
      <c r="N228" s="31" t="str">
        <f t="shared" si="47"/>
        <v>Peptide227:E2_7_7_56_mRNA -&gt; E2_7_7_56 | (0.278 * E2_7_7_56_mRNA) -  (0.00000278 * E2_7_7_56)</v>
      </c>
    </row>
    <row r="229" spans="1:14" ht="43.5" x14ac:dyDescent="0.35">
      <c r="A229" s="31">
        <v>228</v>
      </c>
      <c r="B229" s="31" t="s">
        <v>14157</v>
      </c>
      <c r="C229" s="31" t="str">
        <f t="shared" si="36"/>
        <v>E2_7_7_59_mRNA</v>
      </c>
      <c r="D229" s="31" t="str">
        <f t="shared" si="37"/>
        <v>E2_7_7_59</v>
      </c>
      <c r="E229" s="31" t="str">
        <f t="shared" si="38"/>
        <v>E2_7_7_59_Kcat : 13.7</v>
      </c>
      <c r="F229" s="31" t="str">
        <f t="shared" si="39"/>
        <v>E2_7_7_59_Km :1</v>
      </c>
      <c r="G229" s="31" t="str">
        <f t="shared" si="40"/>
        <v>E2_7_7_59_mRNA:E2_7_7_59_mRNA</v>
      </c>
      <c r="H229" s="31" t="str">
        <f t="shared" si="41"/>
        <v>E2_7_7_59:E2_7_7_59</v>
      </c>
      <c r="I229" s="31" t="str">
        <f t="shared" si="42"/>
        <v>E2_7_7_59_mRNA:0</v>
      </c>
      <c r="J229" s="31" t="str">
        <f t="shared" si="43"/>
        <v>E2_7_7_59:0</v>
      </c>
      <c r="K229" s="31" t="str">
        <f t="shared" si="44"/>
        <v>0.00292 - (0.0093 * E2_7_7_59_mRNA)</v>
      </c>
      <c r="L229" s="31" t="str">
        <f t="shared" si="45"/>
        <v>(0.278 * E2_7_7_59_mRNA) - (0.00000278 * E2_7_7_59)</v>
      </c>
      <c r="M229" s="43" t="str">
        <f t="shared" si="46"/>
        <v>mRNA228: -&gt; E2_7_7_59_mRNA | 0.00292 - (0.0093 * E2_7_7_59_mRNA)</v>
      </c>
      <c r="N229" s="31" t="str">
        <f t="shared" si="47"/>
        <v>Peptide228:E2_7_7_59_mRNA -&gt; E2_7_7_59 | (0.278 * E2_7_7_59_mRNA) -  (0.00000278 * E2_7_7_59)</v>
      </c>
    </row>
    <row r="230" spans="1:14" ht="29" x14ac:dyDescent="0.35">
      <c r="A230" s="31">
        <v>229</v>
      </c>
      <c r="B230" s="31" t="s">
        <v>14158</v>
      </c>
      <c r="C230" s="31" t="str">
        <f t="shared" si="36"/>
        <v>E2_7_7_6_mRNA</v>
      </c>
      <c r="D230" s="31" t="str">
        <f t="shared" si="37"/>
        <v>E2_7_7_6</v>
      </c>
      <c r="E230" s="31" t="str">
        <f t="shared" si="38"/>
        <v>E2_7_7_6_Kcat : 13.7</v>
      </c>
      <c r="F230" s="31" t="str">
        <f t="shared" si="39"/>
        <v>E2_7_7_6_Km :1</v>
      </c>
      <c r="G230" s="31" t="str">
        <f t="shared" si="40"/>
        <v>E2_7_7_6_mRNA:E2_7_7_6_mRNA</v>
      </c>
      <c r="H230" s="31" t="str">
        <f t="shared" si="41"/>
        <v>E2_7_7_6:E2_7_7_6</v>
      </c>
      <c r="I230" s="31" t="str">
        <f t="shared" si="42"/>
        <v>E2_7_7_6_mRNA:0</v>
      </c>
      <c r="J230" s="31" t="str">
        <f t="shared" si="43"/>
        <v>E2_7_7_6:0</v>
      </c>
      <c r="K230" s="31" t="str">
        <f t="shared" si="44"/>
        <v>0.00292 - (0.0093 * E2_7_7_6_mRNA)</v>
      </c>
      <c r="L230" s="31" t="str">
        <f t="shared" si="45"/>
        <v>(0.278 * E2_7_7_6_mRNA) - (0.00000278 * E2_7_7_6)</v>
      </c>
      <c r="M230" s="43" t="str">
        <f t="shared" si="46"/>
        <v>mRNA229: -&gt; E2_7_7_6_mRNA | 0.00292 - (0.0093 * E2_7_7_6_mRNA)</v>
      </c>
      <c r="N230" s="31" t="str">
        <f t="shared" si="47"/>
        <v>Peptide229:E2_7_7_6_mRNA -&gt; E2_7_7_6 | (0.278 * E2_7_7_6_mRNA) -  (0.00000278 * E2_7_7_6)</v>
      </c>
    </row>
    <row r="231" spans="1:14" ht="43.5" x14ac:dyDescent="0.35">
      <c r="A231" s="31">
        <v>230</v>
      </c>
      <c r="B231" s="31" t="s">
        <v>14159</v>
      </c>
      <c r="C231" s="31" t="str">
        <f t="shared" si="36"/>
        <v>E2_7_7_60_mRNA</v>
      </c>
      <c r="D231" s="31" t="str">
        <f t="shared" si="37"/>
        <v>E2_7_7_60</v>
      </c>
      <c r="E231" s="31" t="str">
        <f t="shared" si="38"/>
        <v>E2_7_7_60_Kcat : 13.7</v>
      </c>
      <c r="F231" s="31" t="str">
        <f t="shared" si="39"/>
        <v>E2_7_7_60_Km :1</v>
      </c>
      <c r="G231" s="31" t="str">
        <f t="shared" si="40"/>
        <v>E2_7_7_60_mRNA:E2_7_7_60_mRNA</v>
      </c>
      <c r="H231" s="31" t="str">
        <f t="shared" si="41"/>
        <v>E2_7_7_60:E2_7_7_60</v>
      </c>
      <c r="I231" s="31" t="str">
        <f t="shared" si="42"/>
        <v>E2_7_7_60_mRNA:0</v>
      </c>
      <c r="J231" s="31" t="str">
        <f t="shared" si="43"/>
        <v>E2_7_7_60:0</v>
      </c>
      <c r="K231" s="31" t="str">
        <f t="shared" si="44"/>
        <v>0.00292 - (0.0093 * E2_7_7_60_mRNA)</v>
      </c>
      <c r="L231" s="31" t="str">
        <f t="shared" si="45"/>
        <v>(0.278 * E2_7_7_60_mRNA) - (0.00000278 * E2_7_7_60)</v>
      </c>
      <c r="M231" s="43" t="str">
        <f t="shared" si="46"/>
        <v>mRNA230: -&gt; E2_7_7_60_mRNA | 0.00292 - (0.0093 * E2_7_7_60_mRNA)</v>
      </c>
      <c r="N231" s="31" t="str">
        <f t="shared" si="47"/>
        <v>Peptide230:E2_7_7_60_mRNA -&gt; E2_7_7_60 | (0.278 * E2_7_7_60_mRNA) -  (0.00000278 * E2_7_7_60)</v>
      </c>
    </row>
    <row r="232" spans="1:14" ht="29" x14ac:dyDescent="0.35">
      <c r="A232" s="31">
        <v>231</v>
      </c>
      <c r="B232" s="31" t="s">
        <v>14160</v>
      </c>
      <c r="C232" s="31" t="str">
        <f t="shared" si="36"/>
        <v>E2_7_7_7_mRNA</v>
      </c>
      <c r="D232" s="31" t="str">
        <f t="shared" si="37"/>
        <v>E2_7_7_7</v>
      </c>
      <c r="E232" s="31" t="str">
        <f t="shared" si="38"/>
        <v>E2_7_7_7_Kcat : 13.7</v>
      </c>
      <c r="F232" s="31" t="str">
        <f t="shared" si="39"/>
        <v>E2_7_7_7_Km :1</v>
      </c>
      <c r="G232" s="31" t="str">
        <f t="shared" si="40"/>
        <v>E2_7_7_7_mRNA:E2_7_7_7_mRNA</v>
      </c>
      <c r="H232" s="31" t="str">
        <f t="shared" si="41"/>
        <v>E2_7_7_7:E2_7_7_7</v>
      </c>
      <c r="I232" s="31" t="str">
        <f t="shared" si="42"/>
        <v>E2_7_7_7_mRNA:0</v>
      </c>
      <c r="J232" s="31" t="str">
        <f t="shared" si="43"/>
        <v>E2_7_7_7:0</v>
      </c>
      <c r="K232" s="31" t="str">
        <f t="shared" si="44"/>
        <v>0.00292 - (0.0093 * E2_7_7_7_mRNA)</v>
      </c>
      <c r="L232" s="31" t="str">
        <f t="shared" si="45"/>
        <v>(0.278 * E2_7_7_7_mRNA) - (0.00000278 * E2_7_7_7)</v>
      </c>
      <c r="M232" s="43" t="str">
        <f t="shared" si="46"/>
        <v>mRNA231: -&gt; E2_7_7_7_mRNA | 0.00292 - (0.0093 * E2_7_7_7_mRNA)</v>
      </c>
      <c r="N232" s="31" t="str">
        <f t="shared" si="47"/>
        <v>Peptide231:E2_7_7_7_mRNA -&gt; E2_7_7_7 | (0.278 * E2_7_7_7_mRNA) -  (0.00000278 * E2_7_7_7)</v>
      </c>
    </row>
    <row r="233" spans="1:14" ht="43.5" x14ac:dyDescent="0.35">
      <c r="A233" s="31">
        <v>232</v>
      </c>
      <c r="B233" s="31" t="s">
        <v>14161</v>
      </c>
      <c r="C233" s="31" t="str">
        <f t="shared" si="36"/>
        <v>E2_7_7_72_mRNA</v>
      </c>
      <c r="D233" s="31" t="str">
        <f t="shared" si="37"/>
        <v>E2_7_7_72</v>
      </c>
      <c r="E233" s="31" t="str">
        <f t="shared" si="38"/>
        <v>E2_7_7_72_Kcat : 13.7</v>
      </c>
      <c r="F233" s="31" t="str">
        <f t="shared" si="39"/>
        <v>E2_7_7_72_Km :1</v>
      </c>
      <c r="G233" s="31" t="str">
        <f t="shared" si="40"/>
        <v>E2_7_7_72_mRNA:E2_7_7_72_mRNA</v>
      </c>
      <c r="H233" s="31" t="str">
        <f t="shared" si="41"/>
        <v>E2_7_7_72:E2_7_7_72</v>
      </c>
      <c r="I233" s="31" t="str">
        <f t="shared" si="42"/>
        <v>E2_7_7_72_mRNA:0</v>
      </c>
      <c r="J233" s="31" t="str">
        <f t="shared" si="43"/>
        <v>E2_7_7_72:0</v>
      </c>
      <c r="K233" s="31" t="str">
        <f t="shared" si="44"/>
        <v>0.00292 - (0.0093 * E2_7_7_72_mRNA)</v>
      </c>
      <c r="L233" s="31" t="str">
        <f t="shared" si="45"/>
        <v>(0.278 * E2_7_7_72_mRNA) - (0.00000278 * E2_7_7_72)</v>
      </c>
      <c r="M233" s="43" t="str">
        <f t="shared" si="46"/>
        <v>mRNA232: -&gt; E2_7_7_72_mRNA | 0.00292 - (0.0093 * E2_7_7_72_mRNA)</v>
      </c>
      <c r="N233" s="31" t="str">
        <f t="shared" si="47"/>
        <v>Peptide232:E2_7_7_72_mRNA -&gt; E2_7_7_72 | (0.278 * E2_7_7_72_mRNA) -  (0.00000278 * E2_7_7_72)</v>
      </c>
    </row>
    <row r="234" spans="1:14" ht="43.5" x14ac:dyDescent="0.35">
      <c r="A234" s="31">
        <v>233</v>
      </c>
      <c r="B234" s="31" t="s">
        <v>14162</v>
      </c>
      <c r="C234" s="31" t="str">
        <f t="shared" si="36"/>
        <v>E2_7_7_77_mRNA</v>
      </c>
      <c r="D234" s="31" t="str">
        <f t="shared" si="37"/>
        <v>E2_7_7_77</v>
      </c>
      <c r="E234" s="31" t="str">
        <f t="shared" si="38"/>
        <v>E2_7_7_77_Kcat : 13.7</v>
      </c>
      <c r="F234" s="31" t="str">
        <f t="shared" si="39"/>
        <v>E2_7_7_77_Km :1</v>
      </c>
      <c r="G234" s="31" t="str">
        <f t="shared" si="40"/>
        <v>E2_7_7_77_mRNA:E2_7_7_77_mRNA</v>
      </c>
      <c r="H234" s="31" t="str">
        <f t="shared" si="41"/>
        <v>E2_7_7_77:E2_7_7_77</v>
      </c>
      <c r="I234" s="31" t="str">
        <f t="shared" si="42"/>
        <v>E2_7_7_77_mRNA:0</v>
      </c>
      <c r="J234" s="31" t="str">
        <f t="shared" si="43"/>
        <v>E2_7_7_77:0</v>
      </c>
      <c r="K234" s="31" t="str">
        <f t="shared" si="44"/>
        <v>0.00292 - (0.0093 * E2_7_7_77_mRNA)</v>
      </c>
      <c r="L234" s="31" t="str">
        <f t="shared" si="45"/>
        <v>(0.278 * E2_7_7_77_mRNA) - (0.00000278 * E2_7_7_77)</v>
      </c>
      <c r="M234" s="43" t="str">
        <f t="shared" si="46"/>
        <v>mRNA233: -&gt; E2_7_7_77_mRNA | 0.00292 - (0.0093 * E2_7_7_77_mRNA)</v>
      </c>
      <c r="N234" s="31" t="str">
        <f t="shared" si="47"/>
        <v>Peptide233:E2_7_7_77_mRNA -&gt; E2_7_7_77 | (0.278 * E2_7_7_77_mRNA) -  (0.00000278 * E2_7_7_77)</v>
      </c>
    </row>
    <row r="235" spans="1:14" ht="29" x14ac:dyDescent="0.35">
      <c r="A235" s="31">
        <v>234</v>
      </c>
      <c r="B235" s="31" t="s">
        <v>14163</v>
      </c>
      <c r="C235" s="31" t="str">
        <f t="shared" si="36"/>
        <v>E2_7_7_8_mRNA</v>
      </c>
      <c r="D235" s="31" t="str">
        <f t="shared" si="37"/>
        <v>E2_7_7_8</v>
      </c>
      <c r="E235" s="31" t="str">
        <f t="shared" si="38"/>
        <v>E2_7_7_8_Kcat : 13.7</v>
      </c>
      <c r="F235" s="31" t="str">
        <f t="shared" si="39"/>
        <v>E2_7_7_8_Km :1</v>
      </c>
      <c r="G235" s="31" t="str">
        <f t="shared" si="40"/>
        <v>E2_7_7_8_mRNA:E2_7_7_8_mRNA</v>
      </c>
      <c r="H235" s="31" t="str">
        <f t="shared" si="41"/>
        <v>E2_7_7_8:E2_7_7_8</v>
      </c>
      <c r="I235" s="31" t="str">
        <f t="shared" si="42"/>
        <v>E2_7_7_8_mRNA:0</v>
      </c>
      <c r="J235" s="31" t="str">
        <f t="shared" si="43"/>
        <v>E2_7_7_8:0</v>
      </c>
      <c r="K235" s="31" t="str">
        <f t="shared" si="44"/>
        <v>0.00292 - (0.0093 * E2_7_7_8_mRNA)</v>
      </c>
      <c r="L235" s="31" t="str">
        <f t="shared" si="45"/>
        <v>(0.278 * E2_7_7_8_mRNA) - (0.00000278 * E2_7_7_8)</v>
      </c>
      <c r="M235" s="43" t="str">
        <f t="shared" si="46"/>
        <v>mRNA234: -&gt; E2_7_7_8_mRNA | 0.00292 - (0.0093 * E2_7_7_8_mRNA)</v>
      </c>
      <c r="N235" s="31" t="str">
        <f t="shared" si="47"/>
        <v>Peptide234:E2_7_7_8_mRNA -&gt; E2_7_7_8 | (0.278 * E2_7_7_8_mRNA) -  (0.00000278 * E2_7_7_8)</v>
      </c>
    </row>
    <row r="236" spans="1:14" ht="43.5" x14ac:dyDescent="0.35">
      <c r="A236" s="31">
        <v>235</v>
      </c>
      <c r="B236" s="31" t="s">
        <v>14164</v>
      </c>
      <c r="C236" s="31" t="str">
        <f t="shared" si="36"/>
        <v>E2_7_7_85_mRNA</v>
      </c>
      <c r="D236" s="31" t="str">
        <f t="shared" si="37"/>
        <v>E2_7_7_85</v>
      </c>
      <c r="E236" s="31" t="str">
        <f t="shared" si="38"/>
        <v>E2_7_7_85_Kcat : 13.7</v>
      </c>
      <c r="F236" s="31" t="str">
        <f t="shared" si="39"/>
        <v>E2_7_7_85_Km :1</v>
      </c>
      <c r="G236" s="31" t="str">
        <f t="shared" si="40"/>
        <v>E2_7_7_85_mRNA:E2_7_7_85_mRNA</v>
      </c>
      <c r="H236" s="31" t="str">
        <f t="shared" si="41"/>
        <v>E2_7_7_85:E2_7_7_85</v>
      </c>
      <c r="I236" s="31" t="str">
        <f t="shared" si="42"/>
        <v>E2_7_7_85_mRNA:0</v>
      </c>
      <c r="J236" s="31" t="str">
        <f t="shared" si="43"/>
        <v>E2_7_7_85:0</v>
      </c>
      <c r="K236" s="31" t="str">
        <f t="shared" si="44"/>
        <v>0.00292 - (0.0093 * E2_7_7_85_mRNA)</v>
      </c>
      <c r="L236" s="31" t="str">
        <f t="shared" si="45"/>
        <v>(0.278 * E2_7_7_85_mRNA) - (0.00000278 * E2_7_7_85)</v>
      </c>
      <c r="M236" s="43" t="str">
        <f t="shared" si="46"/>
        <v>mRNA235: -&gt; E2_7_7_85_mRNA | 0.00292 - (0.0093 * E2_7_7_85_mRNA)</v>
      </c>
      <c r="N236" s="31" t="str">
        <f t="shared" si="47"/>
        <v>Peptide235:E2_7_7_85_mRNA -&gt; E2_7_7_85 | (0.278 * E2_7_7_85_mRNA) -  (0.00000278 * E2_7_7_85)</v>
      </c>
    </row>
    <row r="237" spans="1:14" ht="43.5" x14ac:dyDescent="0.35">
      <c r="A237" s="31">
        <v>236</v>
      </c>
      <c r="B237" s="31" t="s">
        <v>14165</v>
      </c>
      <c r="C237" s="31" t="str">
        <f t="shared" si="36"/>
        <v>E2_7_7_87_mRNA</v>
      </c>
      <c r="D237" s="31" t="str">
        <f t="shared" si="37"/>
        <v>E2_7_7_87</v>
      </c>
      <c r="E237" s="31" t="str">
        <f t="shared" si="38"/>
        <v>E2_7_7_87_Kcat : 13.7</v>
      </c>
      <c r="F237" s="31" t="str">
        <f t="shared" si="39"/>
        <v>E2_7_7_87_Km :1</v>
      </c>
      <c r="G237" s="31" t="str">
        <f t="shared" si="40"/>
        <v>E2_7_7_87_mRNA:E2_7_7_87_mRNA</v>
      </c>
      <c r="H237" s="31" t="str">
        <f t="shared" si="41"/>
        <v>E2_7_7_87:E2_7_7_87</v>
      </c>
      <c r="I237" s="31" t="str">
        <f t="shared" si="42"/>
        <v>E2_7_7_87_mRNA:0</v>
      </c>
      <c r="J237" s="31" t="str">
        <f t="shared" si="43"/>
        <v>E2_7_7_87:0</v>
      </c>
      <c r="K237" s="31" t="str">
        <f t="shared" si="44"/>
        <v>0.00292 - (0.0093 * E2_7_7_87_mRNA)</v>
      </c>
      <c r="L237" s="31" t="str">
        <f t="shared" si="45"/>
        <v>(0.278 * E2_7_7_87_mRNA) - (0.00000278 * E2_7_7_87)</v>
      </c>
      <c r="M237" s="43" t="str">
        <f t="shared" si="46"/>
        <v>mRNA236: -&gt; E2_7_7_87_mRNA | 0.00292 - (0.0093 * E2_7_7_87_mRNA)</v>
      </c>
      <c r="N237" s="31" t="str">
        <f t="shared" si="47"/>
        <v>Peptide236:E2_7_7_87_mRNA -&gt; E2_7_7_87 | (0.278 * E2_7_7_87_mRNA) -  (0.00000278 * E2_7_7_87)</v>
      </c>
    </row>
    <row r="238" spans="1:14" ht="29" x14ac:dyDescent="0.35">
      <c r="A238" s="31">
        <v>237</v>
      </c>
      <c r="B238" s="31" t="s">
        <v>14166</v>
      </c>
      <c r="C238" s="31" t="str">
        <f t="shared" si="36"/>
        <v>E2_7_7_9_mRNA</v>
      </c>
      <c r="D238" s="31" t="str">
        <f t="shared" si="37"/>
        <v>E2_7_7_9</v>
      </c>
      <c r="E238" s="31" t="str">
        <f t="shared" si="38"/>
        <v>E2_7_7_9_Kcat : 13.7</v>
      </c>
      <c r="F238" s="31" t="str">
        <f t="shared" si="39"/>
        <v>E2_7_7_9_Km :1</v>
      </c>
      <c r="G238" s="31" t="str">
        <f t="shared" si="40"/>
        <v>E2_7_7_9_mRNA:E2_7_7_9_mRNA</v>
      </c>
      <c r="H238" s="31" t="str">
        <f t="shared" si="41"/>
        <v>E2_7_7_9:E2_7_7_9</v>
      </c>
      <c r="I238" s="31" t="str">
        <f t="shared" si="42"/>
        <v>E2_7_7_9_mRNA:0</v>
      </c>
      <c r="J238" s="31" t="str">
        <f t="shared" si="43"/>
        <v>E2_7_7_9:0</v>
      </c>
      <c r="K238" s="31" t="str">
        <f t="shared" si="44"/>
        <v>0.00292 - (0.0093 * E2_7_7_9_mRNA)</v>
      </c>
      <c r="L238" s="31" t="str">
        <f t="shared" si="45"/>
        <v>(0.278 * E2_7_7_9_mRNA) - (0.00000278 * E2_7_7_9)</v>
      </c>
      <c r="M238" s="43" t="str">
        <f t="shared" si="46"/>
        <v>mRNA237: -&gt; E2_7_7_9_mRNA | 0.00292 - (0.0093 * E2_7_7_9_mRNA)</v>
      </c>
      <c r="N238" s="31" t="str">
        <f t="shared" si="47"/>
        <v>Peptide237:E2_7_7_9_mRNA -&gt; E2_7_7_9 | (0.278 * E2_7_7_9_mRNA) -  (0.00000278 * E2_7_7_9)</v>
      </c>
    </row>
    <row r="239" spans="1:14" ht="43.5" x14ac:dyDescent="0.35">
      <c r="A239" s="31">
        <v>238</v>
      </c>
      <c r="B239" s="31" t="s">
        <v>14167</v>
      </c>
      <c r="C239" s="31" t="str">
        <f t="shared" si="36"/>
        <v>E2_7_8_13_mRNA</v>
      </c>
      <c r="D239" s="31" t="str">
        <f t="shared" si="37"/>
        <v>E2_7_8_13</v>
      </c>
      <c r="E239" s="31" t="str">
        <f t="shared" si="38"/>
        <v>E2_7_8_13_Kcat : 13.7</v>
      </c>
      <c r="F239" s="31" t="str">
        <f t="shared" si="39"/>
        <v>E2_7_8_13_Km :1</v>
      </c>
      <c r="G239" s="31" t="str">
        <f t="shared" si="40"/>
        <v>E2_7_8_13_mRNA:E2_7_8_13_mRNA</v>
      </c>
      <c r="H239" s="31" t="str">
        <f t="shared" si="41"/>
        <v>E2_7_8_13:E2_7_8_13</v>
      </c>
      <c r="I239" s="31" t="str">
        <f t="shared" si="42"/>
        <v>E2_7_8_13_mRNA:0</v>
      </c>
      <c r="J239" s="31" t="str">
        <f t="shared" si="43"/>
        <v>E2_7_8_13:0</v>
      </c>
      <c r="K239" s="31" t="str">
        <f t="shared" si="44"/>
        <v>0.00292 - (0.0093 * E2_7_8_13_mRNA)</v>
      </c>
      <c r="L239" s="31" t="str">
        <f t="shared" si="45"/>
        <v>(0.278 * E2_7_8_13_mRNA) - (0.00000278 * E2_7_8_13)</v>
      </c>
      <c r="M239" s="43" t="str">
        <f t="shared" si="46"/>
        <v>mRNA238: -&gt; E2_7_8_13_mRNA | 0.00292 - (0.0093 * E2_7_8_13_mRNA)</v>
      </c>
      <c r="N239" s="31" t="str">
        <f t="shared" si="47"/>
        <v>Peptide238:E2_7_8_13_mRNA -&gt; E2_7_8_13 | (0.278 * E2_7_8_13_mRNA) -  (0.00000278 * E2_7_8_13)</v>
      </c>
    </row>
    <row r="240" spans="1:14" ht="43.5" x14ac:dyDescent="0.35">
      <c r="A240" s="31">
        <v>239</v>
      </c>
      <c r="B240" s="31" t="s">
        <v>14168</v>
      </c>
      <c r="C240" s="31" t="str">
        <f t="shared" si="36"/>
        <v>E2_7_8_26_mRNA</v>
      </c>
      <c r="D240" s="31" t="str">
        <f t="shared" si="37"/>
        <v>E2_7_8_26</v>
      </c>
      <c r="E240" s="31" t="str">
        <f t="shared" si="38"/>
        <v>E2_7_8_26_Kcat : 13.7</v>
      </c>
      <c r="F240" s="31" t="str">
        <f t="shared" si="39"/>
        <v>E2_7_8_26_Km :1</v>
      </c>
      <c r="G240" s="31" t="str">
        <f t="shared" si="40"/>
        <v>E2_7_8_26_mRNA:E2_7_8_26_mRNA</v>
      </c>
      <c r="H240" s="31" t="str">
        <f t="shared" si="41"/>
        <v>E2_7_8_26:E2_7_8_26</v>
      </c>
      <c r="I240" s="31" t="str">
        <f t="shared" si="42"/>
        <v>E2_7_8_26_mRNA:0</v>
      </c>
      <c r="J240" s="31" t="str">
        <f t="shared" si="43"/>
        <v>E2_7_8_26:0</v>
      </c>
      <c r="K240" s="31" t="str">
        <f t="shared" si="44"/>
        <v>0.00292 - (0.0093 * E2_7_8_26_mRNA)</v>
      </c>
      <c r="L240" s="31" t="str">
        <f t="shared" si="45"/>
        <v>(0.278 * E2_7_8_26_mRNA) - (0.00000278 * E2_7_8_26)</v>
      </c>
      <c r="M240" s="43" t="str">
        <f t="shared" si="46"/>
        <v>mRNA239: -&gt; E2_7_8_26_mRNA | 0.00292 - (0.0093 * E2_7_8_26_mRNA)</v>
      </c>
      <c r="N240" s="31" t="str">
        <f t="shared" si="47"/>
        <v>Peptide239:E2_7_8_26_mRNA -&gt; E2_7_8_26 | (0.278 * E2_7_8_26_mRNA) -  (0.00000278 * E2_7_8_26)</v>
      </c>
    </row>
    <row r="241" spans="1:14" ht="29" x14ac:dyDescent="0.35">
      <c r="A241" s="31">
        <v>240</v>
      </c>
      <c r="B241" s="31" t="s">
        <v>14169</v>
      </c>
      <c r="C241" s="31" t="str">
        <f t="shared" si="36"/>
        <v>E2_7_8_5_mRNA</v>
      </c>
      <c r="D241" s="31" t="str">
        <f t="shared" si="37"/>
        <v>E2_7_8_5</v>
      </c>
      <c r="E241" s="31" t="str">
        <f t="shared" si="38"/>
        <v>E2_7_8_5_Kcat : 13.7</v>
      </c>
      <c r="F241" s="31" t="str">
        <f t="shared" si="39"/>
        <v>E2_7_8_5_Km :1</v>
      </c>
      <c r="G241" s="31" t="str">
        <f t="shared" si="40"/>
        <v>E2_7_8_5_mRNA:E2_7_8_5_mRNA</v>
      </c>
      <c r="H241" s="31" t="str">
        <f t="shared" si="41"/>
        <v>E2_7_8_5:E2_7_8_5</v>
      </c>
      <c r="I241" s="31" t="str">
        <f t="shared" si="42"/>
        <v>E2_7_8_5_mRNA:0</v>
      </c>
      <c r="J241" s="31" t="str">
        <f t="shared" si="43"/>
        <v>E2_7_8_5:0</v>
      </c>
      <c r="K241" s="31" t="str">
        <f t="shared" si="44"/>
        <v>0.00292 - (0.0093 * E2_7_8_5_mRNA)</v>
      </c>
      <c r="L241" s="31" t="str">
        <f t="shared" si="45"/>
        <v>(0.278 * E2_7_8_5_mRNA) - (0.00000278 * E2_7_8_5)</v>
      </c>
      <c r="M241" s="43" t="str">
        <f t="shared" si="46"/>
        <v>mRNA240: -&gt; E2_7_8_5_mRNA | 0.00292 - (0.0093 * E2_7_8_5_mRNA)</v>
      </c>
      <c r="N241" s="31" t="str">
        <f t="shared" si="47"/>
        <v>Peptide240:E2_7_8_5_mRNA -&gt; E2_7_8_5 | (0.278 * E2_7_8_5_mRNA) -  (0.00000278 * E2_7_8_5)</v>
      </c>
    </row>
    <row r="242" spans="1:14" ht="29" x14ac:dyDescent="0.35">
      <c r="A242" s="31">
        <v>241</v>
      </c>
      <c r="B242" s="31" t="s">
        <v>14170</v>
      </c>
      <c r="C242" s="31" t="str">
        <f t="shared" si="36"/>
        <v>E2_7_8_7_mRNA</v>
      </c>
      <c r="D242" s="31" t="str">
        <f t="shared" si="37"/>
        <v>E2_7_8_7</v>
      </c>
      <c r="E242" s="31" t="str">
        <f t="shared" si="38"/>
        <v>E2_7_8_7_Kcat : 13.7</v>
      </c>
      <c r="F242" s="31" t="str">
        <f t="shared" si="39"/>
        <v>E2_7_8_7_Km :1</v>
      </c>
      <c r="G242" s="31" t="str">
        <f t="shared" si="40"/>
        <v>E2_7_8_7_mRNA:E2_7_8_7_mRNA</v>
      </c>
      <c r="H242" s="31" t="str">
        <f t="shared" si="41"/>
        <v>E2_7_8_7:E2_7_8_7</v>
      </c>
      <c r="I242" s="31" t="str">
        <f t="shared" si="42"/>
        <v>E2_7_8_7_mRNA:0</v>
      </c>
      <c r="J242" s="31" t="str">
        <f t="shared" si="43"/>
        <v>E2_7_8_7:0</v>
      </c>
      <c r="K242" s="31" t="str">
        <f t="shared" si="44"/>
        <v>0.00292 - (0.0093 * E2_7_8_7_mRNA)</v>
      </c>
      <c r="L242" s="31" t="str">
        <f t="shared" si="45"/>
        <v>(0.278 * E2_7_8_7_mRNA) - (0.00000278 * E2_7_8_7)</v>
      </c>
      <c r="M242" s="43" t="str">
        <f t="shared" si="46"/>
        <v>mRNA241: -&gt; E2_7_8_7_mRNA | 0.00292 - (0.0093 * E2_7_8_7_mRNA)</v>
      </c>
      <c r="N242" s="31" t="str">
        <f t="shared" si="47"/>
        <v>Peptide241:E2_7_8_7_mRNA -&gt; E2_7_8_7 | (0.278 * E2_7_8_7_mRNA) -  (0.00000278 * E2_7_8_7)</v>
      </c>
    </row>
    <row r="243" spans="1:14" ht="43.5" x14ac:dyDescent="0.35">
      <c r="A243" s="31">
        <v>242</v>
      </c>
      <c r="B243" s="31" t="s">
        <v>14171</v>
      </c>
      <c r="C243" s="31" t="str">
        <f t="shared" si="36"/>
        <v>E2_8_1_10_mRNA</v>
      </c>
      <c r="D243" s="31" t="str">
        <f t="shared" si="37"/>
        <v>E2_8_1_10</v>
      </c>
      <c r="E243" s="31" t="str">
        <f t="shared" si="38"/>
        <v>E2_8_1_10_Kcat : 13.7</v>
      </c>
      <c r="F243" s="31" t="str">
        <f t="shared" si="39"/>
        <v>E2_8_1_10_Km :1</v>
      </c>
      <c r="G243" s="31" t="str">
        <f t="shared" si="40"/>
        <v>E2_8_1_10_mRNA:E2_8_1_10_mRNA</v>
      </c>
      <c r="H243" s="31" t="str">
        <f t="shared" si="41"/>
        <v>E2_8_1_10:E2_8_1_10</v>
      </c>
      <c r="I243" s="31" t="str">
        <f t="shared" si="42"/>
        <v>E2_8_1_10_mRNA:0</v>
      </c>
      <c r="J243" s="31" t="str">
        <f t="shared" si="43"/>
        <v>E2_8_1_10:0</v>
      </c>
      <c r="K243" s="31" t="str">
        <f t="shared" si="44"/>
        <v>0.00292 - (0.0093 * E2_8_1_10_mRNA)</v>
      </c>
      <c r="L243" s="31" t="str">
        <f t="shared" si="45"/>
        <v>(0.278 * E2_8_1_10_mRNA) - (0.00000278 * E2_8_1_10)</v>
      </c>
      <c r="M243" s="43" t="str">
        <f t="shared" si="46"/>
        <v>mRNA242: -&gt; E2_8_1_10_mRNA | 0.00292 - (0.0093 * E2_8_1_10_mRNA)</v>
      </c>
      <c r="N243" s="31" t="str">
        <f t="shared" si="47"/>
        <v>Peptide242:E2_8_1_10_mRNA -&gt; E2_8_1_10 | (0.278 * E2_8_1_10_mRNA) -  (0.00000278 * E2_8_1_10)</v>
      </c>
    </row>
    <row r="244" spans="1:14" ht="43.5" x14ac:dyDescent="0.35">
      <c r="A244" s="31">
        <v>243</v>
      </c>
      <c r="B244" s="31" t="s">
        <v>14172</v>
      </c>
      <c r="C244" s="31" t="str">
        <f t="shared" si="36"/>
        <v>E2_8_1_12_mRNA</v>
      </c>
      <c r="D244" s="31" t="str">
        <f t="shared" si="37"/>
        <v>E2_8_1_12</v>
      </c>
      <c r="E244" s="31" t="str">
        <f t="shared" si="38"/>
        <v>E2_8_1_12_Kcat : 13.7</v>
      </c>
      <c r="F244" s="31" t="str">
        <f t="shared" si="39"/>
        <v>E2_8_1_12_Km :1</v>
      </c>
      <c r="G244" s="31" t="str">
        <f t="shared" si="40"/>
        <v>E2_8_1_12_mRNA:E2_8_1_12_mRNA</v>
      </c>
      <c r="H244" s="31" t="str">
        <f t="shared" si="41"/>
        <v>E2_8_1_12:E2_8_1_12</v>
      </c>
      <c r="I244" s="31" t="str">
        <f t="shared" si="42"/>
        <v>E2_8_1_12_mRNA:0</v>
      </c>
      <c r="J244" s="31" t="str">
        <f t="shared" si="43"/>
        <v>E2_8_1_12:0</v>
      </c>
      <c r="K244" s="31" t="str">
        <f t="shared" si="44"/>
        <v>0.00292 - (0.0093 * E2_8_1_12_mRNA)</v>
      </c>
      <c r="L244" s="31" t="str">
        <f t="shared" si="45"/>
        <v>(0.278 * E2_8_1_12_mRNA) - (0.00000278 * E2_8_1_12)</v>
      </c>
      <c r="M244" s="43" t="str">
        <f t="shared" si="46"/>
        <v>mRNA243: -&gt; E2_8_1_12_mRNA | 0.00292 - (0.0093 * E2_8_1_12_mRNA)</v>
      </c>
      <c r="N244" s="31" t="str">
        <f t="shared" si="47"/>
        <v>Peptide243:E2_8_1_12_mRNA -&gt; E2_8_1_12 | (0.278 * E2_8_1_12_mRNA) -  (0.00000278 * E2_8_1_12)</v>
      </c>
    </row>
    <row r="245" spans="1:14" ht="43.5" x14ac:dyDescent="0.35">
      <c r="A245" s="31">
        <v>244</v>
      </c>
      <c r="B245" s="31" t="s">
        <v>14173</v>
      </c>
      <c r="C245" s="31" t="str">
        <f t="shared" si="36"/>
        <v>E2_8_1_13_mRNA</v>
      </c>
      <c r="D245" s="31" t="str">
        <f t="shared" si="37"/>
        <v>E2_8_1_13</v>
      </c>
      <c r="E245" s="31" t="str">
        <f t="shared" si="38"/>
        <v>E2_8_1_13_Kcat : 13.7</v>
      </c>
      <c r="F245" s="31" t="str">
        <f t="shared" si="39"/>
        <v>E2_8_1_13_Km :1</v>
      </c>
      <c r="G245" s="31" t="str">
        <f t="shared" si="40"/>
        <v>E2_8_1_13_mRNA:E2_8_1_13_mRNA</v>
      </c>
      <c r="H245" s="31" t="str">
        <f t="shared" si="41"/>
        <v>E2_8_1_13:E2_8_1_13</v>
      </c>
      <c r="I245" s="31" t="str">
        <f t="shared" si="42"/>
        <v>E2_8_1_13_mRNA:0</v>
      </c>
      <c r="J245" s="31" t="str">
        <f t="shared" si="43"/>
        <v>E2_8_1_13:0</v>
      </c>
      <c r="K245" s="31" t="str">
        <f t="shared" si="44"/>
        <v>0.00292 - (0.0093 * E2_8_1_13_mRNA)</v>
      </c>
      <c r="L245" s="31" t="str">
        <f t="shared" si="45"/>
        <v>(0.278 * E2_8_1_13_mRNA) - (0.00000278 * E2_8_1_13)</v>
      </c>
      <c r="M245" s="43" t="str">
        <f t="shared" si="46"/>
        <v>mRNA244: -&gt; E2_8_1_13_mRNA | 0.00292 - (0.0093 * E2_8_1_13_mRNA)</v>
      </c>
      <c r="N245" s="31" t="str">
        <f t="shared" si="47"/>
        <v>Peptide244:E2_8_1_13_mRNA -&gt; E2_8_1_13 | (0.278 * E2_8_1_13_mRNA) -  (0.00000278 * E2_8_1_13)</v>
      </c>
    </row>
    <row r="246" spans="1:14" ht="29" x14ac:dyDescent="0.35">
      <c r="A246" s="31">
        <v>245</v>
      </c>
      <c r="B246" s="31" t="s">
        <v>14174</v>
      </c>
      <c r="C246" s="31" t="str">
        <f t="shared" si="36"/>
        <v>E2_8_1_6_mRNA</v>
      </c>
      <c r="D246" s="31" t="str">
        <f t="shared" si="37"/>
        <v>E2_8_1_6</v>
      </c>
      <c r="E246" s="31" t="str">
        <f t="shared" si="38"/>
        <v>E2_8_1_6_Kcat : 13.7</v>
      </c>
      <c r="F246" s="31" t="str">
        <f t="shared" si="39"/>
        <v>E2_8_1_6_Km :1</v>
      </c>
      <c r="G246" s="31" t="str">
        <f t="shared" si="40"/>
        <v>E2_8_1_6_mRNA:E2_8_1_6_mRNA</v>
      </c>
      <c r="H246" s="31" t="str">
        <f t="shared" si="41"/>
        <v>E2_8_1_6:E2_8_1_6</v>
      </c>
      <c r="I246" s="31" t="str">
        <f t="shared" si="42"/>
        <v>E2_8_1_6_mRNA:0</v>
      </c>
      <c r="J246" s="31" t="str">
        <f t="shared" si="43"/>
        <v>E2_8_1_6:0</v>
      </c>
      <c r="K246" s="31" t="str">
        <f t="shared" si="44"/>
        <v>0.00292 - (0.0093 * E2_8_1_6_mRNA)</v>
      </c>
      <c r="L246" s="31" t="str">
        <f t="shared" si="45"/>
        <v>(0.278 * E2_8_1_6_mRNA) - (0.00000278 * E2_8_1_6)</v>
      </c>
      <c r="M246" s="43" t="str">
        <f t="shared" si="46"/>
        <v>mRNA245: -&gt; E2_8_1_6_mRNA | 0.00292 - (0.0093 * E2_8_1_6_mRNA)</v>
      </c>
      <c r="N246" s="31" t="str">
        <f t="shared" si="47"/>
        <v>Peptide245:E2_8_1_6_mRNA -&gt; E2_8_1_6 | (0.278 * E2_8_1_6_mRNA) -  (0.00000278 * E2_8_1_6)</v>
      </c>
    </row>
    <row r="247" spans="1:14" ht="29" x14ac:dyDescent="0.35">
      <c r="A247" s="31">
        <v>246</v>
      </c>
      <c r="B247" s="31" t="s">
        <v>14175</v>
      </c>
      <c r="C247" s="31" t="str">
        <f t="shared" si="36"/>
        <v>E2_8_1_7_mRNA</v>
      </c>
      <c r="D247" s="31" t="str">
        <f t="shared" si="37"/>
        <v>E2_8_1_7</v>
      </c>
      <c r="E247" s="31" t="str">
        <f t="shared" si="38"/>
        <v>E2_8_1_7_Kcat : 13.7</v>
      </c>
      <c r="F247" s="31" t="str">
        <f t="shared" si="39"/>
        <v>E2_8_1_7_Km :1</v>
      </c>
      <c r="G247" s="31" t="str">
        <f t="shared" si="40"/>
        <v>E2_8_1_7_mRNA:E2_8_1_7_mRNA</v>
      </c>
      <c r="H247" s="31" t="str">
        <f t="shared" si="41"/>
        <v>E2_8_1_7:E2_8_1_7</v>
      </c>
      <c r="I247" s="31" t="str">
        <f t="shared" si="42"/>
        <v>E2_8_1_7_mRNA:0</v>
      </c>
      <c r="J247" s="31" t="str">
        <f t="shared" si="43"/>
        <v>E2_8_1_7:0</v>
      </c>
      <c r="K247" s="31" t="str">
        <f t="shared" si="44"/>
        <v>0.00292 - (0.0093 * E2_8_1_7_mRNA)</v>
      </c>
      <c r="L247" s="31" t="str">
        <f t="shared" si="45"/>
        <v>(0.278 * E2_8_1_7_mRNA) - (0.00000278 * E2_8_1_7)</v>
      </c>
      <c r="M247" s="43" t="str">
        <f t="shared" si="46"/>
        <v>mRNA246: -&gt; E2_8_1_7_mRNA | 0.00292 - (0.0093 * E2_8_1_7_mRNA)</v>
      </c>
      <c r="N247" s="31" t="str">
        <f t="shared" si="47"/>
        <v>Peptide246:E2_8_1_7_mRNA -&gt; E2_8_1_7 | (0.278 * E2_8_1_7_mRNA) -  (0.00000278 * E2_8_1_7)</v>
      </c>
    </row>
    <row r="248" spans="1:14" ht="29" x14ac:dyDescent="0.35">
      <c r="A248" s="31">
        <v>247</v>
      </c>
      <c r="B248" s="31" t="s">
        <v>14176</v>
      </c>
      <c r="C248" s="31" t="str">
        <f t="shared" si="36"/>
        <v>E2_8_1_8_mRNA</v>
      </c>
      <c r="D248" s="31" t="str">
        <f t="shared" si="37"/>
        <v>E2_8_1_8</v>
      </c>
      <c r="E248" s="31" t="str">
        <f t="shared" si="38"/>
        <v>E2_8_1_8_Kcat : 13.7</v>
      </c>
      <c r="F248" s="31" t="str">
        <f t="shared" si="39"/>
        <v>E2_8_1_8_Km :1</v>
      </c>
      <c r="G248" s="31" t="str">
        <f t="shared" si="40"/>
        <v>E2_8_1_8_mRNA:E2_8_1_8_mRNA</v>
      </c>
      <c r="H248" s="31" t="str">
        <f t="shared" si="41"/>
        <v>E2_8_1_8:E2_8_1_8</v>
      </c>
      <c r="I248" s="31" t="str">
        <f t="shared" si="42"/>
        <v>E2_8_1_8_mRNA:0</v>
      </c>
      <c r="J248" s="31" t="str">
        <f t="shared" si="43"/>
        <v>E2_8_1_8:0</v>
      </c>
      <c r="K248" s="31" t="str">
        <f t="shared" si="44"/>
        <v>0.00292 - (0.0093 * E2_8_1_8_mRNA)</v>
      </c>
      <c r="L248" s="31" t="str">
        <f t="shared" si="45"/>
        <v>(0.278 * E2_8_1_8_mRNA) - (0.00000278 * E2_8_1_8)</v>
      </c>
      <c r="M248" s="43" t="str">
        <f t="shared" si="46"/>
        <v>mRNA247: -&gt; E2_8_1_8_mRNA | 0.00292 - (0.0093 * E2_8_1_8_mRNA)</v>
      </c>
      <c r="N248" s="31" t="str">
        <f t="shared" si="47"/>
        <v>Peptide247:E2_8_1_8_mRNA -&gt; E2_8_1_8 | (0.278 * E2_8_1_8_mRNA) -  (0.00000278 * E2_8_1_8)</v>
      </c>
    </row>
    <row r="249" spans="1:14" ht="29" x14ac:dyDescent="0.35">
      <c r="A249" s="31">
        <v>248</v>
      </c>
      <c r="B249" s="31" t="s">
        <v>14177</v>
      </c>
      <c r="C249" s="31" t="str">
        <f t="shared" si="36"/>
        <v>E2_8_4_2_mRNA</v>
      </c>
      <c r="D249" s="31" t="str">
        <f t="shared" si="37"/>
        <v>E2_8_4_2</v>
      </c>
      <c r="E249" s="31" t="str">
        <f t="shared" si="38"/>
        <v>E2_8_4_2_Kcat : 13.7</v>
      </c>
      <c r="F249" s="31" t="str">
        <f t="shared" si="39"/>
        <v>E2_8_4_2_Km :1</v>
      </c>
      <c r="G249" s="31" t="str">
        <f t="shared" si="40"/>
        <v>E2_8_4_2_mRNA:E2_8_4_2_mRNA</v>
      </c>
      <c r="H249" s="31" t="str">
        <f t="shared" si="41"/>
        <v>E2_8_4_2:E2_8_4_2</v>
      </c>
      <c r="I249" s="31" t="str">
        <f t="shared" si="42"/>
        <v>E2_8_4_2_mRNA:0</v>
      </c>
      <c r="J249" s="31" t="str">
        <f t="shared" si="43"/>
        <v>E2_8_4_2:0</v>
      </c>
      <c r="K249" s="31" t="str">
        <f t="shared" si="44"/>
        <v>0.00292 - (0.0093 * E2_8_4_2_mRNA)</v>
      </c>
      <c r="L249" s="31" t="str">
        <f t="shared" si="45"/>
        <v>(0.278 * E2_8_4_2_mRNA) - (0.00000278 * E2_8_4_2)</v>
      </c>
      <c r="M249" s="43" t="str">
        <f t="shared" si="46"/>
        <v>mRNA248: -&gt; E2_8_4_2_mRNA | 0.00292 - (0.0093 * E2_8_4_2_mRNA)</v>
      </c>
      <c r="N249" s="31" t="str">
        <f t="shared" si="47"/>
        <v>Peptide248:E2_8_4_2_mRNA -&gt; E2_8_4_2 | (0.278 * E2_8_4_2_mRNA) -  (0.00000278 * E2_8_4_2)</v>
      </c>
    </row>
    <row r="250" spans="1:14" ht="29" x14ac:dyDescent="0.35">
      <c r="A250" s="31">
        <v>249</v>
      </c>
      <c r="B250" s="31" t="s">
        <v>14178</v>
      </c>
      <c r="C250" s="31" t="str">
        <f t="shared" si="36"/>
        <v>E2_8_4_3_mRNA</v>
      </c>
      <c r="D250" s="31" t="str">
        <f t="shared" si="37"/>
        <v>E2_8_4_3</v>
      </c>
      <c r="E250" s="31" t="str">
        <f t="shared" si="38"/>
        <v>E2_8_4_3_Kcat : 13.7</v>
      </c>
      <c r="F250" s="31" t="str">
        <f t="shared" si="39"/>
        <v>E2_8_4_3_Km :1</v>
      </c>
      <c r="G250" s="31" t="str">
        <f t="shared" si="40"/>
        <v>E2_8_4_3_mRNA:E2_8_4_3_mRNA</v>
      </c>
      <c r="H250" s="31" t="str">
        <f t="shared" si="41"/>
        <v>E2_8_4_3:E2_8_4_3</v>
      </c>
      <c r="I250" s="31" t="str">
        <f t="shared" si="42"/>
        <v>E2_8_4_3_mRNA:0</v>
      </c>
      <c r="J250" s="31" t="str">
        <f t="shared" si="43"/>
        <v>E2_8_4_3:0</v>
      </c>
      <c r="K250" s="31" t="str">
        <f t="shared" si="44"/>
        <v>0.00292 - (0.0093 * E2_8_4_3_mRNA)</v>
      </c>
      <c r="L250" s="31" t="str">
        <f t="shared" si="45"/>
        <v>(0.278 * E2_8_4_3_mRNA) - (0.00000278 * E2_8_4_3)</v>
      </c>
      <c r="M250" s="43" t="str">
        <f t="shared" si="46"/>
        <v>mRNA249: -&gt; E2_8_4_3_mRNA | 0.00292 - (0.0093 * E2_8_4_3_mRNA)</v>
      </c>
      <c r="N250" s="31" t="str">
        <f t="shared" si="47"/>
        <v>Peptide249:E2_8_4_3_mRNA -&gt; E2_8_4_3 | (0.278 * E2_8_4_3_mRNA) -  (0.00000278 * E2_8_4_3)</v>
      </c>
    </row>
    <row r="251" spans="1:14" ht="29" x14ac:dyDescent="0.35">
      <c r="A251" s="31">
        <v>250</v>
      </c>
      <c r="B251" s="31" t="s">
        <v>14179</v>
      </c>
      <c r="C251" s="31" t="str">
        <f t="shared" si="36"/>
        <v>E3_1_3_5_mRNA</v>
      </c>
      <c r="D251" s="31" t="str">
        <f t="shared" si="37"/>
        <v>E3_1_3_5</v>
      </c>
      <c r="E251" s="31" t="str">
        <f t="shared" si="38"/>
        <v>E3_1_3_5_Kcat : 13.7</v>
      </c>
      <c r="F251" s="31" t="str">
        <f t="shared" si="39"/>
        <v>E3_1_3_5_Km :1</v>
      </c>
      <c r="G251" s="31" t="str">
        <f t="shared" si="40"/>
        <v>E3_1_3_5_mRNA:E3_1_3_5_mRNA</v>
      </c>
      <c r="H251" s="31" t="str">
        <f t="shared" si="41"/>
        <v>E3_1_3_5:E3_1_3_5</v>
      </c>
      <c r="I251" s="31" t="str">
        <f t="shared" si="42"/>
        <v>E3_1_3_5_mRNA:0</v>
      </c>
      <c r="J251" s="31" t="str">
        <f t="shared" si="43"/>
        <v>E3_1_3_5:0</v>
      </c>
      <c r="K251" s="31" t="str">
        <f t="shared" si="44"/>
        <v>0.00292 - (0.0093 * E3_1_3_5_mRNA)</v>
      </c>
      <c r="L251" s="31" t="str">
        <f t="shared" si="45"/>
        <v>(0.278 * E3_1_3_5_mRNA) - (0.00000278 * E3_1_3_5)</v>
      </c>
      <c r="M251" s="43" t="str">
        <f t="shared" si="46"/>
        <v>mRNA250: -&gt; E3_1_3_5_mRNA | 0.00292 - (0.0093 * E3_1_3_5_mRNA)</v>
      </c>
      <c r="N251" s="31" t="str">
        <f t="shared" si="47"/>
        <v>Peptide250:E3_1_3_5_mRNA -&gt; E3_1_3_5 | (0.278 * E3_1_3_5_mRNA) -  (0.00000278 * E3_1_3_5)</v>
      </c>
    </row>
    <row r="252" spans="1:14" ht="43.5" x14ac:dyDescent="0.35">
      <c r="A252" s="31">
        <v>251</v>
      </c>
      <c r="B252" s="31" t="s">
        <v>14180</v>
      </c>
      <c r="C252" s="31" t="str">
        <f t="shared" si="36"/>
        <v>E3_1_1_24_mRNA</v>
      </c>
      <c r="D252" s="31" t="str">
        <f t="shared" si="37"/>
        <v>E3_1_1_24</v>
      </c>
      <c r="E252" s="31" t="str">
        <f t="shared" si="38"/>
        <v>E3_1_1_24_Kcat : 13.7</v>
      </c>
      <c r="F252" s="31" t="str">
        <f t="shared" si="39"/>
        <v>E3_1_1_24_Km :1</v>
      </c>
      <c r="G252" s="31" t="str">
        <f t="shared" si="40"/>
        <v>E3_1_1_24_mRNA:E3_1_1_24_mRNA</v>
      </c>
      <c r="H252" s="31" t="str">
        <f t="shared" si="41"/>
        <v>E3_1_1_24:E3_1_1_24</v>
      </c>
      <c r="I252" s="31" t="str">
        <f t="shared" si="42"/>
        <v>E3_1_1_24_mRNA:0</v>
      </c>
      <c r="J252" s="31" t="str">
        <f t="shared" si="43"/>
        <v>E3_1_1_24:0</v>
      </c>
      <c r="K252" s="31" t="str">
        <f t="shared" si="44"/>
        <v>0.00292 - (0.0093 * E3_1_1_24_mRNA)</v>
      </c>
      <c r="L252" s="31" t="str">
        <f t="shared" si="45"/>
        <v>(0.278 * E3_1_1_24_mRNA) - (0.00000278 * E3_1_1_24)</v>
      </c>
      <c r="M252" s="43" t="str">
        <f t="shared" si="46"/>
        <v>mRNA251: -&gt; E3_1_1_24_mRNA | 0.00292 - (0.0093 * E3_1_1_24_mRNA)</v>
      </c>
      <c r="N252" s="31" t="str">
        <f t="shared" si="47"/>
        <v>Peptide251:E3_1_1_24_mRNA -&gt; E3_1_1_24 | (0.278 * E3_1_1_24_mRNA) -  (0.00000278 * E3_1_1_24)</v>
      </c>
    </row>
    <row r="253" spans="1:14" ht="43.5" x14ac:dyDescent="0.35">
      <c r="A253" s="31">
        <v>252</v>
      </c>
      <c r="B253" s="31" t="s">
        <v>14181</v>
      </c>
      <c r="C253" s="31" t="str">
        <f t="shared" si="36"/>
        <v>E3_1_1_29_mRNA</v>
      </c>
      <c r="D253" s="31" t="str">
        <f t="shared" si="37"/>
        <v>E3_1_1_29</v>
      </c>
      <c r="E253" s="31" t="str">
        <f t="shared" si="38"/>
        <v>E3_1_1_29_Kcat : 13.7</v>
      </c>
      <c r="F253" s="31" t="str">
        <f t="shared" si="39"/>
        <v>E3_1_1_29_Km :1</v>
      </c>
      <c r="G253" s="31" t="str">
        <f t="shared" si="40"/>
        <v>E3_1_1_29_mRNA:E3_1_1_29_mRNA</v>
      </c>
      <c r="H253" s="31" t="str">
        <f t="shared" si="41"/>
        <v>E3_1_1_29:E3_1_1_29</v>
      </c>
      <c r="I253" s="31" t="str">
        <f t="shared" si="42"/>
        <v>E3_1_1_29_mRNA:0</v>
      </c>
      <c r="J253" s="31" t="str">
        <f t="shared" si="43"/>
        <v>E3_1_1_29:0</v>
      </c>
      <c r="K253" s="31" t="str">
        <f t="shared" si="44"/>
        <v>0.00292 - (0.0093 * E3_1_1_29_mRNA)</v>
      </c>
      <c r="L253" s="31" t="str">
        <f t="shared" si="45"/>
        <v>(0.278 * E3_1_1_29_mRNA) - (0.00000278 * E3_1_1_29)</v>
      </c>
      <c r="M253" s="31" t="str">
        <f t="shared" si="46"/>
        <v>mRNA252: -&gt; E3_1_1_29_mRNA | 0.00292 - (0.0093 * E3_1_1_29_mRNA)</v>
      </c>
      <c r="N253" s="31" t="str">
        <f t="shared" si="47"/>
        <v>Peptide252:E3_1_1_29_mRNA -&gt; E3_1_1_29 | (0.278 * E3_1_1_29_mRNA) -  (0.00000278 * E3_1_1_29)</v>
      </c>
    </row>
    <row r="254" spans="1:14" ht="43.5" x14ac:dyDescent="0.35">
      <c r="A254" s="31">
        <v>253</v>
      </c>
      <c r="B254" s="31" t="s">
        <v>14182</v>
      </c>
      <c r="C254" s="31" t="str">
        <f t="shared" si="36"/>
        <v>E3_1_1_31_mRNA</v>
      </c>
      <c r="D254" s="31" t="str">
        <f t="shared" si="37"/>
        <v>E3_1_1_31</v>
      </c>
      <c r="E254" s="31" t="str">
        <f t="shared" si="38"/>
        <v>E3_1_1_31_Kcat : 13.7</v>
      </c>
      <c r="F254" s="31" t="str">
        <f t="shared" si="39"/>
        <v>E3_1_1_31_Km :1</v>
      </c>
      <c r="G254" s="31" t="str">
        <f t="shared" si="40"/>
        <v>E3_1_1_31_mRNA:E3_1_1_31_mRNA</v>
      </c>
      <c r="H254" s="31" t="str">
        <f t="shared" si="41"/>
        <v>E3_1_1_31:E3_1_1_31</v>
      </c>
      <c r="I254" s="31" t="str">
        <f t="shared" si="42"/>
        <v>E3_1_1_31_mRNA:0</v>
      </c>
      <c r="J254" s="31" t="str">
        <f t="shared" si="43"/>
        <v>E3_1_1_31:0</v>
      </c>
      <c r="K254" s="31" t="str">
        <f t="shared" si="44"/>
        <v>0.00292 - (0.0093 * E3_1_1_31_mRNA)</v>
      </c>
      <c r="L254" s="31" t="str">
        <f t="shared" si="45"/>
        <v>(0.278 * E3_1_1_31_mRNA) - (0.00000278 * E3_1_1_31)</v>
      </c>
      <c r="M254" s="31" t="str">
        <f t="shared" si="46"/>
        <v>mRNA253: -&gt; E3_1_1_31_mRNA | 0.00292 - (0.0093 * E3_1_1_31_mRNA)</v>
      </c>
      <c r="N254" s="31" t="str">
        <f t="shared" si="47"/>
        <v>Peptide253:E3_1_1_31_mRNA -&gt; E3_1_1_31 | (0.278 * E3_1_1_31_mRNA) -  (0.00000278 * E3_1_1_31)</v>
      </c>
    </row>
    <row r="255" spans="1:14" ht="43.5" x14ac:dyDescent="0.35">
      <c r="A255" s="31">
        <v>254</v>
      </c>
      <c r="B255" s="31" t="s">
        <v>14183</v>
      </c>
      <c r="C255" s="31" t="str">
        <f t="shared" si="36"/>
        <v>E3_1_1_96_mRNA</v>
      </c>
      <c r="D255" s="31" t="str">
        <f t="shared" si="37"/>
        <v>E3_1_1_96</v>
      </c>
      <c r="E255" s="31" t="str">
        <f t="shared" si="38"/>
        <v>E3_1_1_96_Kcat : 13.7</v>
      </c>
      <c r="F255" s="31" t="str">
        <f t="shared" si="39"/>
        <v>E3_1_1_96_Km :1</v>
      </c>
      <c r="G255" s="31" t="str">
        <f t="shared" si="40"/>
        <v>E3_1_1_96_mRNA:E3_1_1_96_mRNA</v>
      </c>
      <c r="H255" s="31" t="str">
        <f t="shared" si="41"/>
        <v>E3_1_1_96:E3_1_1_96</v>
      </c>
      <c r="I255" s="31" t="str">
        <f t="shared" si="42"/>
        <v>E3_1_1_96_mRNA:0</v>
      </c>
      <c r="J255" s="31" t="str">
        <f t="shared" si="43"/>
        <v>E3_1_1_96:0</v>
      </c>
      <c r="K255" s="31" t="str">
        <f t="shared" si="44"/>
        <v>0.00292 - (0.0093 * E3_1_1_96_mRNA)</v>
      </c>
      <c r="L255" s="31" t="str">
        <f t="shared" si="45"/>
        <v>(0.278 * E3_1_1_96_mRNA) - (0.00000278 * E3_1_1_96)</v>
      </c>
      <c r="M255" s="31" t="str">
        <f t="shared" si="46"/>
        <v>mRNA254: -&gt; E3_1_1_96_mRNA | 0.00292 - (0.0093 * E3_1_1_96_mRNA)</v>
      </c>
      <c r="N255" s="31" t="str">
        <f t="shared" si="47"/>
        <v>Peptide254:E3_1_1_96_mRNA -&gt; E3_1_1_96 | (0.278 * E3_1_1_96_mRNA) -  (0.00000278 * E3_1_1_96)</v>
      </c>
    </row>
    <row r="256" spans="1:14" ht="29" x14ac:dyDescent="0.35">
      <c r="A256" s="31">
        <v>255</v>
      </c>
      <c r="B256" s="31" t="s">
        <v>14184</v>
      </c>
      <c r="C256" s="31" t="str">
        <f t="shared" ref="C256:C317" si="48">CONCATENATE(D256,"_mRNA")</f>
        <v>E3_1_3_1_mRNA</v>
      </c>
      <c r="D256" s="31" t="str">
        <f t="shared" ref="D256:D317" si="49">CONCATENATE("E",B256)</f>
        <v>E3_1_3_1</v>
      </c>
      <c r="E256" s="31" t="str">
        <f t="shared" ref="E256:E317" si="50">CONCATENATE(D256,"_Kcat : 13.7")</f>
        <v>E3_1_3_1_Kcat : 13.7</v>
      </c>
      <c r="F256" s="31" t="str">
        <f t="shared" ref="F256:F317" si="51">CONCATENATE(D256,"_Km :1")</f>
        <v>E3_1_3_1_Km :1</v>
      </c>
      <c r="G256" s="31" t="str">
        <f t="shared" ref="G256:G317" si="52">CONCATENATE(C256,":",C256)</f>
        <v>E3_1_3_1_mRNA:E3_1_3_1_mRNA</v>
      </c>
      <c r="H256" s="31" t="str">
        <f t="shared" ref="H256:H317" si="53">CONCATENATE(D256,":",D256)</f>
        <v>E3_1_3_1:E3_1_3_1</v>
      </c>
      <c r="I256" s="31" t="str">
        <f t="shared" ref="I256:I317" si="54">CONCATENATE(C256,":","0")</f>
        <v>E3_1_3_1_mRNA:0</v>
      </c>
      <c r="J256" s="31" t="str">
        <f t="shared" ref="J256:J317" si="55">CONCATENATE(D256,":","0")</f>
        <v>E3_1_3_1:0</v>
      </c>
      <c r="K256" s="31" t="str">
        <f t="shared" ref="K256:K317" si="56">CONCATENATE("0.00292 - (0.0093 * ",C256,")")</f>
        <v>0.00292 - (0.0093 * E3_1_3_1_mRNA)</v>
      </c>
      <c r="L256" s="31" t="str">
        <f t="shared" ref="L256:L317" si="57">CONCATENATE("(0.278 * ",C256,")", " - (0.00000278 * ",D256,")")</f>
        <v>(0.278 * E3_1_3_1_mRNA) - (0.00000278 * E3_1_3_1)</v>
      </c>
      <c r="M256" s="31" t="str">
        <f t="shared" ref="M256:M317" si="58">CONCATENATE("mRNA",A256,": -&gt; ",C256," | ","0.00292", " -"," (","0.0093"," * ",C256,")")</f>
        <v>mRNA255: -&gt; E3_1_3_1_mRNA | 0.00292 - (0.0093 * E3_1_3_1_mRNA)</v>
      </c>
      <c r="N256" s="31" t="str">
        <f t="shared" ref="N256:N317" si="59">CONCATENATE("Peptide",A256,":",C256," -&gt; ",D256," | ","(","0.278"," * ",C256,")"," - "," (","0.00000278"," * ",D256,")")</f>
        <v>Peptide255:E3_1_3_1_mRNA -&gt; E3_1_3_1 | (0.278 * E3_1_3_1_mRNA) -  (0.00000278 * E3_1_3_1)</v>
      </c>
    </row>
    <row r="257" spans="1:14" ht="43.5" x14ac:dyDescent="0.35">
      <c r="A257" s="31">
        <v>256</v>
      </c>
      <c r="B257" s="31" t="s">
        <v>14185</v>
      </c>
      <c r="C257" s="31" t="str">
        <f t="shared" si="48"/>
        <v>E3_1_3_11_mRNA</v>
      </c>
      <c r="D257" s="31" t="str">
        <f t="shared" si="49"/>
        <v>E3_1_3_11</v>
      </c>
      <c r="E257" s="31" t="str">
        <f t="shared" si="50"/>
        <v>E3_1_3_11_Kcat : 13.7</v>
      </c>
      <c r="F257" s="31" t="str">
        <f t="shared" si="51"/>
        <v>E3_1_3_11_Km :1</v>
      </c>
      <c r="G257" s="31" t="str">
        <f t="shared" si="52"/>
        <v>E3_1_3_11_mRNA:E3_1_3_11_mRNA</v>
      </c>
      <c r="H257" s="31" t="str">
        <f t="shared" si="53"/>
        <v>E3_1_3_11:E3_1_3_11</v>
      </c>
      <c r="I257" s="31" t="str">
        <f t="shared" si="54"/>
        <v>E3_1_3_11_mRNA:0</v>
      </c>
      <c r="J257" s="31" t="str">
        <f t="shared" si="55"/>
        <v>E3_1_3_11:0</v>
      </c>
      <c r="K257" s="31" t="str">
        <f t="shared" si="56"/>
        <v>0.00292 - (0.0093 * E3_1_3_11_mRNA)</v>
      </c>
      <c r="L257" s="31" t="str">
        <f t="shared" si="57"/>
        <v>(0.278 * E3_1_3_11_mRNA) - (0.00000278 * E3_1_3_11)</v>
      </c>
      <c r="M257" s="31" t="str">
        <f t="shared" si="58"/>
        <v>mRNA256: -&gt; E3_1_3_11_mRNA | 0.00292 - (0.0093 * E3_1_3_11_mRNA)</v>
      </c>
      <c r="N257" s="31" t="str">
        <f t="shared" si="59"/>
        <v>Peptide256:E3_1_3_11_mRNA -&gt; E3_1_3_11 | (0.278 * E3_1_3_11_mRNA) -  (0.00000278 * E3_1_3_11)</v>
      </c>
    </row>
    <row r="258" spans="1:14" ht="43.5" x14ac:dyDescent="0.35">
      <c r="A258" s="31">
        <v>257</v>
      </c>
      <c r="B258" s="31" t="s">
        <v>14186</v>
      </c>
      <c r="C258" s="31" t="str">
        <f t="shared" si="48"/>
        <v>E3_1_3_12_mRNA</v>
      </c>
      <c r="D258" s="31" t="str">
        <f t="shared" si="49"/>
        <v>E3_1_3_12</v>
      </c>
      <c r="E258" s="31" t="str">
        <f t="shared" si="50"/>
        <v>E3_1_3_12_Kcat : 13.7</v>
      </c>
      <c r="F258" s="31" t="str">
        <f t="shared" si="51"/>
        <v>E3_1_3_12_Km :1</v>
      </c>
      <c r="G258" s="31" t="str">
        <f t="shared" si="52"/>
        <v>E3_1_3_12_mRNA:E3_1_3_12_mRNA</v>
      </c>
      <c r="H258" s="31" t="str">
        <f t="shared" si="53"/>
        <v>E3_1_3_12:E3_1_3_12</v>
      </c>
      <c r="I258" s="31" t="str">
        <f t="shared" si="54"/>
        <v>E3_1_3_12_mRNA:0</v>
      </c>
      <c r="J258" s="31" t="str">
        <f t="shared" si="55"/>
        <v>E3_1_3_12:0</v>
      </c>
      <c r="K258" s="31" t="str">
        <f t="shared" si="56"/>
        <v>0.00292 - (0.0093 * E3_1_3_12_mRNA)</v>
      </c>
      <c r="L258" s="31" t="str">
        <f t="shared" si="57"/>
        <v>(0.278 * E3_1_3_12_mRNA) - (0.00000278 * E3_1_3_12)</v>
      </c>
      <c r="M258" s="31" t="str">
        <f t="shared" si="58"/>
        <v>mRNA257: -&gt; E3_1_3_12_mRNA | 0.00292 - (0.0093 * E3_1_3_12_mRNA)</v>
      </c>
      <c r="N258" s="31" t="str">
        <f t="shared" si="59"/>
        <v>Peptide257:E3_1_3_12_mRNA -&gt; E3_1_3_12 | (0.278 * E3_1_3_12_mRNA) -  (0.00000278 * E3_1_3_12)</v>
      </c>
    </row>
    <row r="259" spans="1:14" ht="43.5" x14ac:dyDescent="0.35">
      <c r="A259" s="31">
        <v>258</v>
      </c>
      <c r="B259" s="31" t="s">
        <v>14187</v>
      </c>
      <c r="C259" s="31" t="str">
        <f t="shared" si="48"/>
        <v>E3_1_3_15_mRNA</v>
      </c>
      <c r="D259" s="31" t="str">
        <f t="shared" si="49"/>
        <v>E3_1_3_15</v>
      </c>
      <c r="E259" s="31" t="str">
        <f t="shared" si="50"/>
        <v>E3_1_3_15_Kcat : 13.7</v>
      </c>
      <c r="F259" s="31" t="str">
        <f t="shared" si="51"/>
        <v>E3_1_3_15_Km :1</v>
      </c>
      <c r="G259" s="31" t="str">
        <f t="shared" si="52"/>
        <v>E3_1_3_15_mRNA:E3_1_3_15_mRNA</v>
      </c>
      <c r="H259" s="31" t="str">
        <f t="shared" si="53"/>
        <v>E3_1_3_15:E3_1_3_15</v>
      </c>
      <c r="I259" s="31" t="str">
        <f t="shared" si="54"/>
        <v>E3_1_3_15_mRNA:0</v>
      </c>
      <c r="J259" s="31" t="str">
        <f t="shared" si="55"/>
        <v>E3_1_3_15:0</v>
      </c>
      <c r="K259" s="31" t="str">
        <f t="shared" si="56"/>
        <v>0.00292 - (0.0093 * E3_1_3_15_mRNA)</v>
      </c>
      <c r="L259" s="31" t="str">
        <f t="shared" si="57"/>
        <v>(0.278 * E3_1_3_15_mRNA) - (0.00000278 * E3_1_3_15)</v>
      </c>
      <c r="M259" s="31" t="str">
        <f t="shared" si="58"/>
        <v>mRNA258: -&gt; E3_1_3_15_mRNA | 0.00292 - (0.0093 * E3_1_3_15_mRNA)</v>
      </c>
      <c r="N259" s="31" t="str">
        <f t="shared" si="59"/>
        <v>Peptide258:E3_1_3_15_mRNA -&gt; E3_1_3_15 | (0.278 * E3_1_3_15_mRNA) -  (0.00000278 * E3_1_3_15)</v>
      </c>
    </row>
    <row r="260" spans="1:14" ht="43.5" x14ac:dyDescent="0.35">
      <c r="A260" s="31">
        <v>259</v>
      </c>
      <c r="B260" s="31" t="s">
        <v>14188</v>
      </c>
      <c r="C260" s="31" t="str">
        <f t="shared" si="48"/>
        <v>E3_1_3_16_mRNA</v>
      </c>
      <c r="D260" s="31" t="str">
        <f t="shared" si="49"/>
        <v>E3_1_3_16</v>
      </c>
      <c r="E260" s="31" t="str">
        <f t="shared" si="50"/>
        <v>E3_1_3_16_Kcat : 13.7</v>
      </c>
      <c r="F260" s="31" t="str">
        <f t="shared" si="51"/>
        <v>E3_1_3_16_Km :1</v>
      </c>
      <c r="G260" s="31" t="str">
        <f t="shared" si="52"/>
        <v>E3_1_3_16_mRNA:E3_1_3_16_mRNA</v>
      </c>
      <c r="H260" s="31" t="str">
        <f t="shared" si="53"/>
        <v>E3_1_3_16:E3_1_3_16</v>
      </c>
      <c r="I260" s="31" t="str">
        <f t="shared" si="54"/>
        <v>E3_1_3_16_mRNA:0</v>
      </c>
      <c r="J260" s="31" t="str">
        <f t="shared" si="55"/>
        <v>E3_1_3_16:0</v>
      </c>
      <c r="K260" s="31" t="str">
        <f t="shared" si="56"/>
        <v>0.00292 - (0.0093 * E3_1_3_16_mRNA)</v>
      </c>
      <c r="L260" s="31" t="str">
        <f t="shared" si="57"/>
        <v>(0.278 * E3_1_3_16_mRNA) - (0.00000278 * E3_1_3_16)</v>
      </c>
      <c r="M260" s="31" t="str">
        <f t="shared" si="58"/>
        <v>mRNA259: -&gt; E3_1_3_16_mRNA | 0.00292 - (0.0093 * E3_1_3_16_mRNA)</v>
      </c>
      <c r="N260" s="31" t="str">
        <f t="shared" si="59"/>
        <v>Peptide259:E3_1_3_16_mRNA -&gt; E3_1_3_16 | (0.278 * E3_1_3_16_mRNA) -  (0.00000278 * E3_1_3_16)</v>
      </c>
    </row>
    <row r="261" spans="1:14" ht="43.5" x14ac:dyDescent="0.35">
      <c r="A261" s="31">
        <v>260</v>
      </c>
      <c r="B261" s="31" t="s">
        <v>14190</v>
      </c>
      <c r="C261" s="31" t="str">
        <f t="shared" si="48"/>
        <v>E3_1_3_48_mRNA</v>
      </c>
      <c r="D261" s="31" t="str">
        <f t="shared" si="49"/>
        <v>E3_1_3_48</v>
      </c>
      <c r="E261" s="31" t="str">
        <f t="shared" si="50"/>
        <v>E3_1_3_48_Kcat : 13.7</v>
      </c>
      <c r="F261" s="31" t="str">
        <f t="shared" si="51"/>
        <v>E3_1_3_48_Km :1</v>
      </c>
      <c r="G261" s="31" t="str">
        <f t="shared" si="52"/>
        <v>E3_1_3_48_mRNA:E3_1_3_48_mRNA</v>
      </c>
      <c r="H261" s="31" t="str">
        <f t="shared" si="53"/>
        <v>E3_1_3_48:E3_1_3_48</v>
      </c>
      <c r="I261" s="31" t="str">
        <f t="shared" si="54"/>
        <v>E3_1_3_48_mRNA:0</v>
      </c>
      <c r="J261" s="31" t="str">
        <f t="shared" si="55"/>
        <v>E3_1_3_48:0</v>
      </c>
      <c r="K261" s="31" t="str">
        <f t="shared" si="56"/>
        <v>0.00292 - (0.0093 * E3_1_3_48_mRNA)</v>
      </c>
      <c r="L261" s="31" t="str">
        <f t="shared" si="57"/>
        <v>(0.278 * E3_1_3_48_mRNA) - (0.00000278 * E3_1_3_48)</v>
      </c>
      <c r="M261" s="31" t="str">
        <f t="shared" si="58"/>
        <v>mRNA260: -&gt; E3_1_3_48_mRNA | 0.00292 - (0.0093 * E3_1_3_48_mRNA)</v>
      </c>
      <c r="N261" s="31" t="str">
        <f t="shared" si="59"/>
        <v>Peptide260:E3_1_3_48_mRNA -&gt; E3_1_3_48 | (0.278 * E3_1_3_48_mRNA) -  (0.00000278 * E3_1_3_48)</v>
      </c>
    </row>
    <row r="262" spans="1:14" ht="29" x14ac:dyDescent="0.35">
      <c r="A262" s="31">
        <v>261</v>
      </c>
      <c r="B262" s="31" t="s">
        <v>14191</v>
      </c>
      <c r="C262" s="31" t="str">
        <f t="shared" si="48"/>
        <v>E3_1_3_2_mRNA</v>
      </c>
      <c r="D262" s="31" t="str">
        <f t="shared" si="49"/>
        <v>E3_1_3_2</v>
      </c>
      <c r="E262" s="31" t="str">
        <f t="shared" si="50"/>
        <v>E3_1_3_2_Kcat : 13.7</v>
      </c>
      <c r="F262" s="31" t="str">
        <f t="shared" si="51"/>
        <v>E3_1_3_2_Km :1</v>
      </c>
      <c r="G262" s="31" t="str">
        <f t="shared" si="52"/>
        <v>E3_1_3_2_mRNA:E3_1_3_2_mRNA</v>
      </c>
      <c r="H262" s="31" t="str">
        <f t="shared" si="53"/>
        <v>E3_1_3_2:E3_1_3_2</v>
      </c>
      <c r="I262" s="31" t="str">
        <f t="shared" si="54"/>
        <v>E3_1_3_2_mRNA:0</v>
      </c>
      <c r="J262" s="31" t="str">
        <f t="shared" si="55"/>
        <v>E3_1_3_2:0</v>
      </c>
      <c r="K262" s="31" t="str">
        <f t="shared" si="56"/>
        <v>0.00292 - (0.0093 * E3_1_3_2_mRNA)</v>
      </c>
      <c r="L262" s="31" t="str">
        <f t="shared" si="57"/>
        <v>(0.278 * E3_1_3_2_mRNA) - (0.00000278 * E3_1_3_2)</v>
      </c>
      <c r="M262" s="31" t="str">
        <f t="shared" si="58"/>
        <v>mRNA261: -&gt; E3_1_3_2_mRNA | 0.00292 - (0.0093 * E3_1_3_2_mRNA)</v>
      </c>
      <c r="N262" s="31" t="str">
        <f t="shared" si="59"/>
        <v>Peptide261:E3_1_3_2_mRNA -&gt; E3_1_3_2 | (0.278 * E3_1_3_2_mRNA) -  (0.00000278 * E3_1_3_2)</v>
      </c>
    </row>
    <row r="263" spans="1:14" ht="29" x14ac:dyDescent="0.35">
      <c r="A263" s="31">
        <v>262</v>
      </c>
      <c r="B263" s="31" t="s">
        <v>14192</v>
      </c>
      <c r="C263" s="31" t="str">
        <f t="shared" si="48"/>
        <v>E3_1_3_3_mRNA</v>
      </c>
      <c r="D263" s="31" t="str">
        <f t="shared" si="49"/>
        <v>E3_1_3_3</v>
      </c>
      <c r="E263" s="31" t="str">
        <f t="shared" si="50"/>
        <v>E3_1_3_3_Kcat : 13.7</v>
      </c>
      <c r="F263" s="31" t="str">
        <f t="shared" si="51"/>
        <v>E3_1_3_3_Km :1</v>
      </c>
      <c r="G263" s="31" t="str">
        <f t="shared" si="52"/>
        <v>E3_1_3_3_mRNA:E3_1_3_3_mRNA</v>
      </c>
      <c r="H263" s="31" t="str">
        <f t="shared" si="53"/>
        <v>E3_1_3_3:E3_1_3_3</v>
      </c>
      <c r="I263" s="31" t="str">
        <f t="shared" si="54"/>
        <v>E3_1_3_3_mRNA:0</v>
      </c>
      <c r="J263" s="31" t="str">
        <f t="shared" si="55"/>
        <v>E3_1_3_3:0</v>
      </c>
      <c r="K263" s="31" t="str">
        <f t="shared" si="56"/>
        <v>0.00292 - (0.0093 * E3_1_3_3_mRNA)</v>
      </c>
      <c r="L263" s="31" t="str">
        <f t="shared" si="57"/>
        <v>(0.278 * E3_1_3_3_mRNA) - (0.00000278 * E3_1_3_3)</v>
      </c>
      <c r="M263" s="31" t="str">
        <f t="shared" si="58"/>
        <v>mRNA262: -&gt; E3_1_3_3_mRNA | 0.00292 - (0.0093 * E3_1_3_3_mRNA)</v>
      </c>
      <c r="N263" s="31" t="str">
        <f t="shared" si="59"/>
        <v>Peptide262:E3_1_3_3_mRNA -&gt; E3_1_3_3 | (0.278 * E3_1_3_3_mRNA) -  (0.00000278 * E3_1_3_3)</v>
      </c>
    </row>
    <row r="264" spans="1:14" ht="29" x14ac:dyDescent="0.35">
      <c r="A264" s="31">
        <v>263</v>
      </c>
      <c r="B264" s="31" t="s">
        <v>14193</v>
      </c>
      <c r="C264" s="31" t="str">
        <f t="shared" si="48"/>
        <v>E3_1_3_7_mRNA</v>
      </c>
      <c r="D264" s="31" t="str">
        <f t="shared" si="49"/>
        <v>E3_1_3_7</v>
      </c>
      <c r="E264" s="31" t="str">
        <f t="shared" si="50"/>
        <v>E3_1_3_7_Kcat : 13.7</v>
      </c>
      <c r="F264" s="31" t="str">
        <f t="shared" si="51"/>
        <v>E3_1_3_7_Km :1</v>
      </c>
      <c r="G264" s="31" t="str">
        <f t="shared" si="52"/>
        <v>E3_1_3_7_mRNA:E3_1_3_7_mRNA</v>
      </c>
      <c r="H264" s="31" t="str">
        <f t="shared" si="53"/>
        <v>E3_1_3_7:E3_1_3_7</v>
      </c>
      <c r="I264" s="31" t="str">
        <f t="shared" si="54"/>
        <v>E3_1_3_7_mRNA:0</v>
      </c>
      <c r="J264" s="31" t="str">
        <f t="shared" si="55"/>
        <v>E3_1_3_7:0</v>
      </c>
      <c r="K264" s="31" t="str">
        <f t="shared" si="56"/>
        <v>0.00292 - (0.0093 * E3_1_3_7_mRNA)</v>
      </c>
      <c r="L264" s="31" t="str">
        <f t="shared" si="57"/>
        <v>(0.278 * E3_1_3_7_mRNA) - (0.00000278 * E3_1_3_7)</v>
      </c>
      <c r="M264" s="31" t="str">
        <f t="shared" si="58"/>
        <v>mRNA263: -&gt; E3_1_3_7_mRNA | 0.00292 - (0.0093 * E3_1_3_7_mRNA)</v>
      </c>
      <c r="N264" s="31" t="str">
        <f t="shared" si="59"/>
        <v>Peptide263:E3_1_3_7_mRNA -&gt; E3_1_3_7 | (0.278 * E3_1_3_7_mRNA) -  (0.00000278 * E3_1_3_7)</v>
      </c>
    </row>
    <row r="265" spans="1:14" ht="43.5" x14ac:dyDescent="0.35">
      <c r="A265" s="31">
        <v>264</v>
      </c>
      <c r="B265" s="31" t="s">
        <v>14194</v>
      </c>
      <c r="C265" s="31" t="str">
        <f t="shared" si="48"/>
        <v>E3_13_2_1_mRNA</v>
      </c>
      <c r="D265" s="31" t="str">
        <f t="shared" si="49"/>
        <v>E3_13_2_1</v>
      </c>
      <c r="E265" s="31" t="str">
        <f t="shared" si="50"/>
        <v>E3_13_2_1_Kcat : 13.7</v>
      </c>
      <c r="F265" s="31" t="str">
        <f t="shared" si="51"/>
        <v>E3_13_2_1_Km :1</v>
      </c>
      <c r="G265" s="31" t="str">
        <f t="shared" si="52"/>
        <v>E3_13_2_1_mRNA:E3_13_2_1_mRNA</v>
      </c>
      <c r="H265" s="31" t="str">
        <f t="shared" si="53"/>
        <v>E3_13_2_1:E3_13_2_1</v>
      </c>
      <c r="I265" s="31" t="str">
        <f t="shared" si="54"/>
        <v>E3_13_2_1_mRNA:0</v>
      </c>
      <c r="J265" s="31" t="str">
        <f t="shared" si="55"/>
        <v>E3_13_2_1:0</v>
      </c>
      <c r="K265" s="31" t="str">
        <f t="shared" si="56"/>
        <v>0.00292 - (0.0093 * E3_13_2_1_mRNA)</v>
      </c>
      <c r="L265" s="31" t="str">
        <f t="shared" si="57"/>
        <v>(0.278 * E3_13_2_1_mRNA) - (0.00000278 * E3_13_2_1)</v>
      </c>
      <c r="M265" s="31" t="str">
        <f t="shared" si="58"/>
        <v>mRNA264: -&gt; E3_13_2_1_mRNA | 0.00292 - (0.0093 * E3_13_2_1_mRNA)</v>
      </c>
      <c r="N265" s="31" t="str">
        <f t="shared" si="59"/>
        <v>Peptide264:E3_13_2_1_mRNA -&gt; E3_13_2_1 | (0.278 * E3_13_2_1_mRNA) -  (0.00000278 * E3_13_2_1)</v>
      </c>
    </row>
    <row r="266" spans="1:14" ht="43.5" x14ac:dyDescent="0.35">
      <c r="A266" s="31">
        <v>265</v>
      </c>
      <c r="B266" s="31" t="s">
        <v>14195</v>
      </c>
      <c r="C266" s="31" t="str">
        <f t="shared" si="48"/>
        <v>E3_2_1_141_mRNA</v>
      </c>
      <c r="D266" s="31" t="str">
        <f t="shared" si="49"/>
        <v>E3_2_1_141</v>
      </c>
      <c r="E266" s="31" t="str">
        <f t="shared" si="50"/>
        <v>E3_2_1_141_Kcat : 13.7</v>
      </c>
      <c r="F266" s="31" t="str">
        <f t="shared" si="51"/>
        <v>E3_2_1_141_Km :1</v>
      </c>
      <c r="G266" s="31" t="str">
        <f t="shared" si="52"/>
        <v>E3_2_1_141_mRNA:E3_2_1_141_mRNA</v>
      </c>
      <c r="H266" s="31" t="str">
        <f t="shared" si="53"/>
        <v>E3_2_1_141:E3_2_1_141</v>
      </c>
      <c r="I266" s="31" t="str">
        <f t="shared" si="54"/>
        <v>E3_2_1_141_mRNA:0</v>
      </c>
      <c r="J266" s="31" t="str">
        <f t="shared" si="55"/>
        <v>E3_2_1_141:0</v>
      </c>
      <c r="K266" s="31" t="str">
        <f t="shared" si="56"/>
        <v>0.00292 - (0.0093 * E3_2_1_141_mRNA)</v>
      </c>
      <c r="L266" s="31" t="str">
        <f t="shared" si="57"/>
        <v>(0.278 * E3_2_1_141_mRNA) - (0.00000278 * E3_2_1_141)</v>
      </c>
      <c r="M266" s="31" t="str">
        <f t="shared" si="58"/>
        <v>mRNA265: -&gt; E3_2_1_141_mRNA | 0.00292 - (0.0093 * E3_2_1_141_mRNA)</v>
      </c>
      <c r="N266" s="31" t="str">
        <f t="shared" si="59"/>
        <v>Peptide265:E3_2_1_141_mRNA -&gt; E3_2_1_141 | (0.278 * E3_2_1_141_mRNA) -  (0.00000278 * E3_2_1_141)</v>
      </c>
    </row>
    <row r="267" spans="1:14" ht="29" x14ac:dyDescent="0.35">
      <c r="A267" s="31">
        <v>266</v>
      </c>
      <c r="B267" s="31" t="s">
        <v>14196</v>
      </c>
      <c r="C267" s="31" t="str">
        <f t="shared" si="48"/>
        <v>E3_2_2_4_mRNA</v>
      </c>
      <c r="D267" s="31" t="str">
        <f t="shared" si="49"/>
        <v>E3_2_2_4</v>
      </c>
      <c r="E267" s="31" t="str">
        <f t="shared" si="50"/>
        <v>E3_2_2_4_Kcat : 13.7</v>
      </c>
      <c r="F267" s="31" t="str">
        <f t="shared" si="51"/>
        <v>E3_2_2_4_Km :1</v>
      </c>
      <c r="G267" s="31" t="str">
        <f t="shared" si="52"/>
        <v>E3_2_2_4_mRNA:E3_2_2_4_mRNA</v>
      </c>
      <c r="H267" s="31" t="str">
        <f t="shared" si="53"/>
        <v>E3_2_2_4:E3_2_2_4</v>
      </c>
      <c r="I267" s="31" t="str">
        <f t="shared" si="54"/>
        <v>E3_2_2_4_mRNA:0</v>
      </c>
      <c r="J267" s="31" t="str">
        <f t="shared" si="55"/>
        <v>E3_2_2_4:0</v>
      </c>
      <c r="K267" s="31" t="str">
        <f t="shared" si="56"/>
        <v>0.00292 - (0.0093 * E3_2_2_4_mRNA)</v>
      </c>
      <c r="L267" s="31" t="str">
        <f t="shared" si="57"/>
        <v>(0.278 * E3_2_2_4_mRNA) - (0.00000278 * E3_2_2_4)</v>
      </c>
      <c r="M267" s="31" t="str">
        <f t="shared" si="58"/>
        <v>mRNA266: -&gt; E3_2_2_4_mRNA | 0.00292 - (0.0093 * E3_2_2_4_mRNA)</v>
      </c>
      <c r="N267" s="31" t="str">
        <f t="shared" si="59"/>
        <v>Peptide266:E3_2_2_4_mRNA -&gt; E3_2_2_4 | (0.278 * E3_2_2_4_mRNA) -  (0.00000278 * E3_2_2_4)</v>
      </c>
    </row>
    <row r="268" spans="1:14" ht="43.5" x14ac:dyDescent="0.35">
      <c r="A268" s="31">
        <v>267</v>
      </c>
      <c r="B268" s="31" t="s">
        <v>14197</v>
      </c>
      <c r="C268" s="31" t="str">
        <f t="shared" si="48"/>
        <v>E3_4_11_1_mRNA</v>
      </c>
      <c r="D268" s="31" t="str">
        <f t="shared" si="49"/>
        <v>E3_4_11_1</v>
      </c>
      <c r="E268" s="31" t="str">
        <f t="shared" si="50"/>
        <v>E3_4_11_1_Kcat : 13.7</v>
      </c>
      <c r="F268" s="31" t="str">
        <f t="shared" si="51"/>
        <v>E3_4_11_1_Km :1</v>
      </c>
      <c r="G268" s="31" t="str">
        <f t="shared" si="52"/>
        <v>E3_4_11_1_mRNA:E3_4_11_1_mRNA</v>
      </c>
      <c r="H268" s="31" t="str">
        <f t="shared" si="53"/>
        <v>E3_4_11_1:E3_4_11_1</v>
      </c>
      <c r="I268" s="31" t="str">
        <f t="shared" si="54"/>
        <v>E3_4_11_1_mRNA:0</v>
      </c>
      <c r="J268" s="31" t="str">
        <f t="shared" si="55"/>
        <v>E3_4_11_1:0</v>
      </c>
      <c r="K268" s="31" t="str">
        <f t="shared" si="56"/>
        <v>0.00292 - (0.0093 * E3_4_11_1_mRNA)</v>
      </c>
      <c r="L268" s="31" t="str">
        <f t="shared" si="57"/>
        <v>(0.278 * E3_4_11_1_mRNA) - (0.00000278 * E3_4_11_1)</v>
      </c>
      <c r="M268" s="31" t="str">
        <f t="shared" si="58"/>
        <v>mRNA267: -&gt; E3_4_11_1_mRNA | 0.00292 - (0.0093 * E3_4_11_1_mRNA)</v>
      </c>
      <c r="N268" s="31" t="str">
        <f t="shared" si="59"/>
        <v>Peptide267:E3_4_11_1_mRNA -&gt; E3_4_11_1 | (0.278 * E3_4_11_1_mRNA) -  (0.00000278 * E3_4_11_1)</v>
      </c>
    </row>
    <row r="269" spans="1:14" ht="43.5" x14ac:dyDescent="0.35">
      <c r="A269" s="31">
        <v>268</v>
      </c>
      <c r="B269" s="31" t="s">
        <v>14198</v>
      </c>
      <c r="C269" s="31" t="str">
        <f t="shared" si="48"/>
        <v>E3_4_11_2_mRNA</v>
      </c>
      <c r="D269" s="31" t="str">
        <f t="shared" si="49"/>
        <v>E3_4_11_2</v>
      </c>
      <c r="E269" s="31" t="str">
        <f t="shared" si="50"/>
        <v>E3_4_11_2_Kcat : 13.7</v>
      </c>
      <c r="F269" s="31" t="str">
        <f t="shared" si="51"/>
        <v>E3_4_11_2_Km :1</v>
      </c>
      <c r="G269" s="31" t="str">
        <f t="shared" si="52"/>
        <v>E3_4_11_2_mRNA:E3_4_11_2_mRNA</v>
      </c>
      <c r="H269" s="31" t="str">
        <f t="shared" si="53"/>
        <v>E3_4_11_2:E3_4_11_2</v>
      </c>
      <c r="I269" s="31" t="str">
        <f t="shared" si="54"/>
        <v>E3_4_11_2_mRNA:0</v>
      </c>
      <c r="J269" s="31" t="str">
        <f t="shared" si="55"/>
        <v>E3_4_11_2:0</v>
      </c>
      <c r="K269" s="31" t="str">
        <f t="shared" si="56"/>
        <v>0.00292 - (0.0093 * E3_4_11_2_mRNA)</v>
      </c>
      <c r="L269" s="31" t="str">
        <f t="shared" si="57"/>
        <v>(0.278 * E3_4_11_2_mRNA) - (0.00000278 * E3_4_11_2)</v>
      </c>
      <c r="M269" s="31" t="str">
        <f t="shared" si="58"/>
        <v>mRNA268: -&gt; E3_4_11_2_mRNA | 0.00292 - (0.0093 * E3_4_11_2_mRNA)</v>
      </c>
      <c r="N269" s="31" t="str">
        <f t="shared" si="59"/>
        <v>Peptide268:E3_4_11_2_mRNA -&gt; E3_4_11_2 | (0.278 * E3_4_11_2_mRNA) -  (0.00000278 * E3_4_11_2)</v>
      </c>
    </row>
    <row r="270" spans="1:14" ht="43.5" x14ac:dyDescent="0.35">
      <c r="A270" s="31">
        <v>269</v>
      </c>
      <c r="B270" s="31" t="s">
        <v>14199</v>
      </c>
      <c r="C270" s="31" t="str">
        <f t="shared" si="48"/>
        <v>E3_5_1_10_mRNA</v>
      </c>
      <c r="D270" s="31" t="str">
        <f t="shared" si="49"/>
        <v>E3_5_1_10</v>
      </c>
      <c r="E270" s="31" t="str">
        <f t="shared" si="50"/>
        <v>E3_5_1_10_Kcat : 13.7</v>
      </c>
      <c r="F270" s="31" t="str">
        <f t="shared" si="51"/>
        <v>E3_5_1_10_Km :1</v>
      </c>
      <c r="G270" s="31" t="str">
        <f t="shared" si="52"/>
        <v>E3_5_1_10_mRNA:E3_5_1_10_mRNA</v>
      </c>
      <c r="H270" s="31" t="str">
        <f t="shared" si="53"/>
        <v>E3_5_1_10:E3_5_1_10</v>
      </c>
      <c r="I270" s="31" t="str">
        <f t="shared" si="54"/>
        <v>E3_5_1_10_mRNA:0</v>
      </c>
      <c r="J270" s="31" t="str">
        <f t="shared" si="55"/>
        <v>E3_5_1_10:0</v>
      </c>
      <c r="K270" s="31" t="str">
        <f t="shared" si="56"/>
        <v>0.00292 - (0.0093 * E3_5_1_10_mRNA)</v>
      </c>
      <c r="L270" s="31" t="str">
        <f t="shared" si="57"/>
        <v>(0.278 * E3_5_1_10_mRNA) - (0.00000278 * E3_5_1_10)</v>
      </c>
      <c r="M270" s="31" t="str">
        <f t="shared" si="58"/>
        <v>mRNA269: -&gt; E3_5_1_10_mRNA | 0.00292 - (0.0093 * E3_5_1_10_mRNA)</v>
      </c>
      <c r="N270" s="31" t="str">
        <f t="shared" si="59"/>
        <v>Peptide269:E3_5_1_10_mRNA -&gt; E3_5_1_10 | (0.278 * E3_5_1_10_mRNA) -  (0.00000278 * E3_5_1_10)</v>
      </c>
    </row>
    <row r="271" spans="1:14" ht="43.5" x14ac:dyDescent="0.35">
      <c r="A271" s="31">
        <v>270</v>
      </c>
      <c r="B271" s="31" t="s">
        <v>14200</v>
      </c>
      <c r="C271" s="31" t="str">
        <f t="shared" si="48"/>
        <v>E3_5_1_103_mRNA</v>
      </c>
      <c r="D271" s="31" t="str">
        <f t="shared" si="49"/>
        <v>E3_5_1_103</v>
      </c>
      <c r="E271" s="31" t="str">
        <f t="shared" si="50"/>
        <v>E3_5_1_103_Kcat : 13.7</v>
      </c>
      <c r="F271" s="31" t="str">
        <f t="shared" si="51"/>
        <v>E3_5_1_103_Km :1</v>
      </c>
      <c r="G271" s="31" t="str">
        <f t="shared" si="52"/>
        <v>E3_5_1_103_mRNA:E3_5_1_103_mRNA</v>
      </c>
      <c r="H271" s="31" t="str">
        <f t="shared" si="53"/>
        <v>E3_5_1_103:E3_5_1_103</v>
      </c>
      <c r="I271" s="31" t="str">
        <f t="shared" si="54"/>
        <v>E3_5_1_103_mRNA:0</v>
      </c>
      <c r="J271" s="31" t="str">
        <f t="shared" si="55"/>
        <v>E3_5_1_103:0</v>
      </c>
      <c r="K271" s="31" t="str">
        <f t="shared" si="56"/>
        <v>0.00292 - (0.0093 * E3_5_1_103_mRNA)</v>
      </c>
      <c r="L271" s="31" t="str">
        <f t="shared" si="57"/>
        <v>(0.278 * E3_5_1_103_mRNA) - (0.00000278 * E3_5_1_103)</v>
      </c>
      <c r="M271" s="31" t="str">
        <f t="shared" si="58"/>
        <v>mRNA270: -&gt; E3_5_1_103_mRNA | 0.00292 - (0.0093 * E3_5_1_103_mRNA)</v>
      </c>
      <c r="N271" s="31" t="str">
        <f t="shared" si="59"/>
        <v>Peptide270:E3_5_1_103_mRNA -&gt; E3_5_1_103 | (0.278 * E3_5_1_103_mRNA) -  (0.00000278 * E3_5_1_103)</v>
      </c>
    </row>
    <row r="272" spans="1:14" ht="43.5" x14ac:dyDescent="0.35">
      <c r="A272" s="31">
        <v>271</v>
      </c>
      <c r="B272" s="31" t="s">
        <v>14201</v>
      </c>
      <c r="C272" s="31" t="str">
        <f t="shared" si="48"/>
        <v>E3_5_1_119_mRNA</v>
      </c>
      <c r="D272" s="31" t="str">
        <f t="shared" si="49"/>
        <v>E3_5_1_119</v>
      </c>
      <c r="E272" s="31" t="str">
        <f t="shared" si="50"/>
        <v>E3_5_1_119_Kcat : 13.7</v>
      </c>
      <c r="F272" s="31" t="str">
        <f t="shared" si="51"/>
        <v>E3_5_1_119_Km :1</v>
      </c>
      <c r="G272" s="31" t="str">
        <f t="shared" si="52"/>
        <v>E3_5_1_119_mRNA:E3_5_1_119_mRNA</v>
      </c>
      <c r="H272" s="31" t="str">
        <f t="shared" si="53"/>
        <v>E3_5_1_119:E3_5_1_119</v>
      </c>
      <c r="I272" s="31" t="str">
        <f t="shared" si="54"/>
        <v>E3_5_1_119_mRNA:0</v>
      </c>
      <c r="J272" s="31" t="str">
        <f t="shared" si="55"/>
        <v>E3_5_1_119:0</v>
      </c>
      <c r="K272" s="31" t="str">
        <f t="shared" si="56"/>
        <v>0.00292 - (0.0093 * E3_5_1_119_mRNA)</v>
      </c>
      <c r="L272" s="31" t="str">
        <f t="shared" si="57"/>
        <v>(0.278 * E3_5_1_119_mRNA) - (0.00000278 * E3_5_1_119)</v>
      </c>
      <c r="M272" s="31" t="str">
        <f t="shared" si="58"/>
        <v>mRNA271: -&gt; E3_5_1_119_mRNA | 0.00292 - (0.0093 * E3_5_1_119_mRNA)</v>
      </c>
      <c r="N272" s="31" t="str">
        <f t="shared" si="59"/>
        <v>Peptide271:E3_5_1_119_mRNA -&gt; E3_5_1_119 | (0.278 * E3_5_1_119_mRNA) -  (0.00000278 * E3_5_1_119)</v>
      </c>
    </row>
    <row r="273" spans="1:14" ht="43.5" x14ac:dyDescent="0.35">
      <c r="A273" s="31">
        <v>272</v>
      </c>
      <c r="B273" s="31" t="s">
        <v>14202</v>
      </c>
      <c r="C273" s="31" t="str">
        <f t="shared" si="48"/>
        <v>E3_5_1_18_mRNA</v>
      </c>
      <c r="D273" s="31" t="str">
        <f t="shared" si="49"/>
        <v>E3_5_1_18</v>
      </c>
      <c r="E273" s="31" t="str">
        <f t="shared" si="50"/>
        <v>E3_5_1_18_Kcat : 13.7</v>
      </c>
      <c r="F273" s="31" t="str">
        <f t="shared" si="51"/>
        <v>E3_5_1_18_Km :1</v>
      </c>
      <c r="G273" s="31" t="str">
        <f t="shared" si="52"/>
        <v>E3_5_1_18_mRNA:E3_5_1_18_mRNA</v>
      </c>
      <c r="H273" s="31" t="str">
        <f t="shared" si="53"/>
        <v>E3_5_1_18:E3_5_1_18</v>
      </c>
      <c r="I273" s="31" t="str">
        <f t="shared" si="54"/>
        <v>E3_5_1_18_mRNA:0</v>
      </c>
      <c r="J273" s="31" t="str">
        <f t="shared" si="55"/>
        <v>E3_5_1_18:0</v>
      </c>
      <c r="K273" s="31" t="str">
        <f t="shared" si="56"/>
        <v>0.00292 - (0.0093 * E3_5_1_18_mRNA)</v>
      </c>
      <c r="L273" s="31" t="str">
        <f t="shared" si="57"/>
        <v>(0.278 * E3_5_1_18_mRNA) - (0.00000278 * E3_5_1_18)</v>
      </c>
      <c r="M273" s="31" t="str">
        <f t="shared" si="58"/>
        <v>mRNA272: -&gt; E3_5_1_18_mRNA | 0.00292 - (0.0093 * E3_5_1_18_mRNA)</v>
      </c>
      <c r="N273" s="31" t="str">
        <f t="shared" si="59"/>
        <v>Peptide272:E3_5_1_18_mRNA -&gt; E3_5_1_18 | (0.278 * E3_5_1_18_mRNA) -  (0.00000278 * E3_5_1_18)</v>
      </c>
    </row>
    <row r="274" spans="1:14" ht="29" x14ac:dyDescent="0.35">
      <c r="A274" s="31">
        <v>273</v>
      </c>
      <c r="B274" s="31" t="s">
        <v>14203</v>
      </c>
      <c r="C274" s="31" t="str">
        <f t="shared" si="48"/>
        <v>E3_5_1_2_mRNA</v>
      </c>
      <c r="D274" s="31" t="str">
        <f t="shared" si="49"/>
        <v>E3_5_1_2</v>
      </c>
      <c r="E274" s="31" t="str">
        <f t="shared" si="50"/>
        <v>E3_5_1_2_Kcat : 13.7</v>
      </c>
      <c r="F274" s="31" t="str">
        <f t="shared" si="51"/>
        <v>E3_5_1_2_Km :1</v>
      </c>
      <c r="G274" s="31" t="str">
        <f t="shared" si="52"/>
        <v>E3_5_1_2_mRNA:E3_5_1_2_mRNA</v>
      </c>
      <c r="H274" s="31" t="str">
        <f t="shared" si="53"/>
        <v>E3_5_1_2:E3_5_1_2</v>
      </c>
      <c r="I274" s="31" t="str">
        <f t="shared" si="54"/>
        <v>E3_5_1_2_mRNA:0</v>
      </c>
      <c r="J274" s="31" t="str">
        <f t="shared" si="55"/>
        <v>E3_5_1_2:0</v>
      </c>
      <c r="K274" s="31" t="str">
        <f t="shared" si="56"/>
        <v>0.00292 - (0.0093 * E3_5_1_2_mRNA)</v>
      </c>
      <c r="L274" s="31" t="str">
        <f t="shared" si="57"/>
        <v>(0.278 * E3_5_1_2_mRNA) - (0.00000278 * E3_5_1_2)</v>
      </c>
      <c r="M274" s="31" t="str">
        <f t="shared" si="58"/>
        <v>mRNA273: -&gt; E3_5_1_2_mRNA | 0.00292 - (0.0093 * E3_5_1_2_mRNA)</v>
      </c>
      <c r="N274" s="31" t="str">
        <f t="shared" si="59"/>
        <v>Peptide273:E3_5_1_2_mRNA -&gt; E3_5_1_2 | (0.278 * E3_5_1_2_mRNA) -  (0.00000278 * E3_5_1_2)</v>
      </c>
    </row>
    <row r="275" spans="1:14" ht="29" x14ac:dyDescent="0.35">
      <c r="A275" s="31">
        <v>274</v>
      </c>
      <c r="B275" s="31" t="s">
        <v>14204</v>
      </c>
      <c r="C275" s="31" t="str">
        <f t="shared" si="48"/>
        <v>E4_3_3_6_mRNA</v>
      </c>
      <c r="D275" s="31" t="str">
        <f t="shared" si="49"/>
        <v>E4_3_3_6</v>
      </c>
      <c r="E275" s="31" t="str">
        <f t="shared" si="50"/>
        <v>E4_3_3_6_Kcat : 13.7</v>
      </c>
      <c r="F275" s="31" t="str">
        <f t="shared" si="51"/>
        <v>E4_3_3_6_Km :1</v>
      </c>
      <c r="G275" s="31" t="str">
        <f t="shared" si="52"/>
        <v>E4_3_3_6_mRNA:E4_3_3_6_mRNA</v>
      </c>
      <c r="H275" s="31" t="str">
        <f t="shared" si="53"/>
        <v>E4_3_3_6:E4_3_3_6</v>
      </c>
      <c r="I275" s="31" t="str">
        <f t="shared" si="54"/>
        <v>E4_3_3_6_mRNA:0</v>
      </c>
      <c r="J275" s="31" t="str">
        <f t="shared" si="55"/>
        <v>E4_3_3_6:0</v>
      </c>
      <c r="K275" s="31" t="str">
        <f t="shared" si="56"/>
        <v>0.00292 - (0.0093 * E4_3_3_6_mRNA)</v>
      </c>
      <c r="L275" s="31" t="str">
        <f t="shared" si="57"/>
        <v>(0.278 * E4_3_3_6_mRNA) - (0.00000278 * E4_3_3_6)</v>
      </c>
      <c r="M275" s="31" t="str">
        <f t="shared" si="58"/>
        <v>mRNA274: -&gt; E4_3_3_6_mRNA | 0.00292 - (0.0093 * E4_3_3_6_mRNA)</v>
      </c>
      <c r="N275" s="31" t="str">
        <f t="shared" si="59"/>
        <v>Peptide274:E4_3_3_6_mRNA -&gt; E4_3_3_6 | (0.278 * E4_3_3_6_mRNA) -  (0.00000278 * E4_3_3_6)</v>
      </c>
    </row>
    <row r="276" spans="1:14" ht="29" x14ac:dyDescent="0.35">
      <c r="A276" s="31">
        <v>275</v>
      </c>
      <c r="B276" s="31" t="s">
        <v>14206</v>
      </c>
      <c r="C276" s="31" t="str">
        <f t="shared" si="48"/>
        <v>E6_3_5_3_mRNA</v>
      </c>
      <c r="D276" s="31" t="str">
        <f t="shared" si="49"/>
        <v>E6_3_5_3</v>
      </c>
      <c r="E276" s="31" t="str">
        <f t="shared" si="50"/>
        <v>E6_3_5_3_Kcat : 13.7</v>
      </c>
      <c r="F276" s="31" t="str">
        <f t="shared" si="51"/>
        <v>E6_3_5_3_Km :1</v>
      </c>
      <c r="G276" s="31" t="str">
        <f t="shared" si="52"/>
        <v>E6_3_5_3_mRNA:E6_3_5_3_mRNA</v>
      </c>
      <c r="H276" s="31" t="str">
        <f t="shared" si="53"/>
        <v>E6_3_5_3:E6_3_5_3</v>
      </c>
      <c r="I276" s="31" t="str">
        <f t="shared" si="54"/>
        <v>E6_3_5_3_mRNA:0</v>
      </c>
      <c r="J276" s="31" t="str">
        <f t="shared" si="55"/>
        <v>E6_3_5_3:0</v>
      </c>
      <c r="K276" s="31" t="str">
        <f t="shared" si="56"/>
        <v>0.00292 - (0.0093 * E6_3_5_3_mRNA)</v>
      </c>
      <c r="L276" s="31" t="str">
        <f t="shared" si="57"/>
        <v>(0.278 * E6_3_5_3_mRNA) - (0.00000278 * E6_3_5_3)</v>
      </c>
      <c r="M276" s="31" t="str">
        <f t="shared" si="58"/>
        <v>mRNA275: -&gt; E6_3_5_3_mRNA | 0.00292 - (0.0093 * E6_3_5_3_mRNA)</v>
      </c>
      <c r="N276" s="31" t="str">
        <f t="shared" si="59"/>
        <v>Peptide275:E6_3_5_3_mRNA -&gt; E6_3_5_3 | (0.278 * E6_3_5_3_mRNA) -  (0.00000278 * E6_3_5_3)</v>
      </c>
    </row>
    <row r="277" spans="1:14" ht="43.5" x14ac:dyDescent="0.35">
      <c r="A277" s="31">
        <v>276</v>
      </c>
      <c r="B277" s="31" t="s">
        <v>14207</v>
      </c>
      <c r="C277" s="31" t="str">
        <f t="shared" si="48"/>
        <v>E3_5_1_25_mRNA</v>
      </c>
      <c r="D277" s="31" t="str">
        <f t="shared" si="49"/>
        <v>E3_5_1_25</v>
      </c>
      <c r="E277" s="31" t="str">
        <f t="shared" si="50"/>
        <v>E3_5_1_25_Kcat : 13.7</v>
      </c>
      <c r="F277" s="31" t="str">
        <f t="shared" si="51"/>
        <v>E3_5_1_25_Km :1</v>
      </c>
      <c r="G277" s="31" t="str">
        <f t="shared" si="52"/>
        <v>E3_5_1_25_mRNA:E3_5_1_25_mRNA</v>
      </c>
      <c r="H277" s="31" t="str">
        <f t="shared" si="53"/>
        <v>E3_5_1_25:E3_5_1_25</v>
      </c>
      <c r="I277" s="31" t="str">
        <f t="shared" si="54"/>
        <v>E3_5_1_25_mRNA:0</v>
      </c>
      <c r="J277" s="31" t="str">
        <f t="shared" si="55"/>
        <v>E3_5_1_25:0</v>
      </c>
      <c r="K277" s="31" t="str">
        <f t="shared" si="56"/>
        <v>0.00292 - (0.0093 * E3_5_1_25_mRNA)</v>
      </c>
      <c r="L277" s="31" t="str">
        <f t="shared" si="57"/>
        <v>(0.278 * E3_5_1_25_mRNA) - (0.00000278 * E3_5_1_25)</v>
      </c>
      <c r="M277" s="31" t="str">
        <f t="shared" si="58"/>
        <v>mRNA276: -&gt; E3_5_1_25_mRNA | 0.00292 - (0.0093 * E3_5_1_25_mRNA)</v>
      </c>
      <c r="N277" s="31" t="str">
        <f t="shared" si="59"/>
        <v>Peptide276:E3_5_1_25_mRNA -&gt; E3_5_1_25 | (0.278 * E3_5_1_25_mRNA) -  (0.00000278 * E3_5_1_25)</v>
      </c>
    </row>
    <row r="278" spans="1:14" ht="29" x14ac:dyDescent="0.35">
      <c r="A278" s="31">
        <v>277</v>
      </c>
      <c r="B278" s="31" t="s">
        <v>14208</v>
      </c>
      <c r="C278" s="31" t="str">
        <f t="shared" si="48"/>
        <v>E3_5_1_5_mRNA</v>
      </c>
      <c r="D278" s="31" t="str">
        <f t="shared" si="49"/>
        <v>E3_5_1_5</v>
      </c>
      <c r="E278" s="31" t="str">
        <f t="shared" si="50"/>
        <v>E3_5_1_5_Kcat : 13.7</v>
      </c>
      <c r="F278" s="31" t="str">
        <f t="shared" si="51"/>
        <v>E3_5_1_5_Km :1</v>
      </c>
      <c r="G278" s="31" t="str">
        <f t="shared" si="52"/>
        <v>E3_5_1_5_mRNA:E3_5_1_5_mRNA</v>
      </c>
      <c r="H278" s="31" t="str">
        <f t="shared" si="53"/>
        <v>E3_5_1_5:E3_5_1_5</v>
      </c>
      <c r="I278" s="31" t="str">
        <f t="shared" si="54"/>
        <v>E3_5_1_5_mRNA:0</v>
      </c>
      <c r="J278" s="31" t="str">
        <f t="shared" si="55"/>
        <v>E3_5_1_5:0</v>
      </c>
      <c r="K278" s="31" t="str">
        <f t="shared" si="56"/>
        <v>0.00292 - (0.0093 * E3_5_1_5_mRNA)</v>
      </c>
      <c r="L278" s="31" t="str">
        <f t="shared" si="57"/>
        <v>(0.278 * E3_5_1_5_mRNA) - (0.00000278 * E3_5_1_5)</v>
      </c>
      <c r="M278" s="31" t="str">
        <f t="shared" si="58"/>
        <v>mRNA277: -&gt; E3_5_1_5_mRNA | 0.00292 - (0.0093 * E3_5_1_5_mRNA)</v>
      </c>
      <c r="N278" s="31" t="str">
        <f t="shared" si="59"/>
        <v>Peptide277:E3_5_1_5_mRNA -&gt; E3_5_1_5 | (0.278 * E3_5_1_5_mRNA) -  (0.00000278 * E3_5_1_5)</v>
      </c>
    </row>
    <row r="279" spans="1:14" ht="43.5" x14ac:dyDescent="0.35">
      <c r="A279" s="31">
        <v>278</v>
      </c>
      <c r="B279" s="31" t="s">
        <v>14209</v>
      </c>
      <c r="C279" s="31" t="str">
        <f t="shared" si="48"/>
        <v>E3_5_1_88_mRNA</v>
      </c>
      <c r="D279" s="31" t="str">
        <f t="shared" si="49"/>
        <v>E3_5_1_88</v>
      </c>
      <c r="E279" s="31" t="str">
        <f t="shared" si="50"/>
        <v>E3_5_1_88_Kcat : 13.7</v>
      </c>
      <c r="F279" s="31" t="str">
        <f t="shared" si="51"/>
        <v>E3_5_1_88_Km :1</v>
      </c>
      <c r="G279" s="31" t="str">
        <f t="shared" si="52"/>
        <v>E3_5_1_88_mRNA:E3_5_1_88_mRNA</v>
      </c>
      <c r="H279" s="31" t="str">
        <f t="shared" si="53"/>
        <v>E3_5_1_88:E3_5_1_88</v>
      </c>
      <c r="I279" s="31" t="str">
        <f t="shared" si="54"/>
        <v>E3_5_1_88_mRNA:0</v>
      </c>
      <c r="J279" s="31" t="str">
        <f t="shared" si="55"/>
        <v>E3_5_1_88:0</v>
      </c>
      <c r="K279" s="31" t="str">
        <f t="shared" si="56"/>
        <v>0.00292 - (0.0093 * E3_5_1_88_mRNA)</v>
      </c>
      <c r="L279" s="31" t="str">
        <f t="shared" si="57"/>
        <v>(0.278 * E3_5_1_88_mRNA) - (0.00000278 * E3_5_1_88)</v>
      </c>
      <c r="M279" s="31" t="str">
        <f t="shared" si="58"/>
        <v>mRNA278: -&gt; E3_5_1_88_mRNA | 0.00292 - (0.0093 * E3_5_1_88_mRNA)</v>
      </c>
      <c r="N279" s="31" t="str">
        <f t="shared" si="59"/>
        <v>Peptide278:E3_5_1_88_mRNA -&gt; E3_5_1_88 | (0.278 * E3_5_1_88_mRNA) -  (0.00000278 * E3_5_1_88)</v>
      </c>
    </row>
    <row r="280" spans="1:14" ht="29" x14ac:dyDescent="0.35">
      <c r="A280" s="31">
        <v>279</v>
      </c>
      <c r="B280" s="31" t="s">
        <v>14210</v>
      </c>
      <c r="C280" s="31" t="str">
        <f t="shared" si="48"/>
        <v>E3_5_2_3_mRNA</v>
      </c>
      <c r="D280" s="31" t="str">
        <f t="shared" si="49"/>
        <v>E3_5_2_3</v>
      </c>
      <c r="E280" s="31" t="str">
        <f t="shared" si="50"/>
        <v>E3_5_2_3_Kcat : 13.7</v>
      </c>
      <c r="F280" s="31" t="str">
        <f t="shared" si="51"/>
        <v>E3_5_2_3_Km :1</v>
      </c>
      <c r="G280" s="31" t="str">
        <f t="shared" si="52"/>
        <v>E3_5_2_3_mRNA:E3_5_2_3_mRNA</v>
      </c>
      <c r="H280" s="31" t="str">
        <f t="shared" si="53"/>
        <v>E3_5_2_3:E3_5_2_3</v>
      </c>
      <c r="I280" s="31" t="str">
        <f t="shared" si="54"/>
        <v>E3_5_2_3_mRNA:0</v>
      </c>
      <c r="J280" s="31" t="str">
        <f t="shared" si="55"/>
        <v>E3_5_2_3:0</v>
      </c>
      <c r="K280" s="31" t="str">
        <f t="shared" si="56"/>
        <v>0.00292 - (0.0093 * E3_5_2_3_mRNA)</v>
      </c>
      <c r="L280" s="31" t="str">
        <f t="shared" si="57"/>
        <v>(0.278 * E3_5_2_3_mRNA) - (0.00000278 * E3_5_2_3)</v>
      </c>
      <c r="M280" s="31" t="str">
        <f t="shared" si="58"/>
        <v>mRNA279: -&gt; E3_5_2_3_mRNA | 0.00292 - (0.0093 * E3_5_2_3_mRNA)</v>
      </c>
      <c r="N280" s="31" t="str">
        <f t="shared" si="59"/>
        <v>Peptide279:E3_5_2_3_mRNA -&gt; E3_5_2_3 | (0.278 * E3_5_2_3_mRNA) -  (0.00000278 * E3_5_2_3)</v>
      </c>
    </row>
    <row r="281" spans="1:14" ht="29" x14ac:dyDescent="0.35">
      <c r="A281" s="31">
        <v>280</v>
      </c>
      <c r="B281" s="31" t="s">
        <v>14211</v>
      </c>
      <c r="C281" s="31" t="str">
        <f t="shared" si="48"/>
        <v>E3_5_2_9_mRNA</v>
      </c>
      <c r="D281" s="31" t="str">
        <f t="shared" si="49"/>
        <v>E3_5_2_9</v>
      </c>
      <c r="E281" s="31" t="str">
        <f t="shared" si="50"/>
        <v>E3_5_2_9_Kcat : 13.7</v>
      </c>
      <c r="F281" s="31" t="str">
        <f t="shared" si="51"/>
        <v>E3_5_2_9_Km :1</v>
      </c>
      <c r="G281" s="31" t="str">
        <f t="shared" si="52"/>
        <v>E3_5_2_9_mRNA:E3_5_2_9_mRNA</v>
      </c>
      <c r="H281" s="31" t="str">
        <f t="shared" si="53"/>
        <v>E3_5_2_9:E3_5_2_9</v>
      </c>
      <c r="I281" s="31" t="str">
        <f t="shared" si="54"/>
        <v>E3_5_2_9_mRNA:0</v>
      </c>
      <c r="J281" s="31" t="str">
        <f t="shared" si="55"/>
        <v>E3_5_2_9:0</v>
      </c>
      <c r="K281" s="31" t="str">
        <f t="shared" si="56"/>
        <v>0.00292 - (0.0093 * E3_5_2_9_mRNA)</v>
      </c>
      <c r="L281" s="31" t="str">
        <f t="shared" si="57"/>
        <v>(0.278 * E3_5_2_9_mRNA) - (0.00000278 * E3_5_2_9)</v>
      </c>
      <c r="M281" s="31" t="str">
        <f t="shared" si="58"/>
        <v>mRNA280: -&gt; E3_5_2_9_mRNA | 0.00292 - (0.0093 * E3_5_2_9_mRNA)</v>
      </c>
      <c r="N281" s="31" t="str">
        <f t="shared" si="59"/>
        <v>Peptide280:E3_5_2_9_mRNA -&gt; E3_5_2_9 | (0.278 * E3_5_2_9_mRNA) -  (0.00000278 * E3_5_2_9)</v>
      </c>
    </row>
    <row r="282" spans="1:14" ht="43.5" x14ac:dyDescent="0.35">
      <c r="A282" s="31">
        <v>281</v>
      </c>
      <c r="B282" s="31" t="s">
        <v>14212</v>
      </c>
      <c r="C282" s="31" t="str">
        <f t="shared" si="48"/>
        <v>E3_5_4_13_mRNA</v>
      </c>
      <c r="D282" s="31" t="str">
        <f t="shared" si="49"/>
        <v>E3_5_4_13</v>
      </c>
      <c r="E282" s="31" t="str">
        <f t="shared" si="50"/>
        <v>E3_5_4_13_Kcat : 13.7</v>
      </c>
      <c r="F282" s="31" t="str">
        <f t="shared" si="51"/>
        <v>E3_5_4_13_Km :1</v>
      </c>
      <c r="G282" s="31" t="str">
        <f t="shared" si="52"/>
        <v>E3_5_4_13_mRNA:E3_5_4_13_mRNA</v>
      </c>
      <c r="H282" s="31" t="str">
        <f t="shared" si="53"/>
        <v>E3_5_4_13:E3_5_4_13</v>
      </c>
      <c r="I282" s="31" t="str">
        <f t="shared" si="54"/>
        <v>E3_5_4_13_mRNA:0</v>
      </c>
      <c r="J282" s="31" t="str">
        <f t="shared" si="55"/>
        <v>E3_5_4_13:0</v>
      </c>
      <c r="K282" s="31" t="str">
        <f t="shared" si="56"/>
        <v>0.00292 - (0.0093 * E3_5_4_13_mRNA)</v>
      </c>
      <c r="L282" s="31" t="str">
        <f t="shared" si="57"/>
        <v>(0.278 * E3_5_4_13_mRNA) - (0.00000278 * E3_5_4_13)</v>
      </c>
      <c r="M282" s="31" t="str">
        <f t="shared" si="58"/>
        <v>mRNA281: -&gt; E3_5_4_13_mRNA | 0.00292 - (0.0093 * E3_5_4_13_mRNA)</v>
      </c>
      <c r="N282" s="31" t="str">
        <f t="shared" si="59"/>
        <v>Peptide281:E3_5_4_13_mRNA -&gt; E3_5_4_13 | (0.278 * E3_5_4_13_mRNA) -  (0.00000278 * E3_5_4_13)</v>
      </c>
    </row>
    <row r="283" spans="1:14" ht="43.5" x14ac:dyDescent="0.35">
      <c r="A283" s="31">
        <v>282</v>
      </c>
      <c r="B283" s="31" t="s">
        <v>14213</v>
      </c>
      <c r="C283" s="31" t="str">
        <f t="shared" si="48"/>
        <v>E3_5_4_16_mRNA</v>
      </c>
      <c r="D283" s="31" t="str">
        <f t="shared" si="49"/>
        <v>E3_5_4_16</v>
      </c>
      <c r="E283" s="31" t="str">
        <f t="shared" si="50"/>
        <v>E3_5_4_16_Kcat : 13.7</v>
      </c>
      <c r="F283" s="31" t="str">
        <f t="shared" si="51"/>
        <v>E3_5_4_16_Km :1</v>
      </c>
      <c r="G283" s="31" t="str">
        <f t="shared" si="52"/>
        <v>E3_5_4_16_mRNA:E3_5_4_16_mRNA</v>
      </c>
      <c r="H283" s="31" t="str">
        <f t="shared" si="53"/>
        <v>E3_5_4_16:E3_5_4_16</v>
      </c>
      <c r="I283" s="31" t="str">
        <f t="shared" si="54"/>
        <v>E3_5_4_16_mRNA:0</v>
      </c>
      <c r="J283" s="31" t="str">
        <f t="shared" si="55"/>
        <v>E3_5_4_16:0</v>
      </c>
      <c r="K283" s="31" t="str">
        <f t="shared" si="56"/>
        <v>0.00292 - (0.0093 * E3_5_4_16_mRNA)</v>
      </c>
      <c r="L283" s="31" t="str">
        <f t="shared" si="57"/>
        <v>(0.278 * E3_5_4_16_mRNA) - (0.00000278 * E3_5_4_16)</v>
      </c>
      <c r="M283" s="31" t="str">
        <f t="shared" si="58"/>
        <v>mRNA282: -&gt; E3_5_4_16_mRNA | 0.00292 - (0.0093 * E3_5_4_16_mRNA)</v>
      </c>
      <c r="N283" s="31" t="str">
        <f t="shared" si="59"/>
        <v>Peptide282:E3_5_4_16_mRNA -&gt; E3_5_4_16 | (0.278 * E3_5_4_16_mRNA) -  (0.00000278 * E3_5_4_16)</v>
      </c>
    </row>
    <row r="284" spans="1:14" ht="43.5" x14ac:dyDescent="0.35">
      <c r="A284" s="31">
        <v>283</v>
      </c>
      <c r="B284" s="31" t="s">
        <v>14214</v>
      </c>
      <c r="C284" s="31" t="str">
        <f t="shared" si="48"/>
        <v>E3_5_4_19_mRNA</v>
      </c>
      <c r="D284" s="31" t="str">
        <f t="shared" si="49"/>
        <v>E3_5_4_19</v>
      </c>
      <c r="E284" s="31" t="str">
        <f t="shared" si="50"/>
        <v>E3_5_4_19_Kcat : 13.7</v>
      </c>
      <c r="F284" s="31" t="str">
        <f t="shared" si="51"/>
        <v>E3_5_4_19_Km :1</v>
      </c>
      <c r="G284" s="31" t="str">
        <f t="shared" si="52"/>
        <v>E3_5_4_19_mRNA:E3_5_4_19_mRNA</v>
      </c>
      <c r="H284" s="31" t="str">
        <f t="shared" si="53"/>
        <v>E3_5_4_19:E3_5_4_19</v>
      </c>
      <c r="I284" s="31" t="str">
        <f t="shared" si="54"/>
        <v>E3_5_4_19_mRNA:0</v>
      </c>
      <c r="J284" s="31" t="str">
        <f t="shared" si="55"/>
        <v>E3_5_4_19:0</v>
      </c>
      <c r="K284" s="31" t="str">
        <f t="shared" si="56"/>
        <v>0.00292 - (0.0093 * E3_5_4_19_mRNA)</v>
      </c>
      <c r="L284" s="31" t="str">
        <f t="shared" si="57"/>
        <v>(0.278 * E3_5_4_19_mRNA) - (0.00000278 * E3_5_4_19)</v>
      </c>
      <c r="M284" s="31" t="str">
        <f t="shared" si="58"/>
        <v>mRNA283: -&gt; E3_5_4_19_mRNA | 0.00292 - (0.0093 * E3_5_4_19_mRNA)</v>
      </c>
      <c r="N284" s="31" t="str">
        <f t="shared" si="59"/>
        <v>Peptide283:E3_5_4_19_mRNA -&gt; E3_5_4_19 | (0.278 * E3_5_4_19_mRNA) -  (0.00000278 * E3_5_4_19)</v>
      </c>
    </row>
    <row r="285" spans="1:14" ht="43.5" x14ac:dyDescent="0.35">
      <c r="A285" s="31">
        <v>284</v>
      </c>
      <c r="B285" s="31" t="s">
        <v>14215</v>
      </c>
      <c r="C285" s="31" t="str">
        <f t="shared" si="48"/>
        <v>E3_5_4_25 _mRNA</v>
      </c>
      <c r="D285" s="31" t="str">
        <f t="shared" si="49"/>
        <v xml:space="preserve">E3_5_4_25 </v>
      </c>
      <c r="E285" s="31" t="str">
        <f t="shared" si="50"/>
        <v>E3_5_4_25 _Kcat : 13.7</v>
      </c>
      <c r="F285" s="31" t="str">
        <f t="shared" si="51"/>
        <v>E3_5_4_25 _Km :1</v>
      </c>
      <c r="G285" s="31" t="str">
        <f t="shared" si="52"/>
        <v>E3_5_4_25 _mRNA:E3_5_4_25 _mRNA</v>
      </c>
      <c r="H285" s="31" t="str">
        <f t="shared" si="53"/>
        <v xml:space="preserve">E3_5_4_25 :E3_5_4_25 </v>
      </c>
      <c r="I285" s="31" t="str">
        <f t="shared" si="54"/>
        <v>E3_5_4_25 _mRNA:0</v>
      </c>
      <c r="J285" s="31" t="str">
        <f t="shared" si="55"/>
        <v>E3_5_4_25 :0</v>
      </c>
      <c r="K285" s="31" t="str">
        <f t="shared" si="56"/>
        <v>0.00292 - (0.0093 * E3_5_4_25 _mRNA)</v>
      </c>
      <c r="L285" s="31" t="str">
        <f t="shared" si="57"/>
        <v>(0.278 * E3_5_4_25 _mRNA) - (0.00000278 * E3_5_4_25 )</v>
      </c>
      <c r="M285" s="31" t="str">
        <f t="shared" si="58"/>
        <v>mRNA284: -&gt; E3_5_4_25 _mRNA | 0.00292 - (0.0093 * E3_5_4_25 _mRNA)</v>
      </c>
      <c r="N285" s="31" t="str">
        <f t="shared" si="59"/>
        <v>Peptide284:E3_5_4_25 _mRNA -&gt; E3_5_4_25  | (0.278 * E3_5_4_25 _mRNA) -  (0.00000278 * E3_5_4_25 )</v>
      </c>
    </row>
    <row r="286" spans="1:14" ht="43.5" x14ac:dyDescent="0.35">
      <c r="A286" s="31">
        <v>285</v>
      </c>
      <c r="B286" s="31" t="s">
        <v>14216</v>
      </c>
      <c r="C286" s="31" t="str">
        <f t="shared" si="48"/>
        <v>E4_1_99_12_mRNA</v>
      </c>
      <c r="D286" s="31" t="str">
        <f t="shared" si="49"/>
        <v>E4_1_99_12</v>
      </c>
      <c r="E286" s="31" t="str">
        <f t="shared" si="50"/>
        <v>E4_1_99_12_Kcat : 13.7</v>
      </c>
      <c r="F286" s="31" t="str">
        <f t="shared" si="51"/>
        <v>E4_1_99_12_Km :1</v>
      </c>
      <c r="G286" s="31" t="str">
        <f t="shared" si="52"/>
        <v>E4_1_99_12_mRNA:E4_1_99_12_mRNA</v>
      </c>
      <c r="H286" s="31" t="str">
        <f t="shared" si="53"/>
        <v>E4_1_99_12:E4_1_99_12</v>
      </c>
      <c r="I286" s="31" t="str">
        <f t="shared" si="54"/>
        <v>E4_1_99_12_mRNA:0</v>
      </c>
      <c r="J286" s="31" t="str">
        <f t="shared" si="55"/>
        <v>E4_1_99_12:0</v>
      </c>
      <c r="K286" s="31" t="str">
        <f t="shared" si="56"/>
        <v>0.00292 - (0.0093 * E4_1_99_12_mRNA)</v>
      </c>
      <c r="L286" s="31" t="str">
        <f t="shared" si="57"/>
        <v>(0.278 * E4_1_99_12_mRNA) - (0.00000278 * E4_1_99_12)</v>
      </c>
      <c r="M286" s="31" t="str">
        <f t="shared" si="58"/>
        <v>mRNA285: -&gt; E4_1_99_12_mRNA | 0.00292 - (0.0093 * E4_1_99_12_mRNA)</v>
      </c>
      <c r="N286" s="31" t="str">
        <f t="shared" si="59"/>
        <v>Peptide285:E4_1_99_12_mRNA -&gt; E4_1_99_12 | (0.278 * E4_1_99_12_mRNA) -  (0.00000278 * E4_1_99_12)</v>
      </c>
    </row>
    <row r="287" spans="1:14" ht="43.5" x14ac:dyDescent="0.35">
      <c r="A287" s="31">
        <v>286</v>
      </c>
      <c r="B287" s="31" t="s">
        <v>14217</v>
      </c>
      <c r="C287" s="31" t="str">
        <f t="shared" si="48"/>
        <v>E3_5_4_33_mRNA</v>
      </c>
      <c r="D287" s="31" t="str">
        <f t="shared" si="49"/>
        <v>E3_5_4_33</v>
      </c>
      <c r="E287" s="31" t="str">
        <f t="shared" si="50"/>
        <v>E3_5_4_33_Kcat : 13.7</v>
      </c>
      <c r="F287" s="31" t="str">
        <f t="shared" si="51"/>
        <v>E3_5_4_33_Km :1</v>
      </c>
      <c r="G287" s="31" t="str">
        <f t="shared" si="52"/>
        <v>E3_5_4_33_mRNA:E3_5_4_33_mRNA</v>
      </c>
      <c r="H287" s="31" t="str">
        <f t="shared" si="53"/>
        <v>E3_5_4_33:E3_5_4_33</v>
      </c>
      <c r="I287" s="31" t="str">
        <f t="shared" si="54"/>
        <v>E3_5_4_33_mRNA:0</v>
      </c>
      <c r="J287" s="31" t="str">
        <f t="shared" si="55"/>
        <v>E3_5_4_33:0</v>
      </c>
      <c r="K287" s="31" t="str">
        <f t="shared" si="56"/>
        <v>0.00292 - (0.0093 * E3_5_4_33_mRNA)</v>
      </c>
      <c r="L287" s="31" t="str">
        <f t="shared" si="57"/>
        <v>(0.278 * E3_5_4_33_mRNA) - (0.00000278 * E3_5_4_33)</v>
      </c>
      <c r="M287" s="31" t="str">
        <f t="shared" si="58"/>
        <v>mRNA286: -&gt; E3_5_4_33_mRNA | 0.00292 - (0.0093 * E3_5_4_33_mRNA)</v>
      </c>
      <c r="N287" s="31" t="str">
        <f t="shared" si="59"/>
        <v>Peptide286:E3_5_4_33_mRNA -&gt; E3_5_4_33 | (0.278 * E3_5_4_33_mRNA) -  (0.00000278 * E3_5_4_33)</v>
      </c>
    </row>
    <row r="288" spans="1:14" ht="43.5" x14ac:dyDescent="0.35">
      <c r="A288" s="31">
        <v>287</v>
      </c>
      <c r="B288" s="31" t="s">
        <v>14218</v>
      </c>
      <c r="C288" s="31" t="str">
        <f t="shared" si="48"/>
        <v>E3_5_99_6_mRNA</v>
      </c>
      <c r="D288" s="31" t="str">
        <f t="shared" si="49"/>
        <v>E3_5_99_6</v>
      </c>
      <c r="E288" s="31" t="str">
        <f t="shared" si="50"/>
        <v>E3_5_99_6_Kcat : 13.7</v>
      </c>
      <c r="F288" s="31" t="str">
        <f t="shared" si="51"/>
        <v>E3_5_99_6_Km :1</v>
      </c>
      <c r="G288" s="31" t="str">
        <f t="shared" si="52"/>
        <v>E3_5_99_6_mRNA:E3_5_99_6_mRNA</v>
      </c>
      <c r="H288" s="31" t="str">
        <f t="shared" si="53"/>
        <v>E3_5_99_6:E3_5_99_6</v>
      </c>
      <c r="I288" s="31" t="str">
        <f t="shared" si="54"/>
        <v>E3_5_99_6_mRNA:0</v>
      </c>
      <c r="J288" s="31" t="str">
        <f t="shared" si="55"/>
        <v>E3_5_99_6:0</v>
      </c>
      <c r="K288" s="31" t="str">
        <f t="shared" si="56"/>
        <v>0.00292 - (0.0093 * E3_5_99_6_mRNA)</v>
      </c>
      <c r="L288" s="31" t="str">
        <f t="shared" si="57"/>
        <v>(0.278 * E3_5_99_6_mRNA) - (0.00000278 * E3_5_99_6)</v>
      </c>
      <c r="M288" s="31" t="str">
        <f t="shared" si="58"/>
        <v>mRNA287: -&gt; E3_5_99_6_mRNA | 0.00292 - (0.0093 * E3_5_99_6_mRNA)</v>
      </c>
      <c r="N288" s="31" t="str">
        <f t="shared" si="59"/>
        <v>Peptide287:E3_5_99_6_mRNA -&gt; E3_5_99_6 | (0.278 * E3_5_99_6_mRNA) -  (0.00000278 * E3_5_99_6)</v>
      </c>
    </row>
    <row r="289" spans="1:14" ht="29" x14ac:dyDescent="0.35">
      <c r="A289" s="31">
        <v>288</v>
      </c>
      <c r="B289" s="31" t="s">
        <v>14219</v>
      </c>
      <c r="C289" s="31" t="str">
        <f t="shared" si="48"/>
        <v>E3_6_1_1_mRNA</v>
      </c>
      <c r="D289" s="31" t="str">
        <f t="shared" si="49"/>
        <v>E3_6_1_1</v>
      </c>
      <c r="E289" s="31" t="str">
        <f t="shared" si="50"/>
        <v>E3_6_1_1_Kcat : 13.7</v>
      </c>
      <c r="F289" s="31" t="str">
        <f t="shared" si="51"/>
        <v>E3_6_1_1_Km :1</v>
      </c>
      <c r="G289" s="31" t="str">
        <f t="shared" si="52"/>
        <v>E3_6_1_1_mRNA:E3_6_1_1_mRNA</v>
      </c>
      <c r="H289" s="31" t="str">
        <f t="shared" si="53"/>
        <v>E3_6_1_1:E3_6_1_1</v>
      </c>
      <c r="I289" s="31" t="str">
        <f t="shared" si="54"/>
        <v>E3_6_1_1_mRNA:0</v>
      </c>
      <c r="J289" s="31" t="str">
        <f t="shared" si="55"/>
        <v>E3_6_1_1:0</v>
      </c>
      <c r="K289" s="31" t="str">
        <f t="shared" si="56"/>
        <v>0.00292 - (0.0093 * E3_6_1_1_mRNA)</v>
      </c>
      <c r="L289" s="31" t="str">
        <f t="shared" si="57"/>
        <v>(0.278 * E3_6_1_1_mRNA) - (0.00000278 * E3_6_1_1)</v>
      </c>
      <c r="M289" s="31" t="str">
        <f t="shared" si="58"/>
        <v>mRNA288: -&gt; E3_6_1_1_mRNA | 0.00292 - (0.0093 * E3_6_1_1_mRNA)</v>
      </c>
      <c r="N289" s="31" t="str">
        <f t="shared" si="59"/>
        <v>Peptide288:E3_6_1_1_mRNA -&gt; E3_6_1_1 | (0.278 * E3_6_1_1_mRNA) -  (0.00000278 * E3_6_1_1)</v>
      </c>
    </row>
    <row r="290" spans="1:14" ht="43.5" x14ac:dyDescent="0.35">
      <c r="A290" s="31">
        <v>289</v>
      </c>
      <c r="B290" s="31" t="s">
        <v>14220</v>
      </c>
      <c r="C290" s="31" t="str">
        <f t="shared" si="48"/>
        <v>E3_6_1_23_mRNA</v>
      </c>
      <c r="D290" s="31" t="str">
        <f t="shared" si="49"/>
        <v>E3_6_1_23</v>
      </c>
      <c r="E290" s="31" t="str">
        <f t="shared" si="50"/>
        <v>E3_6_1_23_Kcat : 13.7</v>
      </c>
      <c r="F290" s="31" t="str">
        <f t="shared" si="51"/>
        <v>E3_6_1_23_Km :1</v>
      </c>
      <c r="G290" s="31" t="str">
        <f t="shared" si="52"/>
        <v>E3_6_1_23_mRNA:E3_6_1_23_mRNA</v>
      </c>
      <c r="H290" s="31" t="str">
        <f t="shared" si="53"/>
        <v>E3_6_1_23:E3_6_1_23</v>
      </c>
      <c r="I290" s="31" t="str">
        <f t="shared" si="54"/>
        <v>E3_6_1_23_mRNA:0</v>
      </c>
      <c r="J290" s="31" t="str">
        <f t="shared" si="55"/>
        <v>E3_6_1_23:0</v>
      </c>
      <c r="K290" s="31" t="str">
        <f t="shared" si="56"/>
        <v>0.00292 - (0.0093 * E3_6_1_23_mRNA)</v>
      </c>
      <c r="L290" s="31" t="str">
        <f t="shared" si="57"/>
        <v>(0.278 * E3_6_1_23_mRNA) - (0.00000278 * E3_6_1_23)</v>
      </c>
      <c r="M290" s="31" t="str">
        <f t="shared" si="58"/>
        <v>mRNA289: -&gt; E3_6_1_23_mRNA | 0.00292 - (0.0093 * E3_6_1_23_mRNA)</v>
      </c>
      <c r="N290" s="31" t="str">
        <f t="shared" si="59"/>
        <v>Peptide289:E3_6_1_23_mRNA -&gt; E3_6_1_23 | (0.278 * E3_6_1_23_mRNA) -  (0.00000278 * E3_6_1_23)</v>
      </c>
    </row>
    <row r="291" spans="1:14" ht="43.5" x14ac:dyDescent="0.35">
      <c r="A291" s="31">
        <v>290</v>
      </c>
      <c r="B291" s="31" t="s">
        <v>14221</v>
      </c>
      <c r="C291" s="31" t="str">
        <f t="shared" si="48"/>
        <v>E3_6_1_25_mRNA</v>
      </c>
      <c r="D291" s="31" t="str">
        <f t="shared" si="49"/>
        <v>E3_6_1_25</v>
      </c>
      <c r="E291" s="31" t="str">
        <f t="shared" si="50"/>
        <v>E3_6_1_25_Kcat : 13.7</v>
      </c>
      <c r="F291" s="31" t="str">
        <f t="shared" si="51"/>
        <v>E3_6_1_25_Km :1</v>
      </c>
      <c r="G291" s="31" t="str">
        <f t="shared" si="52"/>
        <v>E3_6_1_25_mRNA:E3_6_1_25_mRNA</v>
      </c>
      <c r="H291" s="31" t="str">
        <f t="shared" si="53"/>
        <v>E3_6_1_25:E3_6_1_25</v>
      </c>
      <c r="I291" s="31" t="str">
        <f t="shared" si="54"/>
        <v>E3_6_1_25_mRNA:0</v>
      </c>
      <c r="J291" s="31" t="str">
        <f t="shared" si="55"/>
        <v>E3_6_1_25:0</v>
      </c>
      <c r="K291" s="31" t="str">
        <f t="shared" si="56"/>
        <v>0.00292 - (0.0093 * E3_6_1_25_mRNA)</v>
      </c>
      <c r="L291" s="31" t="str">
        <f t="shared" si="57"/>
        <v>(0.278 * E3_6_1_25_mRNA) - (0.00000278 * E3_6_1_25)</v>
      </c>
      <c r="M291" s="31" t="str">
        <f t="shared" si="58"/>
        <v>mRNA290: -&gt; E3_6_1_25_mRNA | 0.00292 - (0.0093 * E3_6_1_25_mRNA)</v>
      </c>
      <c r="N291" s="31" t="str">
        <f t="shared" si="59"/>
        <v>Peptide290:E3_6_1_25_mRNA -&gt; E3_6_1_25 | (0.278 * E3_6_1_25_mRNA) -  (0.00000278 * E3_6_1_25)</v>
      </c>
    </row>
    <row r="292" spans="1:14" ht="43.5" x14ac:dyDescent="0.35">
      <c r="A292" s="31">
        <v>291</v>
      </c>
      <c r="B292" s="31" t="s">
        <v>14222</v>
      </c>
      <c r="C292" s="31" t="str">
        <f t="shared" si="48"/>
        <v>E3_6_1_27_mRNA</v>
      </c>
      <c r="D292" s="31" t="str">
        <f t="shared" si="49"/>
        <v>E3_6_1_27</v>
      </c>
      <c r="E292" s="31" t="str">
        <f t="shared" si="50"/>
        <v>E3_6_1_27_Kcat : 13.7</v>
      </c>
      <c r="F292" s="31" t="str">
        <f t="shared" si="51"/>
        <v>E3_6_1_27_Km :1</v>
      </c>
      <c r="G292" s="31" t="str">
        <f t="shared" si="52"/>
        <v>E3_6_1_27_mRNA:E3_6_1_27_mRNA</v>
      </c>
      <c r="H292" s="31" t="str">
        <f t="shared" si="53"/>
        <v>E3_6_1_27:E3_6_1_27</v>
      </c>
      <c r="I292" s="31" t="str">
        <f t="shared" si="54"/>
        <v>E3_6_1_27_mRNA:0</v>
      </c>
      <c r="J292" s="31" t="str">
        <f t="shared" si="55"/>
        <v>E3_6_1_27:0</v>
      </c>
      <c r="K292" s="31" t="str">
        <f t="shared" si="56"/>
        <v>0.00292 - (0.0093 * E3_6_1_27_mRNA)</v>
      </c>
      <c r="L292" s="31" t="str">
        <f t="shared" si="57"/>
        <v>(0.278 * E3_6_1_27_mRNA) - (0.00000278 * E3_6_1_27)</v>
      </c>
      <c r="M292" s="31" t="str">
        <f t="shared" si="58"/>
        <v>mRNA291: -&gt; E3_6_1_27_mRNA | 0.00292 - (0.0093 * E3_6_1_27_mRNA)</v>
      </c>
      <c r="N292" s="31" t="str">
        <f t="shared" si="59"/>
        <v>Peptide291:E3_6_1_27_mRNA -&gt; E3_6_1_27 | (0.278 * E3_6_1_27_mRNA) -  (0.00000278 * E3_6_1_27)</v>
      </c>
    </row>
    <row r="293" spans="1:14" ht="43.5" x14ac:dyDescent="0.35">
      <c r="A293" s="31">
        <v>292</v>
      </c>
      <c r="B293" s="31" t="s">
        <v>14223</v>
      </c>
      <c r="C293" s="31" t="str">
        <f t="shared" si="48"/>
        <v>E3_6_1_31_mRNA</v>
      </c>
      <c r="D293" s="31" t="str">
        <f t="shared" si="49"/>
        <v>E3_6_1_31</v>
      </c>
      <c r="E293" s="31" t="str">
        <f t="shared" si="50"/>
        <v>E3_6_1_31_Kcat : 13.7</v>
      </c>
      <c r="F293" s="31" t="str">
        <f t="shared" si="51"/>
        <v>E3_6_1_31_Km :1</v>
      </c>
      <c r="G293" s="31" t="str">
        <f t="shared" si="52"/>
        <v>E3_6_1_31_mRNA:E3_6_1_31_mRNA</v>
      </c>
      <c r="H293" s="31" t="str">
        <f t="shared" si="53"/>
        <v>E3_6_1_31:E3_6_1_31</v>
      </c>
      <c r="I293" s="31" t="str">
        <f t="shared" si="54"/>
        <v>E3_6_1_31_mRNA:0</v>
      </c>
      <c r="J293" s="31" t="str">
        <f t="shared" si="55"/>
        <v>E3_6_1_31:0</v>
      </c>
      <c r="K293" s="31" t="str">
        <f t="shared" si="56"/>
        <v>0.00292 - (0.0093 * E3_6_1_31_mRNA)</v>
      </c>
      <c r="L293" s="31" t="str">
        <f t="shared" si="57"/>
        <v>(0.278 * E3_6_1_31_mRNA) - (0.00000278 * E3_6_1_31)</v>
      </c>
      <c r="M293" s="31" t="str">
        <f t="shared" si="58"/>
        <v>mRNA292: -&gt; E3_6_1_31_mRNA | 0.00292 - (0.0093 * E3_6_1_31_mRNA)</v>
      </c>
      <c r="N293" s="31" t="str">
        <f t="shared" si="59"/>
        <v>Peptide292:E3_6_1_31_mRNA -&gt; E3_6_1_31 | (0.278 * E3_6_1_31_mRNA) -  (0.00000278 * E3_6_1_31)</v>
      </c>
    </row>
    <row r="294" spans="1:14" ht="43.5" x14ac:dyDescent="0.35">
      <c r="A294" s="31">
        <v>293</v>
      </c>
      <c r="B294" s="31" t="s">
        <v>14224</v>
      </c>
      <c r="C294" s="31" t="str">
        <f t="shared" si="48"/>
        <v>E3_6_1_66_mRNA</v>
      </c>
      <c r="D294" s="31" t="str">
        <f t="shared" si="49"/>
        <v>E3_6_1_66</v>
      </c>
      <c r="E294" s="31" t="str">
        <f t="shared" si="50"/>
        <v>E3_6_1_66_Kcat : 13.7</v>
      </c>
      <c r="F294" s="31" t="str">
        <f t="shared" si="51"/>
        <v>E3_6_1_66_Km :1</v>
      </c>
      <c r="G294" s="31" t="str">
        <f t="shared" si="52"/>
        <v>E3_6_1_66_mRNA:E3_6_1_66_mRNA</v>
      </c>
      <c r="H294" s="31" t="str">
        <f t="shared" si="53"/>
        <v>E3_6_1_66:E3_6_1_66</v>
      </c>
      <c r="I294" s="31" t="str">
        <f t="shared" si="54"/>
        <v>E3_6_1_66_mRNA:0</v>
      </c>
      <c r="J294" s="31" t="str">
        <f t="shared" si="55"/>
        <v>E3_6_1_66:0</v>
      </c>
      <c r="K294" s="31" t="str">
        <f t="shared" si="56"/>
        <v>0.00292 - (0.0093 * E3_6_1_66_mRNA)</v>
      </c>
      <c r="L294" s="31" t="str">
        <f t="shared" si="57"/>
        <v>(0.278 * E3_6_1_66_mRNA) - (0.00000278 * E3_6_1_66)</v>
      </c>
      <c r="M294" s="31" t="str">
        <f t="shared" si="58"/>
        <v>mRNA293: -&gt; E3_6_1_66_mRNA | 0.00292 - (0.0093 * E3_6_1_66_mRNA)</v>
      </c>
      <c r="N294" s="31" t="str">
        <f t="shared" si="59"/>
        <v>Peptide293:E3_6_1_66_mRNA -&gt; E3_6_1_66 | (0.278 * E3_6_1_66_mRNA) -  (0.00000278 * E3_6_1_66)</v>
      </c>
    </row>
    <row r="295" spans="1:14" ht="29" x14ac:dyDescent="0.35">
      <c r="A295" s="31">
        <v>294</v>
      </c>
      <c r="B295" s="31" t="s">
        <v>14225</v>
      </c>
      <c r="C295" s="31" t="str">
        <f t="shared" si="48"/>
        <v>E3_6_1_7_mRNA</v>
      </c>
      <c r="D295" s="31" t="str">
        <f t="shared" si="49"/>
        <v>E3_6_1_7</v>
      </c>
      <c r="E295" s="31" t="str">
        <f t="shared" si="50"/>
        <v>E3_6_1_7_Kcat : 13.7</v>
      </c>
      <c r="F295" s="31" t="str">
        <f t="shared" si="51"/>
        <v>E3_6_1_7_Km :1</v>
      </c>
      <c r="G295" s="31" t="str">
        <f t="shared" si="52"/>
        <v>E3_6_1_7_mRNA:E3_6_1_7_mRNA</v>
      </c>
      <c r="H295" s="31" t="str">
        <f t="shared" si="53"/>
        <v>E3_6_1_7:E3_6_1_7</v>
      </c>
      <c r="I295" s="31" t="str">
        <f t="shared" si="54"/>
        <v>E3_6_1_7_mRNA:0</v>
      </c>
      <c r="J295" s="31" t="str">
        <f t="shared" si="55"/>
        <v>E3_6_1_7:0</v>
      </c>
      <c r="K295" s="31" t="str">
        <f t="shared" si="56"/>
        <v>0.00292 - (0.0093 * E3_6_1_7_mRNA)</v>
      </c>
      <c r="L295" s="31" t="str">
        <f t="shared" si="57"/>
        <v>(0.278 * E3_6_1_7_mRNA) - (0.00000278 * E3_6_1_7)</v>
      </c>
      <c r="M295" s="31" t="str">
        <f t="shared" si="58"/>
        <v>mRNA294: -&gt; E3_6_1_7_mRNA | 0.00292 - (0.0093 * E3_6_1_7_mRNA)</v>
      </c>
      <c r="N295" s="31" t="str">
        <f t="shared" si="59"/>
        <v>Peptide294:E3_6_1_7_mRNA -&gt; E3_6_1_7 | (0.278 * E3_6_1_7_mRNA) -  (0.00000278 * E3_6_1_7)</v>
      </c>
    </row>
    <row r="296" spans="1:14" ht="29" x14ac:dyDescent="0.35">
      <c r="A296" s="31">
        <v>295</v>
      </c>
      <c r="B296" s="31" t="s">
        <v>14226</v>
      </c>
      <c r="C296" s="31" t="str">
        <f t="shared" si="48"/>
        <v>E3_6_1_9_mRNA</v>
      </c>
      <c r="D296" s="31" t="str">
        <f t="shared" si="49"/>
        <v>E3_6_1_9</v>
      </c>
      <c r="E296" s="31" t="str">
        <f t="shared" si="50"/>
        <v>E3_6_1_9_Kcat : 13.7</v>
      </c>
      <c r="F296" s="31" t="str">
        <f t="shared" si="51"/>
        <v>E3_6_1_9_Km :1</v>
      </c>
      <c r="G296" s="31" t="str">
        <f t="shared" si="52"/>
        <v>E3_6_1_9_mRNA:E3_6_1_9_mRNA</v>
      </c>
      <c r="H296" s="31" t="str">
        <f t="shared" si="53"/>
        <v>E3_6_1_9:E3_6_1_9</v>
      </c>
      <c r="I296" s="31" t="str">
        <f t="shared" si="54"/>
        <v>E3_6_1_9_mRNA:0</v>
      </c>
      <c r="J296" s="31" t="str">
        <f t="shared" si="55"/>
        <v>E3_6_1_9:0</v>
      </c>
      <c r="K296" s="31" t="str">
        <f t="shared" si="56"/>
        <v>0.00292 - (0.0093 * E3_6_1_9_mRNA)</v>
      </c>
      <c r="L296" s="31" t="str">
        <f t="shared" si="57"/>
        <v>(0.278 * E3_6_1_9_mRNA) - (0.00000278 * E3_6_1_9)</v>
      </c>
      <c r="M296" s="31" t="str">
        <f t="shared" si="58"/>
        <v>mRNA295: -&gt; E3_6_1_9_mRNA | 0.00292 - (0.0093 * E3_6_1_9_mRNA)</v>
      </c>
      <c r="N296" s="31" t="str">
        <f t="shared" si="59"/>
        <v>Peptide295:E3_6_1_9_mRNA -&gt; E3_6_1_9 | (0.278 * E3_6_1_9_mRNA) -  (0.00000278 * E3_6_1_9)</v>
      </c>
    </row>
    <row r="297" spans="1:14" ht="29" x14ac:dyDescent="0.35">
      <c r="A297" s="31">
        <v>296</v>
      </c>
      <c r="B297" s="31" t="s">
        <v>14227</v>
      </c>
      <c r="C297" s="31" t="str">
        <f t="shared" si="48"/>
        <v>E5_6_2_5_mRNA</v>
      </c>
      <c r="D297" s="31" t="str">
        <f t="shared" si="49"/>
        <v>E5_6_2_5</v>
      </c>
      <c r="E297" s="31" t="str">
        <f t="shared" si="50"/>
        <v>E5_6_2_5_Kcat : 13.7</v>
      </c>
      <c r="F297" s="31" t="str">
        <f t="shared" si="51"/>
        <v>E5_6_2_5_Km :1</v>
      </c>
      <c r="G297" s="31" t="str">
        <f t="shared" si="52"/>
        <v>E5_6_2_5_mRNA:E5_6_2_5_mRNA</v>
      </c>
      <c r="H297" s="31" t="str">
        <f t="shared" si="53"/>
        <v>E5_6_2_5:E5_6_2_5</v>
      </c>
      <c r="I297" s="31" t="str">
        <f t="shared" si="54"/>
        <v>E5_6_2_5_mRNA:0</v>
      </c>
      <c r="J297" s="31" t="str">
        <f t="shared" si="55"/>
        <v>E5_6_2_5:0</v>
      </c>
      <c r="K297" s="31" t="str">
        <f t="shared" si="56"/>
        <v>0.00292 - (0.0093 * E5_6_2_5_mRNA)</v>
      </c>
      <c r="L297" s="31" t="str">
        <f t="shared" si="57"/>
        <v>(0.278 * E5_6_2_5_mRNA) - (0.00000278 * E5_6_2_5)</v>
      </c>
      <c r="M297" s="31" t="str">
        <f t="shared" si="58"/>
        <v>mRNA296: -&gt; E5_6_2_5_mRNA | 0.00292 - (0.0093 * E5_6_2_5_mRNA)</v>
      </c>
      <c r="N297" s="31" t="str">
        <f t="shared" si="59"/>
        <v>Peptide296:E5_6_2_5_mRNA -&gt; E5_6_2_5 | (0.278 * E5_6_2_5_mRNA) -  (0.00000278 * E5_6_2_5)</v>
      </c>
    </row>
    <row r="298" spans="1:14" ht="29" x14ac:dyDescent="0.35">
      <c r="A298" s="31">
        <v>297</v>
      </c>
      <c r="B298" s="31" t="s">
        <v>14228</v>
      </c>
      <c r="C298" s="31" t="str">
        <f t="shared" si="48"/>
        <v>E5_6_2_6_mRNA</v>
      </c>
      <c r="D298" s="31" t="str">
        <f t="shared" si="49"/>
        <v>E5_6_2_6</v>
      </c>
      <c r="E298" s="31" t="str">
        <f t="shared" si="50"/>
        <v>E5_6_2_6_Kcat : 13.7</v>
      </c>
      <c r="F298" s="31" t="str">
        <f t="shared" si="51"/>
        <v>E5_6_2_6_Km :1</v>
      </c>
      <c r="G298" s="31" t="str">
        <f t="shared" si="52"/>
        <v>E5_6_2_6_mRNA:E5_6_2_6_mRNA</v>
      </c>
      <c r="H298" s="31" t="str">
        <f t="shared" si="53"/>
        <v>E5_6_2_6:E5_6_2_6</v>
      </c>
      <c r="I298" s="31" t="str">
        <f t="shared" si="54"/>
        <v>E5_6_2_6_mRNA:0</v>
      </c>
      <c r="J298" s="31" t="str">
        <f t="shared" si="55"/>
        <v>E5_6_2_6:0</v>
      </c>
      <c r="K298" s="31" t="str">
        <f t="shared" si="56"/>
        <v>0.00292 - (0.0093 * E5_6_2_6_mRNA)</v>
      </c>
      <c r="L298" s="31" t="str">
        <f t="shared" si="57"/>
        <v>(0.278 * E5_6_2_6_mRNA) - (0.00000278 * E5_6_2_6)</v>
      </c>
      <c r="M298" s="31" t="str">
        <f t="shared" si="58"/>
        <v>mRNA297: -&gt; E5_6_2_6_mRNA | 0.00292 - (0.0093 * E5_6_2_6_mRNA)</v>
      </c>
      <c r="N298" s="31" t="str">
        <f t="shared" si="59"/>
        <v>Peptide297:E5_6_2_6_mRNA -&gt; E5_6_2_6 | (0.278 * E5_6_2_6_mRNA) -  (0.00000278 * E5_6_2_6)</v>
      </c>
    </row>
    <row r="299" spans="1:14" ht="29" x14ac:dyDescent="0.35">
      <c r="A299" s="31">
        <v>298</v>
      </c>
      <c r="B299" s="31" t="s">
        <v>14229</v>
      </c>
      <c r="C299" s="31" t="str">
        <f t="shared" si="48"/>
        <v>E5_6_2_7_mRNA</v>
      </c>
      <c r="D299" s="31" t="str">
        <f t="shared" si="49"/>
        <v>E5_6_2_7</v>
      </c>
      <c r="E299" s="31" t="str">
        <f t="shared" si="50"/>
        <v>E5_6_2_7_Kcat : 13.7</v>
      </c>
      <c r="F299" s="31" t="str">
        <f t="shared" si="51"/>
        <v>E5_6_2_7_Km :1</v>
      </c>
      <c r="G299" s="31" t="str">
        <f t="shared" si="52"/>
        <v>E5_6_2_7_mRNA:E5_6_2_7_mRNA</v>
      </c>
      <c r="H299" s="31" t="str">
        <f t="shared" si="53"/>
        <v>E5_6_2_7:E5_6_2_7</v>
      </c>
      <c r="I299" s="31" t="str">
        <f t="shared" si="54"/>
        <v>E5_6_2_7_mRNA:0</v>
      </c>
      <c r="J299" s="31" t="str">
        <f t="shared" si="55"/>
        <v>E5_6_2_7:0</v>
      </c>
      <c r="K299" s="31" t="str">
        <f t="shared" si="56"/>
        <v>0.00292 - (0.0093 * E5_6_2_7_mRNA)</v>
      </c>
      <c r="L299" s="31" t="str">
        <f t="shared" si="57"/>
        <v>(0.278 * E5_6_2_7_mRNA) - (0.00000278 * E5_6_2_7)</v>
      </c>
      <c r="M299" s="31" t="str">
        <f t="shared" si="58"/>
        <v>mRNA298: -&gt; E5_6_2_7_mRNA | 0.00292 - (0.0093 * E5_6_2_7_mRNA)</v>
      </c>
      <c r="N299" s="31" t="str">
        <f t="shared" si="59"/>
        <v>Peptide298:E5_6_2_7_mRNA -&gt; E5_6_2_7 | (0.278 * E5_6_2_7_mRNA) -  (0.00000278 * E5_6_2_7)</v>
      </c>
    </row>
    <row r="300" spans="1:14" ht="43.5" x14ac:dyDescent="0.35">
      <c r="A300" s="31">
        <v>299</v>
      </c>
      <c r="B300" s="31" t="s">
        <v>14230</v>
      </c>
      <c r="C300" s="31" t="str">
        <f t="shared" si="48"/>
        <v>E3_7_1_22_mRNA</v>
      </c>
      <c r="D300" s="31" t="str">
        <f t="shared" si="49"/>
        <v>E3_7_1_22</v>
      </c>
      <c r="E300" s="31" t="str">
        <f t="shared" si="50"/>
        <v>E3_7_1_22_Kcat : 13.7</v>
      </c>
      <c r="F300" s="31" t="str">
        <f t="shared" si="51"/>
        <v>E3_7_1_22_Km :1</v>
      </c>
      <c r="G300" s="31" t="str">
        <f t="shared" si="52"/>
        <v>E3_7_1_22_mRNA:E3_7_1_22_mRNA</v>
      </c>
      <c r="H300" s="31" t="str">
        <f t="shared" si="53"/>
        <v>E3_7_1_22:E3_7_1_22</v>
      </c>
      <c r="I300" s="31" t="str">
        <f t="shared" si="54"/>
        <v>E3_7_1_22_mRNA:0</v>
      </c>
      <c r="J300" s="31" t="str">
        <f t="shared" si="55"/>
        <v>E3_7_1_22:0</v>
      </c>
      <c r="K300" s="31" t="str">
        <f t="shared" si="56"/>
        <v>0.00292 - (0.0093 * E3_7_1_22_mRNA)</v>
      </c>
      <c r="L300" s="31" t="str">
        <f t="shared" si="57"/>
        <v>(0.278 * E3_7_1_22_mRNA) - (0.00000278 * E3_7_1_22)</v>
      </c>
      <c r="M300" s="31" t="str">
        <f t="shared" si="58"/>
        <v>mRNA299: -&gt; E3_7_1_22_mRNA | 0.00292 - (0.0093 * E3_7_1_22_mRNA)</v>
      </c>
      <c r="N300" s="31" t="str">
        <f t="shared" si="59"/>
        <v>Peptide299:E3_7_1_22_mRNA -&gt; E3_7_1_22 | (0.278 * E3_7_1_22_mRNA) -  (0.00000278 * E3_7_1_22)</v>
      </c>
    </row>
    <row r="301" spans="1:14" ht="43.5" x14ac:dyDescent="0.35">
      <c r="A301" s="31">
        <v>300</v>
      </c>
      <c r="B301" s="31" t="s">
        <v>14231</v>
      </c>
      <c r="C301" s="31" t="str">
        <f t="shared" si="48"/>
        <v>E4_1_1_11_mRNA</v>
      </c>
      <c r="D301" s="31" t="str">
        <f t="shared" si="49"/>
        <v>E4_1_1_11</v>
      </c>
      <c r="E301" s="31" t="str">
        <f t="shared" si="50"/>
        <v>E4_1_1_11_Kcat : 13.7</v>
      </c>
      <c r="F301" s="31" t="str">
        <f t="shared" si="51"/>
        <v>E4_1_1_11_Km :1</v>
      </c>
      <c r="G301" s="31" t="str">
        <f t="shared" si="52"/>
        <v>E4_1_1_11_mRNA:E4_1_1_11_mRNA</v>
      </c>
      <c r="H301" s="31" t="str">
        <f t="shared" si="53"/>
        <v>E4_1_1_11:E4_1_1_11</v>
      </c>
      <c r="I301" s="31" t="str">
        <f t="shared" si="54"/>
        <v>E4_1_1_11_mRNA:0</v>
      </c>
      <c r="J301" s="31" t="str">
        <f t="shared" si="55"/>
        <v>E4_1_1_11:0</v>
      </c>
      <c r="K301" s="31" t="str">
        <f t="shared" si="56"/>
        <v>0.00292 - (0.0093 * E4_1_1_11_mRNA)</v>
      </c>
      <c r="L301" s="31" t="str">
        <f t="shared" si="57"/>
        <v>(0.278 * E4_1_1_11_mRNA) - (0.00000278 * E4_1_1_11)</v>
      </c>
      <c r="M301" s="31" t="str">
        <f t="shared" si="58"/>
        <v>mRNA300: -&gt; E4_1_1_11_mRNA | 0.00292 - (0.0093 * E4_1_1_11_mRNA)</v>
      </c>
      <c r="N301" s="31" t="str">
        <f t="shared" si="59"/>
        <v>Peptide300:E4_1_1_11_mRNA -&gt; E4_1_1_11 | (0.278 * E4_1_1_11_mRNA) -  (0.00000278 * E4_1_1_11)</v>
      </c>
    </row>
    <row r="302" spans="1:14" ht="43.5" x14ac:dyDescent="0.35">
      <c r="A302" s="31">
        <v>301</v>
      </c>
      <c r="B302" s="31" t="s">
        <v>14232</v>
      </c>
      <c r="C302" s="31" t="str">
        <f t="shared" si="48"/>
        <v>E4_1_1_20_mRNA</v>
      </c>
      <c r="D302" s="31" t="str">
        <f t="shared" si="49"/>
        <v>E4_1_1_20</v>
      </c>
      <c r="E302" s="31" t="str">
        <f t="shared" si="50"/>
        <v>E4_1_1_20_Kcat : 13.7</v>
      </c>
      <c r="F302" s="31" t="str">
        <f t="shared" si="51"/>
        <v>E4_1_1_20_Km :1</v>
      </c>
      <c r="G302" s="31" t="str">
        <f t="shared" si="52"/>
        <v>E4_1_1_20_mRNA:E4_1_1_20_mRNA</v>
      </c>
      <c r="H302" s="31" t="str">
        <f t="shared" si="53"/>
        <v>E4_1_1_20:E4_1_1_20</v>
      </c>
      <c r="I302" s="31" t="str">
        <f t="shared" si="54"/>
        <v>E4_1_1_20_mRNA:0</v>
      </c>
      <c r="J302" s="31" t="str">
        <f t="shared" si="55"/>
        <v>E4_1_1_20:0</v>
      </c>
      <c r="K302" s="31" t="str">
        <f t="shared" si="56"/>
        <v>0.00292 - (0.0093 * E4_1_1_20_mRNA)</v>
      </c>
      <c r="L302" s="31" t="str">
        <f t="shared" si="57"/>
        <v>(0.278 * E4_1_1_20_mRNA) - (0.00000278 * E4_1_1_20)</v>
      </c>
      <c r="M302" s="31" t="str">
        <f t="shared" si="58"/>
        <v>mRNA301: -&gt; E4_1_1_20_mRNA | 0.00292 - (0.0093 * E4_1_1_20_mRNA)</v>
      </c>
      <c r="N302" s="31" t="str">
        <f t="shared" si="59"/>
        <v>Peptide301:E4_1_1_20_mRNA -&gt; E4_1_1_20 | (0.278 * E4_1_1_20_mRNA) -  (0.00000278 * E4_1_1_20)</v>
      </c>
    </row>
    <row r="303" spans="1:14" ht="43.5" x14ac:dyDescent="0.35">
      <c r="A303" s="31">
        <v>302</v>
      </c>
      <c r="B303" s="31" t="s">
        <v>14233</v>
      </c>
      <c r="C303" s="31" t="str">
        <f t="shared" si="48"/>
        <v>E4_1_1_21 _mRNA</v>
      </c>
      <c r="D303" s="31" t="str">
        <f t="shared" si="49"/>
        <v xml:space="preserve">E4_1_1_21 </v>
      </c>
      <c r="E303" s="31" t="str">
        <f t="shared" si="50"/>
        <v>E4_1_1_21 _Kcat : 13.7</v>
      </c>
      <c r="F303" s="31" t="str">
        <f t="shared" si="51"/>
        <v>E4_1_1_21 _Km :1</v>
      </c>
      <c r="G303" s="31" t="str">
        <f t="shared" si="52"/>
        <v>E4_1_1_21 _mRNA:E4_1_1_21 _mRNA</v>
      </c>
      <c r="H303" s="31" t="str">
        <f t="shared" si="53"/>
        <v xml:space="preserve">E4_1_1_21 :E4_1_1_21 </v>
      </c>
      <c r="I303" s="31" t="str">
        <f t="shared" si="54"/>
        <v>E4_1_1_21 _mRNA:0</v>
      </c>
      <c r="J303" s="31" t="str">
        <f t="shared" si="55"/>
        <v>E4_1_1_21 :0</v>
      </c>
      <c r="K303" s="31" t="str">
        <f t="shared" si="56"/>
        <v>0.00292 - (0.0093 * E4_1_1_21 _mRNA)</v>
      </c>
      <c r="L303" s="31" t="str">
        <f t="shared" si="57"/>
        <v>(0.278 * E4_1_1_21 _mRNA) - (0.00000278 * E4_1_1_21 )</v>
      </c>
      <c r="M303" s="31" t="str">
        <f t="shared" si="58"/>
        <v>mRNA302: -&gt; E4_1_1_21 _mRNA | 0.00292 - (0.0093 * E4_1_1_21 _mRNA)</v>
      </c>
      <c r="N303" s="31" t="str">
        <f t="shared" si="59"/>
        <v>Peptide302:E4_1_1_21 _mRNA -&gt; E4_1_1_21  | (0.278 * E4_1_1_21 _mRNA) -  (0.00000278 * E4_1_1_21 )</v>
      </c>
    </row>
    <row r="304" spans="1:14" ht="43.5" x14ac:dyDescent="0.35">
      <c r="A304" s="31">
        <v>303</v>
      </c>
      <c r="B304" s="31" t="s">
        <v>14234</v>
      </c>
      <c r="C304" s="31" t="str">
        <f t="shared" si="48"/>
        <v>E5_4_99_18_mRNA</v>
      </c>
      <c r="D304" s="31" t="str">
        <f t="shared" si="49"/>
        <v>E5_4_99_18</v>
      </c>
      <c r="E304" s="31" t="str">
        <f t="shared" si="50"/>
        <v>E5_4_99_18_Kcat : 13.7</v>
      </c>
      <c r="F304" s="31" t="str">
        <f t="shared" si="51"/>
        <v>E5_4_99_18_Km :1</v>
      </c>
      <c r="G304" s="31" t="str">
        <f t="shared" si="52"/>
        <v>E5_4_99_18_mRNA:E5_4_99_18_mRNA</v>
      </c>
      <c r="H304" s="31" t="str">
        <f t="shared" si="53"/>
        <v>E5_4_99_18:E5_4_99_18</v>
      </c>
      <c r="I304" s="31" t="str">
        <f t="shared" si="54"/>
        <v>E5_4_99_18_mRNA:0</v>
      </c>
      <c r="J304" s="31" t="str">
        <f t="shared" si="55"/>
        <v>E5_4_99_18:0</v>
      </c>
      <c r="K304" s="31" t="str">
        <f t="shared" si="56"/>
        <v>0.00292 - (0.0093 * E5_4_99_18_mRNA)</v>
      </c>
      <c r="L304" s="31" t="str">
        <f t="shared" si="57"/>
        <v>(0.278 * E5_4_99_18_mRNA) - (0.00000278 * E5_4_99_18)</v>
      </c>
      <c r="M304" s="31" t="str">
        <f t="shared" si="58"/>
        <v>mRNA303: -&gt; E5_4_99_18_mRNA | 0.00292 - (0.0093 * E5_4_99_18_mRNA)</v>
      </c>
      <c r="N304" s="31" t="str">
        <f t="shared" si="59"/>
        <v>Peptide303:E5_4_99_18_mRNA -&gt; E5_4_99_18 | (0.278 * E5_4_99_18_mRNA) -  (0.00000278 * E5_4_99_18)</v>
      </c>
    </row>
    <row r="305" spans="1:14" ht="43.5" x14ac:dyDescent="0.35">
      <c r="A305" s="31">
        <v>304</v>
      </c>
      <c r="B305" s="31" t="s">
        <v>14235</v>
      </c>
      <c r="C305" s="31" t="str">
        <f t="shared" si="48"/>
        <v>E4_1_1_23_mRNA</v>
      </c>
      <c r="D305" s="31" t="str">
        <f t="shared" si="49"/>
        <v>E4_1_1_23</v>
      </c>
      <c r="E305" s="31" t="str">
        <f t="shared" si="50"/>
        <v>E4_1_1_23_Kcat : 13.7</v>
      </c>
      <c r="F305" s="31" t="str">
        <f t="shared" si="51"/>
        <v>E4_1_1_23_Km :1</v>
      </c>
      <c r="G305" s="31" t="str">
        <f t="shared" si="52"/>
        <v>E4_1_1_23_mRNA:E4_1_1_23_mRNA</v>
      </c>
      <c r="H305" s="31" t="str">
        <f t="shared" si="53"/>
        <v>E4_1_1_23:E4_1_1_23</v>
      </c>
      <c r="I305" s="31" t="str">
        <f t="shared" si="54"/>
        <v>E4_1_1_23_mRNA:0</v>
      </c>
      <c r="J305" s="31" t="str">
        <f t="shared" si="55"/>
        <v>E4_1_1_23:0</v>
      </c>
      <c r="K305" s="31" t="str">
        <f t="shared" si="56"/>
        <v>0.00292 - (0.0093 * E4_1_1_23_mRNA)</v>
      </c>
      <c r="L305" s="31" t="str">
        <f t="shared" si="57"/>
        <v>(0.278 * E4_1_1_23_mRNA) - (0.00000278 * E4_1_1_23)</v>
      </c>
      <c r="M305" s="31" t="str">
        <f t="shared" si="58"/>
        <v>mRNA304: -&gt; E4_1_1_23_mRNA | 0.00292 - (0.0093 * E4_1_1_23_mRNA)</v>
      </c>
      <c r="N305" s="31" t="str">
        <f t="shared" si="59"/>
        <v>Peptide304:E4_1_1_23_mRNA -&gt; E4_1_1_23 | (0.278 * E4_1_1_23_mRNA) -  (0.00000278 * E4_1_1_23)</v>
      </c>
    </row>
    <row r="306" spans="1:14" ht="43.5" x14ac:dyDescent="0.35">
      <c r="A306" s="31">
        <v>305</v>
      </c>
      <c r="B306" s="31" t="s">
        <v>14236</v>
      </c>
      <c r="C306" s="31" t="str">
        <f t="shared" si="48"/>
        <v>E4_1_1_31_mRNA</v>
      </c>
      <c r="D306" s="31" t="str">
        <f t="shared" si="49"/>
        <v>E4_1_1_31</v>
      </c>
      <c r="E306" s="31" t="str">
        <f t="shared" si="50"/>
        <v>E4_1_1_31_Kcat : 13.7</v>
      </c>
      <c r="F306" s="31" t="str">
        <f t="shared" si="51"/>
        <v>E4_1_1_31_Km :1</v>
      </c>
      <c r="G306" s="31" t="str">
        <f t="shared" si="52"/>
        <v>E4_1_1_31_mRNA:E4_1_1_31_mRNA</v>
      </c>
      <c r="H306" s="31" t="str">
        <f t="shared" si="53"/>
        <v>E4_1_1_31:E4_1_1_31</v>
      </c>
      <c r="I306" s="31" t="str">
        <f t="shared" si="54"/>
        <v>E4_1_1_31_mRNA:0</v>
      </c>
      <c r="J306" s="31" t="str">
        <f t="shared" si="55"/>
        <v>E4_1_1_31:0</v>
      </c>
      <c r="K306" s="31" t="str">
        <f t="shared" si="56"/>
        <v>0.00292 - (0.0093 * E4_1_1_31_mRNA)</v>
      </c>
      <c r="L306" s="31" t="str">
        <f t="shared" si="57"/>
        <v>(0.278 * E4_1_1_31_mRNA) - (0.00000278 * E4_1_1_31)</v>
      </c>
      <c r="M306" s="31" t="str">
        <f t="shared" si="58"/>
        <v>mRNA305: -&gt; E4_1_1_31_mRNA | 0.00292 - (0.0093 * E4_1_1_31_mRNA)</v>
      </c>
      <c r="N306" s="31" t="str">
        <f t="shared" si="59"/>
        <v>Peptide305:E4_1_1_31_mRNA -&gt; E4_1_1_31 | (0.278 * E4_1_1_31_mRNA) -  (0.00000278 * E4_1_1_31)</v>
      </c>
    </row>
    <row r="307" spans="1:14" ht="43.5" x14ac:dyDescent="0.35">
      <c r="A307" s="31">
        <v>306</v>
      </c>
      <c r="B307" s="31" t="s">
        <v>14237</v>
      </c>
      <c r="C307" s="31" t="str">
        <f t="shared" si="48"/>
        <v>E4_1_1_32_mRNA</v>
      </c>
      <c r="D307" s="31" t="str">
        <f t="shared" si="49"/>
        <v>E4_1_1_32</v>
      </c>
      <c r="E307" s="31" t="str">
        <f t="shared" si="50"/>
        <v>E4_1_1_32_Kcat : 13.7</v>
      </c>
      <c r="F307" s="31" t="str">
        <f t="shared" si="51"/>
        <v>E4_1_1_32_Km :1</v>
      </c>
      <c r="G307" s="31" t="str">
        <f t="shared" si="52"/>
        <v>E4_1_1_32_mRNA:E4_1_1_32_mRNA</v>
      </c>
      <c r="H307" s="31" t="str">
        <f t="shared" si="53"/>
        <v>E4_1_1_32:E4_1_1_32</v>
      </c>
      <c r="I307" s="31" t="str">
        <f t="shared" si="54"/>
        <v>E4_1_1_32_mRNA:0</v>
      </c>
      <c r="J307" s="31" t="str">
        <f t="shared" si="55"/>
        <v>E4_1_1_32:0</v>
      </c>
      <c r="K307" s="31" t="str">
        <f t="shared" si="56"/>
        <v>0.00292 - (0.0093 * E4_1_1_32_mRNA)</v>
      </c>
      <c r="L307" s="31" t="str">
        <f t="shared" si="57"/>
        <v>(0.278 * E4_1_1_32_mRNA) - (0.00000278 * E4_1_1_32)</v>
      </c>
      <c r="M307" s="31" t="str">
        <f t="shared" si="58"/>
        <v>mRNA306: -&gt; E4_1_1_32_mRNA | 0.00292 - (0.0093 * E4_1_1_32_mRNA)</v>
      </c>
      <c r="N307" s="31" t="str">
        <f t="shared" si="59"/>
        <v>Peptide306:E4_1_1_32_mRNA -&gt; E4_1_1_32 | (0.278 * E4_1_1_32_mRNA) -  (0.00000278 * E4_1_1_32)</v>
      </c>
    </row>
    <row r="308" spans="1:14" ht="43.5" x14ac:dyDescent="0.35">
      <c r="A308" s="31">
        <v>307</v>
      </c>
      <c r="B308" s="31" t="s">
        <v>14238</v>
      </c>
      <c r="C308" s="31" t="str">
        <f t="shared" si="48"/>
        <v>E4_1_1_36 _mRNA</v>
      </c>
      <c r="D308" s="31" t="str">
        <f t="shared" si="49"/>
        <v xml:space="preserve">E4_1_1_36 </v>
      </c>
      <c r="E308" s="31" t="str">
        <f t="shared" si="50"/>
        <v>E4_1_1_36 _Kcat : 13.7</v>
      </c>
      <c r="F308" s="31" t="str">
        <f t="shared" si="51"/>
        <v>E4_1_1_36 _Km :1</v>
      </c>
      <c r="G308" s="31" t="str">
        <f t="shared" si="52"/>
        <v>E4_1_1_36 _mRNA:E4_1_1_36 _mRNA</v>
      </c>
      <c r="H308" s="31" t="str">
        <f t="shared" si="53"/>
        <v xml:space="preserve">E4_1_1_36 :E4_1_1_36 </v>
      </c>
      <c r="I308" s="31" t="str">
        <f t="shared" si="54"/>
        <v>E4_1_1_36 _mRNA:0</v>
      </c>
      <c r="J308" s="31" t="str">
        <f t="shared" si="55"/>
        <v>E4_1_1_36 :0</v>
      </c>
      <c r="K308" s="31" t="str">
        <f t="shared" si="56"/>
        <v>0.00292 - (0.0093 * E4_1_1_36 _mRNA)</v>
      </c>
      <c r="L308" s="31" t="str">
        <f t="shared" si="57"/>
        <v>(0.278 * E4_1_1_36 _mRNA) - (0.00000278 * E4_1_1_36 )</v>
      </c>
      <c r="M308" s="31" t="str">
        <f t="shared" si="58"/>
        <v>mRNA307: -&gt; E4_1_1_36 _mRNA | 0.00292 - (0.0093 * E4_1_1_36 _mRNA)</v>
      </c>
      <c r="N308" s="31" t="str">
        <f t="shared" si="59"/>
        <v>Peptide307:E4_1_1_36 _mRNA -&gt; E4_1_1_36  | (0.278 * E4_1_1_36 _mRNA) -  (0.00000278 * E4_1_1_36 )</v>
      </c>
    </row>
    <row r="309" spans="1:14" ht="29" x14ac:dyDescent="0.35">
      <c r="A309" s="31">
        <v>308</v>
      </c>
      <c r="B309" s="31" t="s">
        <v>14239</v>
      </c>
      <c r="C309" s="31" t="str">
        <f t="shared" si="48"/>
        <v>E6_3_2_5_mRNA</v>
      </c>
      <c r="D309" s="31" t="str">
        <f t="shared" si="49"/>
        <v>E6_3_2_5</v>
      </c>
      <c r="E309" s="31" t="str">
        <f t="shared" si="50"/>
        <v>E6_3_2_5_Kcat : 13.7</v>
      </c>
      <c r="F309" s="31" t="str">
        <f t="shared" si="51"/>
        <v>E6_3_2_5_Km :1</v>
      </c>
      <c r="G309" s="31" t="str">
        <f t="shared" si="52"/>
        <v>E6_3_2_5_mRNA:E6_3_2_5_mRNA</v>
      </c>
      <c r="H309" s="31" t="str">
        <f t="shared" si="53"/>
        <v>E6_3_2_5:E6_3_2_5</v>
      </c>
      <c r="I309" s="31" t="str">
        <f t="shared" si="54"/>
        <v>E6_3_2_5_mRNA:0</v>
      </c>
      <c r="J309" s="31" t="str">
        <f t="shared" si="55"/>
        <v>E6_3_2_5:0</v>
      </c>
      <c r="K309" s="31" t="str">
        <f t="shared" si="56"/>
        <v>0.00292 - (0.0093 * E6_3_2_5_mRNA)</v>
      </c>
      <c r="L309" s="31" t="str">
        <f t="shared" si="57"/>
        <v>(0.278 * E6_3_2_5_mRNA) - (0.00000278 * E6_3_2_5)</v>
      </c>
      <c r="M309" s="31" t="str">
        <f t="shared" si="58"/>
        <v>mRNA308: -&gt; E6_3_2_5_mRNA | 0.00292 - (0.0093 * E6_3_2_5_mRNA)</v>
      </c>
      <c r="N309" s="31" t="str">
        <f t="shared" si="59"/>
        <v>Peptide308:E6_3_2_5_mRNA -&gt; E6_3_2_5 | (0.278 * E6_3_2_5_mRNA) -  (0.00000278 * E6_3_2_5)</v>
      </c>
    </row>
    <row r="310" spans="1:14" ht="43.5" x14ac:dyDescent="0.35">
      <c r="A310" s="31">
        <v>309</v>
      </c>
      <c r="B310" s="31" t="s">
        <v>14240</v>
      </c>
      <c r="C310" s="31" t="str">
        <f t="shared" si="48"/>
        <v>E4_1_1_37_mRNA</v>
      </c>
      <c r="D310" s="31" t="str">
        <f t="shared" si="49"/>
        <v>E4_1_1_37</v>
      </c>
      <c r="E310" s="31" t="str">
        <f t="shared" si="50"/>
        <v>E4_1_1_37_Kcat : 13.7</v>
      </c>
      <c r="F310" s="31" t="str">
        <f t="shared" si="51"/>
        <v>E4_1_1_37_Km :1</v>
      </c>
      <c r="G310" s="31" t="str">
        <f t="shared" si="52"/>
        <v>E4_1_1_37_mRNA:E4_1_1_37_mRNA</v>
      </c>
      <c r="H310" s="31" t="str">
        <f t="shared" si="53"/>
        <v>E4_1_1_37:E4_1_1_37</v>
      </c>
      <c r="I310" s="31" t="str">
        <f t="shared" si="54"/>
        <v>E4_1_1_37_mRNA:0</v>
      </c>
      <c r="J310" s="31" t="str">
        <f t="shared" si="55"/>
        <v>E4_1_1_37:0</v>
      </c>
      <c r="K310" s="31" t="str">
        <f t="shared" si="56"/>
        <v>0.00292 - (0.0093 * E4_1_1_37_mRNA)</v>
      </c>
      <c r="L310" s="31" t="str">
        <f t="shared" si="57"/>
        <v>(0.278 * E4_1_1_37_mRNA) - (0.00000278 * E4_1_1_37)</v>
      </c>
      <c r="M310" s="31" t="str">
        <f t="shared" si="58"/>
        <v>mRNA309: -&gt; E4_1_1_37_mRNA | 0.00292 - (0.0093 * E4_1_1_37_mRNA)</v>
      </c>
      <c r="N310" s="31" t="str">
        <f t="shared" si="59"/>
        <v>Peptide309:E4_1_1_37_mRNA -&gt; E4_1_1_37 | (0.278 * E4_1_1_37_mRNA) -  (0.00000278 * E4_1_1_37)</v>
      </c>
    </row>
    <row r="311" spans="1:14" ht="43.5" x14ac:dyDescent="0.35">
      <c r="A311" s="31">
        <v>310</v>
      </c>
      <c r="B311" s="31" t="s">
        <v>14241</v>
      </c>
      <c r="C311" s="31" t="str">
        <f t="shared" si="48"/>
        <v>E4_1_1_44_mRNA</v>
      </c>
      <c r="D311" s="31" t="str">
        <f t="shared" si="49"/>
        <v>E4_1_1_44</v>
      </c>
      <c r="E311" s="31" t="str">
        <f t="shared" si="50"/>
        <v>E4_1_1_44_Kcat : 13.7</v>
      </c>
      <c r="F311" s="31" t="str">
        <f t="shared" si="51"/>
        <v>E4_1_1_44_Km :1</v>
      </c>
      <c r="G311" s="31" t="str">
        <f t="shared" si="52"/>
        <v>E4_1_1_44_mRNA:E4_1_1_44_mRNA</v>
      </c>
      <c r="H311" s="31" t="str">
        <f t="shared" si="53"/>
        <v>E4_1_1_44:E4_1_1_44</v>
      </c>
      <c r="I311" s="31" t="str">
        <f t="shared" si="54"/>
        <v>E4_1_1_44_mRNA:0</v>
      </c>
      <c r="J311" s="31" t="str">
        <f t="shared" si="55"/>
        <v>E4_1_1_44:0</v>
      </c>
      <c r="K311" s="31" t="str">
        <f t="shared" si="56"/>
        <v>0.00292 - (0.0093 * E4_1_1_44_mRNA)</v>
      </c>
      <c r="L311" s="31" t="str">
        <f t="shared" si="57"/>
        <v>(0.278 * E4_1_1_44_mRNA) - (0.00000278 * E4_1_1_44)</v>
      </c>
      <c r="M311" s="31" t="str">
        <f t="shared" si="58"/>
        <v>mRNA310: -&gt; E4_1_1_44_mRNA | 0.00292 - (0.0093 * E4_1_1_44_mRNA)</v>
      </c>
      <c r="N311" s="31" t="str">
        <f t="shared" si="59"/>
        <v>Peptide310:E4_1_1_44_mRNA -&gt; E4_1_1_44 | (0.278 * E4_1_1_44_mRNA) -  (0.00000278 * E4_1_1_44)</v>
      </c>
    </row>
    <row r="312" spans="1:14" ht="43.5" x14ac:dyDescent="0.35">
      <c r="A312" s="31">
        <v>311</v>
      </c>
      <c r="B312" s="31" t="s">
        <v>14242</v>
      </c>
      <c r="C312" s="31" t="str">
        <f t="shared" si="48"/>
        <v>E4_1_1_48 _mRNA</v>
      </c>
      <c r="D312" s="31" t="str">
        <f t="shared" si="49"/>
        <v xml:space="preserve">E4_1_1_48 </v>
      </c>
      <c r="E312" s="31" t="str">
        <f t="shared" si="50"/>
        <v>E4_1_1_48 _Kcat : 13.7</v>
      </c>
      <c r="F312" s="31" t="str">
        <f t="shared" si="51"/>
        <v>E4_1_1_48 _Km :1</v>
      </c>
      <c r="G312" s="31" t="str">
        <f t="shared" si="52"/>
        <v>E4_1_1_48 _mRNA:E4_1_1_48 _mRNA</v>
      </c>
      <c r="H312" s="31" t="str">
        <f t="shared" si="53"/>
        <v xml:space="preserve">E4_1_1_48 :E4_1_1_48 </v>
      </c>
      <c r="I312" s="31" t="str">
        <f t="shared" si="54"/>
        <v>E4_1_1_48 _mRNA:0</v>
      </c>
      <c r="J312" s="31" t="str">
        <f t="shared" si="55"/>
        <v>E4_1_1_48 :0</v>
      </c>
      <c r="K312" s="31" t="str">
        <f t="shared" si="56"/>
        <v>0.00292 - (0.0093 * E4_1_1_48 _mRNA)</v>
      </c>
      <c r="L312" s="31" t="str">
        <f t="shared" si="57"/>
        <v>(0.278 * E4_1_1_48 _mRNA) - (0.00000278 * E4_1_1_48 )</v>
      </c>
      <c r="M312" s="31" t="str">
        <f t="shared" si="58"/>
        <v>mRNA311: -&gt; E4_1_1_48 _mRNA | 0.00292 - (0.0093 * E4_1_1_48 _mRNA)</v>
      </c>
      <c r="N312" s="31" t="str">
        <f t="shared" si="59"/>
        <v>Peptide311:E4_1_1_48 _mRNA -&gt; E4_1_1_48  | (0.278 * E4_1_1_48 _mRNA) -  (0.00000278 * E4_1_1_48 )</v>
      </c>
    </row>
    <row r="313" spans="1:14" ht="43.5" x14ac:dyDescent="0.35">
      <c r="A313" s="31">
        <v>312</v>
      </c>
      <c r="B313" s="31" t="s">
        <v>14243</v>
      </c>
      <c r="C313" s="31" t="str">
        <f t="shared" si="48"/>
        <v>E5_3_1_24_mRNA</v>
      </c>
      <c r="D313" s="31" t="str">
        <f t="shared" si="49"/>
        <v>E5_3_1_24</v>
      </c>
      <c r="E313" s="31" t="str">
        <f t="shared" si="50"/>
        <v>E5_3_1_24_Kcat : 13.7</v>
      </c>
      <c r="F313" s="31" t="str">
        <f t="shared" si="51"/>
        <v>E5_3_1_24_Km :1</v>
      </c>
      <c r="G313" s="31" t="str">
        <f t="shared" si="52"/>
        <v>E5_3_1_24_mRNA:E5_3_1_24_mRNA</v>
      </c>
      <c r="H313" s="31" t="str">
        <f t="shared" si="53"/>
        <v>E5_3_1_24:E5_3_1_24</v>
      </c>
      <c r="I313" s="31" t="str">
        <f t="shared" si="54"/>
        <v>E5_3_1_24_mRNA:0</v>
      </c>
      <c r="J313" s="31" t="str">
        <f t="shared" si="55"/>
        <v>E5_3_1_24:0</v>
      </c>
      <c r="K313" s="31" t="str">
        <f t="shared" si="56"/>
        <v>0.00292 - (0.0093 * E5_3_1_24_mRNA)</v>
      </c>
      <c r="L313" s="31" t="str">
        <f t="shared" si="57"/>
        <v>(0.278 * E5_3_1_24_mRNA) - (0.00000278 * E5_3_1_24)</v>
      </c>
      <c r="M313" s="31" t="str">
        <f t="shared" si="58"/>
        <v>mRNA312: -&gt; E5_3_1_24_mRNA | 0.00292 - (0.0093 * E5_3_1_24_mRNA)</v>
      </c>
      <c r="N313" s="31" t="str">
        <f t="shared" si="59"/>
        <v>Peptide312:E5_3_1_24_mRNA -&gt; E5_3_1_24 | (0.278 * E5_3_1_24_mRNA) -  (0.00000278 * E5_3_1_24)</v>
      </c>
    </row>
    <row r="314" spans="1:14" ht="43.5" x14ac:dyDescent="0.35">
      <c r="A314" s="31">
        <v>313</v>
      </c>
      <c r="B314" s="31" t="s">
        <v>14244</v>
      </c>
      <c r="C314" s="31" t="str">
        <f t="shared" si="48"/>
        <v>E4_1_1_71_mRNA</v>
      </c>
      <c r="D314" s="31" t="str">
        <f t="shared" si="49"/>
        <v>E4_1_1_71</v>
      </c>
      <c r="E314" s="31" t="str">
        <f t="shared" si="50"/>
        <v>E4_1_1_71_Kcat : 13.7</v>
      </c>
      <c r="F314" s="31" t="str">
        <f t="shared" si="51"/>
        <v>E4_1_1_71_Km :1</v>
      </c>
      <c r="G314" s="31" t="str">
        <f t="shared" si="52"/>
        <v>E4_1_1_71_mRNA:E4_1_1_71_mRNA</v>
      </c>
      <c r="H314" s="31" t="str">
        <f t="shared" si="53"/>
        <v>E4_1_1_71:E4_1_1_71</v>
      </c>
      <c r="I314" s="31" t="str">
        <f t="shared" si="54"/>
        <v>E4_1_1_71_mRNA:0</v>
      </c>
      <c r="J314" s="31" t="str">
        <f t="shared" si="55"/>
        <v>E4_1_1_71:0</v>
      </c>
      <c r="K314" s="31" t="str">
        <f t="shared" si="56"/>
        <v>0.00292 - (0.0093 * E4_1_1_71_mRNA)</v>
      </c>
      <c r="L314" s="31" t="str">
        <f t="shared" si="57"/>
        <v>(0.278 * E4_1_1_71_mRNA) - (0.00000278 * E4_1_1_71)</v>
      </c>
      <c r="M314" s="31" t="str">
        <f t="shared" si="58"/>
        <v>mRNA313: -&gt; E4_1_1_71_mRNA | 0.00292 - (0.0093 * E4_1_1_71_mRNA)</v>
      </c>
      <c r="N314" s="31" t="str">
        <f t="shared" si="59"/>
        <v>Peptide313:E4_1_1_71_mRNA -&gt; E4_1_1_71 | (0.278 * E4_1_1_71_mRNA) -  (0.00000278 * E4_1_1_71)</v>
      </c>
    </row>
    <row r="315" spans="1:14" ht="43.5" x14ac:dyDescent="0.35">
      <c r="A315" s="31">
        <v>314</v>
      </c>
      <c r="B315" s="31" t="s">
        <v>14245</v>
      </c>
      <c r="C315" s="31" t="str">
        <f t="shared" si="48"/>
        <v>E4_1_2_13_mRNA</v>
      </c>
      <c r="D315" s="31" t="str">
        <f t="shared" si="49"/>
        <v>E4_1_2_13</v>
      </c>
      <c r="E315" s="31" t="str">
        <f t="shared" si="50"/>
        <v>E4_1_2_13_Kcat : 13.7</v>
      </c>
      <c r="F315" s="31" t="str">
        <f t="shared" si="51"/>
        <v>E4_1_2_13_Km :1</v>
      </c>
      <c r="G315" s="31" t="str">
        <f t="shared" si="52"/>
        <v>E4_1_2_13_mRNA:E4_1_2_13_mRNA</v>
      </c>
      <c r="H315" s="31" t="str">
        <f t="shared" si="53"/>
        <v>E4_1_2_13:E4_1_2_13</v>
      </c>
      <c r="I315" s="31" t="str">
        <f t="shared" si="54"/>
        <v>E4_1_2_13_mRNA:0</v>
      </c>
      <c r="J315" s="31" t="str">
        <f t="shared" si="55"/>
        <v>E4_1_2_13:0</v>
      </c>
      <c r="K315" s="31" t="str">
        <f t="shared" si="56"/>
        <v>0.00292 - (0.0093 * E4_1_2_13_mRNA)</v>
      </c>
      <c r="L315" s="31" t="str">
        <f t="shared" si="57"/>
        <v>(0.278 * E4_1_2_13_mRNA) - (0.00000278 * E4_1_2_13)</v>
      </c>
      <c r="M315" s="31" t="str">
        <f t="shared" si="58"/>
        <v>mRNA314: -&gt; E4_1_2_13_mRNA | 0.00292 - (0.0093 * E4_1_2_13_mRNA)</v>
      </c>
      <c r="N315" s="31" t="str">
        <f t="shared" si="59"/>
        <v>Peptide314:E4_1_2_13_mRNA -&gt; E4_1_2_13 | (0.278 * E4_1_2_13_mRNA) -  (0.00000278 * E4_1_2_13)</v>
      </c>
    </row>
    <row r="316" spans="1:14" ht="43.5" x14ac:dyDescent="0.35">
      <c r="A316" s="31">
        <v>315</v>
      </c>
      <c r="B316" s="31" t="s">
        <v>14246</v>
      </c>
      <c r="C316" s="31" t="str">
        <f t="shared" si="48"/>
        <v>E4_1_2_25_mRNA</v>
      </c>
      <c r="D316" s="31" t="str">
        <f t="shared" si="49"/>
        <v>E4_1_2_25</v>
      </c>
      <c r="E316" s="31" t="str">
        <f t="shared" si="50"/>
        <v>E4_1_2_25_Kcat : 13.7</v>
      </c>
      <c r="F316" s="31" t="str">
        <f t="shared" si="51"/>
        <v>E4_1_2_25_Km :1</v>
      </c>
      <c r="G316" s="31" t="str">
        <f t="shared" si="52"/>
        <v>E4_1_2_25_mRNA:E4_1_2_25_mRNA</v>
      </c>
      <c r="H316" s="31" t="str">
        <f t="shared" si="53"/>
        <v>E4_1_2_25:E4_1_2_25</v>
      </c>
      <c r="I316" s="31" t="str">
        <f t="shared" si="54"/>
        <v>E4_1_2_25_mRNA:0</v>
      </c>
      <c r="J316" s="31" t="str">
        <f t="shared" si="55"/>
        <v>E4_1_2_25:0</v>
      </c>
      <c r="K316" s="31" t="str">
        <f t="shared" si="56"/>
        <v>0.00292 - (0.0093 * E4_1_2_25_mRNA)</v>
      </c>
      <c r="L316" s="31" t="str">
        <f t="shared" si="57"/>
        <v>(0.278 * E4_1_2_25_mRNA) - (0.00000278 * E4_1_2_25)</v>
      </c>
      <c r="M316" s="31" t="str">
        <f t="shared" si="58"/>
        <v>mRNA315: -&gt; E4_1_2_25_mRNA | 0.00292 - (0.0093 * E4_1_2_25_mRNA)</v>
      </c>
      <c r="N316" s="31" t="str">
        <f t="shared" si="59"/>
        <v>Peptide315:E4_1_2_25_mRNA -&gt; E4_1_2_25 | (0.278 * E4_1_2_25_mRNA) -  (0.00000278 * E4_1_2_25)</v>
      </c>
    </row>
    <row r="317" spans="1:14" ht="29" x14ac:dyDescent="0.35">
      <c r="A317" s="31">
        <v>316</v>
      </c>
      <c r="B317" s="31" t="s">
        <v>14247</v>
      </c>
      <c r="C317" s="31" t="str">
        <f t="shared" si="48"/>
        <v>E4_1_2_4_mRNA</v>
      </c>
      <c r="D317" s="31" t="str">
        <f t="shared" si="49"/>
        <v>E4_1_2_4</v>
      </c>
      <c r="E317" s="31" t="str">
        <f t="shared" si="50"/>
        <v>E4_1_2_4_Kcat : 13.7</v>
      </c>
      <c r="F317" s="31" t="str">
        <f t="shared" si="51"/>
        <v>E4_1_2_4_Km :1</v>
      </c>
      <c r="G317" s="31" t="str">
        <f t="shared" si="52"/>
        <v>E4_1_2_4_mRNA:E4_1_2_4_mRNA</v>
      </c>
      <c r="H317" s="31" t="str">
        <f t="shared" si="53"/>
        <v>E4_1_2_4:E4_1_2_4</v>
      </c>
      <c r="I317" s="31" t="str">
        <f t="shared" si="54"/>
        <v>E4_1_2_4_mRNA:0</v>
      </c>
      <c r="J317" s="31" t="str">
        <f t="shared" si="55"/>
        <v>E4_1_2_4:0</v>
      </c>
      <c r="K317" s="31" t="str">
        <f t="shared" si="56"/>
        <v>0.00292 - (0.0093 * E4_1_2_4_mRNA)</v>
      </c>
      <c r="L317" s="31" t="str">
        <f t="shared" si="57"/>
        <v>(0.278 * E4_1_2_4_mRNA) - (0.00000278 * E4_1_2_4)</v>
      </c>
      <c r="M317" s="31" t="str">
        <f t="shared" si="58"/>
        <v>mRNA316: -&gt; E4_1_2_4_mRNA | 0.00292 - (0.0093 * E4_1_2_4_mRNA)</v>
      </c>
      <c r="N317" s="31" t="str">
        <f t="shared" si="59"/>
        <v>Peptide316:E4_1_2_4_mRNA -&gt; E4_1_2_4 | (0.278 * E4_1_2_4_mRNA) -  (0.00000278 * E4_1_2_4)</v>
      </c>
    </row>
    <row r="318" spans="1:14" ht="29" x14ac:dyDescent="0.35">
      <c r="A318" s="31">
        <v>317</v>
      </c>
      <c r="B318" s="31" t="s">
        <v>14248</v>
      </c>
      <c r="C318" s="31" t="str">
        <f t="shared" ref="C318:C381" si="60">CONCATENATE(D318,"_mRNA")</f>
        <v>E4_1_3_1_mRNA</v>
      </c>
      <c r="D318" s="31" t="str">
        <f t="shared" ref="D318:D381" si="61">CONCATENATE("E",B318)</f>
        <v>E4_1_3_1</v>
      </c>
      <c r="E318" s="31" t="str">
        <f t="shared" ref="E318:E381" si="62">CONCATENATE(D318,"_Kcat : 13.7")</f>
        <v>E4_1_3_1_Kcat : 13.7</v>
      </c>
      <c r="F318" s="31" t="str">
        <f t="shared" ref="F318:F381" si="63">CONCATENATE(D318,"_Km :1")</f>
        <v>E4_1_3_1_Km :1</v>
      </c>
      <c r="G318" s="31" t="str">
        <f t="shared" ref="G318:G381" si="64">CONCATENATE(C318,":",C318)</f>
        <v>E4_1_3_1_mRNA:E4_1_3_1_mRNA</v>
      </c>
      <c r="H318" s="31" t="str">
        <f t="shared" ref="H318:H381" si="65">CONCATENATE(D318,":",D318)</f>
        <v>E4_1_3_1:E4_1_3_1</v>
      </c>
      <c r="I318" s="31" t="str">
        <f t="shared" ref="I318:I381" si="66">CONCATENATE(C318,":","0")</f>
        <v>E4_1_3_1_mRNA:0</v>
      </c>
      <c r="J318" s="31" t="str">
        <f t="shared" ref="J318:J381" si="67">CONCATENATE(D318,":","0")</f>
        <v>E4_1_3_1:0</v>
      </c>
      <c r="K318" s="31" t="str">
        <f t="shared" ref="K318:K381" si="68">CONCATENATE("0.00292 - (0.0093 * ",C318,")")</f>
        <v>0.00292 - (0.0093 * E4_1_3_1_mRNA)</v>
      </c>
      <c r="L318" s="31" t="str">
        <f t="shared" ref="L318:L381" si="69">CONCATENATE("(0.278 * ",C318,")", " - (0.00000278 * ",D318,")")</f>
        <v>(0.278 * E4_1_3_1_mRNA) - (0.00000278 * E4_1_3_1)</v>
      </c>
      <c r="M318" s="31" t="str">
        <f t="shared" ref="M318:M381" si="70">CONCATENATE("mRNA",A318,": -&gt; ",C318," | ","0.00292", " -"," (","0.0093"," * ",C318,")")</f>
        <v>mRNA317: -&gt; E4_1_3_1_mRNA | 0.00292 - (0.0093 * E4_1_3_1_mRNA)</v>
      </c>
      <c r="N318" s="31" t="str">
        <f t="shared" ref="N318:N381" si="71">CONCATENATE("Peptide",A318,":",C318," -&gt; ",D318," | ","(","0.278"," * ",C318,")"," - "," (","0.00000278"," * ",D318,")")</f>
        <v>Peptide317:E4_1_3_1_mRNA -&gt; E4_1_3_1 | (0.278 * E4_1_3_1_mRNA) -  (0.00000278 * E4_1_3_1)</v>
      </c>
    </row>
    <row r="319" spans="1:14" ht="43.5" x14ac:dyDescent="0.35">
      <c r="A319" s="31">
        <v>318</v>
      </c>
      <c r="B319" s="31" t="s">
        <v>14249</v>
      </c>
      <c r="C319" s="31" t="str">
        <f t="shared" si="60"/>
        <v>E4_1_3_27_mRNA</v>
      </c>
      <c r="D319" s="31" t="str">
        <f t="shared" si="61"/>
        <v>E4_1_3_27</v>
      </c>
      <c r="E319" s="31" t="str">
        <f t="shared" si="62"/>
        <v>E4_1_3_27_Kcat : 13.7</v>
      </c>
      <c r="F319" s="31" t="str">
        <f t="shared" si="63"/>
        <v>E4_1_3_27_Km :1</v>
      </c>
      <c r="G319" s="31" t="str">
        <f t="shared" si="64"/>
        <v>E4_1_3_27_mRNA:E4_1_3_27_mRNA</v>
      </c>
      <c r="H319" s="31" t="str">
        <f t="shared" si="65"/>
        <v>E4_1_3_27:E4_1_3_27</v>
      </c>
      <c r="I319" s="31" t="str">
        <f t="shared" si="66"/>
        <v>E4_1_3_27_mRNA:0</v>
      </c>
      <c r="J319" s="31" t="str">
        <f t="shared" si="67"/>
        <v>E4_1_3_27:0</v>
      </c>
      <c r="K319" s="31" t="str">
        <f t="shared" si="68"/>
        <v>0.00292 - (0.0093 * E4_1_3_27_mRNA)</v>
      </c>
      <c r="L319" s="31" t="str">
        <f t="shared" si="69"/>
        <v>(0.278 * E4_1_3_27_mRNA) - (0.00000278 * E4_1_3_27)</v>
      </c>
      <c r="M319" s="31" t="str">
        <f t="shared" si="70"/>
        <v>mRNA318: -&gt; E4_1_3_27_mRNA | 0.00292 - (0.0093 * E4_1_3_27_mRNA)</v>
      </c>
      <c r="N319" s="31" t="str">
        <f t="shared" si="71"/>
        <v>Peptide318:E4_1_3_27_mRNA -&gt; E4_1_3_27 | (0.278 * E4_1_3_27_mRNA) -  (0.00000278 * E4_1_3_27)</v>
      </c>
    </row>
    <row r="320" spans="1:14" ht="43.5" x14ac:dyDescent="0.35">
      <c r="A320" s="31">
        <v>319</v>
      </c>
      <c r="B320" s="31" t="s">
        <v>14250</v>
      </c>
      <c r="C320" s="31" t="str">
        <f t="shared" si="60"/>
        <v>E4_1_3_30_mRNA</v>
      </c>
      <c r="D320" s="31" t="str">
        <f t="shared" si="61"/>
        <v>E4_1_3_30</v>
      </c>
      <c r="E320" s="31" t="str">
        <f t="shared" si="62"/>
        <v>E4_1_3_30_Kcat : 13.7</v>
      </c>
      <c r="F320" s="31" t="str">
        <f t="shared" si="63"/>
        <v>E4_1_3_30_Km :1</v>
      </c>
      <c r="G320" s="31" t="str">
        <f t="shared" si="64"/>
        <v>E4_1_3_30_mRNA:E4_1_3_30_mRNA</v>
      </c>
      <c r="H320" s="31" t="str">
        <f t="shared" si="65"/>
        <v>E4_1_3_30:E4_1_3_30</v>
      </c>
      <c r="I320" s="31" t="str">
        <f t="shared" si="66"/>
        <v>E4_1_3_30_mRNA:0</v>
      </c>
      <c r="J320" s="31" t="str">
        <f t="shared" si="67"/>
        <v>E4_1_3_30:0</v>
      </c>
      <c r="K320" s="31" t="str">
        <f t="shared" si="68"/>
        <v>0.00292 - (0.0093 * E4_1_3_30_mRNA)</v>
      </c>
      <c r="L320" s="31" t="str">
        <f t="shared" si="69"/>
        <v>(0.278 * E4_1_3_30_mRNA) - (0.00000278 * E4_1_3_30)</v>
      </c>
      <c r="M320" s="31" t="str">
        <f t="shared" si="70"/>
        <v>mRNA319: -&gt; E4_1_3_30_mRNA | 0.00292 - (0.0093 * E4_1_3_30_mRNA)</v>
      </c>
      <c r="N320" s="31" t="str">
        <f t="shared" si="71"/>
        <v>Peptide319:E4_1_3_30_mRNA -&gt; E4_1_3_30 | (0.278 * E4_1_3_30_mRNA) -  (0.00000278 * E4_1_3_30)</v>
      </c>
    </row>
    <row r="321" spans="1:14" ht="43.5" x14ac:dyDescent="0.35">
      <c r="A321" s="31">
        <v>320</v>
      </c>
      <c r="B321" s="31" t="s">
        <v>14251</v>
      </c>
      <c r="C321" s="31" t="str">
        <f t="shared" si="60"/>
        <v>E4_1_3_36_mRNA</v>
      </c>
      <c r="D321" s="31" t="str">
        <f t="shared" si="61"/>
        <v>E4_1_3_36</v>
      </c>
      <c r="E321" s="31" t="str">
        <f t="shared" si="62"/>
        <v>E4_1_3_36_Kcat : 13.7</v>
      </c>
      <c r="F321" s="31" t="str">
        <f t="shared" si="63"/>
        <v>E4_1_3_36_Km :1</v>
      </c>
      <c r="G321" s="31" t="str">
        <f t="shared" si="64"/>
        <v>E4_1_3_36_mRNA:E4_1_3_36_mRNA</v>
      </c>
      <c r="H321" s="31" t="str">
        <f t="shared" si="65"/>
        <v>E4_1_3_36:E4_1_3_36</v>
      </c>
      <c r="I321" s="31" t="str">
        <f t="shared" si="66"/>
        <v>E4_1_3_36_mRNA:0</v>
      </c>
      <c r="J321" s="31" t="str">
        <f t="shared" si="67"/>
        <v>E4_1_3_36:0</v>
      </c>
      <c r="K321" s="31" t="str">
        <f t="shared" si="68"/>
        <v>0.00292 - (0.0093 * E4_1_3_36_mRNA)</v>
      </c>
      <c r="L321" s="31" t="str">
        <f t="shared" si="69"/>
        <v>(0.278 * E4_1_3_36_mRNA) - (0.00000278 * E4_1_3_36)</v>
      </c>
      <c r="M321" s="31" t="str">
        <f t="shared" si="70"/>
        <v>mRNA320: -&gt; E4_1_3_36_mRNA | 0.00292 - (0.0093 * E4_1_3_36_mRNA)</v>
      </c>
      <c r="N321" s="31" t="str">
        <f t="shared" si="71"/>
        <v>Peptide320:E4_1_3_36_mRNA -&gt; E4_1_3_36 | (0.278 * E4_1_3_36_mRNA) -  (0.00000278 * E4_1_3_36)</v>
      </c>
    </row>
    <row r="322" spans="1:14" ht="43.5" x14ac:dyDescent="0.35">
      <c r="A322" s="31">
        <v>321</v>
      </c>
      <c r="B322" s="31" t="s">
        <v>14252</v>
      </c>
      <c r="C322" s="31" t="str">
        <f t="shared" si="60"/>
        <v>E4_1_3_38_mRNA</v>
      </c>
      <c r="D322" s="31" t="str">
        <f t="shared" si="61"/>
        <v>E4_1_3_38</v>
      </c>
      <c r="E322" s="31" t="str">
        <f t="shared" si="62"/>
        <v>E4_1_3_38_Kcat : 13.7</v>
      </c>
      <c r="F322" s="31" t="str">
        <f t="shared" si="63"/>
        <v>E4_1_3_38_Km :1</v>
      </c>
      <c r="G322" s="31" t="str">
        <f t="shared" si="64"/>
        <v>E4_1_3_38_mRNA:E4_1_3_38_mRNA</v>
      </c>
      <c r="H322" s="31" t="str">
        <f t="shared" si="65"/>
        <v>E4_1_3_38:E4_1_3_38</v>
      </c>
      <c r="I322" s="31" t="str">
        <f t="shared" si="66"/>
        <v>E4_1_3_38_mRNA:0</v>
      </c>
      <c r="J322" s="31" t="str">
        <f t="shared" si="67"/>
        <v>E4_1_3_38:0</v>
      </c>
      <c r="K322" s="31" t="str">
        <f t="shared" si="68"/>
        <v>0.00292 - (0.0093 * E4_1_3_38_mRNA)</v>
      </c>
      <c r="L322" s="31" t="str">
        <f t="shared" si="69"/>
        <v>(0.278 * E4_1_3_38_mRNA) - (0.00000278 * E4_1_3_38)</v>
      </c>
      <c r="M322" s="31" t="str">
        <f t="shared" si="70"/>
        <v>mRNA321: -&gt; E4_1_3_38_mRNA | 0.00292 - (0.0093 * E4_1_3_38_mRNA)</v>
      </c>
      <c r="N322" s="31" t="str">
        <f t="shared" si="71"/>
        <v>Peptide321:E4_1_3_38_mRNA -&gt; E4_1_3_38 | (0.278 * E4_1_3_38_mRNA) -  (0.00000278 * E4_1_3_38)</v>
      </c>
    </row>
    <row r="323" spans="1:14" ht="43.5" x14ac:dyDescent="0.35">
      <c r="A323" s="31">
        <v>322</v>
      </c>
      <c r="B323" s="31" t="s">
        <v>14253</v>
      </c>
      <c r="C323" s="31" t="str">
        <f t="shared" si="60"/>
        <v>E4_1_99_17_mRNA</v>
      </c>
      <c r="D323" s="31" t="str">
        <f t="shared" si="61"/>
        <v>E4_1_99_17</v>
      </c>
      <c r="E323" s="31" t="str">
        <f t="shared" si="62"/>
        <v>E4_1_99_17_Kcat : 13.7</v>
      </c>
      <c r="F323" s="31" t="str">
        <f t="shared" si="63"/>
        <v>E4_1_99_17_Km :1</v>
      </c>
      <c r="G323" s="31" t="str">
        <f t="shared" si="64"/>
        <v>E4_1_99_17_mRNA:E4_1_99_17_mRNA</v>
      </c>
      <c r="H323" s="31" t="str">
        <f t="shared" si="65"/>
        <v>E4_1_99_17:E4_1_99_17</v>
      </c>
      <c r="I323" s="31" t="str">
        <f t="shared" si="66"/>
        <v>E4_1_99_17_mRNA:0</v>
      </c>
      <c r="J323" s="31" t="str">
        <f t="shared" si="67"/>
        <v>E4_1_99_17:0</v>
      </c>
      <c r="K323" s="31" t="str">
        <f t="shared" si="68"/>
        <v>0.00292 - (0.0093 * E4_1_99_17_mRNA)</v>
      </c>
      <c r="L323" s="31" t="str">
        <f t="shared" si="69"/>
        <v>(0.278 * E4_1_99_17_mRNA) - (0.00000278 * E4_1_99_17)</v>
      </c>
      <c r="M323" s="31" t="str">
        <f t="shared" si="70"/>
        <v>mRNA322: -&gt; E4_1_99_17_mRNA | 0.00292 - (0.0093 * E4_1_99_17_mRNA)</v>
      </c>
      <c r="N323" s="31" t="str">
        <f t="shared" si="71"/>
        <v>Peptide322:E4_1_99_17_mRNA -&gt; E4_1_99_17 | (0.278 * E4_1_99_17_mRNA) -  (0.00000278 * E4_1_99_17)</v>
      </c>
    </row>
    <row r="324" spans="1:14" ht="43.5" x14ac:dyDescent="0.35">
      <c r="A324" s="31">
        <v>323</v>
      </c>
      <c r="B324" s="31" t="s">
        <v>14254</v>
      </c>
      <c r="C324" s="31" t="str">
        <f t="shared" si="60"/>
        <v>E4_1_99_22_mRNA</v>
      </c>
      <c r="D324" s="31" t="str">
        <f t="shared" si="61"/>
        <v>E4_1_99_22</v>
      </c>
      <c r="E324" s="31" t="str">
        <f t="shared" si="62"/>
        <v>E4_1_99_22_Kcat : 13.7</v>
      </c>
      <c r="F324" s="31" t="str">
        <f t="shared" si="63"/>
        <v>E4_1_99_22_Km :1</v>
      </c>
      <c r="G324" s="31" t="str">
        <f t="shared" si="64"/>
        <v>E4_1_99_22_mRNA:E4_1_99_22_mRNA</v>
      </c>
      <c r="H324" s="31" t="str">
        <f t="shared" si="65"/>
        <v>E4_1_99_22:E4_1_99_22</v>
      </c>
      <c r="I324" s="31" t="str">
        <f t="shared" si="66"/>
        <v>E4_1_99_22_mRNA:0</v>
      </c>
      <c r="J324" s="31" t="str">
        <f t="shared" si="67"/>
        <v>E4_1_99_22:0</v>
      </c>
      <c r="K324" s="31" t="str">
        <f t="shared" si="68"/>
        <v>0.00292 - (0.0093 * E4_1_99_22_mRNA)</v>
      </c>
      <c r="L324" s="31" t="str">
        <f t="shared" si="69"/>
        <v>(0.278 * E4_1_99_22_mRNA) - (0.00000278 * E4_1_99_22)</v>
      </c>
      <c r="M324" s="31" t="str">
        <f t="shared" si="70"/>
        <v>mRNA323: -&gt; E4_1_99_22_mRNA | 0.00292 - (0.0093 * E4_1_99_22_mRNA)</v>
      </c>
      <c r="N324" s="31" t="str">
        <f t="shared" si="71"/>
        <v>Peptide323:E4_1_99_22_mRNA -&gt; E4_1_99_22 | (0.278 * E4_1_99_22_mRNA) -  (0.00000278 * E4_1_99_22)</v>
      </c>
    </row>
    <row r="325" spans="1:14" ht="43.5" x14ac:dyDescent="0.35">
      <c r="A325" s="31">
        <v>324</v>
      </c>
      <c r="B325" s="31" t="s">
        <v>14255</v>
      </c>
      <c r="C325" s="31" t="str">
        <f t="shared" si="60"/>
        <v>E4_2_1_10_mRNA</v>
      </c>
      <c r="D325" s="31" t="str">
        <f t="shared" si="61"/>
        <v>E4_2_1_10</v>
      </c>
      <c r="E325" s="31" t="str">
        <f t="shared" si="62"/>
        <v>E4_2_1_10_Kcat : 13.7</v>
      </c>
      <c r="F325" s="31" t="str">
        <f t="shared" si="63"/>
        <v>E4_2_1_10_Km :1</v>
      </c>
      <c r="G325" s="31" t="str">
        <f t="shared" si="64"/>
        <v>E4_2_1_10_mRNA:E4_2_1_10_mRNA</v>
      </c>
      <c r="H325" s="31" t="str">
        <f t="shared" si="65"/>
        <v>E4_2_1_10:E4_2_1_10</v>
      </c>
      <c r="I325" s="31" t="str">
        <f t="shared" si="66"/>
        <v>E4_2_1_10_mRNA:0</v>
      </c>
      <c r="J325" s="31" t="str">
        <f t="shared" si="67"/>
        <v>E4_2_1_10:0</v>
      </c>
      <c r="K325" s="31" t="str">
        <f t="shared" si="68"/>
        <v>0.00292 - (0.0093 * E4_2_1_10_mRNA)</v>
      </c>
      <c r="L325" s="31" t="str">
        <f t="shared" si="69"/>
        <v>(0.278 * E4_2_1_10_mRNA) - (0.00000278 * E4_2_1_10)</v>
      </c>
      <c r="M325" s="31" t="str">
        <f t="shared" si="70"/>
        <v>mRNA324: -&gt; E4_2_1_10_mRNA | 0.00292 - (0.0093 * E4_2_1_10_mRNA)</v>
      </c>
      <c r="N325" s="31" t="str">
        <f t="shared" si="71"/>
        <v>Peptide324:E4_2_1_10_mRNA -&gt; E4_2_1_10 | (0.278 * E4_2_1_10_mRNA) -  (0.00000278 * E4_2_1_10)</v>
      </c>
    </row>
    <row r="326" spans="1:14" ht="43.5" x14ac:dyDescent="0.35">
      <c r="A326" s="31">
        <v>325</v>
      </c>
      <c r="B326" s="31" t="s">
        <v>14256</v>
      </c>
      <c r="C326" s="31" t="str">
        <f t="shared" si="60"/>
        <v>E4_2_1_11_mRNA</v>
      </c>
      <c r="D326" s="31" t="str">
        <f t="shared" si="61"/>
        <v>E4_2_1_11</v>
      </c>
      <c r="E326" s="31" t="str">
        <f t="shared" si="62"/>
        <v>E4_2_1_11_Kcat : 13.7</v>
      </c>
      <c r="F326" s="31" t="str">
        <f t="shared" si="63"/>
        <v>E4_2_1_11_Km :1</v>
      </c>
      <c r="G326" s="31" t="str">
        <f t="shared" si="64"/>
        <v>E4_2_1_11_mRNA:E4_2_1_11_mRNA</v>
      </c>
      <c r="H326" s="31" t="str">
        <f t="shared" si="65"/>
        <v>E4_2_1_11:E4_2_1_11</v>
      </c>
      <c r="I326" s="31" t="str">
        <f t="shared" si="66"/>
        <v>E4_2_1_11_mRNA:0</v>
      </c>
      <c r="J326" s="31" t="str">
        <f t="shared" si="67"/>
        <v>E4_2_1_11:0</v>
      </c>
      <c r="K326" s="31" t="str">
        <f t="shared" si="68"/>
        <v>0.00292 - (0.0093 * E4_2_1_11_mRNA)</v>
      </c>
      <c r="L326" s="31" t="str">
        <f t="shared" si="69"/>
        <v>(0.278 * E4_2_1_11_mRNA) - (0.00000278 * E4_2_1_11)</v>
      </c>
      <c r="M326" s="31" t="str">
        <f t="shared" si="70"/>
        <v>mRNA325: -&gt; E4_2_1_11_mRNA | 0.00292 - (0.0093 * E4_2_1_11_mRNA)</v>
      </c>
      <c r="N326" s="31" t="str">
        <f t="shared" si="71"/>
        <v>Peptide325:E4_2_1_11_mRNA -&gt; E4_2_1_11 | (0.278 * E4_2_1_11_mRNA) -  (0.00000278 * E4_2_1_11)</v>
      </c>
    </row>
    <row r="327" spans="1:14" ht="43.5" x14ac:dyDescent="0.35">
      <c r="A327" s="31">
        <v>326</v>
      </c>
      <c r="B327" s="31" t="s">
        <v>14257</v>
      </c>
      <c r="C327" s="31" t="str">
        <f t="shared" si="60"/>
        <v>E4_2_1_113_mRNA</v>
      </c>
      <c r="D327" s="31" t="str">
        <f t="shared" si="61"/>
        <v>E4_2_1_113</v>
      </c>
      <c r="E327" s="31" t="str">
        <f t="shared" si="62"/>
        <v>E4_2_1_113_Kcat : 13.7</v>
      </c>
      <c r="F327" s="31" t="str">
        <f t="shared" si="63"/>
        <v>E4_2_1_113_Km :1</v>
      </c>
      <c r="G327" s="31" t="str">
        <f t="shared" si="64"/>
        <v>E4_2_1_113_mRNA:E4_2_1_113_mRNA</v>
      </c>
      <c r="H327" s="31" t="str">
        <f t="shared" si="65"/>
        <v>E4_2_1_113:E4_2_1_113</v>
      </c>
      <c r="I327" s="31" t="str">
        <f t="shared" si="66"/>
        <v>E4_2_1_113_mRNA:0</v>
      </c>
      <c r="J327" s="31" t="str">
        <f t="shared" si="67"/>
        <v>E4_2_1_113:0</v>
      </c>
      <c r="K327" s="31" t="str">
        <f t="shared" si="68"/>
        <v>0.00292 - (0.0093 * E4_2_1_113_mRNA)</v>
      </c>
      <c r="L327" s="31" t="str">
        <f t="shared" si="69"/>
        <v>(0.278 * E4_2_1_113_mRNA) - (0.00000278 * E4_2_1_113)</v>
      </c>
      <c r="M327" s="31" t="str">
        <f t="shared" si="70"/>
        <v>mRNA326: -&gt; E4_2_1_113_mRNA | 0.00292 - (0.0093 * E4_2_1_113_mRNA)</v>
      </c>
      <c r="N327" s="31" t="str">
        <f t="shared" si="71"/>
        <v>Peptide326:E4_2_1_113_mRNA -&gt; E4_2_1_113 | (0.278 * E4_2_1_113_mRNA) -  (0.00000278 * E4_2_1_113)</v>
      </c>
    </row>
    <row r="328" spans="1:14" ht="43.5" x14ac:dyDescent="0.35">
      <c r="A328" s="31">
        <v>327</v>
      </c>
      <c r="B328" s="31" t="s">
        <v>14258</v>
      </c>
      <c r="C328" s="31" t="str">
        <f t="shared" si="60"/>
        <v>E4_2_1_118_mRNA</v>
      </c>
      <c r="D328" s="31" t="str">
        <f t="shared" si="61"/>
        <v>E4_2_1_118</v>
      </c>
      <c r="E328" s="31" t="str">
        <f t="shared" si="62"/>
        <v>E4_2_1_118_Kcat : 13.7</v>
      </c>
      <c r="F328" s="31" t="str">
        <f t="shared" si="63"/>
        <v>E4_2_1_118_Km :1</v>
      </c>
      <c r="G328" s="31" t="str">
        <f t="shared" si="64"/>
        <v>E4_2_1_118_mRNA:E4_2_1_118_mRNA</v>
      </c>
      <c r="H328" s="31" t="str">
        <f t="shared" si="65"/>
        <v>E4_2_1_118:E4_2_1_118</v>
      </c>
      <c r="I328" s="31" t="str">
        <f t="shared" si="66"/>
        <v>E4_2_1_118_mRNA:0</v>
      </c>
      <c r="J328" s="31" t="str">
        <f t="shared" si="67"/>
        <v>E4_2_1_118:0</v>
      </c>
      <c r="K328" s="31" t="str">
        <f t="shared" si="68"/>
        <v>0.00292 - (0.0093 * E4_2_1_118_mRNA)</v>
      </c>
      <c r="L328" s="31" t="str">
        <f t="shared" si="69"/>
        <v>(0.278 * E4_2_1_118_mRNA) - (0.00000278 * E4_2_1_118)</v>
      </c>
      <c r="M328" s="31" t="str">
        <f t="shared" si="70"/>
        <v>mRNA327: -&gt; E4_2_1_118_mRNA | 0.00292 - (0.0093 * E4_2_1_118_mRNA)</v>
      </c>
      <c r="N328" s="31" t="str">
        <f t="shared" si="71"/>
        <v>Peptide327:E4_2_1_118_mRNA -&gt; E4_2_1_118 | (0.278 * E4_2_1_118_mRNA) -  (0.00000278 * E4_2_1_118)</v>
      </c>
    </row>
    <row r="329" spans="1:14" ht="43.5" x14ac:dyDescent="0.35">
      <c r="A329" s="31">
        <v>328</v>
      </c>
      <c r="B329" s="31" t="s">
        <v>14259</v>
      </c>
      <c r="C329" s="31" t="str">
        <f t="shared" si="60"/>
        <v>E4_2_1_19_mRNA</v>
      </c>
      <c r="D329" s="31" t="str">
        <f t="shared" si="61"/>
        <v>E4_2_1_19</v>
      </c>
      <c r="E329" s="31" t="str">
        <f t="shared" si="62"/>
        <v>E4_2_1_19_Kcat : 13.7</v>
      </c>
      <c r="F329" s="31" t="str">
        <f t="shared" si="63"/>
        <v>E4_2_1_19_Km :1</v>
      </c>
      <c r="G329" s="31" t="str">
        <f t="shared" si="64"/>
        <v>E4_2_1_19_mRNA:E4_2_1_19_mRNA</v>
      </c>
      <c r="H329" s="31" t="str">
        <f t="shared" si="65"/>
        <v>E4_2_1_19:E4_2_1_19</v>
      </c>
      <c r="I329" s="31" t="str">
        <f t="shared" si="66"/>
        <v>E4_2_1_19_mRNA:0</v>
      </c>
      <c r="J329" s="31" t="str">
        <f t="shared" si="67"/>
        <v>E4_2_1_19:0</v>
      </c>
      <c r="K329" s="31" t="str">
        <f t="shared" si="68"/>
        <v>0.00292 - (0.0093 * E4_2_1_19_mRNA)</v>
      </c>
      <c r="L329" s="31" t="str">
        <f t="shared" si="69"/>
        <v>(0.278 * E4_2_1_19_mRNA) - (0.00000278 * E4_2_1_19)</v>
      </c>
      <c r="M329" s="31" t="str">
        <f t="shared" si="70"/>
        <v>mRNA328: -&gt; E4_2_1_19_mRNA | 0.00292 - (0.0093 * E4_2_1_19_mRNA)</v>
      </c>
      <c r="N329" s="31" t="str">
        <f t="shared" si="71"/>
        <v>Peptide328:E4_2_1_19_mRNA -&gt; E4_2_1_19 | (0.278 * E4_2_1_19_mRNA) -  (0.00000278 * E4_2_1_19)</v>
      </c>
    </row>
    <row r="330" spans="1:14" ht="29" x14ac:dyDescent="0.35">
      <c r="A330" s="31">
        <v>329</v>
      </c>
      <c r="B330" s="31" t="s">
        <v>14260</v>
      </c>
      <c r="C330" s="31" t="str">
        <f t="shared" si="60"/>
        <v>E4_2_1_2_mRNA</v>
      </c>
      <c r="D330" s="31" t="str">
        <f t="shared" si="61"/>
        <v>E4_2_1_2</v>
      </c>
      <c r="E330" s="31" t="str">
        <f t="shared" si="62"/>
        <v>E4_2_1_2_Kcat : 13.7</v>
      </c>
      <c r="F330" s="31" t="str">
        <f t="shared" si="63"/>
        <v>E4_2_1_2_Km :1</v>
      </c>
      <c r="G330" s="31" t="str">
        <f t="shared" si="64"/>
        <v>E4_2_1_2_mRNA:E4_2_1_2_mRNA</v>
      </c>
      <c r="H330" s="31" t="str">
        <f t="shared" si="65"/>
        <v>E4_2_1_2:E4_2_1_2</v>
      </c>
      <c r="I330" s="31" t="str">
        <f t="shared" si="66"/>
        <v>E4_2_1_2_mRNA:0</v>
      </c>
      <c r="J330" s="31" t="str">
        <f t="shared" si="67"/>
        <v>E4_2_1_2:0</v>
      </c>
      <c r="K330" s="31" t="str">
        <f t="shared" si="68"/>
        <v>0.00292 - (0.0093 * E4_2_1_2_mRNA)</v>
      </c>
      <c r="L330" s="31" t="str">
        <f t="shared" si="69"/>
        <v>(0.278 * E4_2_1_2_mRNA) - (0.00000278 * E4_2_1_2)</v>
      </c>
      <c r="M330" s="31" t="str">
        <f t="shared" si="70"/>
        <v>mRNA329: -&gt; E4_2_1_2_mRNA | 0.00292 - (0.0093 * E4_2_1_2_mRNA)</v>
      </c>
      <c r="N330" s="31" t="str">
        <f t="shared" si="71"/>
        <v>Peptide329:E4_2_1_2_mRNA -&gt; E4_2_1_2 | (0.278 * E4_2_1_2_mRNA) -  (0.00000278 * E4_2_1_2)</v>
      </c>
    </row>
    <row r="331" spans="1:14" ht="43.5" x14ac:dyDescent="0.35">
      <c r="A331" s="31">
        <v>330</v>
      </c>
      <c r="B331" s="31" t="s">
        <v>14261</v>
      </c>
      <c r="C331" s="31" t="str">
        <f t="shared" si="60"/>
        <v>E4_2_1_20_mRNA</v>
      </c>
      <c r="D331" s="31" t="str">
        <f t="shared" si="61"/>
        <v>E4_2_1_20</v>
      </c>
      <c r="E331" s="31" t="str">
        <f t="shared" si="62"/>
        <v>E4_2_1_20_Kcat : 13.7</v>
      </c>
      <c r="F331" s="31" t="str">
        <f t="shared" si="63"/>
        <v>E4_2_1_20_Km :1</v>
      </c>
      <c r="G331" s="31" t="str">
        <f t="shared" si="64"/>
        <v>E4_2_1_20_mRNA:E4_2_1_20_mRNA</v>
      </c>
      <c r="H331" s="31" t="str">
        <f t="shared" si="65"/>
        <v>E4_2_1_20:E4_2_1_20</v>
      </c>
      <c r="I331" s="31" t="str">
        <f t="shared" si="66"/>
        <v>E4_2_1_20_mRNA:0</v>
      </c>
      <c r="J331" s="31" t="str">
        <f t="shared" si="67"/>
        <v>E4_2_1_20:0</v>
      </c>
      <c r="K331" s="31" t="str">
        <f t="shared" si="68"/>
        <v>0.00292 - (0.0093 * E4_2_1_20_mRNA)</v>
      </c>
      <c r="L331" s="31" t="str">
        <f t="shared" si="69"/>
        <v>(0.278 * E4_2_1_20_mRNA) - (0.00000278 * E4_2_1_20)</v>
      </c>
      <c r="M331" s="31" t="str">
        <f t="shared" si="70"/>
        <v>mRNA330: -&gt; E4_2_1_20_mRNA | 0.00292 - (0.0093 * E4_2_1_20_mRNA)</v>
      </c>
      <c r="N331" s="31" t="str">
        <f t="shared" si="71"/>
        <v>Peptide330:E4_2_1_20_mRNA -&gt; E4_2_1_20 | (0.278 * E4_2_1_20_mRNA) -  (0.00000278 * E4_2_1_20)</v>
      </c>
    </row>
    <row r="332" spans="1:14" ht="43.5" x14ac:dyDescent="0.35">
      <c r="A332" s="31">
        <v>331</v>
      </c>
      <c r="B332" s="31" t="s">
        <v>14262</v>
      </c>
      <c r="C332" s="31" t="str">
        <f t="shared" si="60"/>
        <v>E4_2_1_24_mRNA</v>
      </c>
      <c r="D332" s="31" t="str">
        <f t="shared" si="61"/>
        <v>E4_2_1_24</v>
      </c>
      <c r="E332" s="31" t="str">
        <f t="shared" si="62"/>
        <v>E4_2_1_24_Kcat : 13.7</v>
      </c>
      <c r="F332" s="31" t="str">
        <f t="shared" si="63"/>
        <v>E4_2_1_24_Km :1</v>
      </c>
      <c r="G332" s="31" t="str">
        <f t="shared" si="64"/>
        <v>E4_2_1_24_mRNA:E4_2_1_24_mRNA</v>
      </c>
      <c r="H332" s="31" t="str">
        <f t="shared" si="65"/>
        <v>E4_2_1_24:E4_2_1_24</v>
      </c>
      <c r="I332" s="31" t="str">
        <f t="shared" si="66"/>
        <v>E4_2_1_24_mRNA:0</v>
      </c>
      <c r="J332" s="31" t="str">
        <f t="shared" si="67"/>
        <v>E4_2_1_24:0</v>
      </c>
      <c r="K332" s="31" t="str">
        <f t="shared" si="68"/>
        <v>0.00292 - (0.0093 * E4_2_1_24_mRNA)</v>
      </c>
      <c r="L332" s="31" t="str">
        <f t="shared" si="69"/>
        <v>(0.278 * E4_2_1_24_mRNA) - (0.00000278 * E4_2_1_24)</v>
      </c>
      <c r="M332" s="31" t="str">
        <f t="shared" si="70"/>
        <v>mRNA331: -&gt; E4_2_1_24_mRNA | 0.00292 - (0.0093 * E4_2_1_24_mRNA)</v>
      </c>
      <c r="N332" s="31" t="str">
        <f t="shared" si="71"/>
        <v>Peptide331:E4_2_1_24_mRNA -&gt; E4_2_1_24 | (0.278 * E4_2_1_24_mRNA) -  (0.00000278 * E4_2_1_24)</v>
      </c>
    </row>
    <row r="333" spans="1:14" ht="43.5" x14ac:dyDescent="0.35">
      <c r="A333" s="31">
        <v>332</v>
      </c>
      <c r="B333" s="31" t="s">
        <v>14263</v>
      </c>
      <c r="C333" s="31" t="str">
        <f t="shared" si="60"/>
        <v>E4_2_1_3 _mRNA</v>
      </c>
      <c r="D333" s="31" t="str">
        <f t="shared" si="61"/>
        <v xml:space="preserve">E4_2_1_3 </v>
      </c>
      <c r="E333" s="31" t="str">
        <f t="shared" si="62"/>
        <v>E4_2_1_3 _Kcat : 13.7</v>
      </c>
      <c r="F333" s="31" t="str">
        <f t="shared" si="63"/>
        <v>E4_2_1_3 _Km :1</v>
      </c>
      <c r="G333" s="31" t="str">
        <f t="shared" si="64"/>
        <v>E4_2_1_3 _mRNA:E4_2_1_3 _mRNA</v>
      </c>
      <c r="H333" s="31" t="str">
        <f t="shared" si="65"/>
        <v xml:space="preserve">E4_2_1_3 :E4_2_1_3 </v>
      </c>
      <c r="I333" s="31" t="str">
        <f t="shared" si="66"/>
        <v>E4_2_1_3 _mRNA:0</v>
      </c>
      <c r="J333" s="31" t="str">
        <f t="shared" si="67"/>
        <v>E4_2_1_3 :0</v>
      </c>
      <c r="K333" s="31" t="str">
        <f t="shared" si="68"/>
        <v>0.00292 - (0.0093 * E4_2_1_3 _mRNA)</v>
      </c>
      <c r="L333" s="31" t="str">
        <f t="shared" si="69"/>
        <v>(0.278 * E4_2_1_3 _mRNA) - (0.00000278 * E4_2_1_3 )</v>
      </c>
      <c r="M333" s="31" t="str">
        <f t="shared" si="70"/>
        <v>mRNA332: -&gt; E4_2_1_3 _mRNA | 0.00292 - (0.0093 * E4_2_1_3 _mRNA)</v>
      </c>
      <c r="N333" s="31" t="str">
        <f t="shared" si="71"/>
        <v>Peptide332:E4_2_1_3 _mRNA -&gt; E4_2_1_3  | (0.278 * E4_2_1_3 _mRNA) -  (0.00000278 * E4_2_1_3 )</v>
      </c>
    </row>
    <row r="334" spans="1:14" ht="43.5" x14ac:dyDescent="0.35">
      <c r="A334" s="31">
        <v>333</v>
      </c>
      <c r="B334" s="31" t="s">
        <v>14264</v>
      </c>
      <c r="C334" s="31" t="str">
        <f t="shared" si="60"/>
        <v>E4_2_1_79_mRNA</v>
      </c>
      <c r="D334" s="31" t="str">
        <f t="shared" si="61"/>
        <v>E4_2_1_79</v>
      </c>
      <c r="E334" s="31" t="str">
        <f t="shared" si="62"/>
        <v>E4_2_1_79_Kcat : 13.7</v>
      </c>
      <c r="F334" s="31" t="str">
        <f t="shared" si="63"/>
        <v>E4_2_1_79_Km :1</v>
      </c>
      <c r="G334" s="31" t="str">
        <f t="shared" si="64"/>
        <v>E4_2_1_79_mRNA:E4_2_1_79_mRNA</v>
      </c>
      <c r="H334" s="31" t="str">
        <f t="shared" si="65"/>
        <v>E4_2_1_79:E4_2_1_79</v>
      </c>
      <c r="I334" s="31" t="str">
        <f t="shared" si="66"/>
        <v>E4_2_1_79_mRNA:0</v>
      </c>
      <c r="J334" s="31" t="str">
        <f t="shared" si="67"/>
        <v>E4_2_1_79:0</v>
      </c>
      <c r="K334" s="31" t="str">
        <f t="shared" si="68"/>
        <v>0.00292 - (0.0093 * E4_2_1_79_mRNA)</v>
      </c>
      <c r="L334" s="31" t="str">
        <f t="shared" si="69"/>
        <v>(0.278 * E4_2_1_79_mRNA) - (0.00000278 * E4_2_1_79)</v>
      </c>
      <c r="M334" s="31" t="str">
        <f t="shared" si="70"/>
        <v>mRNA333: -&gt; E4_2_1_79_mRNA | 0.00292 - (0.0093 * E4_2_1_79_mRNA)</v>
      </c>
      <c r="N334" s="31" t="str">
        <f t="shared" si="71"/>
        <v>Peptide333:E4_2_1_79_mRNA -&gt; E4_2_1_79 | (0.278 * E4_2_1_79_mRNA) -  (0.00000278 * E4_2_1_79)</v>
      </c>
    </row>
    <row r="335" spans="1:14" ht="43.5" x14ac:dyDescent="0.35">
      <c r="A335" s="31">
        <v>334</v>
      </c>
      <c r="B335" s="31" t="s">
        <v>14265</v>
      </c>
      <c r="C335" s="31" t="str">
        <f t="shared" si="60"/>
        <v>E4_2_1_33_mRNA</v>
      </c>
      <c r="D335" s="31" t="str">
        <f t="shared" si="61"/>
        <v>E4_2_1_33</v>
      </c>
      <c r="E335" s="31" t="str">
        <f t="shared" si="62"/>
        <v>E4_2_1_33_Kcat : 13.7</v>
      </c>
      <c r="F335" s="31" t="str">
        <f t="shared" si="63"/>
        <v>E4_2_1_33_Km :1</v>
      </c>
      <c r="G335" s="31" t="str">
        <f t="shared" si="64"/>
        <v>E4_2_1_33_mRNA:E4_2_1_33_mRNA</v>
      </c>
      <c r="H335" s="31" t="str">
        <f t="shared" si="65"/>
        <v>E4_2_1_33:E4_2_1_33</v>
      </c>
      <c r="I335" s="31" t="str">
        <f t="shared" si="66"/>
        <v>E4_2_1_33_mRNA:0</v>
      </c>
      <c r="J335" s="31" t="str">
        <f t="shared" si="67"/>
        <v>E4_2_1_33:0</v>
      </c>
      <c r="K335" s="31" t="str">
        <f t="shared" si="68"/>
        <v>0.00292 - (0.0093 * E4_2_1_33_mRNA)</v>
      </c>
      <c r="L335" s="31" t="str">
        <f t="shared" si="69"/>
        <v>(0.278 * E4_2_1_33_mRNA) - (0.00000278 * E4_2_1_33)</v>
      </c>
      <c r="M335" s="31" t="str">
        <f t="shared" si="70"/>
        <v>mRNA334: -&gt; E4_2_1_33_mRNA | 0.00292 - (0.0093 * E4_2_1_33_mRNA)</v>
      </c>
      <c r="N335" s="31" t="str">
        <f t="shared" si="71"/>
        <v>Peptide334:E4_2_1_33_mRNA -&gt; E4_2_1_33 | (0.278 * E4_2_1_33_mRNA) -  (0.00000278 * E4_2_1_33)</v>
      </c>
    </row>
    <row r="336" spans="1:14" ht="43.5" x14ac:dyDescent="0.35">
      <c r="A336" s="31">
        <v>335</v>
      </c>
      <c r="B336" s="31" t="s">
        <v>14266</v>
      </c>
      <c r="C336" s="31" t="str">
        <f t="shared" si="60"/>
        <v>E4_2_1_46_mRNA</v>
      </c>
      <c r="D336" s="31" t="str">
        <f t="shared" si="61"/>
        <v>E4_2_1_46</v>
      </c>
      <c r="E336" s="31" t="str">
        <f t="shared" si="62"/>
        <v>E4_2_1_46_Kcat : 13.7</v>
      </c>
      <c r="F336" s="31" t="str">
        <f t="shared" si="63"/>
        <v>E4_2_1_46_Km :1</v>
      </c>
      <c r="G336" s="31" t="str">
        <f t="shared" si="64"/>
        <v>E4_2_1_46_mRNA:E4_2_1_46_mRNA</v>
      </c>
      <c r="H336" s="31" t="str">
        <f t="shared" si="65"/>
        <v>E4_2_1_46:E4_2_1_46</v>
      </c>
      <c r="I336" s="31" t="str">
        <f t="shared" si="66"/>
        <v>E4_2_1_46_mRNA:0</v>
      </c>
      <c r="J336" s="31" t="str">
        <f t="shared" si="67"/>
        <v>E4_2_1_46:0</v>
      </c>
      <c r="K336" s="31" t="str">
        <f t="shared" si="68"/>
        <v>0.00292 - (0.0093 * E4_2_1_46_mRNA)</v>
      </c>
      <c r="L336" s="31" t="str">
        <f t="shared" si="69"/>
        <v>(0.278 * E4_2_1_46_mRNA) - (0.00000278 * E4_2_1_46)</v>
      </c>
      <c r="M336" s="31" t="str">
        <f t="shared" si="70"/>
        <v>mRNA335: -&gt; E4_2_1_46_mRNA | 0.00292 - (0.0093 * E4_2_1_46_mRNA)</v>
      </c>
      <c r="N336" s="31" t="str">
        <f t="shared" si="71"/>
        <v>Peptide335:E4_2_1_46_mRNA -&gt; E4_2_1_46 | (0.278 * E4_2_1_46_mRNA) -  (0.00000278 * E4_2_1_46)</v>
      </c>
    </row>
    <row r="337" spans="1:14" ht="43.5" x14ac:dyDescent="0.35">
      <c r="A337" s="31">
        <v>336</v>
      </c>
      <c r="B337" s="31" t="s">
        <v>14267</v>
      </c>
      <c r="C337" s="31" t="str">
        <f t="shared" si="60"/>
        <v>E4_2_1_47_mRNA</v>
      </c>
      <c r="D337" s="31" t="str">
        <f t="shared" si="61"/>
        <v>E4_2_1_47</v>
      </c>
      <c r="E337" s="31" t="str">
        <f t="shared" si="62"/>
        <v>E4_2_1_47_Kcat : 13.7</v>
      </c>
      <c r="F337" s="31" t="str">
        <f t="shared" si="63"/>
        <v>E4_2_1_47_Km :1</v>
      </c>
      <c r="G337" s="31" t="str">
        <f t="shared" si="64"/>
        <v>E4_2_1_47_mRNA:E4_2_1_47_mRNA</v>
      </c>
      <c r="H337" s="31" t="str">
        <f t="shared" si="65"/>
        <v>E4_2_1_47:E4_2_1_47</v>
      </c>
      <c r="I337" s="31" t="str">
        <f t="shared" si="66"/>
        <v>E4_2_1_47_mRNA:0</v>
      </c>
      <c r="J337" s="31" t="str">
        <f t="shared" si="67"/>
        <v>E4_2_1_47:0</v>
      </c>
      <c r="K337" s="31" t="str">
        <f t="shared" si="68"/>
        <v>0.00292 - (0.0093 * E4_2_1_47_mRNA)</v>
      </c>
      <c r="L337" s="31" t="str">
        <f t="shared" si="69"/>
        <v>(0.278 * E4_2_1_47_mRNA) - (0.00000278 * E4_2_1_47)</v>
      </c>
      <c r="M337" s="31" t="str">
        <f t="shared" si="70"/>
        <v>mRNA336: -&gt; E4_2_1_47_mRNA | 0.00292 - (0.0093 * E4_2_1_47_mRNA)</v>
      </c>
      <c r="N337" s="31" t="str">
        <f t="shared" si="71"/>
        <v>Peptide336:E4_2_1_47_mRNA -&gt; E4_2_1_47 | (0.278 * E4_2_1_47_mRNA) -  (0.00000278 * E4_2_1_47)</v>
      </c>
    </row>
    <row r="338" spans="1:14" ht="43.5" x14ac:dyDescent="0.35">
      <c r="A338" s="31">
        <v>337</v>
      </c>
      <c r="B338" s="31" t="s">
        <v>14268</v>
      </c>
      <c r="C338" s="31" t="str">
        <f t="shared" si="60"/>
        <v>E4_2_1_51_mRNA</v>
      </c>
      <c r="D338" s="31" t="str">
        <f t="shared" si="61"/>
        <v>E4_2_1_51</v>
      </c>
      <c r="E338" s="31" t="str">
        <f t="shared" si="62"/>
        <v>E4_2_1_51_Kcat : 13.7</v>
      </c>
      <c r="F338" s="31" t="str">
        <f t="shared" si="63"/>
        <v>E4_2_1_51_Km :1</v>
      </c>
      <c r="G338" s="31" t="str">
        <f t="shared" si="64"/>
        <v>E4_2_1_51_mRNA:E4_2_1_51_mRNA</v>
      </c>
      <c r="H338" s="31" t="str">
        <f t="shared" si="65"/>
        <v>E4_2_1_51:E4_2_1_51</v>
      </c>
      <c r="I338" s="31" t="str">
        <f t="shared" si="66"/>
        <v>E4_2_1_51_mRNA:0</v>
      </c>
      <c r="J338" s="31" t="str">
        <f t="shared" si="67"/>
        <v>E4_2_1_51:0</v>
      </c>
      <c r="K338" s="31" t="str">
        <f t="shared" si="68"/>
        <v>0.00292 - (0.0093 * E4_2_1_51_mRNA)</v>
      </c>
      <c r="L338" s="31" t="str">
        <f t="shared" si="69"/>
        <v>(0.278 * E4_2_1_51_mRNA) - (0.00000278 * E4_2_1_51)</v>
      </c>
      <c r="M338" s="31" t="str">
        <f t="shared" si="70"/>
        <v>mRNA337: -&gt; E4_2_1_51_mRNA | 0.00292 - (0.0093 * E4_2_1_51_mRNA)</v>
      </c>
      <c r="N338" s="31" t="str">
        <f t="shared" si="71"/>
        <v>Peptide337:E4_2_1_51_mRNA -&gt; E4_2_1_51 | (0.278 * E4_2_1_51_mRNA) -  (0.00000278 * E4_2_1_51)</v>
      </c>
    </row>
    <row r="339" spans="1:14" ht="29" x14ac:dyDescent="0.35">
      <c r="A339" s="31">
        <v>338</v>
      </c>
      <c r="B339" s="31" t="s">
        <v>14269</v>
      </c>
      <c r="C339" s="31" t="str">
        <f t="shared" si="60"/>
        <v>E4_2_1_9_mRNA</v>
      </c>
      <c r="D339" s="31" t="str">
        <f t="shared" si="61"/>
        <v>E4_2_1_9</v>
      </c>
      <c r="E339" s="31" t="str">
        <f t="shared" si="62"/>
        <v>E4_2_1_9_Kcat : 13.7</v>
      </c>
      <c r="F339" s="31" t="str">
        <f t="shared" si="63"/>
        <v>E4_2_1_9_Km :1</v>
      </c>
      <c r="G339" s="31" t="str">
        <f t="shared" si="64"/>
        <v>E4_2_1_9_mRNA:E4_2_1_9_mRNA</v>
      </c>
      <c r="H339" s="31" t="str">
        <f t="shared" si="65"/>
        <v>E4_2_1_9:E4_2_1_9</v>
      </c>
      <c r="I339" s="31" t="str">
        <f t="shared" si="66"/>
        <v>E4_2_1_9_mRNA:0</v>
      </c>
      <c r="J339" s="31" t="str">
        <f t="shared" si="67"/>
        <v>E4_2_1_9:0</v>
      </c>
      <c r="K339" s="31" t="str">
        <f t="shared" si="68"/>
        <v>0.00292 - (0.0093 * E4_2_1_9_mRNA)</v>
      </c>
      <c r="L339" s="31" t="str">
        <f t="shared" si="69"/>
        <v>(0.278 * E4_2_1_9_mRNA) - (0.00000278 * E4_2_1_9)</v>
      </c>
      <c r="M339" s="31" t="str">
        <f t="shared" si="70"/>
        <v>mRNA338: -&gt; E4_2_1_9_mRNA | 0.00292 - (0.0093 * E4_2_1_9_mRNA)</v>
      </c>
      <c r="N339" s="31" t="str">
        <f t="shared" si="71"/>
        <v>Peptide338:E4_2_1_9_mRNA -&gt; E4_2_1_9 | (0.278 * E4_2_1_9_mRNA) -  (0.00000278 * E4_2_1_9)</v>
      </c>
    </row>
    <row r="340" spans="1:14" ht="43.5" x14ac:dyDescent="0.35">
      <c r="A340" s="31">
        <v>339</v>
      </c>
      <c r="B340" s="31" t="s">
        <v>14270</v>
      </c>
      <c r="C340" s="31" t="str">
        <f t="shared" si="60"/>
        <v>E4_2_1_96_mRNA</v>
      </c>
      <c r="D340" s="31" t="str">
        <f t="shared" si="61"/>
        <v>E4_2_1_96</v>
      </c>
      <c r="E340" s="31" t="str">
        <f t="shared" si="62"/>
        <v>E4_2_1_96_Kcat : 13.7</v>
      </c>
      <c r="F340" s="31" t="str">
        <f t="shared" si="63"/>
        <v>E4_2_1_96_Km :1</v>
      </c>
      <c r="G340" s="31" t="str">
        <f t="shared" si="64"/>
        <v>E4_2_1_96_mRNA:E4_2_1_96_mRNA</v>
      </c>
      <c r="H340" s="31" t="str">
        <f t="shared" si="65"/>
        <v>E4_2_1_96:E4_2_1_96</v>
      </c>
      <c r="I340" s="31" t="str">
        <f t="shared" si="66"/>
        <v>E4_2_1_96_mRNA:0</v>
      </c>
      <c r="J340" s="31" t="str">
        <f t="shared" si="67"/>
        <v>E4_2_1_96:0</v>
      </c>
      <c r="K340" s="31" t="str">
        <f t="shared" si="68"/>
        <v>0.00292 - (0.0093 * E4_2_1_96_mRNA)</v>
      </c>
      <c r="L340" s="31" t="str">
        <f t="shared" si="69"/>
        <v>(0.278 * E4_2_1_96_mRNA) - (0.00000278 * E4_2_1_96)</v>
      </c>
      <c r="M340" s="31" t="str">
        <f t="shared" si="70"/>
        <v>mRNA339: -&gt; E4_2_1_96_mRNA | 0.00292 - (0.0093 * E4_2_1_96_mRNA)</v>
      </c>
      <c r="N340" s="31" t="str">
        <f t="shared" si="71"/>
        <v>Peptide339:E4_2_1_96_mRNA -&gt; E4_2_1_96 | (0.278 * E4_2_1_96_mRNA) -  (0.00000278 * E4_2_1_96)</v>
      </c>
    </row>
    <row r="341" spans="1:14" ht="29" x14ac:dyDescent="0.35">
      <c r="A341" s="31">
        <v>340</v>
      </c>
      <c r="B341" s="31" t="s">
        <v>14271</v>
      </c>
      <c r="C341" s="31" t="str">
        <f t="shared" si="60"/>
        <v>E4_2_3_1_mRNA</v>
      </c>
      <c r="D341" s="31" t="str">
        <f t="shared" si="61"/>
        <v>E4_2_3_1</v>
      </c>
      <c r="E341" s="31" t="str">
        <f t="shared" si="62"/>
        <v>E4_2_3_1_Kcat : 13.7</v>
      </c>
      <c r="F341" s="31" t="str">
        <f t="shared" si="63"/>
        <v>E4_2_3_1_Km :1</v>
      </c>
      <c r="G341" s="31" t="str">
        <f t="shared" si="64"/>
        <v>E4_2_3_1_mRNA:E4_2_3_1_mRNA</v>
      </c>
      <c r="H341" s="31" t="str">
        <f t="shared" si="65"/>
        <v>E4_2_3_1:E4_2_3_1</v>
      </c>
      <c r="I341" s="31" t="str">
        <f t="shared" si="66"/>
        <v>E4_2_3_1_mRNA:0</v>
      </c>
      <c r="J341" s="31" t="str">
        <f t="shared" si="67"/>
        <v>E4_2_3_1:0</v>
      </c>
      <c r="K341" s="31" t="str">
        <f t="shared" si="68"/>
        <v>0.00292 - (0.0093 * E4_2_3_1_mRNA)</v>
      </c>
      <c r="L341" s="31" t="str">
        <f t="shared" si="69"/>
        <v>(0.278 * E4_2_3_1_mRNA) - (0.00000278 * E4_2_3_1)</v>
      </c>
      <c r="M341" s="31" t="str">
        <f t="shared" si="70"/>
        <v>mRNA340: -&gt; E4_2_3_1_mRNA | 0.00292 - (0.0093 * E4_2_3_1_mRNA)</v>
      </c>
      <c r="N341" s="31" t="str">
        <f t="shared" si="71"/>
        <v>Peptide340:E4_2_3_1_mRNA -&gt; E4_2_3_1 | (0.278 * E4_2_3_1_mRNA) -  (0.00000278 * E4_2_3_1)</v>
      </c>
    </row>
    <row r="342" spans="1:14" ht="29" x14ac:dyDescent="0.35">
      <c r="A342" s="31">
        <v>341</v>
      </c>
      <c r="B342" s="31" t="s">
        <v>14272</v>
      </c>
      <c r="C342" s="31" t="str">
        <f t="shared" si="60"/>
        <v>E4_2_3_4_mRNA</v>
      </c>
      <c r="D342" s="31" t="str">
        <f t="shared" si="61"/>
        <v>E4_2_3_4</v>
      </c>
      <c r="E342" s="31" t="str">
        <f t="shared" si="62"/>
        <v>E4_2_3_4_Kcat : 13.7</v>
      </c>
      <c r="F342" s="31" t="str">
        <f t="shared" si="63"/>
        <v>E4_2_3_4_Km :1</v>
      </c>
      <c r="G342" s="31" t="str">
        <f t="shared" si="64"/>
        <v>E4_2_3_4_mRNA:E4_2_3_4_mRNA</v>
      </c>
      <c r="H342" s="31" t="str">
        <f t="shared" si="65"/>
        <v>E4_2_3_4:E4_2_3_4</v>
      </c>
      <c r="I342" s="31" t="str">
        <f t="shared" si="66"/>
        <v>E4_2_3_4_mRNA:0</v>
      </c>
      <c r="J342" s="31" t="str">
        <f t="shared" si="67"/>
        <v>E4_2_3_4:0</v>
      </c>
      <c r="K342" s="31" t="str">
        <f t="shared" si="68"/>
        <v>0.00292 - (0.0093 * E4_2_3_4_mRNA)</v>
      </c>
      <c r="L342" s="31" t="str">
        <f t="shared" si="69"/>
        <v>(0.278 * E4_2_3_4_mRNA) - (0.00000278 * E4_2_3_4)</v>
      </c>
      <c r="M342" s="31" t="str">
        <f t="shared" si="70"/>
        <v>mRNA341: -&gt; E4_2_3_4_mRNA | 0.00292 - (0.0093 * E4_2_3_4_mRNA)</v>
      </c>
      <c r="N342" s="31" t="str">
        <f t="shared" si="71"/>
        <v>Peptide341:E4_2_3_4_mRNA -&gt; E4_2_3_4 | (0.278 * E4_2_3_4_mRNA) -  (0.00000278 * E4_2_3_4)</v>
      </c>
    </row>
    <row r="343" spans="1:14" ht="29" x14ac:dyDescent="0.35">
      <c r="A343" s="31">
        <v>342</v>
      </c>
      <c r="B343" s="31" t="s">
        <v>14273</v>
      </c>
      <c r="C343" s="31" t="str">
        <f t="shared" si="60"/>
        <v>E4_2_3_5_mRNA</v>
      </c>
      <c r="D343" s="31" t="str">
        <f t="shared" si="61"/>
        <v>E4_2_3_5</v>
      </c>
      <c r="E343" s="31" t="str">
        <f t="shared" si="62"/>
        <v>E4_2_3_5_Kcat : 13.7</v>
      </c>
      <c r="F343" s="31" t="str">
        <f t="shared" si="63"/>
        <v>E4_2_3_5_Km :1</v>
      </c>
      <c r="G343" s="31" t="str">
        <f t="shared" si="64"/>
        <v>E4_2_3_5_mRNA:E4_2_3_5_mRNA</v>
      </c>
      <c r="H343" s="31" t="str">
        <f t="shared" si="65"/>
        <v>E4_2_3_5:E4_2_3_5</v>
      </c>
      <c r="I343" s="31" t="str">
        <f t="shared" si="66"/>
        <v>E4_2_3_5_mRNA:0</v>
      </c>
      <c r="J343" s="31" t="str">
        <f t="shared" si="67"/>
        <v>E4_2_3_5:0</v>
      </c>
      <c r="K343" s="31" t="str">
        <f t="shared" si="68"/>
        <v>0.00292 - (0.0093 * E4_2_3_5_mRNA)</v>
      </c>
      <c r="L343" s="31" t="str">
        <f t="shared" si="69"/>
        <v>(0.278 * E4_2_3_5_mRNA) - (0.00000278 * E4_2_3_5)</v>
      </c>
      <c r="M343" s="31" t="str">
        <f t="shared" si="70"/>
        <v>mRNA342: -&gt; E4_2_3_5_mRNA | 0.00292 - (0.0093 * E4_2_3_5_mRNA)</v>
      </c>
      <c r="N343" s="31" t="str">
        <f t="shared" si="71"/>
        <v>Peptide342:E4_2_3_5_mRNA -&gt; E4_2_3_5 | (0.278 * E4_2_3_5_mRNA) -  (0.00000278 * E4_2_3_5)</v>
      </c>
    </row>
    <row r="344" spans="1:14" ht="29" x14ac:dyDescent="0.35">
      <c r="A344" s="31">
        <v>343</v>
      </c>
      <c r="B344" s="31" t="s">
        <v>14274</v>
      </c>
      <c r="C344" s="31" t="str">
        <f t="shared" si="60"/>
        <v>E4_3_1_1_mRNA</v>
      </c>
      <c r="D344" s="31" t="str">
        <f t="shared" si="61"/>
        <v>E4_3_1_1</v>
      </c>
      <c r="E344" s="31" t="str">
        <f t="shared" si="62"/>
        <v>E4_3_1_1_Kcat : 13.7</v>
      </c>
      <c r="F344" s="31" t="str">
        <f t="shared" si="63"/>
        <v>E4_3_1_1_Km :1</v>
      </c>
      <c r="G344" s="31" t="str">
        <f t="shared" si="64"/>
        <v>E4_3_1_1_mRNA:E4_3_1_1_mRNA</v>
      </c>
      <c r="H344" s="31" t="str">
        <f t="shared" si="65"/>
        <v>E4_3_1_1:E4_3_1_1</v>
      </c>
      <c r="I344" s="31" t="str">
        <f t="shared" si="66"/>
        <v>E4_3_1_1_mRNA:0</v>
      </c>
      <c r="J344" s="31" t="str">
        <f t="shared" si="67"/>
        <v>E4_3_1_1:0</v>
      </c>
      <c r="K344" s="31" t="str">
        <f t="shared" si="68"/>
        <v>0.00292 - (0.0093 * E4_3_1_1_mRNA)</v>
      </c>
      <c r="L344" s="31" t="str">
        <f t="shared" si="69"/>
        <v>(0.278 * E4_3_1_1_mRNA) - (0.00000278 * E4_3_1_1)</v>
      </c>
      <c r="M344" s="31" t="str">
        <f t="shared" si="70"/>
        <v>mRNA343: -&gt; E4_3_1_1_mRNA | 0.00292 - (0.0093 * E4_3_1_1_mRNA)</v>
      </c>
      <c r="N344" s="31" t="str">
        <f t="shared" si="71"/>
        <v>Peptide343:E4_3_1_1_mRNA -&gt; E4_3_1_1 | (0.278 * E4_3_1_1_mRNA) -  (0.00000278 * E4_3_1_1)</v>
      </c>
    </row>
    <row r="345" spans="1:14" ht="43.5" x14ac:dyDescent="0.35">
      <c r="A345" s="31">
        <v>344</v>
      </c>
      <c r="B345" s="31" t="s">
        <v>14275</v>
      </c>
      <c r="C345" s="31" t="str">
        <f t="shared" si="60"/>
        <v>E4_3_1_17_mRNA</v>
      </c>
      <c r="D345" s="31" t="str">
        <f t="shared" si="61"/>
        <v>E4_3_1_17</v>
      </c>
      <c r="E345" s="31" t="str">
        <f t="shared" si="62"/>
        <v>E4_3_1_17_Kcat : 13.7</v>
      </c>
      <c r="F345" s="31" t="str">
        <f t="shared" si="63"/>
        <v>E4_3_1_17_Km :1</v>
      </c>
      <c r="G345" s="31" t="str">
        <f t="shared" si="64"/>
        <v>E4_3_1_17_mRNA:E4_3_1_17_mRNA</v>
      </c>
      <c r="H345" s="31" t="str">
        <f t="shared" si="65"/>
        <v>E4_3_1_17:E4_3_1_17</v>
      </c>
      <c r="I345" s="31" t="str">
        <f t="shared" si="66"/>
        <v>E4_3_1_17_mRNA:0</v>
      </c>
      <c r="J345" s="31" t="str">
        <f t="shared" si="67"/>
        <v>E4_3_1_17:0</v>
      </c>
      <c r="K345" s="31" t="str">
        <f t="shared" si="68"/>
        <v>0.00292 - (0.0093 * E4_3_1_17_mRNA)</v>
      </c>
      <c r="L345" s="31" t="str">
        <f t="shared" si="69"/>
        <v>(0.278 * E4_3_1_17_mRNA) - (0.00000278 * E4_3_1_17)</v>
      </c>
      <c r="M345" s="31" t="str">
        <f t="shared" si="70"/>
        <v>mRNA344: -&gt; E4_3_1_17_mRNA | 0.00292 - (0.0093 * E4_3_1_17_mRNA)</v>
      </c>
      <c r="N345" s="31" t="str">
        <f t="shared" si="71"/>
        <v>Peptide344:E4_3_1_17_mRNA -&gt; E4_3_1_17 | (0.278 * E4_3_1_17_mRNA) -  (0.00000278 * E4_3_1_17)</v>
      </c>
    </row>
    <row r="346" spans="1:14" ht="43.5" x14ac:dyDescent="0.35">
      <c r="A346" s="31">
        <v>345</v>
      </c>
      <c r="B346" s="31" t="s">
        <v>14276</v>
      </c>
      <c r="C346" s="31" t="str">
        <f t="shared" si="60"/>
        <v>E4_3_1_19_mRNA</v>
      </c>
      <c r="D346" s="31" t="str">
        <f t="shared" si="61"/>
        <v>E4_3_1_19</v>
      </c>
      <c r="E346" s="31" t="str">
        <f t="shared" si="62"/>
        <v>E4_3_1_19_Kcat : 13.7</v>
      </c>
      <c r="F346" s="31" t="str">
        <f t="shared" si="63"/>
        <v>E4_3_1_19_Km :1</v>
      </c>
      <c r="G346" s="31" t="str">
        <f t="shared" si="64"/>
        <v>E4_3_1_19_mRNA:E4_3_1_19_mRNA</v>
      </c>
      <c r="H346" s="31" t="str">
        <f t="shared" si="65"/>
        <v>E4_3_1_19:E4_3_1_19</v>
      </c>
      <c r="I346" s="31" t="str">
        <f t="shared" si="66"/>
        <v>E4_3_1_19_mRNA:0</v>
      </c>
      <c r="J346" s="31" t="str">
        <f t="shared" si="67"/>
        <v>E4_3_1_19:0</v>
      </c>
      <c r="K346" s="31" t="str">
        <f t="shared" si="68"/>
        <v>0.00292 - (0.0093 * E4_3_1_19_mRNA)</v>
      </c>
      <c r="L346" s="31" t="str">
        <f t="shared" si="69"/>
        <v>(0.278 * E4_3_1_19_mRNA) - (0.00000278 * E4_3_1_19)</v>
      </c>
      <c r="M346" s="31" t="str">
        <f t="shared" si="70"/>
        <v>mRNA345: -&gt; E4_3_1_19_mRNA | 0.00292 - (0.0093 * E4_3_1_19_mRNA)</v>
      </c>
      <c r="N346" s="31" t="str">
        <f t="shared" si="71"/>
        <v>Peptide345:E4_3_1_19_mRNA -&gt; E4_3_1_19 | (0.278 * E4_3_1_19_mRNA) -  (0.00000278 * E4_3_1_19)</v>
      </c>
    </row>
    <row r="347" spans="1:14" ht="29" x14ac:dyDescent="0.35">
      <c r="A347" s="31">
        <v>346</v>
      </c>
      <c r="B347" s="31" t="s">
        <v>14277</v>
      </c>
      <c r="C347" s="31" t="str">
        <f t="shared" si="60"/>
        <v>E4_3_2_1_mRNA</v>
      </c>
      <c r="D347" s="31" t="str">
        <f t="shared" si="61"/>
        <v>E4_3_2_1</v>
      </c>
      <c r="E347" s="31" t="str">
        <f t="shared" si="62"/>
        <v>E4_3_2_1_Kcat : 13.7</v>
      </c>
      <c r="F347" s="31" t="str">
        <f t="shared" si="63"/>
        <v>E4_3_2_1_Km :1</v>
      </c>
      <c r="G347" s="31" t="str">
        <f t="shared" si="64"/>
        <v>E4_3_2_1_mRNA:E4_3_2_1_mRNA</v>
      </c>
      <c r="H347" s="31" t="str">
        <f t="shared" si="65"/>
        <v>E4_3_2_1:E4_3_2_1</v>
      </c>
      <c r="I347" s="31" t="str">
        <f t="shared" si="66"/>
        <v>E4_3_2_1_mRNA:0</v>
      </c>
      <c r="J347" s="31" t="str">
        <f t="shared" si="67"/>
        <v>E4_3_2_1:0</v>
      </c>
      <c r="K347" s="31" t="str">
        <f t="shared" si="68"/>
        <v>0.00292 - (0.0093 * E4_3_2_1_mRNA)</v>
      </c>
      <c r="L347" s="31" t="str">
        <f t="shared" si="69"/>
        <v>(0.278 * E4_3_2_1_mRNA) - (0.00000278 * E4_3_2_1)</v>
      </c>
      <c r="M347" s="31" t="str">
        <f t="shared" si="70"/>
        <v>mRNA346: -&gt; E4_3_2_1_mRNA | 0.00292 - (0.0093 * E4_3_2_1_mRNA)</v>
      </c>
      <c r="N347" s="31" t="str">
        <f t="shared" si="71"/>
        <v>Peptide346:E4_3_2_1_mRNA -&gt; E4_3_2_1 | (0.278 * E4_3_2_1_mRNA) -  (0.00000278 * E4_3_2_1)</v>
      </c>
    </row>
    <row r="348" spans="1:14" ht="43.5" x14ac:dyDescent="0.35">
      <c r="A348" s="31">
        <v>347</v>
      </c>
      <c r="B348" s="31" t="s">
        <v>14278</v>
      </c>
      <c r="C348" s="31" t="str">
        <f t="shared" si="60"/>
        <v>E4_3_2_10_mRNA</v>
      </c>
      <c r="D348" s="31" t="str">
        <f t="shared" si="61"/>
        <v>E4_3_2_10</v>
      </c>
      <c r="E348" s="31" t="str">
        <f t="shared" si="62"/>
        <v>E4_3_2_10_Kcat : 13.7</v>
      </c>
      <c r="F348" s="31" t="str">
        <f t="shared" si="63"/>
        <v>E4_3_2_10_Km :1</v>
      </c>
      <c r="G348" s="31" t="str">
        <f t="shared" si="64"/>
        <v>E4_3_2_10_mRNA:E4_3_2_10_mRNA</v>
      </c>
      <c r="H348" s="31" t="str">
        <f t="shared" si="65"/>
        <v>E4_3_2_10:E4_3_2_10</v>
      </c>
      <c r="I348" s="31" t="str">
        <f t="shared" si="66"/>
        <v>E4_3_2_10_mRNA:0</v>
      </c>
      <c r="J348" s="31" t="str">
        <f t="shared" si="67"/>
        <v>E4_3_2_10:0</v>
      </c>
      <c r="K348" s="31" t="str">
        <f t="shared" si="68"/>
        <v>0.00292 - (0.0093 * E4_3_2_10_mRNA)</v>
      </c>
      <c r="L348" s="31" t="str">
        <f t="shared" si="69"/>
        <v>(0.278 * E4_3_2_10_mRNA) - (0.00000278 * E4_3_2_10)</v>
      </c>
      <c r="M348" s="31" t="str">
        <f t="shared" si="70"/>
        <v>mRNA347: -&gt; E4_3_2_10_mRNA | 0.00292 - (0.0093 * E4_3_2_10_mRNA)</v>
      </c>
      <c r="N348" s="31" t="str">
        <f t="shared" si="71"/>
        <v>Peptide347:E4_3_2_10_mRNA -&gt; E4_3_2_10 | (0.278 * E4_3_2_10_mRNA) -  (0.00000278 * E4_3_2_10)</v>
      </c>
    </row>
    <row r="349" spans="1:14" ht="29" x14ac:dyDescent="0.35">
      <c r="A349" s="31">
        <v>348</v>
      </c>
      <c r="B349" s="31" t="s">
        <v>14279</v>
      </c>
      <c r="C349" s="31" t="str">
        <f t="shared" si="60"/>
        <v>E4_3_2_2_mRNA</v>
      </c>
      <c r="D349" s="31" t="str">
        <f t="shared" si="61"/>
        <v>E4_3_2_2</v>
      </c>
      <c r="E349" s="31" t="str">
        <f t="shared" si="62"/>
        <v>E4_3_2_2_Kcat : 13.7</v>
      </c>
      <c r="F349" s="31" t="str">
        <f t="shared" si="63"/>
        <v>E4_3_2_2_Km :1</v>
      </c>
      <c r="G349" s="31" t="str">
        <f t="shared" si="64"/>
        <v>E4_3_2_2_mRNA:E4_3_2_2_mRNA</v>
      </c>
      <c r="H349" s="31" t="str">
        <f t="shared" si="65"/>
        <v>E4_3_2_2:E4_3_2_2</v>
      </c>
      <c r="I349" s="31" t="str">
        <f t="shared" si="66"/>
        <v>E4_3_2_2_mRNA:0</v>
      </c>
      <c r="J349" s="31" t="str">
        <f t="shared" si="67"/>
        <v>E4_3_2_2:0</v>
      </c>
      <c r="K349" s="31" t="str">
        <f t="shared" si="68"/>
        <v>0.00292 - (0.0093 * E4_3_2_2_mRNA)</v>
      </c>
      <c r="L349" s="31" t="str">
        <f t="shared" si="69"/>
        <v>(0.278 * E4_3_2_2_mRNA) - (0.00000278 * E4_3_2_2)</v>
      </c>
      <c r="M349" s="31" t="str">
        <f t="shared" si="70"/>
        <v>mRNA348: -&gt; E4_3_2_2_mRNA | 0.00292 - (0.0093 * E4_3_2_2_mRNA)</v>
      </c>
      <c r="N349" s="31" t="str">
        <f t="shared" si="71"/>
        <v>Peptide348:E4_3_2_2_mRNA -&gt; E4_3_2_2 | (0.278 * E4_3_2_2_mRNA) -  (0.00000278 * E4_3_2_2)</v>
      </c>
    </row>
    <row r="350" spans="1:14" ht="29" x14ac:dyDescent="0.35">
      <c r="A350" s="31">
        <v>349</v>
      </c>
      <c r="B350" s="31" t="s">
        <v>14280</v>
      </c>
      <c r="C350" s="31" t="str">
        <f t="shared" si="60"/>
        <v>E4_3_3_7_mRNA</v>
      </c>
      <c r="D350" s="31" t="str">
        <f t="shared" si="61"/>
        <v>E4_3_3_7</v>
      </c>
      <c r="E350" s="31" t="str">
        <f t="shared" si="62"/>
        <v>E4_3_3_7_Kcat : 13.7</v>
      </c>
      <c r="F350" s="31" t="str">
        <f t="shared" si="63"/>
        <v>E4_3_3_7_Km :1</v>
      </c>
      <c r="G350" s="31" t="str">
        <f t="shared" si="64"/>
        <v>E4_3_3_7_mRNA:E4_3_3_7_mRNA</v>
      </c>
      <c r="H350" s="31" t="str">
        <f t="shared" si="65"/>
        <v>E4_3_3_7:E4_3_3_7</v>
      </c>
      <c r="I350" s="31" t="str">
        <f t="shared" si="66"/>
        <v>E4_3_3_7_mRNA:0</v>
      </c>
      <c r="J350" s="31" t="str">
        <f t="shared" si="67"/>
        <v>E4_3_3_7:0</v>
      </c>
      <c r="K350" s="31" t="str">
        <f t="shared" si="68"/>
        <v>0.00292 - (0.0093 * E4_3_3_7_mRNA)</v>
      </c>
      <c r="L350" s="31" t="str">
        <f t="shared" si="69"/>
        <v>(0.278 * E4_3_3_7_mRNA) - (0.00000278 * E4_3_3_7)</v>
      </c>
      <c r="M350" s="31" t="str">
        <f t="shared" si="70"/>
        <v>mRNA349: -&gt; E4_3_3_7_mRNA | 0.00292 - (0.0093 * E4_3_3_7_mRNA)</v>
      </c>
      <c r="N350" s="31" t="str">
        <f t="shared" si="71"/>
        <v>Peptide349:E4_3_3_7_mRNA -&gt; E4_3_3_7 | (0.278 * E4_3_3_7_mRNA) -  (0.00000278 * E4_3_3_7)</v>
      </c>
    </row>
    <row r="351" spans="1:14" ht="43.5" x14ac:dyDescent="0.35">
      <c r="A351" s="31">
        <v>350</v>
      </c>
      <c r="B351" s="31" t="s">
        <v>14281</v>
      </c>
      <c r="C351" s="31" t="str">
        <f t="shared" si="60"/>
        <v>E4_4_1_13_mRNA</v>
      </c>
      <c r="D351" s="31" t="str">
        <f t="shared" si="61"/>
        <v>E4_4_1_13</v>
      </c>
      <c r="E351" s="31" t="str">
        <f t="shared" si="62"/>
        <v>E4_4_1_13_Kcat : 13.7</v>
      </c>
      <c r="F351" s="31" t="str">
        <f t="shared" si="63"/>
        <v>E4_4_1_13_Km :1</v>
      </c>
      <c r="G351" s="31" t="str">
        <f t="shared" si="64"/>
        <v>E4_4_1_13_mRNA:E4_4_1_13_mRNA</v>
      </c>
      <c r="H351" s="31" t="str">
        <f t="shared" si="65"/>
        <v>E4_4_1_13:E4_4_1_13</v>
      </c>
      <c r="I351" s="31" t="str">
        <f t="shared" si="66"/>
        <v>E4_4_1_13_mRNA:0</v>
      </c>
      <c r="J351" s="31" t="str">
        <f t="shared" si="67"/>
        <v>E4_4_1_13:0</v>
      </c>
      <c r="K351" s="31" t="str">
        <f t="shared" si="68"/>
        <v>0.00292 - (0.0093 * E4_4_1_13_mRNA)</v>
      </c>
      <c r="L351" s="31" t="str">
        <f t="shared" si="69"/>
        <v>(0.278 * E4_4_1_13_mRNA) - (0.00000278 * E4_4_1_13)</v>
      </c>
      <c r="M351" s="31" t="str">
        <f t="shared" si="70"/>
        <v>mRNA350: -&gt; E4_4_1_13_mRNA | 0.00292 - (0.0093 * E4_4_1_13_mRNA)</v>
      </c>
      <c r="N351" s="31" t="str">
        <f t="shared" si="71"/>
        <v>Peptide350:E4_4_1_13_mRNA -&gt; E4_4_1_13 | (0.278 * E4_4_1_13_mRNA) -  (0.00000278 * E4_4_1_13)</v>
      </c>
    </row>
    <row r="352" spans="1:14" ht="43.5" x14ac:dyDescent="0.35">
      <c r="A352" s="31">
        <v>351</v>
      </c>
      <c r="B352" s="31" t="s">
        <v>14282</v>
      </c>
      <c r="C352" s="31" t="str">
        <f t="shared" si="60"/>
        <v>E4_6_1_12_mRNA</v>
      </c>
      <c r="D352" s="31" t="str">
        <f t="shared" si="61"/>
        <v>E4_6_1_12</v>
      </c>
      <c r="E352" s="31" t="str">
        <f t="shared" si="62"/>
        <v>E4_6_1_12_Kcat : 13.7</v>
      </c>
      <c r="F352" s="31" t="str">
        <f t="shared" si="63"/>
        <v>E4_6_1_12_Km :1</v>
      </c>
      <c r="G352" s="31" t="str">
        <f t="shared" si="64"/>
        <v>E4_6_1_12_mRNA:E4_6_1_12_mRNA</v>
      </c>
      <c r="H352" s="31" t="str">
        <f t="shared" si="65"/>
        <v>E4_6_1_12:E4_6_1_12</v>
      </c>
      <c r="I352" s="31" t="str">
        <f t="shared" si="66"/>
        <v>E4_6_1_12_mRNA:0</v>
      </c>
      <c r="J352" s="31" t="str">
        <f t="shared" si="67"/>
        <v>E4_6_1_12:0</v>
      </c>
      <c r="K352" s="31" t="str">
        <f t="shared" si="68"/>
        <v>0.00292 - (0.0093 * E4_6_1_12_mRNA)</v>
      </c>
      <c r="L352" s="31" t="str">
        <f t="shared" si="69"/>
        <v>(0.278 * E4_6_1_12_mRNA) - (0.00000278 * E4_6_1_12)</v>
      </c>
      <c r="M352" s="31" t="str">
        <f t="shared" si="70"/>
        <v>mRNA351: -&gt; E4_6_1_12_mRNA | 0.00292 - (0.0093 * E4_6_1_12_mRNA)</v>
      </c>
      <c r="N352" s="31" t="str">
        <f t="shared" si="71"/>
        <v>Peptide351:E4_6_1_12_mRNA -&gt; E4_6_1_12 | (0.278 * E4_6_1_12_mRNA) -  (0.00000278 * E4_6_1_12)</v>
      </c>
    </row>
    <row r="353" spans="1:14" ht="43.5" x14ac:dyDescent="0.35">
      <c r="A353" s="31">
        <v>352</v>
      </c>
      <c r="B353" s="31" t="s">
        <v>14283</v>
      </c>
      <c r="C353" s="31" t="str">
        <f t="shared" si="60"/>
        <v>E4_6_1_17_mRNA</v>
      </c>
      <c r="D353" s="31" t="str">
        <f t="shared" si="61"/>
        <v>E4_6_1_17</v>
      </c>
      <c r="E353" s="31" t="str">
        <f t="shared" si="62"/>
        <v>E4_6_1_17_Kcat : 13.7</v>
      </c>
      <c r="F353" s="31" t="str">
        <f t="shared" si="63"/>
        <v>E4_6_1_17_Km :1</v>
      </c>
      <c r="G353" s="31" t="str">
        <f t="shared" si="64"/>
        <v>E4_6_1_17_mRNA:E4_6_1_17_mRNA</v>
      </c>
      <c r="H353" s="31" t="str">
        <f t="shared" si="65"/>
        <v>E4_6_1_17:E4_6_1_17</v>
      </c>
      <c r="I353" s="31" t="str">
        <f t="shared" si="66"/>
        <v>E4_6_1_17_mRNA:0</v>
      </c>
      <c r="J353" s="31" t="str">
        <f t="shared" si="67"/>
        <v>E4_6_1_17:0</v>
      </c>
      <c r="K353" s="31" t="str">
        <f t="shared" si="68"/>
        <v>0.00292 - (0.0093 * E4_6_1_17_mRNA)</v>
      </c>
      <c r="L353" s="31" t="str">
        <f t="shared" si="69"/>
        <v>(0.278 * E4_6_1_17_mRNA) - (0.00000278 * E4_6_1_17)</v>
      </c>
      <c r="M353" s="31" t="str">
        <f t="shared" si="70"/>
        <v>mRNA352: -&gt; E4_6_1_17_mRNA | 0.00292 - (0.0093 * E4_6_1_17_mRNA)</v>
      </c>
      <c r="N353" s="31" t="str">
        <f t="shared" si="71"/>
        <v>Peptide352:E4_6_1_17_mRNA -&gt; E4_6_1_17 | (0.278 * E4_6_1_17_mRNA) -  (0.00000278 * E4_6_1_17)</v>
      </c>
    </row>
    <row r="354" spans="1:14" ht="43.5" x14ac:dyDescent="0.35">
      <c r="A354" s="31">
        <v>353</v>
      </c>
      <c r="B354" s="31" t="s">
        <v>14284</v>
      </c>
      <c r="C354" s="31" t="str">
        <f t="shared" si="60"/>
        <v>E4_98_1_1_mRNA</v>
      </c>
      <c r="D354" s="31" t="str">
        <f t="shared" si="61"/>
        <v>E4_98_1_1</v>
      </c>
      <c r="E354" s="31" t="str">
        <f t="shared" si="62"/>
        <v>E4_98_1_1_Kcat : 13.7</v>
      </c>
      <c r="F354" s="31" t="str">
        <f t="shared" si="63"/>
        <v>E4_98_1_1_Km :1</v>
      </c>
      <c r="G354" s="31" t="str">
        <f t="shared" si="64"/>
        <v>E4_98_1_1_mRNA:E4_98_1_1_mRNA</v>
      </c>
      <c r="H354" s="31" t="str">
        <f t="shared" si="65"/>
        <v>E4_98_1_1:E4_98_1_1</v>
      </c>
      <c r="I354" s="31" t="str">
        <f t="shared" si="66"/>
        <v>E4_98_1_1_mRNA:0</v>
      </c>
      <c r="J354" s="31" t="str">
        <f t="shared" si="67"/>
        <v>E4_98_1_1:0</v>
      </c>
      <c r="K354" s="31" t="str">
        <f t="shared" si="68"/>
        <v>0.00292 - (0.0093 * E4_98_1_1_mRNA)</v>
      </c>
      <c r="L354" s="31" t="str">
        <f t="shared" si="69"/>
        <v>(0.278 * E4_98_1_1_mRNA) - (0.00000278 * E4_98_1_1)</v>
      </c>
      <c r="M354" s="31" t="str">
        <f t="shared" si="70"/>
        <v>mRNA353: -&gt; E4_98_1_1_mRNA | 0.00292 - (0.0093 * E4_98_1_1_mRNA)</v>
      </c>
      <c r="N354" s="31" t="str">
        <f t="shared" si="71"/>
        <v>Peptide353:E4_98_1_1_mRNA -&gt; E4_98_1_1 | (0.278 * E4_98_1_1_mRNA) -  (0.00000278 * E4_98_1_1)</v>
      </c>
    </row>
    <row r="355" spans="1:14" ht="43.5" x14ac:dyDescent="0.35">
      <c r="A355" s="31">
        <v>354</v>
      </c>
      <c r="B355" s="31" t="s">
        <v>14285</v>
      </c>
      <c r="C355" s="31" t="str">
        <f t="shared" si="60"/>
        <v>E4_99_1_12_mRNA</v>
      </c>
      <c r="D355" s="31" t="str">
        <f t="shared" si="61"/>
        <v>E4_99_1_12</v>
      </c>
      <c r="E355" s="31" t="str">
        <f t="shared" si="62"/>
        <v>E4_99_1_12_Kcat : 13.7</v>
      </c>
      <c r="F355" s="31" t="str">
        <f t="shared" si="63"/>
        <v>E4_99_1_12_Km :1</v>
      </c>
      <c r="G355" s="31" t="str">
        <f t="shared" si="64"/>
        <v>E4_99_1_12_mRNA:E4_99_1_12_mRNA</v>
      </c>
      <c r="H355" s="31" t="str">
        <f t="shared" si="65"/>
        <v>E4_99_1_12:E4_99_1_12</v>
      </c>
      <c r="I355" s="31" t="str">
        <f t="shared" si="66"/>
        <v>E4_99_1_12_mRNA:0</v>
      </c>
      <c r="J355" s="31" t="str">
        <f t="shared" si="67"/>
        <v>E4_99_1_12:0</v>
      </c>
      <c r="K355" s="31" t="str">
        <f t="shared" si="68"/>
        <v>0.00292 - (0.0093 * E4_99_1_12_mRNA)</v>
      </c>
      <c r="L355" s="31" t="str">
        <f t="shared" si="69"/>
        <v>(0.278 * E4_99_1_12_mRNA) - (0.00000278 * E4_99_1_12)</v>
      </c>
      <c r="M355" s="31" t="str">
        <f t="shared" si="70"/>
        <v>mRNA354: -&gt; E4_99_1_12_mRNA | 0.00292 - (0.0093 * E4_99_1_12_mRNA)</v>
      </c>
      <c r="N355" s="31" t="str">
        <f t="shared" si="71"/>
        <v>Peptide354:E4_99_1_12_mRNA -&gt; E4_99_1_12 | (0.278 * E4_99_1_12_mRNA) -  (0.00000278 * E4_99_1_12)</v>
      </c>
    </row>
    <row r="356" spans="1:14" ht="29" x14ac:dyDescent="0.35">
      <c r="A356" s="31">
        <v>355</v>
      </c>
      <c r="B356" s="31" t="s">
        <v>14286</v>
      </c>
      <c r="C356" s="31" t="str">
        <f t="shared" si="60"/>
        <v>E5_1_1_1_mRNA</v>
      </c>
      <c r="D356" s="31" t="str">
        <f t="shared" si="61"/>
        <v>E5_1_1_1</v>
      </c>
      <c r="E356" s="31" t="str">
        <f t="shared" si="62"/>
        <v>E5_1_1_1_Kcat : 13.7</v>
      </c>
      <c r="F356" s="31" t="str">
        <f t="shared" si="63"/>
        <v>E5_1_1_1_Km :1</v>
      </c>
      <c r="G356" s="31" t="str">
        <f t="shared" si="64"/>
        <v>E5_1_1_1_mRNA:E5_1_1_1_mRNA</v>
      </c>
      <c r="H356" s="31" t="str">
        <f t="shared" si="65"/>
        <v>E5_1_1_1:E5_1_1_1</v>
      </c>
      <c r="I356" s="31" t="str">
        <f t="shared" si="66"/>
        <v>E5_1_1_1_mRNA:0</v>
      </c>
      <c r="J356" s="31" t="str">
        <f t="shared" si="67"/>
        <v>E5_1_1_1:0</v>
      </c>
      <c r="K356" s="31" t="str">
        <f t="shared" si="68"/>
        <v>0.00292 - (0.0093 * E5_1_1_1_mRNA)</v>
      </c>
      <c r="L356" s="31" t="str">
        <f t="shared" si="69"/>
        <v>(0.278 * E5_1_1_1_mRNA) - (0.00000278 * E5_1_1_1)</v>
      </c>
      <c r="M356" s="31" t="str">
        <f t="shared" si="70"/>
        <v>mRNA355: -&gt; E5_1_1_1_mRNA | 0.00292 - (0.0093 * E5_1_1_1_mRNA)</v>
      </c>
      <c r="N356" s="31" t="str">
        <f t="shared" si="71"/>
        <v>Peptide355:E5_1_1_1_mRNA -&gt; E5_1_1_1 | (0.278 * E5_1_1_1_mRNA) -  (0.00000278 * E5_1_1_1)</v>
      </c>
    </row>
    <row r="357" spans="1:14" ht="29" x14ac:dyDescent="0.35">
      <c r="A357" s="31">
        <v>356</v>
      </c>
      <c r="B357" s="31" t="s">
        <v>14287</v>
      </c>
      <c r="C357" s="31" t="str">
        <f t="shared" si="60"/>
        <v>E5_1_1_3_mRNA</v>
      </c>
      <c r="D357" s="31" t="str">
        <f t="shared" si="61"/>
        <v>E5_1_1_3</v>
      </c>
      <c r="E357" s="31" t="str">
        <f t="shared" si="62"/>
        <v>E5_1_1_3_Kcat : 13.7</v>
      </c>
      <c r="F357" s="31" t="str">
        <f t="shared" si="63"/>
        <v>E5_1_1_3_Km :1</v>
      </c>
      <c r="G357" s="31" t="str">
        <f t="shared" si="64"/>
        <v>E5_1_1_3_mRNA:E5_1_1_3_mRNA</v>
      </c>
      <c r="H357" s="31" t="str">
        <f t="shared" si="65"/>
        <v>E5_1_1_3:E5_1_1_3</v>
      </c>
      <c r="I357" s="31" t="str">
        <f t="shared" si="66"/>
        <v>E5_1_1_3_mRNA:0</v>
      </c>
      <c r="J357" s="31" t="str">
        <f t="shared" si="67"/>
        <v>E5_1_1_3:0</v>
      </c>
      <c r="K357" s="31" t="str">
        <f t="shared" si="68"/>
        <v>0.00292 - (0.0093 * E5_1_1_3_mRNA)</v>
      </c>
      <c r="L357" s="31" t="str">
        <f t="shared" si="69"/>
        <v>(0.278 * E5_1_1_3_mRNA) - (0.00000278 * E5_1_1_3)</v>
      </c>
      <c r="M357" s="31" t="str">
        <f t="shared" si="70"/>
        <v>mRNA356: -&gt; E5_1_1_3_mRNA | 0.00292 - (0.0093 * E5_1_1_3_mRNA)</v>
      </c>
      <c r="N357" s="31" t="str">
        <f t="shared" si="71"/>
        <v>Peptide356:E5_1_1_3_mRNA -&gt; E5_1_1_3 | (0.278 * E5_1_1_3_mRNA) -  (0.00000278 * E5_1_1_3)</v>
      </c>
    </row>
    <row r="358" spans="1:14" ht="29" x14ac:dyDescent="0.35">
      <c r="A358" s="31">
        <v>357</v>
      </c>
      <c r="B358" s="31" t="s">
        <v>14288</v>
      </c>
      <c r="C358" s="31" t="str">
        <f t="shared" si="60"/>
        <v>E5_1_1_7_mRNA</v>
      </c>
      <c r="D358" s="31" t="str">
        <f t="shared" si="61"/>
        <v>E5_1_1_7</v>
      </c>
      <c r="E358" s="31" t="str">
        <f t="shared" si="62"/>
        <v>E5_1_1_7_Kcat : 13.7</v>
      </c>
      <c r="F358" s="31" t="str">
        <f t="shared" si="63"/>
        <v>E5_1_1_7_Km :1</v>
      </c>
      <c r="G358" s="31" t="str">
        <f t="shared" si="64"/>
        <v>E5_1_1_7_mRNA:E5_1_1_7_mRNA</v>
      </c>
      <c r="H358" s="31" t="str">
        <f t="shared" si="65"/>
        <v>E5_1_1_7:E5_1_1_7</v>
      </c>
      <c r="I358" s="31" t="str">
        <f t="shared" si="66"/>
        <v>E5_1_1_7_mRNA:0</v>
      </c>
      <c r="J358" s="31" t="str">
        <f t="shared" si="67"/>
        <v>E5_1_1_7:0</v>
      </c>
      <c r="K358" s="31" t="str">
        <f t="shared" si="68"/>
        <v>0.00292 - (0.0093 * E5_1_1_7_mRNA)</v>
      </c>
      <c r="L358" s="31" t="str">
        <f t="shared" si="69"/>
        <v>(0.278 * E5_1_1_7_mRNA) - (0.00000278 * E5_1_1_7)</v>
      </c>
      <c r="M358" s="31" t="str">
        <f t="shared" si="70"/>
        <v>mRNA357: -&gt; E5_1_1_7_mRNA | 0.00292 - (0.0093 * E5_1_1_7_mRNA)</v>
      </c>
      <c r="N358" s="31" t="str">
        <f t="shared" si="71"/>
        <v>Peptide357:E5_1_1_7_mRNA -&gt; E5_1_1_7 | (0.278 * E5_1_1_7_mRNA) -  (0.00000278 * E5_1_1_7)</v>
      </c>
    </row>
    <row r="359" spans="1:14" ht="29" x14ac:dyDescent="0.35">
      <c r="A359" s="31">
        <v>358</v>
      </c>
      <c r="B359" s="31" t="s">
        <v>14289</v>
      </c>
      <c r="C359" s="31" t="str">
        <f t="shared" si="60"/>
        <v>E5_1_3_1_mRNA</v>
      </c>
      <c r="D359" s="31" t="str">
        <f t="shared" si="61"/>
        <v>E5_1_3_1</v>
      </c>
      <c r="E359" s="31" t="str">
        <f t="shared" si="62"/>
        <v>E5_1_3_1_Kcat : 13.7</v>
      </c>
      <c r="F359" s="31" t="str">
        <f t="shared" si="63"/>
        <v>E5_1_3_1_Km :1</v>
      </c>
      <c r="G359" s="31" t="str">
        <f t="shared" si="64"/>
        <v>E5_1_3_1_mRNA:E5_1_3_1_mRNA</v>
      </c>
      <c r="H359" s="31" t="str">
        <f t="shared" si="65"/>
        <v>E5_1_3_1:E5_1_3_1</v>
      </c>
      <c r="I359" s="31" t="str">
        <f t="shared" si="66"/>
        <v>E5_1_3_1_mRNA:0</v>
      </c>
      <c r="J359" s="31" t="str">
        <f t="shared" si="67"/>
        <v>E5_1_3_1:0</v>
      </c>
      <c r="K359" s="31" t="str">
        <f t="shared" si="68"/>
        <v>0.00292 - (0.0093 * E5_1_3_1_mRNA)</v>
      </c>
      <c r="L359" s="31" t="str">
        <f t="shared" si="69"/>
        <v>(0.278 * E5_1_3_1_mRNA) - (0.00000278 * E5_1_3_1)</v>
      </c>
      <c r="M359" s="31" t="str">
        <f t="shared" si="70"/>
        <v>mRNA358: -&gt; E5_1_3_1_mRNA | 0.00292 - (0.0093 * E5_1_3_1_mRNA)</v>
      </c>
      <c r="N359" s="31" t="str">
        <f t="shared" si="71"/>
        <v>Peptide358:E5_1_3_1_mRNA -&gt; E5_1_3_1 | (0.278 * E5_1_3_1_mRNA) -  (0.00000278 * E5_1_3_1)</v>
      </c>
    </row>
    <row r="360" spans="1:14" ht="43.5" x14ac:dyDescent="0.35">
      <c r="A360" s="31">
        <v>359</v>
      </c>
      <c r="B360" s="31" t="s">
        <v>14290</v>
      </c>
      <c r="C360" s="31" t="str">
        <f t="shared" si="60"/>
        <v>E5_1_3_15_mRNA</v>
      </c>
      <c r="D360" s="31" t="str">
        <f t="shared" si="61"/>
        <v>E5_1_3_15</v>
      </c>
      <c r="E360" s="31" t="str">
        <f t="shared" si="62"/>
        <v>E5_1_3_15_Kcat : 13.7</v>
      </c>
      <c r="F360" s="31" t="str">
        <f t="shared" si="63"/>
        <v>E5_1_3_15_Km :1</v>
      </c>
      <c r="G360" s="31" t="str">
        <f t="shared" si="64"/>
        <v>E5_1_3_15_mRNA:E5_1_3_15_mRNA</v>
      </c>
      <c r="H360" s="31" t="str">
        <f t="shared" si="65"/>
        <v>E5_1_3_15:E5_1_3_15</v>
      </c>
      <c r="I360" s="31" t="str">
        <f t="shared" si="66"/>
        <v>E5_1_3_15_mRNA:0</v>
      </c>
      <c r="J360" s="31" t="str">
        <f t="shared" si="67"/>
        <v>E5_1_3_15:0</v>
      </c>
      <c r="K360" s="31" t="str">
        <f t="shared" si="68"/>
        <v>0.00292 - (0.0093 * E5_1_3_15_mRNA)</v>
      </c>
      <c r="L360" s="31" t="str">
        <f t="shared" si="69"/>
        <v>(0.278 * E5_1_3_15_mRNA) - (0.00000278 * E5_1_3_15)</v>
      </c>
      <c r="M360" s="31" t="str">
        <f t="shared" si="70"/>
        <v>mRNA359: -&gt; E5_1_3_15_mRNA | 0.00292 - (0.0093 * E5_1_3_15_mRNA)</v>
      </c>
      <c r="N360" s="31" t="str">
        <f t="shared" si="71"/>
        <v>Peptide359:E5_1_3_15_mRNA -&gt; E5_1_3_15 | (0.278 * E5_1_3_15_mRNA) -  (0.00000278 * E5_1_3_15)</v>
      </c>
    </row>
    <row r="361" spans="1:14" ht="29" x14ac:dyDescent="0.35">
      <c r="A361" s="31">
        <v>360</v>
      </c>
      <c r="B361" s="31" t="s">
        <v>14291</v>
      </c>
      <c r="C361" s="31" t="str">
        <f t="shared" si="60"/>
        <v>E5_1_3_2_mRNA</v>
      </c>
      <c r="D361" s="31" t="str">
        <f t="shared" si="61"/>
        <v>E5_1_3_2</v>
      </c>
      <c r="E361" s="31" t="str">
        <f t="shared" si="62"/>
        <v>E5_1_3_2_Kcat : 13.7</v>
      </c>
      <c r="F361" s="31" t="str">
        <f t="shared" si="63"/>
        <v>E5_1_3_2_Km :1</v>
      </c>
      <c r="G361" s="31" t="str">
        <f t="shared" si="64"/>
        <v>E5_1_3_2_mRNA:E5_1_3_2_mRNA</v>
      </c>
      <c r="H361" s="31" t="str">
        <f t="shared" si="65"/>
        <v>E5_1_3_2:E5_1_3_2</v>
      </c>
      <c r="I361" s="31" t="str">
        <f t="shared" si="66"/>
        <v>E5_1_3_2_mRNA:0</v>
      </c>
      <c r="J361" s="31" t="str">
        <f t="shared" si="67"/>
        <v>E5_1_3_2:0</v>
      </c>
      <c r="K361" s="31" t="str">
        <f t="shared" si="68"/>
        <v>0.00292 - (0.0093 * E5_1_3_2_mRNA)</v>
      </c>
      <c r="L361" s="31" t="str">
        <f t="shared" si="69"/>
        <v>(0.278 * E5_1_3_2_mRNA) - (0.00000278 * E5_1_3_2)</v>
      </c>
      <c r="M361" s="31" t="str">
        <f t="shared" si="70"/>
        <v>mRNA360: -&gt; E5_1_3_2_mRNA | 0.00292 - (0.0093 * E5_1_3_2_mRNA)</v>
      </c>
      <c r="N361" s="31" t="str">
        <f t="shared" si="71"/>
        <v>Peptide360:E5_1_3_2_mRNA -&gt; E5_1_3_2 | (0.278 * E5_1_3_2_mRNA) -  (0.00000278 * E5_1_3_2)</v>
      </c>
    </row>
    <row r="362" spans="1:14" ht="29" x14ac:dyDescent="0.35">
      <c r="A362" s="31">
        <v>361</v>
      </c>
      <c r="B362" s="31" t="s">
        <v>14292</v>
      </c>
      <c r="C362" s="31" t="str">
        <f t="shared" si="60"/>
        <v>E5_1_3_9_mRNA</v>
      </c>
      <c r="D362" s="31" t="str">
        <f t="shared" si="61"/>
        <v>E5_1_3_9</v>
      </c>
      <c r="E362" s="31" t="str">
        <f t="shared" si="62"/>
        <v>E5_1_3_9_Kcat : 13.7</v>
      </c>
      <c r="F362" s="31" t="str">
        <f t="shared" si="63"/>
        <v>E5_1_3_9_Km :1</v>
      </c>
      <c r="G362" s="31" t="str">
        <f t="shared" si="64"/>
        <v>E5_1_3_9_mRNA:E5_1_3_9_mRNA</v>
      </c>
      <c r="H362" s="31" t="str">
        <f t="shared" si="65"/>
        <v>E5_1_3_9:E5_1_3_9</v>
      </c>
      <c r="I362" s="31" t="str">
        <f t="shared" si="66"/>
        <v>E5_1_3_9_mRNA:0</v>
      </c>
      <c r="J362" s="31" t="str">
        <f t="shared" si="67"/>
        <v>E5_1_3_9:0</v>
      </c>
      <c r="K362" s="31" t="str">
        <f t="shared" si="68"/>
        <v>0.00292 - (0.0093 * E5_1_3_9_mRNA)</v>
      </c>
      <c r="L362" s="31" t="str">
        <f t="shared" si="69"/>
        <v>(0.278 * E5_1_3_9_mRNA) - (0.00000278 * E5_1_3_9)</v>
      </c>
      <c r="M362" s="31" t="str">
        <f t="shared" si="70"/>
        <v>mRNA361: -&gt; E5_1_3_9_mRNA | 0.00292 - (0.0093 * E5_1_3_9_mRNA)</v>
      </c>
      <c r="N362" s="31" t="str">
        <f t="shared" si="71"/>
        <v>Peptide361:E5_1_3_9_mRNA -&gt; E5_1_3_9 | (0.278 * E5_1_3_9_mRNA) -  (0.00000278 * E5_1_3_9)</v>
      </c>
    </row>
    <row r="363" spans="1:14" ht="43.5" x14ac:dyDescent="0.35">
      <c r="A363" s="31">
        <v>362</v>
      </c>
      <c r="B363" s="31" t="s">
        <v>14293</v>
      </c>
      <c r="C363" s="31" t="str">
        <f t="shared" si="60"/>
        <v>E5_1_99_1_mRNA</v>
      </c>
      <c r="D363" s="31" t="str">
        <f t="shared" si="61"/>
        <v>E5_1_99_1</v>
      </c>
      <c r="E363" s="31" t="str">
        <f t="shared" si="62"/>
        <v>E5_1_99_1_Kcat : 13.7</v>
      </c>
      <c r="F363" s="31" t="str">
        <f t="shared" si="63"/>
        <v>E5_1_99_1_Km :1</v>
      </c>
      <c r="G363" s="31" t="str">
        <f t="shared" si="64"/>
        <v>E5_1_99_1_mRNA:E5_1_99_1_mRNA</v>
      </c>
      <c r="H363" s="31" t="str">
        <f t="shared" si="65"/>
        <v>E5_1_99_1:E5_1_99_1</v>
      </c>
      <c r="I363" s="31" t="str">
        <f t="shared" si="66"/>
        <v>E5_1_99_1_mRNA:0</v>
      </c>
      <c r="J363" s="31" t="str">
        <f t="shared" si="67"/>
        <v>E5_1_99_1:0</v>
      </c>
      <c r="K363" s="31" t="str">
        <f t="shared" si="68"/>
        <v>0.00292 - (0.0093 * E5_1_99_1_mRNA)</v>
      </c>
      <c r="L363" s="31" t="str">
        <f t="shared" si="69"/>
        <v>(0.278 * E5_1_99_1_mRNA) - (0.00000278 * E5_1_99_1)</v>
      </c>
      <c r="M363" s="31" t="str">
        <f t="shared" si="70"/>
        <v>mRNA362: -&gt; E5_1_99_1_mRNA | 0.00292 - (0.0093 * E5_1_99_1_mRNA)</v>
      </c>
      <c r="N363" s="31" t="str">
        <f t="shared" si="71"/>
        <v>Peptide362:E5_1_99_1_mRNA -&gt; E5_1_99_1 | (0.278 * E5_1_99_1_mRNA) -  (0.00000278 * E5_1_99_1)</v>
      </c>
    </row>
    <row r="364" spans="1:14" ht="29" x14ac:dyDescent="0.35">
      <c r="A364" s="31">
        <v>363</v>
      </c>
      <c r="B364" s="31" t="s">
        <v>14294</v>
      </c>
      <c r="C364" s="31" t="str">
        <f t="shared" si="60"/>
        <v>E5_2_1_4_mRNA</v>
      </c>
      <c r="D364" s="31" t="str">
        <f t="shared" si="61"/>
        <v>E5_2_1_4</v>
      </c>
      <c r="E364" s="31" t="str">
        <f t="shared" si="62"/>
        <v>E5_2_1_4_Kcat : 13.7</v>
      </c>
      <c r="F364" s="31" t="str">
        <f t="shared" si="63"/>
        <v>E5_2_1_4_Km :1</v>
      </c>
      <c r="G364" s="31" t="str">
        <f t="shared" si="64"/>
        <v>E5_2_1_4_mRNA:E5_2_1_4_mRNA</v>
      </c>
      <c r="H364" s="31" t="str">
        <f t="shared" si="65"/>
        <v>E5_2_1_4:E5_2_1_4</v>
      </c>
      <c r="I364" s="31" t="str">
        <f t="shared" si="66"/>
        <v>E5_2_1_4_mRNA:0</v>
      </c>
      <c r="J364" s="31" t="str">
        <f t="shared" si="67"/>
        <v>E5_2_1_4:0</v>
      </c>
      <c r="K364" s="31" t="str">
        <f t="shared" si="68"/>
        <v>0.00292 - (0.0093 * E5_2_1_4_mRNA)</v>
      </c>
      <c r="L364" s="31" t="str">
        <f t="shared" si="69"/>
        <v>(0.278 * E5_2_1_4_mRNA) - (0.00000278 * E5_2_1_4)</v>
      </c>
      <c r="M364" s="31" t="str">
        <f t="shared" si="70"/>
        <v>mRNA363: -&gt; E5_2_1_4_mRNA | 0.00292 - (0.0093 * E5_2_1_4_mRNA)</v>
      </c>
      <c r="N364" s="31" t="str">
        <f t="shared" si="71"/>
        <v>Peptide363:E5_2_1_4_mRNA -&gt; E5_2_1_4 | (0.278 * E5_2_1_4_mRNA) -  (0.00000278 * E5_2_1_4)</v>
      </c>
    </row>
    <row r="365" spans="1:14" ht="29" x14ac:dyDescent="0.35">
      <c r="A365" s="31">
        <v>364</v>
      </c>
      <c r="B365" s="31" t="s">
        <v>14295</v>
      </c>
      <c r="C365" s="31" t="str">
        <f t="shared" si="60"/>
        <v>E5_2_1_8_mRNA</v>
      </c>
      <c r="D365" s="31" t="str">
        <f t="shared" si="61"/>
        <v>E5_2_1_8</v>
      </c>
      <c r="E365" s="31" t="str">
        <f t="shared" si="62"/>
        <v>E5_2_1_8_Kcat : 13.7</v>
      </c>
      <c r="F365" s="31" t="str">
        <f t="shared" si="63"/>
        <v>E5_2_1_8_Km :1</v>
      </c>
      <c r="G365" s="31" t="str">
        <f t="shared" si="64"/>
        <v>E5_2_1_8_mRNA:E5_2_1_8_mRNA</v>
      </c>
      <c r="H365" s="31" t="str">
        <f t="shared" si="65"/>
        <v>E5_2_1_8:E5_2_1_8</v>
      </c>
      <c r="I365" s="31" t="str">
        <f t="shared" si="66"/>
        <v>E5_2_1_8_mRNA:0</v>
      </c>
      <c r="J365" s="31" t="str">
        <f t="shared" si="67"/>
        <v>E5_2_1_8:0</v>
      </c>
      <c r="K365" s="31" t="str">
        <f t="shared" si="68"/>
        <v>0.00292 - (0.0093 * E5_2_1_8_mRNA)</v>
      </c>
      <c r="L365" s="31" t="str">
        <f t="shared" si="69"/>
        <v>(0.278 * E5_2_1_8_mRNA) - (0.00000278 * E5_2_1_8)</v>
      </c>
      <c r="M365" s="31" t="str">
        <f t="shared" si="70"/>
        <v>mRNA364: -&gt; E5_2_1_8_mRNA | 0.00292 - (0.0093 * E5_2_1_8_mRNA)</v>
      </c>
      <c r="N365" s="31" t="str">
        <f t="shared" si="71"/>
        <v>Peptide364:E5_2_1_8_mRNA -&gt; E5_2_1_8 | (0.278 * E5_2_1_8_mRNA) -  (0.00000278 * E5_2_1_8)</v>
      </c>
    </row>
    <row r="366" spans="1:14" ht="29" x14ac:dyDescent="0.35">
      <c r="A366" s="31">
        <v>365</v>
      </c>
      <c r="B366" s="31" t="s">
        <v>14296</v>
      </c>
      <c r="C366" s="31" t="str">
        <f t="shared" si="60"/>
        <v>E5_3_1_1_mRNA</v>
      </c>
      <c r="D366" s="31" t="str">
        <f t="shared" si="61"/>
        <v>E5_3_1_1</v>
      </c>
      <c r="E366" s="31" t="str">
        <f t="shared" si="62"/>
        <v>E5_3_1_1_Kcat : 13.7</v>
      </c>
      <c r="F366" s="31" t="str">
        <f t="shared" si="63"/>
        <v>E5_3_1_1_Km :1</v>
      </c>
      <c r="G366" s="31" t="str">
        <f t="shared" si="64"/>
        <v>E5_3_1_1_mRNA:E5_3_1_1_mRNA</v>
      </c>
      <c r="H366" s="31" t="str">
        <f t="shared" si="65"/>
        <v>E5_3_1_1:E5_3_1_1</v>
      </c>
      <c r="I366" s="31" t="str">
        <f t="shared" si="66"/>
        <v>E5_3_1_1_mRNA:0</v>
      </c>
      <c r="J366" s="31" t="str">
        <f t="shared" si="67"/>
        <v>E5_3_1_1:0</v>
      </c>
      <c r="K366" s="31" t="str">
        <f t="shared" si="68"/>
        <v>0.00292 - (0.0093 * E5_3_1_1_mRNA)</v>
      </c>
      <c r="L366" s="31" t="str">
        <f t="shared" si="69"/>
        <v>(0.278 * E5_3_1_1_mRNA) - (0.00000278 * E5_3_1_1)</v>
      </c>
      <c r="M366" s="31" t="str">
        <f t="shared" si="70"/>
        <v>mRNA365: -&gt; E5_3_1_1_mRNA | 0.00292 - (0.0093 * E5_3_1_1_mRNA)</v>
      </c>
      <c r="N366" s="31" t="str">
        <f t="shared" si="71"/>
        <v>Peptide365:E5_3_1_1_mRNA -&gt; E5_3_1_1 | (0.278 * E5_3_1_1_mRNA) -  (0.00000278 * E5_3_1_1)</v>
      </c>
    </row>
    <row r="367" spans="1:14" ht="43.5" x14ac:dyDescent="0.35">
      <c r="A367" s="31">
        <v>366</v>
      </c>
      <c r="B367" s="31" t="s">
        <v>14297</v>
      </c>
      <c r="C367" s="31" t="str">
        <f t="shared" si="60"/>
        <v>E5_3_1_12_mRNA</v>
      </c>
      <c r="D367" s="31" t="str">
        <f t="shared" si="61"/>
        <v>E5_3_1_12</v>
      </c>
      <c r="E367" s="31" t="str">
        <f t="shared" si="62"/>
        <v>E5_3_1_12_Kcat : 13.7</v>
      </c>
      <c r="F367" s="31" t="str">
        <f t="shared" si="63"/>
        <v>E5_3_1_12_Km :1</v>
      </c>
      <c r="G367" s="31" t="str">
        <f t="shared" si="64"/>
        <v>E5_3_1_12_mRNA:E5_3_1_12_mRNA</v>
      </c>
      <c r="H367" s="31" t="str">
        <f t="shared" si="65"/>
        <v>E5_3_1_12:E5_3_1_12</v>
      </c>
      <c r="I367" s="31" t="str">
        <f t="shared" si="66"/>
        <v>E5_3_1_12_mRNA:0</v>
      </c>
      <c r="J367" s="31" t="str">
        <f t="shared" si="67"/>
        <v>E5_3_1_12:0</v>
      </c>
      <c r="K367" s="31" t="str">
        <f t="shared" si="68"/>
        <v>0.00292 - (0.0093 * E5_3_1_12_mRNA)</v>
      </c>
      <c r="L367" s="31" t="str">
        <f t="shared" si="69"/>
        <v>(0.278 * E5_3_1_12_mRNA) - (0.00000278 * E5_3_1_12)</v>
      </c>
      <c r="M367" s="31" t="str">
        <f t="shared" si="70"/>
        <v>mRNA366: -&gt; E5_3_1_12_mRNA | 0.00292 - (0.0093 * E5_3_1_12_mRNA)</v>
      </c>
      <c r="N367" s="31" t="str">
        <f t="shared" si="71"/>
        <v>Peptide366:E5_3_1_12_mRNA -&gt; E5_3_1_12 | (0.278 * E5_3_1_12_mRNA) -  (0.00000278 * E5_3_1_12)</v>
      </c>
    </row>
    <row r="368" spans="1:14" ht="43.5" x14ac:dyDescent="0.35">
      <c r="A368" s="31">
        <v>367</v>
      </c>
      <c r="B368" s="31" t="s">
        <v>14298</v>
      </c>
      <c r="C368" s="31" t="str">
        <f t="shared" si="60"/>
        <v>E5_3_1_16 _mRNA</v>
      </c>
      <c r="D368" s="31" t="str">
        <f t="shared" si="61"/>
        <v xml:space="preserve">E5_3_1_16 </v>
      </c>
      <c r="E368" s="31" t="str">
        <f t="shared" si="62"/>
        <v>E5_3_1_16 _Kcat : 13.7</v>
      </c>
      <c r="F368" s="31" t="str">
        <f t="shared" si="63"/>
        <v>E5_3_1_16 _Km :1</v>
      </c>
      <c r="G368" s="31" t="str">
        <f t="shared" si="64"/>
        <v>E5_3_1_16 _mRNA:E5_3_1_16 _mRNA</v>
      </c>
      <c r="H368" s="31" t="str">
        <f t="shared" si="65"/>
        <v xml:space="preserve">E5_3_1_16 :E5_3_1_16 </v>
      </c>
      <c r="I368" s="31" t="str">
        <f t="shared" si="66"/>
        <v>E5_3_1_16 _mRNA:0</v>
      </c>
      <c r="J368" s="31" t="str">
        <f t="shared" si="67"/>
        <v>E5_3_1_16 :0</v>
      </c>
      <c r="K368" s="31" t="str">
        <f t="shared" si="68"/>
        <v>0.00292 - (0.0093 * E5_3_1_16 _mRNA)</v>
      </c>
      <c r="L368" s="31" t="str">
        <f t="shared" si="69"/>
        <v>(0.278 * E5_3_1_16 _mRNA) - (0.00000278 * E5_3_1_16 )</v>
      </c>
      <c r="M368" s="31" t="str">
        <f t="shared" si="70"/>
        <v>mRNA367: -&gt; E5_3_1_16 _mRNA | 0.00292 - (0.0093 * E5_3_1_16 _mRNA)</v>
      </c>
      <c r="N368" s="31" t="str">
        <f t="shared" si="71"/>
        <v>Peptide367:E5_3_1_16 _mRNA -&gt; E5_3_1_16  | (0.278 * E5_3_1_16 _mRNA) -  (0.00000278 * E5_3_1_16 )</v>
      </c>
    </row>
    <row r="369" spans="1:14" ht="43.5" x14ac:dyDescent="0.35">
      <c r="A369" s="31">
        <v>368</v>
      </c>
      <c r="B369" s="31" t="s">
        <v>14299</v>
      </c>
      <c r="C369" s="31" t="str">
        <f t="shared" si="60"/>
        <v>E5_3_1_30_mRNA</v>
      </c>
      <c r="D369" s="31" t="str">
        <f t="shared" si="61"/>
        <v>E5_3_1_30</v>
      </c>
      <c r="E369" s="31" t="str">
        <f t="shared" si="62"/>
        <v>E5_3_1_30_Kcat : 13.7</v>
      </c>
      <c r="F369" s="31" t="str">
        <f t="shared" si="63"/>
        <v>E5_3_1_30_Km :1</v>
      </c>
      <c r="G369" s="31" t="str">
        <f t="shared" si="64"/>
        <v>E5_3_1_30_mRNA:E5_3_1_30_mRNA</v>
      </c>
      <c r="H369" s="31" t="str">
        <f t="shared" si="65"/>
        <v>E5_3_1_30:E5_3_1_30</v>
      </c>
      <c r="I369" s="31" t="str">
        <f t="shared" si="66"/>
        <v>E5_3_1_30_mRNA:0</v>
      </c>
      <c r="J369" s="31" t="str">
        <f t="shared" si="67"/>
        <v>E5_3_1_30:0</v>
      </c>
      <c r="K369" s="31" t="str">
        <f t="shared" si="68"/>
        <v>0.00292 - (0.0093 * E5_3_1_30_mRNA)</v>
      </c>
      <c r="L369" s="31" t="str">
        <f t="shared" si="69"/>
        <v>(0.278 * E5_3_1_30_mRNA) - (0.00000278 * E5_3_1_30)</v>
      </c>
      <c r="M369" s="31" t="str">
        <f t="shared" si="70"/>
        <v>mRNA368: -&gt; E5_3_1_30_mRNA | 0.00292 - (0.0093 * E5_3_1_30_mRNA)</v>
      </c>
      <c r="N369" s="31" t="str">
        <f t="shared" si="71"/>
        <v>Peptide368:E5_3_1_30_mRNA -&gt; E5_3_1_30 | (0.278 * E5_3_1_30_mRNA) -  (0.00000278 * E5_3_1_30)</v>
      </c>
    </row>
    <row r="370" spans="1:14" ht="29" x14ac:dyDescent="0.35">
      <c r="A370" s="31">
        <v>369</v>
      </c>
      <c r="B370" s="31" t="s">
        <v>14300</v>
      </c>
      <c r="C370" s="31" t="str">
        <f t="shared" si="60"/>
        <v>E5_3_1_6_mRNA</v>
      </c>
      <c r="D370" s="31" t="str">
        <f t="shared" si="61"/>
        <v>E5_3_1_6</v>
      </c>
      <c r="E370" s="31" t="str">
        <f t="shared" si="62"/>
        <v>E5_3_1_6_Kcat : 13.7</v>
      </c>
      <c r="F370" s="31" t="str">
        <f t="shared" si="63"/>
        <v>E5_3_1_6_Km :1</v>
      </c>
      <c r="G370" s="31" t="str">
        <f t="shared" si="64"/>
        <v>E5_3_1_6_mRNA:E5_3_1_6_mRNA</v>
      </c>
      <c r="H370" s="31" t="str">
        <f t="shared" si="65"/>
        <v>E5_3_1_6:E5_3_1_6</v>
      </c>
      <c r="I370" s="31" t="str">
        <f t="shared" si="66"/>
        <v>E5_3_1_6_mRNA:0</v>
      </c>
      <c r="J370" s="31" t="str">
        <f t="shared" si="67"/>
        <v>E5_3_1_6:0</v>
      </c>
      <c r="K370" s="31" t="str">
        <f t="shared" si="68"/>
        <v>0.00292 - (0.0093 * E5_3_1_6_mRNA)</v>
      </c>
      <c r="L370" s="31" t="str">
        <f t="shared" si="69"/>
        <v>(0.278 * E5_3_1_6_mRNA) - (0.00000278 * E5_3_1_6)</v>
      </c>
      <c r="M370" s="31" t="str">
        <f t="shared" si="70"/>
        <v>mRNA369: -&gt; E5_3_1_6_mRNA | 0.00292 - (0.0093 * E5_3_1_6_mRNA)</v>
      </c>
      <c r="N370" s="31" t="str">
        <f t="shared" si="71"/>
        <v>Peptide369:E5_3_1_6_mRNA -&gt; E5_3_1_6 | (0.278 * E5_3_1_6_mRNA) -  (0.00000278 * E5_3_1_6)</v>
      </c>
    </row>
    <row r="371" spans="1:14" ht="29" x14ac:dyDescent="0.35">
      <c r="A371" s="31">
        <v>370</v>
      </c>
      <c r="B371" s="31" t="s">
        <v>14301</v>
      </c>
      <c r="C371" s="31" t="str">
        <f t="shared" si="60"/>
        <v>E5_3_1_8_mRNA</v>
      </c>
      <c r="D371" s="31" t="str">
        <f t="shared" si="61"/>
        <v>E5_3_1_8</v>
      </c>
      <c r="E371" s="31" t="str">
        <f t="shared" si="62"/>
        <v>E5_3_1_8_Kcat : 13.7</v>
      </c>
      <c r="F371" s="31" t="str">
        <f t="shared" si="63"/>
        <v>E5_3_1_8_Km :1</v>
      </c>
      <c r="G371" s="31" t="str">
        <f t="shared" si="64"/>
        <v>E5_3_1_8_mRNA:E5_3_1_8_mRNA</v>
      </c>
      <c r="H371" s="31" t="str">
        <f t="shared" si="65"/>
        <v>E5_3_1_8:E5_3_1_8</v>
      </c>
      <c r="I371" s="31" t="str">
        <f t="shared" si="66"/>
        <v>E5_3_1_8_mRNA:0</v>
      </c>
      <c r="J371" s="31" t="str">
        <f t="shared" si="67"/>
        <v>E5_3_1_8:0</v>
      </c>
      <c r="K371" s="31" t="str">
        <f t="shared" si="68"/>
        <v>0.00292 - (0.0093 * E5_3_1_8_mRNA)</v>
      </c>
      <c r="L371" s="31" t="str">
        <f t="shared" si="69"/>
        <v>(0.278 * E5_3_1_8_mRNA) - (0.00000278 * E5_3_1_8)</v>
      </c>
      <c r="M371" s="31" t="str">
        <f t="shared" si="70"/>
        <v>mRNA370: -&gt; E5_3_1_8_mRNA | 0.00292 - (0.0093 * E5_3_1_8_mRNA)</v>
      </c>
      <c r="N371" s="31" t="str">
        <f t="shared" si="71"/>
        <v>Peptide370:E5_3_1_8_mRNA -&gt; E5_3_1_8 | (0.278 * E5_3_1_8_mRNA) -  (0.00000278 * E5_3_1_8)</v>
      </c>
    </row>
    <row r="372" spans="1:14" ht="29" x14ac:dyDescent="0.35">
      <c r="A372" s="31">
        <v>371</v>
      </c>
      <c r="B372" s="31" t="s">
        <v>14302</v>
      </c>
      <c r="C372" s="31" t="str">
        <f t="shared" si="60"/>
        <v>E5_3_1_9_mRNA</v>
      </c>
      <c r="D372" s="31" t="str">
        <f t="shared" si="61"/>
        <v>E5_3_1_9</v>
      </c>
      <c r="E372" s="31" t="str">
        <f t="shared" si="62"/>
        <v>E5_3_1_9_Kcat : 13.7</v>
      </c>
      <c r="F372" s="31" t="str">
        <f t="shared" si="63"/>
        <v>E5_3_1_9_Km :1</v>
      </c>
      <c r="G372" s="31" t="str">
        <f t="shared" si="64"/>
        <v>E5_3_1_9_mRNA:E5_3_1_9_mRNA</v>
      </c>
      <c r="H372" s="31" t="str">
        <f t="shared" si="65"/>
        <v>E5_3_1_9:E5_3_1_9</v>
      </c>
      <c r="I372" s="31" t="str">
        <f t="shared" si="66"/>
        <v>E5_3_1_9_mRNA:0</v>
      </c>
      <c r="J372" s="31" t="str">
        <f t="shared" si="67"/>
        <v>E5_3_1_9:0</v>
      </c>
      <c r="K372" s="31" t="str">
        <f t="shared" si="68"/>
        <v>0.00292 - (0.0093 * E5_3_1_9_mRNA)</v>
      </c>
      <c r="L372" s="31" t="str">
        <f t="shared" si="69"/>
        <v>(0.278 * E5_3_1_9_mRNA) - (0.00000278 * E5_3_1_9)</v>
      </c>
      <c r="M372" s="31" t="str">
        <f t="shared" si="70"/>
        <v>mRNA371: -&gt; E5_3_1_9_mRNA | 0.00292 - (0.0093 * E5_3_1_9_mRNA)</v>
      </c>
      <c r="N372" s="31" t="str">
        <f t="shared" si="71"/>
        <v>Peptide371:E5_3_1_9_mRNA -&gt; E5_3_1_9 | (0.278 * E5_3_1_9_mRNA) -  (0.00000278 * E5_3_1_9)</v>
      </c>
    </row>
    <row r="373" spans="1:14" ht="29" x14ac:dyDescent="0.35">
      <c r="A373" s="31">
        <v>372</v>
      </c>
      <c r="B373" s="31" t="s">
        <v>14303</v>
      </c>
      <c r="C373" s="31" t="str">
        <f t="shared" si="60"/>
        <v>E5_3_3_2_mRNA</v>
      </c>
      <c r="D373" s="31" t="str">
        <f t="shared" si="61"/>
        <v>E5_3_3_2</v>
      </c>
      <c r="E373" s="31" t="str">
        <f t="shared" si="62"/>
        <v>E5_3_3_2_Kcat : 13.7</v>
      </c>
      <c r="F373" s="31" t="str">
        <f t="shared" si="63"/>
        <v>E5_3_3_2_Km :1</v>
      </c>
      <c r="G373" s="31" t="str">
        <f t="shared" si="64"/>
        <v>E5_3_3_2_mRNA:E5_3_3_2_mRNA</v>
      </c>
      <c r="H373" s="31" t="str">
        <f t="shared" si="65"/>
        <v>E5_3_3_2:E5_3_3_2</v>
      </c>
      <c r="I373" s="31" t="str">
        <f t="shared" si="66"/>
        <v>E5_3_3_2_mRNA:0</v>
      </c>
      <c r="J373" s="31" t="str">
        <f t="shared" si="67"/>
        <v>E5_3_3_2:0</v>
      </c>
      <c r="K373" s="31" t="str">
        <f t="shared" si="68"/>
        <v>0.00292 - (0.0093 * E5_3_3_2_mRNA)</v>
      </c>
      <c r="L373" s="31" t="str">
        <f t="shared" si="69"/>
        <v>(0.278 * E5_3_3_2_mRNA) - (0.00000278 * E5_3_3_2)</v>
      </c>
      <c r="M373" s="31" t="str">
        <f t="shared" si="70"/>
        <v>mRNA372: -&gt; E5_3_3_2_mRNA | 0.00292 - (0.0093 * E5_3_3_2_mRNA)</v>
      </c>
      <c r="N373" s="31" t="str">
        <f t="shared" si="71"/>
        <v>Peptide372:E5_3_3_2_mRNA -&gt; E5_3_3_2 | (0.278 * E5_3_3_2_mRNA) -  (0.00000278 * E5_3_3_2)</v>
      </c>
    </row>
    <row r="374" spans="1:14" ht="29" x14ac:dyDescent="0.35">
      <c r="A374" s="31">
        <v>373</v>
      </c>
      <c r="B374" s="31" t="s">
        <v>14304</v>
      </c>
      <c r="C374" s="31" t="str">
        <f t="shared" si="60"/>
        <v>E5_3_3_4_mRNA</v>
      </c>
      <c r="D374" s="31" t="str">
        <f t="shared" si="61"/>
        <v>E5_3_3_4</v>
      </c>
      <c r="E374" s="31" t="str">
        <f t="shared" si="62"/>
        <v>E5_3_3_4_Kcat : 13.7</v>
      </c>
      <c r="F374" s="31" t="str">
        <f t="shared" si="63"/>
        <v>E5_3_3_4_Km :1</v>
      </c>
      <c r="G374" s="31" t="str">
        <f t="shared" si="64"/>
        <v>E5_3_3_4_mRNA:E5_3_3_4_mRNA</v>
      </c>
      <c r="H374" s="31" t="str">
        <f t="shared" si="65"/>
        <v>E5_3_3_4:E5_3_3_4</v>
      </c>
      <c r="I374" s="31" t="str">
        <f t="shared" si="66"/>
        <v>E5_3_3_4_mRNA:0</v>
      </c>
      <c r="J374" s="31" t="str">
        <f t="shared" si="67"/>
        <v>E5_3_3_4:0</v>
      </c>
      <c r="K374" s="31" t="str">
        <f t="shared" si="68"/>
        <v>0.00292 - (0.0093 * E5_3_3_4_mRNA)</v>
      </c>
      <c r="L374" s="31" t="str">
        <f t="shared" si="69"/>
        <v>(0.278 * E5_3_3_4_mRNA) - (0.00000278 * E5_3_3_4)</v>
      </c>
      <c r="M374" s="31" t="str">
        <f t="shared" si="70"/>
        <v>mRNA373: -&gt; E5_3_3_4_mRNA | 0.00292 - (0.0093 * E5_3_3_4_mRNA)</v>
      </c>
      <c r="N374" s="31" t="str">
        <f t="shared" si="71"/>
        <v>Peptide373:E5_3_3_4_mRNA -&gt; E5_3_3_4 | (0.278 * E5_3_3_4_mRNA) -  (0.00000278 * E5_3_3_4)</v>
      </c>
    </row>
    <row r="375" spans="1:14" ht="43.5" x14ac:dyDescent="0.35">
      <c r="A375" s="31">
        <v>374</v>
      </c>
      <c r="B375" s="31" t="s">
        <v>14305</v>
      </c>
      <c r="C375" s="31" t="str">
        <f t="shared" si="60"/>
        <v>E5_4_2_10_mRNA</v>
      </c>
      <c r="D375" s="31" t="str">
        <f t="shared" si="61"/>
        <v>E5_4_2_10</v>
      </c>
      <c r="E375" s="31" t="str">
        <f t="shared" si="62"/>
        <v>E5_4_2_10_Kcat : 13.7</v>
      </c>
      <c r="F375" s="31" t="str">
        <f t="shared" si="63"/>
        <v>E5_4_2_10_Km :1</v>
      </c>
      <c r="G375" s="31" t="str">
        <f t="shared" si="64"/>
        <v>E5_4_2_10_mRNA:E5_4_2_10_mRNA</v>
      </c>
      <c r="H375" s="31" t="str">
        <f t="shared" si="65"/>
        <v>E5_4_2_10:E5_4_2_10</v>
      </c>
      <c r="I375" s="31" t="str">
        <f t="shared" si="66"/>
        <v>E5_4_2_10_mRNA:0</v>
      </c>
      <c r="J375" s="31" t="str">
        <f t="shared" si="67"/>
        <v>E5_4_2_10:0</v>
      </c>
      <c r="K375" s="31" t="str">
        <f t="shared" si="68"/>
        <v>0.00292 - (0.0093 * E5_4_2_10_mRNA)</v>
      </c>
      <c r="L375" s="31" t="str">
        <f t="shared" si="69"/>
        <v>(0.278 * E5_4_2_10_mRNA) - (0.00000278 * E5_4_2_10)</v>
      </c>
      <c r="M375" s="31" t="str">
        <f t="shared" si="70"/>
        <v>mRNA374: -&gt; E5_4_2_10_mRNA | 0.00292 - (0.0093 * E5_4_2_10_mRNA)</v>
      </c>
      <c r="N375" s="31" t="str">
        <f t="shared" si="71"/>
        <v>Peptide374:E5_4_2_10_mRNA -&gt; E5_4_2_10 | (0.278 * E5_4_2_10_mRNA) -  (0.00000278 * E5_4_2_10)</v>
      </c>
    </row>
    <row r="376" spans="1:14" ht="43.5" x14ac:dyDescent="0.35">
      <c r="A376" s="31">
        <v>375</v>
      </c>
      <c r="B376" s="31" t="s">
        <v>14306</v>
      </c>
      <c r="C376" s="31" t="str">
        <f t="shared" si="60"/>
        <v>E5_4_2_11_mRNA</v>
      </c>
      <c r="D376" s="31" t="str">
        <f t="shared" si="61"/>
        <v>E5_4_2_11</v>
      </c>
      <c r="E376" s="31" t="str">
        <f t="shared" si="62"/>
        <v>E5_4_2_11_Kcat : 13.7</v>
      </c>
      <c r="F376" s="31" t="str">
        <f t="shared" si="63"/>
        <v>E5_4_2_11_Km :1</v>
      </c>
      <c r="G376" s="31" t="str">
        <f t="shared" si="64"/>
        <v>E5_4_2_11_mRNA:E5_4_2_11_mRNA</v>
      </c>
      <c r="H376" s="31" t="str">
        <f t="shared" si="65"/>
        <v>E5_4_2_11:E5_4_2_11</v>
      </c>
      <c r="I376" s="31" t="str">
        <f t="shared" si="66"/>
        <v>E5_4_2_11_mRNA:0</v>
      </c>
      <c r="J376" s="31" t="str">
        <f t="shared" si="67"/>
        <v>E5_4_2_11:0</v>
      </c>
      <c r="K376" s="31" t="str">
        <f t="shared" si="68"/>
        <v>0.00292 - (0.0093 * E5_4_2_11_mRNA)</v>
      </c>
      <c r="L376" s="31" t="str">
        <f t="shared" si="69"/>
        <v>(0.278 * E5_4_2_11_mRNA) - (0.00000278 * E5_4_2_11)</v>
      </c>
      <c r="M376" s="31" t="str">
        <f t="shared" si="70"/>
        <v>mRNA375: -&gt; E5_4_2_11_mRNA | 0.00292 - (0.0093 * E5_4_2_11_mRNA)</v>
      </c>
      <c r="N376" s="31" t="str">
        <f t="shared" si="71"/>
        <v>Peptide375:E5_4_2_11_mRNA -&gt; E5_4_2_11 | (0.278 * E5_4_2_11_mRNA) -  (0.00000278 * E5_4_2_11)</v>
      </c>
    </row>
    <row r="377" spans="1:14" ht="29" x14ac:dyDescent="0.35">
      <c r="A377" s="31">
        <v>376</v>
      </c>
      <c r="B377" s="31" t="s">
        <v>14307</v>
      </c>
      <c r="C377" s="31" t="str">
        <f t="shared" si="60"/>
        <v>E5_4_2_2_mRNA</v>
      </c>
      <c r="D377" s="31" t="str">
        <f t="shared" si="61"/>
        <v>E5_4_2_2</v>
      </c>
      <c r="E377" s="31" t="str">
        <f t="shared" si="62"/>
        <v>E5_4_2_2_Kcat : 13.7</v>
      </c>
      <c r="F377" s="31" t="str">
        <f t="shared" si="63"/>
        <v>E5_4_2_2_Km :1</v>
      </c>
      <c r="G377" s="31" t="str">
        <f t="shared" si="64"/>
        <v>E5_4_2_2_mRNA:E5_4_2_2_mRNA</v>
      </c>
      <c r="H377" s="31" t="str">
        <f t="shared" si="65"/>
        <v>E5_4_2_2:E5_4_2_2</v>
      </c>
      <c r="I377" s="31" t="str">
        <f t="shared" si="66"/>
        <v>E5_4_2_2_mRNA:0</v>
      </c>
      <c r="J377" s="31" t="str">
        <f t="shared" si="67"/>
        <v>E5_4_2_2:0</v>
      </c>
      <c r="K377" s="31" t="str">
        <f t="shared" si="68"/>
        <v>0.00292 - (0.0093 * E5_4_2_2_mRNA)</v>
      </c>
      <c r="L377" s="31" t="str">
        <f t="shared" si="69"/>
        <v>(0.278 * E5_4_2_2_mRNA) - (0.00000278 * E5_4_2_2)</v>
      </c>
      <c r="M377" s="31" t="str">
        <f t="shared" si="70"/>
        <v>mRNA376: -&gt; E5_4_2_2_mRNA | 0.00292 - (0.0093 * E5_4_2_2_mRNA)</v>
      </c>
      <c r="N377" s="31" t="str">
        <f t="shared" si="71"/>
        <v>Peptide376:E5_4_2_2_mRNA -&gt; E5_4_2_2 | (0.278 * E5_4_2_2_mRNA) -  (0.00000278 * E5_4_2_2)</v>
      </c>
    </row>
    <row r="378" spans="1:14" ht="29" x14ac:dyDescent="0.35">
      <c r="A378" s="31">
        <v>377</v>
      </c>
      <c r="B378" s="31" t="s">
        <v>14308</v>
      </c>
      <c r="C378" s="31" t="str">
        <f t="shared" si="60"/>
        <v>E5_4_3_8_mRNA</v>
      </c>
      <c r="D378" s="31" t="str">
        <f t="shared" si="61"/>
        <v>E5_4_3_8</v>
      </c>
      <c r="E378" s="31" t="str">
        <f t="shared" si="62"/>
        <v>E5_4_3_8_Kcat : 13.7</v>
      </c>
      <c r="F378" s="31" t="str">
        <f t="shared" si="63"/>
        <v>E5_4_3_8_Km :1</v>
      </c>
      <c r="G378" s="31" t="str">
        <f t="shared" si="64"/>
        <v>E5_4_3_8_mRNA:E5_4_3_8_mRNA</v>
      </c>
      <c r="H378" s="31" t="str">
        <f t="shared" si="65"/>
        <v>E5_4_3_8:E5_4_3_8</v>
      </c>
      <c r="I378" s="31" t="str">
        <f t="shared" si="66"/>
        <v>E5_4_3_8_mRNA:0</v>
      </c>
      <c r="J378" s="31" t="str">
        <f t="shared" si="67"/>
        <v>E5_4_3_8:0</v>
      </c>
      <c r="K378" s="31" t="str">
        <f t="shared" si="68"/>
        <v>0.00292 - (0.0093 * E5_4_3_8_mRNA)</v>
      </c>
      <c r="L378" s="31" t="str">
        <f t="shared" si="69"/>
        <v>(0.278 * E5_4_3_8_mRNA) - (0.00000278 * E5_4_3_8)</v>
      </c>
      <c r="M378" s="31" t="str">
        <f t="shared" si="70"/>
        <v>mRNA377: -&gt; E5_4_3_8_mRNA | 0.00292 - (0.0093 * E5_4_3_8_mRNA)</v>
      </c>
      <c r="N378" s="31" t="str">
        <f t="shared" si="71"/>
        <v>Peptide377:E5_4_3_8_mRNA -&gt; E5_4_3_8 | (0.278 * E5_4_3_8_mRNA) -  (0.00000278 * E5_4_3_8)</v>
      </c>
    </row>
    <row r="379" spans="1:14" ht="29" x14ac:dyDescent="0.35">
      <c r="A379" s="31">
        <v>378</v>
      </c>
      <c r="B379" s="31" t="s">
        <v>14309</v>
      </c>
      <c r="C379" s="31" t="str">
        <f t="shared" si="60"/>
        <v>E5_4_4_2_mRNA</v>
      </c>
      <c r="D379" s="31" t="str">
        <f t="shared" si="61"/>
        <v>E5_4_4_2</v>
      </c>
      <c r="E379" s="31" t="str">
        <f t="shared" si="62"/>
        <v>E5_4_4_2_Kcat : 13.7</v>
      </c>
      <c r="F379" s="31" t="str">
        <f t="shared" si="63"/>
        <v>E5_4_4_2_Km :1</v>
      </c>
      <c r="G379" s="31" t="str">
        <f t="shared" si="64"/>
        <v>E5_4_4_2_mRNA:E5_4_4_2_mRNA</v>
      </c>
      <c r="H379" s="31" t="str">
        <f t="shared" si="65"/>
        <v>E5_4_4_2:E5_4_4_2</v>
      </c>
      <c r="I379" s="31" t="str">
        <f t="shared" si="66"/>
        <v>E5_4_4_2_mRNA:0</v>
      </c>
      <c r="J379" s="31" t="str">
        <f t="shared" si="67"/>
        <v>E5_4_4_2:0</v>
      </c>
      <c r="K379" s="31" t="str">
        <f t="shared" si="68"/>
        <v>0.00292 - (0.0093 * E5_4_4_2_mRNA)</v>
      </c>
      <c r="L379" s="31" t="str">
        <f t="shared" si="69"/>
        <v>(0.278 * E5_4_4_2_mRNA) - (0.00000278 * E5_4_4_2)</v>
      </c>
      <c r="M379" s="31" t="str">
        <f t="shared" si="70"/>
        <v>mRNA378: -&gt; E5_4_4_2_mRNA | 0.00292 - (0.0093 * E5_4_4_2_mRNA)</v>
      </c>
      <c r="N379" s="31" t="str">
        <f t="shared" si="71"/>
        <v>Peptide378:E5_4_4_2_mRNA -&gt; E5_4_4_2 | (0.278 * E5_4_4_2_mRNA) -  (0.00000278 * E5_4_4_2)</v>
      </c>
    </row>
    <row r="380" spans="1:14" ht="43.5" x14ac:dyDescent="0.35">
      <c r="A380" s="31">
        <v>379</v>
      </c>
      <c r="B380" s="31" t="s">
        <v>14310</v>
      </c>
      <c r="C380" s="31" t="str">
        <f t="shared" si="60"/>
        <v>E5_4_99_12_mRNA</v>
      </c>
      <c r="D380" s="31" t="str">
        <f t="shared" si="61"/>
        <v>E5_4_99_12</v>
      </c>
      <c r="E380" s="31" t="str">
        <f t="shared" si="62"/>
        <v>E5_4_99_12_Kcat : 13.7</v>
      </c>
      <c r="F380" s="31" t="str">
        <f t="shared" si="63"/>
        <v>E5_4_99_12_Km :1</v>
      </c>
      <c r="G380" s="31" t="str">
        <f t="shared" si="64"/>
        <v>E5_4_99_12_mRNA:E5_4_99_12_mRNA</v>
      </c>
      <c r="H380" s="31" t="str">
        <f t="shared" si="65"/>
        <v>E5_4_99_12:E5_4_99_12</v>
      </c>
      <c r="I380" s="31" t="str">
        <f t="shared" si="66"/>
        <v>E5_4_99_12_mRNA:0</v>
      </c>
      <c r="J380" s="31" t="str">
        <f t="shared" si="67"/>
        <v>E5_4_99_12:0</v>
      </c>
      <c r="K380" s="31" t="str">
        <f t="shared" si="68"/>
        <v>0.00292 - (0.0093 * E5_4_99_12_mRNA)</v>
      </c>
      <c r="L380" s="31" t="str">
        <f t="shared" si="69"/>
        <v>(0.278 * E5_4_99_12_mRNA) - (0.00000278 * E5_4_99_12)</v>
      </c>
      <c r="M380" s="31" t="str">
        <f t="shared" si="70"/>
        <v>mRNA379: -&gt; E5_4_99_12_mRNA | 0.00292 - (0.0093 * E5_4_99_12_mRNA)</v>
      </c>
      <c r="N380" s="31" t="str">
        <f t="shared" si="71"/>
        <v>Peptide379:E5_4_99_12_mRNA -&gt; E5_4_99_12 | (0.278 * E5_4_99_12_mRNA) -  (0.00000278 * E5_4_99_12)</v>
      </c>
    </row>
    <row r="381" spans="1:14" ht="43.5" x14ac:dyDescent="0.35">
      <c r="A381" s="31">
        <v>380</v>
      </c>
      <c r="B381" s="31" t="s">
        <v>14311</v>
      </c>
      <c r="C381" s="31" t="str">
        <f t="shared" si="60"/>
        <v>E5_4_99_15_mRNA</v>
      </c>
      <c r="D381" s="31" t="str">
        <f t="shared" si="61"/>
        <v>E5_4_99_15</v>
      </c>
      <c r="E381" s="31" t="str">
        <f t="shared" si="62"/>
        <v>E5_4_99_15_Kcat : 13.7</v>
      </c>
      <c r="F381" s="31" t="str">
        <f t="shared" si="63"/>
        <v>E5_4_99_15_Km :1</v>
      </c>
      <c r="G381" s="31" t="str">
        <f t="shared" si="64"/>
        <v>E5_4_99_15_mRNA:E5_4_99_15_mRNA</v>
      </c>
      <c r="H381" s="31" t="str">
        <f t="shared" si="65"/>
        <v>E5_4_99_15:E5_4_99_15</v>
      </c>
      <c r="I381" s="31" t="str">
        <f t="shared" si="66"/>
        <v>E5_4_99_15_mRNA:0</v>
      </c>
      <c r="J381" s="31" t="str">
        <f t="shared" si="67"/>
        <v>E5_4_99_15:0</v>
      </c>
      <c r="K381" s="31" t="str">
        <f t="shared" si="68"/>
        <v>0.00292 - (0.0093 * E5_4_99_15_mRNA)</v>
      </c>
      <c r="L381" s="31" t="str">
        <f t="shared" si="69"/>
        <v>(0.278 * E5_4_99_15_mRNA) - (0.00000278 * E5_4_99_15)</v>
      </c>
      <c r="M381" s="31" t="str">
        <f t="shared" si="70"/>
        <v>mRNA380: -&gt; E5_4_99_15_mRNA | 0.00292 - (0.0093 * E5_4_99_15_mRNA)</v>
      </c>
      <c r="N381" s="31" t="str">
        <f t="shared" si="71"/>
        <v>Peptide380:E5_4_99_15_mRNA -&gt; E5_4_99_15 | (0.278 * E5_4_99_15_mRNA) -  (0.00000278 * E5_4_99_15)</v>
      </c>
    </row>
    <row r="382" spans="1:14" ht="43.5" x14ac:dyDescent="0.35">
      <c r="A382" s="31">
        <v>381</v>
      </c>
      <c r="B382" s="31" t="s">
        <v>14312</v>
      </c>
      <c r="C382" s="31" t="str">
        <f t="shared" ref="C382:C444" si="72">CONCATENATE(D382,"_mRNA")</f>
        <v>E5_4_99_16_mRNA</v>
      </c>
      <c r="D382" s="31" t="str">
        <f t="shared" ref="D382:D444" si="73">CONCATENATE("E",B382)</f>
        <v>E5_4_99_16</v>
      </c>
      <c r="E382" s="31" t="str">
        <f t="shared" ref="E382:E444" si="74">CONCATENATE(D382,"_Kcat : 13.7")</f>
        <v>E5_4_99_16_Kcat : 13.7</v>
      </c>
      <c r="F382" s="31" t="str">
        <f t="shared" ref="F382:F444" si="75">CONCATENATE(D382,"_Km :1")</f>
        <v>E5_4_99_16_Km :1</v>
      </c>
      <c r="G382" s="31" t="str">
        <f t="shared" ref="G382:G444" si="76">CONCATENATE(C382,":",C382)</f>
        <v>E5_4_99_16_mRNA:E5_4_99_16_mRNA</v>
      </c>
      <c r="H382" s="31" t="str">
        <f t="shared" ref="H382:H444" si="77">CONCATENATE(D382,":",D382)</f>
        <v>E5_4_99_16:E5_4_99_16</v>
      </c>
      <c r="I382" s="31" t="str">
        <f t="shared" ref="I382:I444" si="78">CONCATENATE(C382,":","0")</f>
        <v>E5_4_99_16_mRNA:0</v>
      </c>
      <c r="J382" s="31" t="str">
        <f t="shared" ref="J382:J444" si="79">CONCATENATE(D382,":","0")</f>
        <v>E5_4_99_16:0</v>
      </c>
      <c r="K382" s="31" t="str">
        <f t="shared" ref="K382:K444" si="80">CONCATENATE("0.00292 - (0.0093 * ",C382,")")</f>
        <v>0.00292 - (0.0093 * E5_4_99_16_mRNA)</v>
      </c>
      <c r="L382" s="31" t="str">
        <f t="shared" ref="L382:L444" si="81">CONCATENATE("(0.278 * ",C382,")", " - (0.00000278 * ",D382,")")</f>
        <v>(0.278 * E5_4_99_16_mRNA) - (0.00000278 * E5_4_99_16)</v>
      </c>
      <c r="M382" s="31" t="str">
        <f t="shared" ref="M382:M444" si="82">CONCATENATE("mRNA",A382,": -&gt; ",C382," | ","0.00292", " -"," (","0.0093"," * ",C382,")")</f>
        <v>mRNA381: -&gt; E5_4_99_16_mRNA | 0.00292 - (0.0093 * E5_4_99_16_mRNA)</v>
      </c>
      <c r="N382" s="31" t="str">
        <f t="shared" ref="N382:N444" si="83">CONCATENATE("Peptide",A382,":",C382," -&gt; ",D382," | ","(","0.278"," * ",C382,")"," - "," (","0.00000278"," * ",D382,")")</f>
        <v>Peptide381:E5_4_99_16_mRNA -&gt; E5_4_99_16 | (0.278 * E5_4_99_16_mRNA) -  (0.00000278 * E5_4_99_16)</v>
      </c>
    </row>
    <row r="383" spans="1:14" ht="43.5" x14ac:dyDescent="0.35">
      <c r="A383" s="31">
        <v>382</v>
      </c>
      <c r="B383" s="31" t="s">
        <v>14313</v>
      </c>
      <c r="C383" s="31" t="str">
        <f t="shared" si="72"/>
        <v>E5_4_99_2_mRNA</v>
      </c>
      <c r="D383" s="31" t="str">
        <f t="shared" si="73"/>
        <v>E5_4_99_2</v>
      </c>
      <c r="E383" s="31" t="str">
        <f t="shared" si="74"/>
        <v>E5_4_99_2_Kcat : 13.7</v>
      </c>
      <c r="F383" s="31" t="str">
        <f t="shared" si="75"/>
        <v>E5_4_99_2_Km :1</v>
      </c>
      <c r="G383" s="31" t="str">
        <f t="shared" si="76"/>
        <v>E5_4_99_2_mRNA:E5_4_99_2_mRNA</v>
      </c>
      <c r="H383" s="31" t="str">
        <f t="shared" si="77"/>
        <v>E5_4_99_2:E5_4_99_2</v>
      </c>
      <c r="I383" s="31" t="str">
        <f t="shared" si="78"/>
        <v>E5_4_99_2_mRNA:0</v>
      </c>
      <c r="J383" s="31" t="str">
        <f t="shared" si="79"/>
        <v>E5_4_99_2:0</v>
      </c>
      <c r="K383" s="31" t="str">
        <f t="shared" si="80"/>
        <v>0.00292 - (0.0093 * E5_4_99_2_mRNA)</v>
      </c>
      <c r="L383" s="31" t="str">
        <f t="shared" si="81"/>
        <v>(0.278 * E5_4_99_2_mRNA) - (0.00000278 * E5_4_99_2)</v>
      </c>
      <c r="M383" s="31" t="str">
        <f t="shared" si="82"/>
        <v>mRNA382: -&gt; E5_4_99_2_mRNA | 0.00292 - (0.0093 * E5_4_99_2_mRNA)</v>
      </c>
      <c r="N383" s="31" t="str">
        <f t="shared" si="83"/>
        <v>Peptide382:E5_4_99_2_mRNA -&gt; E5_4_99_2 | (0.278 * E5_4_99_2_mRNA) -  (0.00000278 * E5_4_99_2)</v>
      </c>
    </row>
    <row r="384" spans="1:14" ht="43.5" x14ac:dyDescent="0.35">
      <c r="A384" s="31">
        <v>383</v>
      </c>
      <c r="B384" s="31" t="s">
        <v>14314</v>
      </c>
      <c r="C384" s="31" t="str">
        <f t="shared" si="72"/>
        <v>E5_4_99_5_mRNA</v>
      </c>
      <c r="D384" s="31" t="str">
        <f t="shared" si="73"/>
        <v>E5_4_99_5</v>
      </c>
      <c r="E384" s="31" t="str">
        <f t="shared" si="74"/>
        <v>E5_4_99_5_Kcat : 13.7</v>
      </c>
      <c r="F384" s="31" t="str">
        <f t="shared" si="75"/>
        <v>E5_4_99_5_Km :1</v>
      </c>
      <c r="G384" s="31" t="str">
        <f t="shared" si="76"/>
        <v>E5_4_99_5_mRNA:E5_4_99_5_mRNA</v>
      </c>
      <c r="H384" s="31" t="str">
        <f t="shared" si="77"/>
        <v>E5_4_99_5:E5_4_99_5</v>
      </c>
      <c r="I384" s="31" t="str">
        <f t="shared" si="78"/>
        <v>E5_4_99_5_mRNA:0</v>
      </c>
      <c r="J384" s="31" t="str">
        <f t="shared" si="79"/>
        <v>E5_4_99_5:0</v>
      </c>
      <c r="K384" s="31" t="str">
        <f t="shared" si="80"/>
        <v>0.00292 - (0.0093 * E5_4_99_5_mRNA)</v>
      </c>
      <c r="L384" s="31" t="str">
        <f t="shared" si="81"/>
        <v>(0.278 * E5_4_99_5_mRNA) - (0.00000278 * E5_4_99_5)</v>
      </c>
      <c r="M384" s="31" t="str">
        <f t="shared" si="82"/>
        <v>mRNA383: -&gt; E5_4_99_5_mRNA | 0.00292 - (0.0093 * E5_4_99_5_mRNA)</v>
      </c>
      <c r="N384" s="31" t="str">
        <f t="shared" si="83"/>
        <v>Peptide383:E5_4_99_5_mRNA -&gt; E5_4_99_5 | (0.278 * E5_4_99_5_mRNA) -  (0.00000278 * E5_4_99_5)</v>
      </c>
    </row>
    <row r="385" spans="1:14" ht="43.5" x14ac:dyDescent="0.35">
      <c r="A385" s="31">
        <v>384</v>
      </c>
      <c r="B385" s="31" t="s">
        <v>14315</v>
      </c>
      <c r="C385" s="31" t="str">
        <f t="shared" si="72"/>
        <v>E5_4_99_62_mRNA</v>
      </c>
      <c r="D385" s="31" t="str">
        <f t="shared" si="73"/>
        <v>E5_4_99_62</v>
      </c>
      <c r="E385" s="31" t="str">
        <f t="shared" si="74"/>
        <v>E5_4_99_62_Kcat : 13.7</v>
      </c>
      <c r="F385" s="31" t="str">
        <f t="shared" si="75"/>
        <v>E5_4_99_62_Km :1</v>
      </c>
      <c r="G385" s="31" t="str">
        <f t="shared" si="76"/>
        <v>E5_4_99_62_mRNA:E5_4_99_62_mRNA</v>
      </c>
      <c r="H385" s="31" t="str">
        <f t="shared" si="77"/>
        <v>E5_4_99_62:E5_4_99_62</v>
      </c>
      <c r="I385" s="31" t="str">
        <f t="shared" si="78"/>
        <v>E5_4_99_62_mRNA:0</v>
      </c>
      <c r="J385" s="31" t="str">
        <f t="shared" si="79"/>
        <v>E5_4_99_62:0</v>
      </c>
      <c r="K385" s="31" t="str">
        <f t="shared" si="80"/>
        <v>0.00292 - (0.0093 * E5_4_99_62_mRNA)</v>
      </c>
      <c r="L385" s="31" t="str">
        <f t="shared" si="81"/>
        <v>(0.278 * E5_4_99_62_mRNA) - (0.00000278 * E5_4_99_62)</v>
      </c>
      <c r="M385" s="31" t="str">
        <f t="shared" si="82"/>
        <v>mRNA384: -&gt; E5_4_99_62_mRNA | 0.00292 - (0.0093 * E5_4_99_62_mRNA)</v>
      </c>
      <c r="N385" s="31" t="str">
        <f t="shared" si="83"/>
        <v>Peptide384:E5_4_99_62_mRNA -&gt; E5_4_99_62 | (0.278 * E5_4_99_62_mRNA) -  (0.00000278 * E5_4_99_62)</v>
      </c>
    </row>
    <row r="386" spans="1:14" ht="43.5" x14ac:dyDescent="0.35">
      <c r="A386" s="31">
        <v>385</v>
      </c>
      <c r="B386" s="31" t="s">
        <v>14316</v>
      </c>
      <c r="C386" s="31" t="str">
        <f t="shared" si="72"/>
        <v>E5_4_99_9_mRNA</v>
      </c>
      <c r="D386" s="31" t="str">
        <f t="shared" si="73"/>
        <v>E5_4_99_9</v>
      </c>
      <c r="E386" s="31" t="str">
        <f t="shared" si="74"/>
        <v>E5_4_99_9_Kcat : 13.7</v>
      </c>
      <c r="F386" s="31" t="str">
        <f t="shared" si="75"/>
        <v>E5_4_99_9_Km :1</v>
      </c>
      <c r="G386" s="31" t="str">
        <f t="shared" si="76"/>
        <v>E5_4_99_9_mRNA:E5_4_99_9_mRNA</v>
      </c>
      <c r="H386" s="31" t="str">
        <f t="shared" si="77"/>
        <v>E5_4_99_9:E5_4_99_9</v>
      </c>
      <c r="I386" s="31" t="str">
        <f t="shared" si="78"/>
        <v>E5_4_99_9_mRNA:0</v>
      </c>
      <c r="J386" s="31" t="str">
        <f t="shared" si="79"/>
        <v>E5_4_99_9:0</v>
      </c>
      <c r="K386" s="31" t="str">
        <f t="shared" si="80"/>
        <v>0.00292 - (0.0093 * E5_4_99_9_mRNA)</v>
      </c>
      <c r="L386" s="31" t="str">
        <f t="shared" si="81"/>
        <v>(0.278 * E5_4_99_9_mRNA) - (0.00000278 * E5_4_99_9)</v>
      </c>
      <c r="M386" s="31" t="str">
        <f t="shared" si="82"/>
        <v>mRNA385: -&gt; E5_4_99_9_mRNA | 0.00292 - (0.0093 * E5_4_99_9_mRNA)</v>
      </c>
      <c r="N386" s="31" t="str">
        <f t="shared" si="83"/>
        <v>Peptide385:E5_4_99_9_mRNA -&gt; E5_4_99_9 | (0.278 * E5_4_99_9_mRNA) -  (0.00000278 * E5_4_99_9)</v>
      </c>
    </row>
    <row r="387" spans="1:14" ht="29" x14ac:dyDescent="0.35">
      <c r="A387" s="31">
        <v>386</v>
      </c>
      <c r="B387" s="31" t="s">
        <v>14317</v>
      </c>
      <c r="C387" s="31" t="str">
        <f t="shared" si="72"/>
        <v>E5_5_1_2_mRNA</v>
      </c>
      <c r="D387" s="31" t="str">
        <f t="shared" si="73"/>
        <v>E5_5_1_2</v>
      </c>
      <c r="E387" s="31" t="str">
        <f t="shared" si="74"/>
        <v>E5_5_1_2_Kcat : 13.7</v>
      </c>
      <c r="F387" s="31" t="str">
        <f t="shared" si="75"/>
        <v>E5_5_1_2_Km :1</v>
      </c>
      <c r="G387" s="31" t="str">
        <f t="shared" si="76"/>
        <v>E5_5_1_2_mRNA:E5_5_1_2_mRNA</v>
      </c>
      <c r="H387" s="31" t="str">
        <f t="shared" si="77"/>
        <v>E5_5_1_2:E5_5_1_2</v>
      </c>
      <c r="I387" s="31" t="str">
        <f t="shared" si="78"/>
        <v>E5_5_1_2_mRNA:0</v>
      </c>
      <c r="J387" s="31" t="str">
        <f t="shared" si="79"/>
        <v>E5_5_1_2:0</v>
      </c>
      <c r="K387" s="31" t="str">
        <f t="shared" si="80"/>
        <v>0.00292 - (0.0093 * E5_5_1_2_mRNA)</v>
      </c>
      <c r="L387" s="31" t="str">
        <f t="shared" si="81"/>
        <v>(0.278 * E5_5_1_2_mRNA) - (0.00000278 * E5_5_1_2)</v>
      </c>
      <c r="M387" s="31" t="str">
        <f t="shared" si="82"/>
        <v>mRNA386: -&gt; E5_5_1_2_mRNA | 0.00292 - (0.0093 * E5_5_1_2_mRNA)</v>
      </c>
      <c r="N387" s="31" t="str">
        <f t="shared" si="83"/>
        <v>Peptide386:E5_5_1_2_mRNA -&gt; E5_5_1_2 | (0.278 * E5_5_1_2_mRNA) -  (0.00000278 * E5_5_1_2)</v>
      </c>
    </row>
    <row r="388" spans="1:14" ht="29" x14ac:dyDescent="0.35">
      <c r="A388" s="31">
        <v>387</v>
      </c>
      <c r="B388" s="31" t="s">
        <v>14318</v>
      </c>
      <c r="C388" s="31" t="str">
        <f t="shared" si="72"/>
        <v>E5_5_1_4_mRNA</v>
      </c>
      <c r="D388" s="31" t="str">
        <f t="shared" si="73"/>
        <v>E5_5_1_4</v>
      </c>
      <c r="E388" s="31" t="str">
        <f t="shared" si="74"/>
        <v>E5_5_1_4_Kcat : 13.7</v>
      </c>
      <c r="F388" s="31" t="str">
        <f t="shared" si="75"/>
        <v>E5_5_1_4_Km :1</v>
      </c>
      <c r="G388" s="31" t="str">
        <f t="shared" si="76"/>
        <v>E5_5_1_4_mRNA:E5_5_1_4_mRNA</v>
      </c>
      <c r="H388" s="31" t="str">
        <f t="shared" si="77"/>
        <v>E5_5_1_4:E5_5_1_4</v>
      </c>
      <c r="I388" s="31" t="str">
        <f t="shared" si="78"/>
        <v>E5_5_1_4_mRNA:0</v>
      </c>
      <c r="J388" s="31" t="str">
        <f t="shared" si="79"/>
        <v>E5_5_1_4:0</v>
      </c>
      <c r="K388" s="31" t="str">
        <f t="shared" si="80"/>
        <v>0.00292 - (0.0093 * E5_5_1_4_mRNA)</v>
      </c>
      <c r="L388" s="31" t="str">
        <f t="shared" si="81"/>
        <v>(0.278 * E5_5_1_4_mRNA) - (0.00000278 * E5_5_1_4)</v>
      </c>
      <c r="M388" s="31" t="str">
        <f t="shared" si="82"/>
        <v>mRNA387: -&gt; E5_5_1_4_mRNA | 0.00292 - (0.0093 * E5_5_1_4_mRNA)</v>
      </c>
      <c r="N388" s="31" t="str">
        <f t="shared" si="83"/>
        <v>Peptide387:E5_5_1_4_mRNA -&gt; E5_5_1_4 | (0.278 * E5_5_1_4_mRNA) -  (0.00000278 * E5_5_1_4)</v>
      </c>
    </row>
    <row r="389" spans="1:14" ht="29" x14ac:dyDescent="0.35">
      <c r="A389" s="31">
        <v>388</v>
      </c>
      <c r="B389" s="31" t="s">
        <v>14319</v>
      </c>
      <c r="C389" s="31" t="str">
        <f t="shared" si="72"/>
        <v>E5_6_1_5_mRNA</v>
      </c>
      <c r="D389" s="31" t="str">
        <f t="shared" si="73"/>
        <v>E5_6_1_5</v>
      </c>
      <c r="E389" s="31" t="str">
        <f t="shared" si="74"/>
        <v>E5_6_1_5_Kcat : 13.7</v>
      </c>
      <c r="F389" s="31" t="str">
        <f t="shared" si="75"/>
        <v>E5_6_1_5_Km :1</v>
      </c>
      <c r="G389" s="31" t="str">
        <f t="shared" si="76"/>
        <v>E5_6_1_5_mRNA:E5_6_1_5_mRNA</v>
      </c>
      <c r="H389" s="31" t="str">
        <f t="shared" si="77"/>
        <v>E5_6_1_5:E5_6_1_5</v>
      </c>
      <c r="I389" s="31" t="str">
        <f t="shared" si="78"/>
        <v>E5_6_1_5_mRNA:0</v>
      </c>
      <c r="J389" s="31" t="str">
        <f t="shared" si="79"/>
        <v>E5_6_1_5:0</v>
      </c>
      <c r="K389" s="31" t="str">
        <f t="shared" si="80"/>
        <v>0.00292 - (0.0093 * E5_6_1_5_mRNA)</v>
      </c>
      <c r="L389" s="31" t="str">
        <f t="shared" si="81"/>
        <v>(0.278 * E5_6_1_5_mRNA) - (0.00000278 * E5_6_1_5)</v>
      </c>
      <c r="M389" s="31" t="str">
        <f t="shared" si="82"/>
        <v>mRNA388: -&gt; E5_6_1_5_mRNA | 0.00292 - (0.0093 * E5_6_1_5_mRNA)</v>
      </c>
      <c r="N389" s="31" t="str">
        <f t="shared" si="83"/>
        <v>Peptide388:E5_6_1_5_mRNA -&gt; E5_6_1_5 | (0.278 * E5_6_1_5_mRNA) -  (0.00000278 * E5_6_1_5)</v>
      </c>
    </row>
    <row r="390" spans="1:14" ht="29" x14ac:dyDescent="0.35">
      <c r="A390" s="31">
        <v>389</v>
      </c>
      <c r="B390" s="31" t="s">
        <v>14320</v>
      </c>
      <c r="C390" s="31" t="str">
        <f t="shared" si="72"/>
        <v>E6_1_1_1_mRNA</v>
      </c>
      <c r="D390" s="31" t="str">
        <f t="shared" si="73"/>
        <v>E6_1_1_1</v>
      </c>
      <c r="E390" s="31" t="str">
        <f t="shared" si="74"/>
        <v>E6_1_1_1_Kcat : 13.7</v>
      </c>
      <c r="F390" s="31" t="str">
        <f t="shared" si="75"/>
        <v>E6_1_1_1_Km :1</v>
      </c>
      <c r="G390" s="31" t="str">
        <f t="shared" si="76"/>
        <v>E6_1_1_1_mRNA:E6_1_1_1_mRNA</v>
      </c>
      <c r="H390" s="31" t="str">
        <f t="shared" si="77"/>
        <v>E6_1_1_1:E6_1_1_1</v>
      </c>
      <c r="I390" s="31" t="str">
        <f t="shared" si="78"/>
        <v>E6_1_1_1_mRNA:0</v>
      </c>
      <c r="J390" s="31" t="str">
        <f t="shared" si="79"/>
        <v>E6_1_1_1:0</v>
      </c>
      <c r="K390" s="31" t="str">
        <f t="shared" si="80"/>
        <v>0.00292 - (0.0093 * E6_1_1_1_mRNA)</v>
      </c>
      <c r="L390" s="31" t="str">
        <f t="shared" si="81"/>
        <v>(0.278 * E6_1_1_1_mRNA) - (0.00000278 * E6_1_1_1)</v>
      </c>
      <c r="M390" s="31" t="str">
        <f t="shared" si="82"/>
        <v>mRNA389: -&gt; E6_1_1_1_mRNA | 0.00292 - (0.0093 * E6_1_1_1_mRNA)</v>
      </c>
      <c r="N390" s="31" t="str">
        <f t="shared" si="83"/>
        <v>Peptide389:E6_1_1_1_mRNA -&gt; E6_1_1_1 | (0.278 * E6_1_1_1_mRNA) -  (0.00000278 * E6_1_1_1)</v>
      </c>
    </row>
    <row r="391" spans="1:14" ht="43.5" x14ac:dyDescent="0.35">
      <c r="A391" s="31">
        <v>390</v>
      </c>
      <c r="B391" s="31" t="s">
        <v>14321</v>
      </c>
      <c r="C391" s="31" t="str">
        <f t="shared" si="72"/>
        <v>E6_1_1_10_mRNA</v>
      </c>
      <c r="D391" s="31" t="str">
        <f t="shared" si="73"/>
        <v>E6_1_1_10</v>
      </c>
      <c r="E391" s="31" t="str">
        <f t="shared" si="74"/>
        <v>E6_1_1_10_Kcat : 13.7</v>
      </c>
      <c r="F391" s="31" t="str">
        <f t="shared" si="75"/>
        <v>E6_1_1_10_Km :1</v>
      </c>
      <c r="G391" s="31" t="str">
        <f t="shared" si="76"/>
        <v>E6_1_1_10_mRNA:E6_1_1_10_mRNA</v>
      </c>
      <c r="H391" s="31" t="str">
        <f t="shared" si="77"/>
        <v>E6_1_1_10:E6_1_1_10</v>
      </c>
      <c r="I391" s="31" t="str">
        <f t="shared" si="78"/>
        <v>E6_1_1_10_mRNA:0</v>
      </c>
      <c r="J391" s="31" t="str">
        <f t="shared" si="79"/>
        <v>E6_1_1_10:0</v>
      </c>
      <c r="K391" s="31" t="str">
        <f t="shared" si="80"/>
        <v>0.00292 - (0.0093 * E6_1_1_10_mRNA)</v>
      </c>
      <c r="L391" s="31" t="str">
        <f t="shared" si="81"/>
        <v>(0.278 * E6_1_1_10_mRNA) - (0.00000278 * E6_1_1_10)</v>
      </c>
      <c r="M391" s="31" t="str">
        <f t="shared" si="82"/>
        <v>mRNA390: -&gt; E6_1_1_10_mRNA | 0.00292 - (0.0093 * E6_1_1_10_mRNA)</v>
      </c>
      <c r="N391" s="31" t="str">
        <f t="shared" si="83"/>
        <v>Peptide390:E6_1_1_10_mRNA -&gt; E6_1_1_10 | (0.278 * E6_1_1_10_mRNA) -  (0.00000278 * E6_1_1_10)</v>
      </c>
    </row>
    <row r="392" spans="1:14" ht="43.5" x14ac:dyDescent="0.35">
      <c r="A392" s="31">
        <v>391</v>
      </c>
      <c r="B392" s="31" t="s">
        <v>14322</v>
      </c>
      <c r="C392" s="31" t="str">
        <f t="shared" si="72"/>
        <v>E6_1_1_11_mRNA</v>
      </c>
      <c r="D392" s="31" t="str">
        <f t="shared" si="73"/>
        <v>E6_1_1_11</v>
      </c>
      <c r="E392" s="31" t="str">
        <f t="shared" si="74"/>
        <v>E6_1_1_11_Kcat : 13.7</v>
      </c>
      <c r="F392" s="31" t="str">
        <f t="shared" si="75"/>
        <v>E6_1_1_11_Km :1</v>
      </c>
      <c r="G392" s="31" t="str">
        <f t="shared" si="76"/>
        <v>E6_1_1_11_mRNA:E6_1_1_11_mRNA</v>
      </c>
      <c r="H392" s="31" t="str">
        <f t="shared" si="77"/>
        <v>E6_1_1_11:E6_1_1_11</v>
      </c>
      <c r="I392" s="31" t="str">
        <f t="shared" si="78"/>
        <v>E6_1_1_11_mRNA:0</v>
      </c>
      <c r="J392" s="31" t="str">
        <f t="shared" si="79"/>
        <v>E6_1_1_11:0</v>
      </c>
      <c r="K392" s="31" t="str">
        <f t="shared" si="80"/>
        <v>0.00292 - (0.0093 * E6_1_1_11_mRNA)</v>
      </c>
      <c r="L392" s="31" t="str">
        <f t="shared" si="81"/>
        <v>(0.278 * E6_1_1_11_mRNA) - (0.00000278 * E6_1_1_11)</v>
      </c>
      <c r="M392" s="31" t="str">
        <f t="shared" si="82"/>
        <v>mRNA391: -&gt; E6_1_1_11_mRNA | 0.00292 - (0.0093 * E6_1_1_11_mRNA)</v>
      </c>
      <c r="N392" s="31" t="str">
        <f t="shared" si="83"/>
        <v>Peptide391:E6_1_1_11_mRNA -&gt; E6_1_1_11 | (0.278 * E6_1_1_11_mRNA) -  (0.00000278 * E6_1_1_11)</v>
      </c>
    </row>
    <row r="393" spans="1:14" ht="43.5" x14ac:dyDescent="0.35">
      <c r="A393" s="31">
        <v>392</v>
      </c>
      <c r="B393" s="31" t="s">
        <v>14323</v>
      </c>
      <c r="C393" s="31" t="str">
        <f t="shared" si="72"/>
        <v>E6_1_1_12_mRNA</v>
      </c>
      <c r="D393" s="31" t="str">
        <f t="shared" si="73"/>
        <v>E6_1_1_12</v>
      </c>
      <c r="E393" s="31" t="str">
        <f t="shared" si="74"/>
        <v>E6_1_1_12_Kcat : 13.7</v>
      </c>
      <c r="F393" s="31" t="str">
        <f t="shared" si="75"/>
        <v>E6_1_1_12_Km :1</v>
      </c>
      <c r="G393" s="31" t="str">
        <f t="shared" si="76"/>
        <v>E6_1_1_12_mRNA:E6_1_1_12_mRNA</v>
      </c>
      <c r="H393" s="31" t="str">
        <f t="shared" si="77"/>
        <v>E6_1_1_12:E6_1_1_12</v>
      </c>
      <c r="I393" s="31" t="str">
        <f t="shared" si="78"/>
        <v>E6_1_1_12_mRNA:0</v>
      </c>
      <c r="J393" s="31" t="str">
        <f t="shared" si="79"/>
        <v>E6_1_1_12:0</v>
      </c>
      <c r="K393" s="31" t="str">
        <f t="shared" si="80"/>
        <v>0.00292 - (0.0093 * E6_1_1_12_mRNA)</v>
      </c>
      <c r="L393" s="31" t="str">
        <f t="shared" si="81"/>
        <v>(0.278 * E6_1_1_12_mRNA) - (0.00000278 * E6_1_1_12)</v>
      </c>
      <c r="M393" s="31" t="str">
        <f t="shared" si="82"/>
        <v>mRNA392: -&gt; E6_1_1_12_mRNA | 0.00292 - (0.0093 * E6_1_1_12_mRNA)</v>
      </c>
      <c r="N393" s="31" t="str">
        <f t="shared" si="83"/>
        <v>Peptide392:E6_1_1_12_mRNA -&gt; E6_1_1_12 | (0.278 * E6_1_1_12_mRNA) -  (0.00000278 * E6_1_1_12)</v>
      </c>
    </row>
    <row r="394" spans="1:14" ht="43.5" x14ac:dyDescent="0.35">
      <c r="A394" s="31">
        <v>393</v>
      </c>
      <c r="B394" s="31" t="s">
        <v>14324</v>
      </c>
      <c r="C394" s="31" t="str">
        <f t="shared" si="72"/>
        <v>E6_1_1_14_mRNA</v>
      </c>
      <c r="D394" s="31" t="str">
        <f t="shared" si="73"/>
        <v>E6_1_1_14</v>
      </c>
      <c r="E394" s="31" t="str">
        <f t="shared" si="74"/>
        <v>E6_1_1_14_Kcat : 13.7</v>
      </c>
      <c r="F394" s="31" t="str">
        <f t="shared" si="75"/>
        <v>E6_1_1_14_Km :1</v>
      </c>
      <c r="G394" s="31" t="str">
        <f t="shared" si="76"/>
        <v>E6_1_1_14_mRNA:E6_1_1_14_mRNA</v>
      </c>
      <c r="H394" s="31" t="str">
        <f t="shared" si="77"/>
        <v>E6_1_1_14:E6_1_1_14</v>
      </c>
      <c r="I394" s="31" t="str">
        <f t="shared" si="78"/>
        <v>E6_1_1_14_mRNA:0</v>
      </c>
      <c r="J394" s="31" t="str">
        <f t="shared" si="79"/>
        <v>E6_1_1_14:0</v>
      </c>
      <c r="K394" s="31" t="str">
        <f t="shared" si="80"/>
        <v>0.00292 - (0.0093 * E6_1_1_14_mRNA)</v>
      </c>
      <c r="L394" s="31" t="str">
        <f t="shared" si="81"/>
        <v>(0.278 * E6_1_1_14_mRNA) - (0.00000278 * E6_1_1_14)</v>
      </c>
      <c r="M394" s="31" t="str">
        <f t="shared" si="82"/>
        <v>mRNA393: -&gt; E6_1_1_14_mRNA | 0.00292 - (0.0093 * E6_1_1_14_mRNA)</v>
      </c>
      <c r="N394" s="31" t="str">
        <f t="shared" si="83"/>
        <v>Peptide393:E6_1_1_14_mRNA -&gt; E6_1_1_14 | (0.278 * E6_1_1_14_mRNA) -  (0.00000278 * E6_1_1_14)</v>
      </c>
    </row>
    <row r="395" spans="1:14" ht="43.5" x14ac:dyDescent="0.35">
      <c r="A395" s="31">
        <v>394</v>
      </c>
      <c r="B395" s="31" t="s">
        <v>14325</v>
      </c>
      <c r="C395" s="31" t="str">
        <f t="shared" si="72"/>
        <v>E6_1_1_15_mRNA</v>
      </c>
      <c r="D395" s="31" t="str">
        <f t="shared" si="73"/>
        <v>E6_1_1_15</v>
      </c>
      <c r="E395" s="31" t="str">
        <f t="shared" si="74"/>
        <v>E6_1_1_15_Kcat : 13.7</v>
      </c>
      <c r="F395" s="31" t="str">
        <f t="shared" si="75"/>
        <v>E6_1_1_15_Km :1</v>
      </c>
      <c r="G395" s="31" t="str">
        <f t="shared" si="76"/>
        <v>E6_1_1_15_mRNA:E6_1_1_15_mRNA</v>
      </c>
      <c r="H395" s="31" t="str">
        <f t="shared" si="77"/>
        <v>E6_1_1_15:E6_1_1_15</v>
      </c>
      <c r="I395" s="31" t="str">
        <f t="shared" si="78"/>
        <v>E6_1_1_15_mRNA:0</v>
      </c>
      <c r="J395" s="31" t="str">
        <f t="shared" si="79"/>
        <v>E6_1_1_15:0</v>
      </c>
      <c r="K395" s="31" t="str">
        <f t="shared" si="80"/>
        <v>0.00292 - (0.0093 * E6_1_1_15_mRNA)</v>
      </c>
      <c r="L395" s="31" t="str">
        <f t="shared" si="81"/>
        <v>(0.278 * E6_1_1_15_mRNA) - (0.00000278 * E6_1_1_15)</v>
      </c>
      <c r="M395" s="31" t="str">
        <f t="shared" si="82"/>
        <v>mRNA394: -&gt; E6_1_1_15_mRNA | 0.00292 - (0.0093 * E6_1_1_15_mRNA)</v>
      </c>
      <c r="N395" s="31" t="str">
        <f t="shared" si="83"/>
        <v>Peptide394:E6_1_1_15_mRNA -&gt; E6_1_1_15 | (0.278 * E6_1_1_15_mRNA) -  (0.00000278 * E6_1_1_15)</v>
      </c>
    </row>
    <row r="396" spans="1:14" ht="43.5" x14ac:dyDescent="0.35">
      <c r="A396" s="31">
        <v>395</v>
      </c>
      <c r="B396" s="31" t="s">
        <v>14326</v>
      </c>
      <c r="C396" s="31" t="str">
        <f t="shared" si="72"/>
        <v>E6_1_1_16_mRNA</v>
      </c>
      <c r="D396" s="31" t="str">
        <f t="shared" si="73"/>
        <v>E6_1_1_16</v>
      </c>
      <c r="E396" s="31" t="str">
        <f t="shared" si="74"/>
        <v>E6_1_1_16_Kcat : 13.7</v>
      </c>
      <c r="F396" s="31" t="str">
        <f t="shared" si="75"/>
        <v>E6_1_1_16_Km :1</v>
      </c>
      <c r="G396" s="31" t="str">
        <f t="shared" si="76"/>
        <v>E6_1_1_16_mRNA:E6_1_1_16_mRNA</v>
      </c>
      <c r="H396" s="31" t="str">
        <f t="shared" si="77"/>
        <v>E6_1_1_16:E6_1_1_16</v>
      </c>
      <c r="I396" s="31" t="str">
        <f t="shared" si="78"/>
        <v>E6_1_1_16_mRNA:0</v>
      </c>
      <c r="J396" s="31" t="str">
        <f t="shared" si="79"/>
        <v>E6_1_1_16:0</v>
      </c>
      <c r="K396" s="31" t="str">
        <f t="shared" si="80"/>
        <v>0.00292 - (0.0093 * E6_1_1_16_mRNA)</v>
      </c>
      <c r="L396" s="31" t="str">
        <f t="shared" si="81"/>
        <v>(0.278 * E6_1_1_16_mRNA) - (0.00000278 * E6_1_1_16)</v>
      </c>
      <c r="M396" s="31" t="str">
        <f t="shared" si="82"/>
        <v>mRNA395: -&gt; E6_1_1_16_mRNA | 0.00292 - (0.0093 * E6_1_1_16_mRNA)</v>
      </c>
      <c r="N396" s="31" t="str">
        <f t="shared" si="83"/>
        <v>Peptide395:E6_1_1_16_mRNA -&gt; E6_1_1_16 | (0.278 * E6_1_1_16_mRNA) -  (0.00000278 * E6_1_1_16)</v>
      </c>
    </row>
    <row r="397" spans="1:14" ht="43.5" x14ac:dyDescent="0.35">
      <c r="A397" s="31">
        <v>396</v>
      </c>
      <c r="B397" s="31" t="s">
        <v>14327</v>
      </c>
      <c r="C397" s="31" t="str">
        <f t="shared" si="72"/>
        <v>E6_1_1_17_mRNA</v>
      </c>
      <c r="D397" s="31" t="str">
        <f t="shared" si="73"/>
        <v>E6_1_1_17</v>
      </c>
      <c r="E397" s="31" t="str">
        <f t="shared" si="74"/>
        <v>E6_1_1_17_Kcat : 13.7</v>
      </c>
      <c r="F397" s="31" t="str">
        <f t="shared" si="75"/>
        <v>E6_1_1_17_Km :1</v>
      </c>
      <c r="G397" s="31" t="str">
        <f t="shared" si="76"/>
        <v>E6_1_1_17_mRNA:E6_1_1_17_mRNA</v>
      </c>
      <c r="H397" s="31" t="str">
        <f t="shared" si="77"/>
        <v>E6_1_1_17:E6_1_1_17</v>
      </c>
      <c r="I397" s="31" t="str">
        <f t="shared" si="78"/>
        <v>E6_1_1_17_mRNA:0</v>
      </c>
      <c r="J397" s="31" t="str">
        <f t="shared" si="79"/>
        <v>E6_1_1_17:0</v>
      </c>
      <c r="K397" s="31" t="str">
        <f t="shared" si="80"/>
        <v>0.00292 - (0.0093 * E6_1_1_17_mRNA)</v>
      </c>
      <c r="L397" s="31" t="str">
        <f t="shared" si="81"/>
        <v>(0.278 * E6_1_1_17_mRNA) - (0.00000278 * E6_1_1_17)</v>
      </c>
      <c r="M397" s="31" t="str">
        <f t="shared" si="82"/>
        <v>mRNA396: -&gt; E6_1_1_17_mRNA | 0.00292 - (0.0093 * E6_1_1_17_mRNA)</v>
      </c>
      <c r="N397" s="31" t="str">
        <f t="shared" si="83"/>
        <v>Peptide396:E6_1_1_17_mRNA -&gt; E6_1_1_17 | (0.278 * E6_1_1_17_mRNA) -  (0.00000278 * E6_1_1_17)</v>
      </c>
    </row>
    <row r="398" spans="1:14" ht="43.5" x14ac:dyDescent="0.35">
      <c r="A398" s="31">
        <v>397</v>
      </c>
      <c r="B398" s="31" t="s">
        <v>14328</v>
      </c>
      <c r="C398" s="31" t="str">
        <f t="shared" si="72"/>
        <v>E6_1_1_19_mRNA</v>
      </c>
      <c r="D398" s="31" t="str">
        <f t="shared" si="73"/>
        <v>E6_1_1_19</v>
      </c>
      <c r="E398" s="31" t="str">
        <f t="shared" si="74"/>
        <v>E6_1_1_19_Kcat : 13.7</v>
      </c>
      <c r="F398" s="31" t="str">
        <f t="shared" si="75"/>
        <v>E6_1_1_19_Km :1</v>
      </c>
      <c r="G398" s="31" t="str">
        <f t="shared" si="76"/>
        <v>E6_1_1_19_mRNA:E6_1_1_19_mRNA</v>
      </c>
      <c r="H398" s="31" t="str">
        <f t="shared" si="77"/>
        <v>E6_1_1_19:E6_1_1_19</v>
      </c>
      <c r="I398" s="31" t="str">
        <f t="shared" si="78"/>
        <v>E6_1_1_19_mRNA:0</v>
      </c>
      <c r="J398" s="31" t="str">
        <f t="shared" si="79"/>
        <v>E6_1_1_19:0</v>
      </c>
      <c r="K398" s="31" t="str">
        <f t="shared" si="80"/>
        <v>0.00292 - (0.0093 * E6_1_1_19_mRNA)</v>
      </c>
      <c r="L398" s="31" t="str">
        <f t="shared" si="81"/>
        <v>(0.278 * E6_1_1_19_mRNA) - (0.00000278 * E6_1_1_19)</v>
      </c>
      <c r="M398" s="31" t="str">
        <f t="shared" si="82"/>
        <v>mRNA397: -&gt; E6_1_1_19_mRNA | 0.00292 - (0.0093 * E6_1_1_19_mRNA)</v>
      </c>
      <c r="N398" s="31" t="str">
        <f t="shared" si="83"/>
        <v>Peptide397:E6_1_1_19_mRNA -&gt; E6_1_1_19 | (0.278 * E6_1_1_19_mRNA) -  (0.00000278 * E6_1_1_19)</v>
      </c>
    </row>
    <row r="399" spans="1:14" ht="29" x14ac:dyDescent="0.35">
      <c r="A399" s="31">
        <v>398</v>
      </c>
      <c r="B399" s="31" t="s">
        <v>14329</v>
      </c>
      <c r="C399" s="31" t="str">
        <f t="shared" si="72"/>
        <v>E6_1_1_2_mRNA</v>
      </c>
      <c r="D399" s="31" t="str">
        <f t="shared" si="73"/>
        <v>E6_1_1_2</v>
      </c>
      <c r="E399" s="31" t="str">
        <f t="shared" si="74"/>
        <v>E6_1_1_2_Kcat : 13.7</v>
      </c>
      <c r="F399" s="31" t="str">
        <f t="shared" si="75"/>
        <v>E6_1_1_2_Km :1</v>
      </c>
      <c r="G399" s="31" t="str">
        <f t="shared" si="76"/>
        <v>E6_1_1_2_mRNA:E6_1_1_2_mRNA</v>
      </c>
      <c r="H399" s="31" t="str">
        <f t="shared" si="77"/>
        <v>E6_1_1_2:E6_1_1_2</v>
      </c>
      <c r="I399" s="31" t="str">
        <f t="shared" si="78"/>
        <v>E6_1_1_2_mRNA:0</v>
      </c>
      <c r="J399" s="31" t="str">
        <f t="shared" si="79"/>
        <v>E6_1_1_2:0</v>
      </c>
      <c r="K399" s="31" t="str">
        <f t="shared" si="80"/>
        <v>0.00292 - (0.0093 * E6_1_1_2_mRNA)</v>
      </c>
      <c r="L399" s="31" t="str">
        <f t="shared" si="81"/>
        <v>(0.278 * E6_1_1_2_mRNA) - (0.00000278 * E6_1_1_2)</v>
      </c>
      <c r="M399" s="31" t="str">
        <f t="shared" si="82"/>
        <v>mRNA398: -&gt; E6_1_1_2_mRNA | 0.00292 - (0.0093 * E6_1_1_2_mRNA)</v>
      </c>
      <c r="N399" s="31" t="str">
        <f t="shared" si="83"/>
        <v>Peptide398:E6_1_1_2_mRNA -&gt; E6_1_1_2 | (0.278 * E6_1_1_2_mRNA) -  (0.00000278 * E6_1_1_2)</v>
      </c>
    </row>
    <row r="400" spans="1:14" ht="43.5" x14ac:dyDescent="0.35">
      <c r="A400" s="31">
        <v>399</v>
      </c>
      <c r="B400" s="31" t="s">
        <v>14330</v>
      </c>
      <c r="C400" s="31" t="str">
        <f t="shared" si="72"/>
        <v>E6_1_1_20_mRNA</v>
      </c>
      <c r="D400" s="31" t="str">
        <f t="shared" si="73"/>
        <v>E6_1_1_20</v>
      </c>
      <c r="E400" s="31" t="str">
        <f t="shared" si="74"/>
        <v>E6_1_1_20_Kcat : 13.7</v>
      </c>
      <c r="F400" s="31" t="str">
        <f t="shared" si="75"/>
        <v>E6_1_1_20_Km :1</v>
      </c>
      <c r="G400" s="31" t="str">
        <f t="shared" si="76"/>
        <v>E6_1_1_20_mRNA:E6_1_1_20_mRNA</v>
      </c>
      <c r="H400" s="31" t="str">
        <f t="shared" si="77"/>
        <v>E6_1_1_20:E6_1_1_20</v>
      </c>
      <c r="I400" s="31" t="str">
        <f t="shared" si="78"/>
        <v>E6_1_1_20_mRNA:0</v>
      </c>
      <c r="J400" s="31" t="str">
        <f t="shared" si="79"/>
        <v>E6_1_1_20:0</v>
      </c>
      <c r="K400" s="31" t="str">
        <f t="shared" si="80"/>
        <v>0.00292 - (0.0093 * E6_1_1_20_mRNA)</v>
      </c>
      <c r="L400" s="31" t="str">
        <f t="shared" si="81"/>
        <v>(0.278 * E6_1_1_20_mRNA) - (0.00000278 * E6_1_1_20)</v>
      </c>
      <c r="M400" s="31" t="str">
        <f t="shared" si="82"/>
        <v>mRNA399: -&gt; E6_1_1_20_mRNA | 0.00292 - (0.0093 * E6_1_1_20_mRNA)</v>
      </c>
      <c r="N400" s="31" t="str">
        <f t="shared" si="83"/>
        <v>Peptide399:E6_1_1_20_mRNA -&gt; E6_1_1_20 | (0.278 * E6_1_1_20_mRNA) -  (0.00000278 * E6_1_1_20)</v>
      </c>
    </row>
    <row r="401" spans="1:14" ht="43.5" x14ac:dyDescent="0.35">
      <c r="A401" s="31">
        <v>400</v>
      </c>
      <c r="B401" s="31" t="s">
        <v>14331</v>
      </c>
      <c r="C401" s="31" t="str">
        <f t="shared" si="72"/>
        <v>E6_1_1_21_mRNA</v>
      </c>
      <c r="D401" s="31" t="str">
        <f t="shared" si="73"/>
        <v>E6_1_1_21</v>
      </c>
      <c r="E401" s="31" t="str">
        <f t="shared" si="74"/>
        <v>E6_1_1_21_Kcat : 13.7</v>
      </c>
      <c r="F401" s="31" t="str">
        <f t="shared" si="75"/>
        <v>E6_1_1_21_Km :1</v>
      </c>
      <c r="G401" s="31" t="str">
        <f t="shared" si="76"/>
        <v>E6_1_1_21_mRNA:E6_1_1_21_mRNA</v>
      </c>
      <c r="H401" s="31" t="str">
        <f t="shared" si="77"/>
        <v>E6_1_1_21:E6_1_1_21</v>
      </c>
      <c r="I401" s="31" t="str">
        <f t="shared" si="78"/>
        <v>E6_1_1_21_mRNA:0</v>
      </c>
      <c r="J401" s="31" t="str">
        <f t="shared" si="79"/>
        <v>E6_1_1_21:0</v>
      </c>
      <c r="K401" s="31" t="str">
        <f t="shared" si="80"/>
        <v>0.00292 - (0.0093 * E6_1_1_21_mRNA)</v>
      </c>
      <c r="L401" s="31" t="str">
        <f t="shared" si="81"/>
        <v>(0.278 * E6_1_1_21_mRNA) - (0.00000278 * E6_1_1_21)</v>
      </c>
      <c r="M401" s="31" t="str">
        <f t="shared" si="82"/>
        <v>mRNA400: -&gt; E6_1_1_21_mRNA | 0.00292 - (0.0093 * E6_1_1_21_mRNA)</v>
      </c>
      <c r="N401" s="31" t="str">
        <f t="shared" si="83"/>
        <v>Peptide400:E6_1_1_21_mRNA -&gt; E6_1_1_21 | (0.278 * E6_1_1_21_mRNA) -  (0.00000278 * E6_1_1_21)</v>
      </c>
    </row>
    <row r="402" spans="1:14" ht="29" x14ac:dyDescent="0.35">
      <c r="A402" s="31">
        <v>401</v>
      </c>
      <c r="B402" s="31" t="s">
        <v>14332</v>
      </c>
      <c r="C402" s="31" t="str">
        <f t="shared" si="72"/>
        <v>E6_1_1_3_mRNA</v>
      </c>
      <c r="D402" s="31" t="str">
        <f t="shared" si="73"/>
        <v>E6_1_1_3</v>
      </c>
      <c r="E402" s="31" t="str">
        <f t="shared" si="74"/>
        <v>E6_1_1_3_Kcat : 13.7</v>
      </c>
      <c r="F402" s="31" t="str">
        <f t="shared" si="75"/>
        <v>E6_1_1_3_Km :1</v>
      </c>
      <c r="G402" s="31" t="str">
        <f t="shared" si="76"/>
        <v>E6_1_1_3_mRNA:E6_1_1_3_mRNA</v>
      </c>
      <c r="H402" s="31" t="str">
        <f t="shared" si="77"/>
        <v>E6_1_1_3:E6_1_1_3</v>
      </c>
      <c r="I402" s="31" t="str">
        <f t="shared" si="78"/>
        <v>E6_1_1_3_mRNA:0</v>
      </c>
      <c r="J402" s="31" t="str">
        <f t="shared" si="79"/>
        <v>E6_1_1_3:0</v>
      </c>
      <c r="K402" s="31" t="str">
        <f t="shared" si="80"/>
        <v>0.00292 - (0.0093 * E6_1_1_3_mRNA)</v>
      </c>
      <c r="L402" s="31" t="str">
        <f t="shared" si="81"/>
        <v>(0.278 * E6_1_1_3_mRNA) - (0.00000278 * E6_1_1_3)</v>
      </c>
      <c r="M402" s="31" t="str">
        <f t="shared" si="82"/>
        <v>mRNA401: -&gt; E6_1_1_3_mRNA | 0.00292 - (0.0093 * E6_1_1_3_mRNA)</v>
      </c>
      <c r="N402" s="31" t="str">
        <f t="shared" si="83"/>
        <v>Peptide401:E6_1_1_3_mRNA -&gt; E6_1_1_3 | (0.278 * E6_1_1_3_mRNA) -  (0.00000278 * E6_1_1_3)</v>
      </c>
    </row>
    <row r="403" spans="1:14" ht="29" x14ac:dyDescent="0.35">
      <c r="A403" s="31">
        <v>402</v>
      </c>
      <c r="B403" s="31" t="s">
        <v>14333</v>
      </c>
      <c r="C403" s="31" t="str">
        <f t="shared" si="72"/>
        <v>E6_1_1_4_mRNA</v>
      </c>
      <c r="D403" s="31" t="str">
        <f t="shared" si="73"/>
        <v>E6_1_1_4</v>
      </c>
      <c r="E403" s="31" t="str">
        <f t="shared" si="74"/>
        <v>E6_1_1_4_Kcat : 13.7</v>
      </c>
      <c r="F403" s="31" t="str">
        <f t="shared" si="75"/>
        <v>E6_1_1_4_Km :1</v>
      </c>
      <c r="G403" s="31" t="str">
        <f t="shared" si="76"/>
        <v>E6_1_1_4_mRNA:E6_1_1_4_mRNA</v>
      </c>
      <c r="H403" s="31" t="str">
        <f t="shared" si="77"/>
        <v>E6_1_1_4:E6_1_1_4</v>
      </c>
      <c r="I403" s="31" t="str">
        <f t="shared" si="78"/>
        <v>E6_1_1_4_mRNA:0</v>
      </c>
      <c r="J403" s="31" t="str">
        <f t="shared" si="79"/>
        <v>E6_1_1_4:0</v>
      </c>
      <c r="K403" s="31" t="str">
        <f t="shared" si="80"/>
        <v>0.00292 - (0.0093 * E6_1_1_4_mRNA)</v>
      </c>
      <c r="L403" s="31" t="str">
        <f t="shared" si="81"/>
        <v>(0.278 * E6_1_1_4_mRNA) - (0.00000278 * E6_1_1_4)</v>
      </c>
      <c r="M403" s="31" t="str">
        <f t="shared" si="82"/>
        <v>mRNA402: -&gt; E6_1_1_4_mRNA | 0.00292 - (0.0093 * E6_1_1_4_mRNA)</v>
      </c>
      <c r="N403" s="31" t="str">
        <f t="shared" si="83"/>
        <v>Peptide402:E6_1_1_4_mRNA -&gt; E6_1_1_4 | (0.278 * E6_1_1_4_mRNA) -  (0.00000278 * E6_1_1_4)</v>
      </c>
    </row>
    <row r="404" spans="1:14" ht="29" x14ac:dyDescent="0.35">
      <c r="A404" s="31">
        <v>403</v>
      </c>
      <c r="B404" s="31" t="s">
        <v>14334</v>
      </c>
      <c r="C404" s="31" t="str">
        <f t="shared" si="72"/>
        <v>E6_1_1_5_mRNA</v>
      </c>
      <c r="D404" s="31" t="str">
        <f t="shared" si="73"/>
        <v>E6_1_1_5</v>
      </c>
      <c r="E404" s="31" t="str">
        <f t="shared" si="74"/>
        <v>E6_1_1_5_Kcat : 13.7</v>
      </c>
      <c r="F404" s="31" t="str">
        <f t="shared" si="75"/>
        <v>E6_1_1_5_Km :1</v>
      </c>
      <c r="G404" s="31" t="str">
        <f t="shared" si="76"/>
        <v>E6_1_1_5_mRNA:E6_1_1_5_mRNA</v>
      </c>
      <c r="H404" s="31" t="str">
        <f t="shared" si="77"/>
        <v>E6_1_1_5:E6_1_1_5</v>
      </c>
      <c r="I404" s="31" t="str">
        <f t="shared" si="78"/>
        <v>E6_1_1_5_mRNA:0</v>
      </c>
      <c r="J404" s="31" t="str">
        <f t="shared" si="79"/>
        <v>E6_1_1_5:0</v>
      </c>
      <c r="K404" s="31" t="str">
        <f t="shared" si="80"/>
        <v>0.00292 - (0.0093 * E6_1_1_5_mRNA)</v>
      </c>
      <c r="L404" s="31" t="str">
        <f t="shared" si="81"/>
        <v>(0.278 * E6_1_1_5_mRNA) - (0.00000278 * E6_1_1_5)</v>
      </c>
      <c r="M404" s="31" t="str">
        <f t="shared" si="82"/>
        <v>mRNA403: -&gt; E6_1_1_5_mRNA | 0.00292 - (0.0093 * E6_1_1_5_mRNA)</v>
      </c>
      <c r="N404" s="31" t="str">
        <f t="shared" si="83"/>
        <v>Peptide403:E6_1_1_5_mRNA -&gt; E6_1_1_5 | (0.278 * E6_1_1_5_mRNA) -  (0.00000278 * E6_1_1_5)</v>
      </c>
    </row>
    <row r="405" spans="1:14" ht="29" x14ac:dyDescent="0.35">
      <c r="A405" s="31">
        <v>404</v>
      </c>
      <c r="B405" s="31" t="s">
        <v>14335</v>
      </c>
      <c r="C405" s="31" t="str">
        <f t="shared" si="72"/>
        <v>E6_1_1_6_mRNA</v>
      </c>
      <c r="D405" s="31" t="str">
        <f t="shared" si="73"/>
        <v>E6_1_1_6</v>
      </c>
      <c r="E405" s="31" t="str">
        <f t="shared" si="74"/>
        <v>E6_1_1_6_Kcat : 13.7</v>
      </c>
      <c r="F405" s="31" t="str">
        <f t="shared" si="75"/>
        <v>E6_1_1_6_Km :1</v>
      </c>
      <c r="G405" s="31" t="str">
        <f t="shared" si="76"/>
        <v>E6_1_1_6_mRNA:E6_1_1_6_mRNA</v>
      </c>
      <c r="H405" s="31" t="str">
        <f t="shared" si="77"/>
        <v>E6_1_1_6:E6_1_1_6</v>
      </c>
      <c r="I405" s="31" t="str">
        <f t="shared" si="78"/>
        <v>E6_1_1_6_mRNA:0</v>
      </c>
      <c r="J405" s="31" t="str">
        <f t="shared" si="79"/>
        <v>E6_1_1_6:0</v>
      </c>
      <c r="K405" s="31" t="str">
        <f t="shared" si="80"/>
        <v>0.00292 - (0.0093 * E6_1_1_6_mRNA)</v>
      </c>
      <c r="L405" s="31" t="str">
        <f t="shared" si="81"/>
        <v>(0.278 * E6_1_1_6_mRNA) - (0.00000278 * E6_1_1_6)</v>
      </c>
      <c r="M405" s="31" t="str">
        <f t="shared" si="82"/>
        <v>mRNA404: -&gt; E6_1_1_6_mRNA | 0.00292 - (0.0093 * E6_1_1_6_mRNA)</v>
      </c>
      <c r="N405" s="31" t="str">
        <f t="shared" si="83"/>
        <v>Peptide404:E6_1_1_6_mRNA -&gt; E6_1_1_6 | (0.278 * E6_1_1_6_mRNA) -  (0.00000278 * E6_1_1_6)</v>
      </c>
    </row>
    <row r="406" spans="1:14" ht="29" x14ac:dyDescent="0.35">
      <c r="A406" s="31">
        <v>405</v>
      </c>
      <c r="B406" s="31" t="s">
        <v>14336</v>
      </c>
      <c r="C406" s="31" t="str">
        <f t="shared" si="72"/>
        <v>E6_1_1_7_mRNA</v>
      </c>
      <c r="D406" s="31" t="str">
        <f t="shared" si="73"/>
        <v>E6_1_1_7</v>
      </c>
      <c r="E406" s="31" t="str">
        <f t="shared" si="74"/>
        <v>E6_1_1_7_Kcat : 13.7</v>
      </c>
      <c r="F406" s="31" t="str">
        <f t="shared" si="75"/>
        <v>E6_1_1_7_Km :1</v>
      </c>
      <c r="G406" s="31" t="str">
        <f t="shared" si="76"/>
        <v>E6_1_1_7_mRNA:E6_1_1_7_mRNA</v>
      </c>
      <c r="H406" s="31" t="str">
        <f t="shared" si="77"/>
        <v>E6_1_1_7:E6_1_1_7</v>
      </c>
      <c r="I406" s="31" t="str">
        <f t="shared" si="78"/>
        <v>E6_1_1_7_mRNA:0</v>
      </c>
      <c r="J406" s="31" t="str">
        <f t="shared" si="79"/>
        <v>E6_1_1_7:0</v>
      </c>
      <c r="K406" s="31" t="str">
        <f t="shared" si="80"/>
        <v>0.00292 - (0.0093 * E6_1_1_7_mRNA)</v>
      </c>
      <c r="L406" s="31" t="str">
        <f t="shared" si="81"/>
        <v>(0.278 * E6_1_1_7_mRNA) - (0.00000278 * E6_1_1_7)</v>
      </c>
      <c r="M406" s="31" t="str">
        <f t="shared" si="82"/>
        <v>mRNA405: -&gt; E6_1_1_7_mRNA | 0.00292 - (0.0093 * E6_1_1_7_mRNA)</v>
      </c>
      <c r="N406" s="31" t="str">
        <f t="shared" si="83"/>
        <v>Peptide405:E6_1_1_7_mRNA -&gt; E6_1_1_7 | (0.278 * E6_1_1_7_mRNA) -  (0.00000278 * E6_1_1_7)</v>
      </c>
    </row>
    <row r="407" spans="1:14" ht="29" x14ac:dyDescent="0.35">
      <c r="A407" s="31">
        <v>406</v>
      </c>
      <c r="B407" s="31" t="s">
        <v>14337</v>
      </c>
      <c r="C407" s="31" t="str">
        <f t="shared" si="72"/>
        <v>E6_1_1_9_mRNA</v>
      </c>
      <c r="D407" s="31" t="str">
        <f t="shared" si="73"/>
        <v>E6_1_1_9</v>
      </c>
      <c r="E407" s="31" t="str">
        <f t="shared" si="74"/>
        <v>E6_1_1_9_Kcat : 13.7</v>
      </c>
      <c r="F407" s="31" t="str">
        <f t="shared" si="75"/>
        <v>E6_1_1_9_Km :1</v>
      </c>
      <c r="G407" s="31" t="str">
        <f t="shared" si="76"/>
        <v>E6_1_1_9_mRNA:E6_1_1_9_mRNA</v>
      </c>
      <c r="H407" s="31" t="str">
        <f t="shared" si="77"/>
        <v>E6_1_1_9:E6_1_1_9</v>
      </c>
      <c r="I407" s="31" t="str">
        <f t="shared" si="78"/>
        <v>E6_1_1_9_mRNA:0</v>
      </c>
      <c r="J407" s="31" t="str">
        <f t="shared" si="79"/>
        <v>E6_1_1_9:0</v>
      </c>
      <c r="K407" s="31" t="str">
        <f t="shared" si="80"/>
        <v>0.00292 - (0.0093 * E6_1_1_9_mRNA)</v>
      </c>
      <c r="L407" s="31" t="str">
        <f t="shared" si="81"/>
        <v>(0.278 * E6_1_1_9_mRNA) - (0.00000278 * E6_1_1_9)</v>
      </c>
      <c r="M407" s="31" t="str">
        <f t="shared" si="82"/>
        <v>mRNA406: -&gt; E6_1_1_9_mRNA | 0.00292 - (0.0093 * E6_1_1_9_mRNA)</v>
      </c>
      <c r="N407" s="31" t="str">
        <f t="shared" si="83"/>
        <v>Peptide406:E6_1_1_9_mRNA -&gt; E6_1_1_9 | (0.278 * E6_1_1_9_mRNA) -  (0.00000278 * E6_1_1_9)</v>
      </c>
    </row>
    <row r="408" spans="1:14" ht="43.5" x14ac:dyDescent="0.35">
      <c r="A408" s="31">
        <v>407</v>
      </c>
      <c r="B408" s="31" t="s">
        <v>14338</v>
      </c>
      <c r="C408" s="31" t="str">
        <f t="shared" si="72"/>
        <v>E6_2_1_26_mRNA</v>
      </c>
      <c r="D408" s="31" t="str">
        <f t="shared" si="73"/>
        <v>E6_2_1_26</v>
      </c>
      <c r="E408" s="31" t="str">
        <f t="shared" si="74"/>
        <v>E6_2_1_26_Kcat : 13.7</v>
      </c>
      <c r="F408" s="31" t="str">
        <f t="shared" si="75"/>
        <v>E6_2_1_26_Km :1</v>
      </c>
      <c r="G408" s="31" t="str">
        <f t="shared" si="76"/>
        <v>E6_2_1_26_mRNA:E6_2_1_26_mRNA</v>
      </c>
      <c r="H408" s="31" t="str">
        <f t="shared" si="77"/>
        <v>E6_2_1_26:E6_2_1_26</v>
      </c>
      <c r="I408" s="31" t="str">
        <f t="shared" si="78"/>
        <v>E6_2_1_26_mRNA:0</v>
      </c>
      <c r="J408" s="31" t="str">
        <f t="shared" si="79"/>
        <v>E6_2_1_26:0</v>
      </c>
      <c r="K408" s="31" t="str">
        <f t="shared" si="80"/>
        <v>0.00292 - (0.0093 * E6_2_1_26_mRNA)</v>
      </c>
      <c r="L408" s="31" t="str">
        <f t="shared" si="81"/>
        <v>(0.278 * E6_2_1_26_mRNA) - (0.00000278 * E6_2_1_26)</v>
      </c>
      <c r="M408" s="31" t="str">
        <f t="shared" si="82"/>
        <v>mRNA407: -&gt; E6_2_1_26_mRNA | 0.00292 - (0.0093 * E6_2_1_26_mRNA)</v>
      </c>
      <c r="N408" s="31" t="str">
        <f t="shared" si="83"/>
        <v>Peptide407:E6_2_1_26_mRNA -&gt; E6_2_1_26 | (0.278 * E6_2_1_26_mRNA) -  (0.00000278 * E6_2_1_26)</v>
      </c>
    </row>
    <row r="409" spans="1:14" ht="29" x14ac:dyDescent="0.35">
      <c r="A409" s="31">
        <v>408</v>
      </c>
      <c r="B409" s="31" t="s">
        <v>14339</v>
      </c>
      <c r="C409" s="31" t="str">
        <f t="shared" si="72"/>
        <v>E6_2_1_5_mRNA</v>
      </c>
      <c r="D409" s="31" t="str">
        <f t="shared" si="73"/>
        <v>E6_2_1_5</v>
      </c>
      <c r="E409" s="31" t="str">
        <f t="shared" si="74"/>
        <v>E6_2_1_5_Kcat : 13.7</v>
      </c>
      <c r="F409" s="31" t="str">
        <f t="shared" si="75"/>
        <v>E6_2_1_5_Km :1</v>
      </c>
      <c r="G409" s="31" t="str">
        <f t="shared" si="76"/>
        <v>E6_2_1_5_mRNA:E6_2_1_5_mRNA</v>
      </c>
      <c r="H409" s="31" t="str">
        <f t="shared" si="77"/>
        <v>E6_2_1_5:E6_2_1_5</v>
      </c>
      <c r="I409" s="31" t="str">
        <f t="shared" si="78"/>
        <v>E6_2_1_5_mRNA:0</v>
      </c>
      <c r="J409" s="31" t="str">
        <f t="shared" si="79"/>
        <v>E6_2_1_5:0</v>
      </c>
      <c r="K409" s="31" t="str">
        <f t="shared" si="80"/>
        <v>0.00292 - (0.0093 * E6_2_1_5_mRNA)</v>
      </c>
      <c r="L409" s="31" t="str">
        <f t="shared" si="81"/>
        <v>(0.278 * E6_2_1_5_mRNA) - (0.00000278 * E6_2_1_5)</v>
      </c>
      <c r="M409" s="31" t="str">
        <f t="shared" si="82"/>
        <v>mRNA408: -&gt; E6_2_1_5_mRNA | 0.00292 - (0.0093 * E6_2_1_5_mRNA)</v>
      </c>
      <c r="N409" s="31" t="str">
        <f t="shared" si="83"/>
        <v>Peptide408:E6_2_1_5_mRNA -&gt; E6_2_1_5 | (0.278 * E6_2_1_5_mRNA) -  (0.00000278 * E6_2_1_5)</v>
      </c>
    </row>
    <row r="410" spans="1:14" ht="43.5" x14ac:dyDescent="0.35">
      <c r="A410" s="31">
        <v>409</v>
      </c>
      <c r="B410" s="31" t="s">
        <v>14340</v>
      </c>
      <c r="C410" s="31" t="str">
        <f t="shared" si="72"/>
        <v>E6_3_1_13_mRNA</v>
      </c>
      <c r="D410" s="31" t="str">
        <f t="shared" si="73"/>
        <v>E6_3_1_13</v>
      </c>
      <c r="E410" s="31" t="str">
        <f t="shared" si="74"/>
        <v>E6_3_1_13_Kcat : 13.7</v>
      </c>
      <c r="F410" s="31" t="str">
        <f t="shared" si="75"/>
        <v>E6_3_1_13_Km :1</v>
      </c>
      <c r="G410" s="31" t="str">
        <f t="shared" si="76"/>
        <v>E6_3_1_13_mRNA:E6_3_1_13_mRNA</v>
      </c>
      <c r="H410" s="31" t="str">
        <f t="shared" si="77"/>
        <v>E6_3_1_13:E6_3_1_13</v>
      </c>
      <c r="I410" s="31" t="str">
        <f t="shared" si="78"/>
        <v>E6_3_1_13_mRNA:0</v>
      </c>
      <c r="J410" s="31" t="str">
        <f t="shared" si="79"/>
        <v>E6_3_1_13:0</v>
      </c>
      <c r="K410" s="31" t="str">
        <f t="shared" si="80"/>
        <v>0.00292 - (0.0093 * E6_3_1_13_mRNA)</v>
      </c>
      <c r="L410" s="31" t="str">
        <f t="shared" si="81"/>
        <v>(0.278 * E6_3_1_13_mRNA) - (0.00000278 * E6_3_1_13)</v>
      </c>
      <c r="M410" s="31" t="str">
        <f t="shared" si="82"/>
        <v>mRNA409: -&gt; E6_3_1_13_mRNA | 0.00292 - (0.0093 * E6_3_1_13_mRNA)</v>
      </c>
      <c r="N410" s="31" t="str">
        <f t="shared" si="83"/>
        <v>Peptide409:E6_3_1_13_mRNA -&gt; E6_3_1_13 | (0.278 * E6_3_1_13_mRNA) -  (0.00000278 * E6_3_1_13)</v>
      </c>
    </row>
    <row r="411" spans="1:14" ht="43.5" x14ac:dyDescent="0.35">
      <c r="A411" s="31">
        <v>410</v>
      </c>
      <c r="B411" s="31" t="s">
        <v>14341</v>
      </c>
      <c r="C411" s="31" t="str">
        <f t="shared" si="72"/>
        <v>E6_3_1_19_mRNA</v>
      </c>
      <c r="D411" s="31" t="str">
        <f t="shared" si="73"/>
        <v>E6_3_1_19</v>
      </c>
      <c r="E411" s="31" t="str">
        <f t="shared" si="74"/>
        <v>E6_3_1_19_Kcat : 13.7</v>
      </c>
      <c r="F411" s="31" t="str">
        <f t="shared" si="75"/>
        <v>E6_3_1_19_Km :1</v>
      </c>
      <c r="G411" s="31" t="str">
        <f t="shared" si="76"/>
        <v>E6_3_1_19_mRNA:E6_3_1_19_mRNA</v>
      </c>
      <c r="H411" s="31" t="str">
        <f t="shared" si="77"/>
        <v>E6_3_1_19:E6_3_1_19</v>
      </c>
      <c r="I411" s="31" t="str">
        <f t="shared" si="78"/>
        <v>E6_3_1_19_mRNA:0</v>
      </c>
      <c r="J411" s="31" t="str">
        <f t="shared" si="79"/>
        <v>E6_3_1_19:0</v>
      </c>
      <c r="K411" s="31" t="str">
        <f t="shared" si="80"/>
        <v>0.00292 - (0.0093 * E6_3_1_19_mRNA)</v>
      </c>
      <c r="L411" s="31" t="str">
        <f t="shared" si="81"/>
        <v>(0.278 * E6_3_1_19_mRNA) - (0.00000278 * E6_3_1_19)</v>
      </c>
      <c r="M411" s="31" t="str">
        <f t="shared" si="82"/>
        <v>mRNA410: -&gt; E6_3_1_19_mRNA | 0.00292 - (0.0093 * E6_3_1_19_mRNA)</v>
      </c>
      <c r="N411" s="31" t="str">
        <f t="shared" si="83"/>
        <v>Peptide410:E6_3_1_19_mRNA -&gt; E6_3_1_19 | (0.278 * E6_3_1_19_mRNA) -  (0.00000278 * E6_3_1_19)</v>
      </c>
    </row>
    <row r="412" spans="1:14" ht="29" x14ac:dyDescent="0.35">
      <c r="A412" s="31">
        <v>411</v>
      </c>
      <c r="B412" s="31" t="s">
        <v>14342</v>
      </c>
      <c r="C412" s="31" t="str">
        <f t="shared" si="72"/>
        <v>E6_3_1_2_mRNA</v>
      </c>
      <c r="D412" s="31" t="str">
        <f t="shared" si="73"/>
        <v>E6_3_1_2</v>
      </c>
      <c r="E412" s="31" t="str">
        <f t="shared" si="74"/>
        <v>E6_3_1_2_Kcat : 13.7</v>
      </c>
      <c r="F412" s="31" t="str">
        <f t="shared" si="75"/>
        <v>E6_3_1_2_Km :1</v>
      </c>
      <c r="G412" s="31" t="str">
        <f t="shared" si="76"/>
        <v>E6_3_1_2_mRNA:E6_3_1_2_mRNA</v>
      </c>
      <c r="H412" s="31" t="str">
        <f t="shared" si="77"/>
        <v>E6_3_1_2:E6_3_1_2</v>
      </c>
      <c r="I412" s="31" t="str">
        <f t="shared" si="78"/>
        <v>E6_3_1_2_mRNA:0</v>
      </c>
      <c r="J412" s="31" t="str">
        <f t="shared" si="79"/>
        <v>E6_3_1_2:0</v>
      </c>
      <c r="K412" s="31" t="str">
        <f t="shared" si="80"/>
        <v>0.00292 - (0.0093 * E6_3_1_2_mRNA)</v>
      </c>
      <c r="L412" s="31" t="str">
        <f t="shared" si="81"/>
        <v>(0.278 * E6_3_1_2_mRNA) - (0.00000278 * E6_3_1_2)</v>
      </c>
      <c r="M412" s="31" t="str">
        <f t="shared" si="82"/>
        <v>mRNA411: -&gt; E6_3_1_2_mRNA | 0.00292 - (0.0093 * E6_3_1_2_mRNA)</v>
      </c>
      <c r="N412" s="31" t="str">
        <f t="shared" si="83"/>
        <v>Peptide411:E6_3_1_2_mRNA -&gt; E6_3_1_2 | (0.278 * E6_3_1_2_mRNA) -  (0.00000278 * E6_3_1_2)</v>
      </c>
    </row>
    <row r="413" spans="1:14" ht="29" x14ac:dyDescent="0.35">
      <c r="A413" s="31">
        <v>412</v>
      </c>
      <c r="B413" s="31" t="s">
        <v>14343</v>
      </c>
      <c r="C413" s="31" t="str">
        <f t="shared" si="72"/>
        <v>E6_3_1_5_mRNA</v>
      </c>
      <c r="D413" s="31" t="str">
        <f t="shared" si="73"/>
        <v>E6_3_1_5</v>
      </c>
      <c r="E413" s="31" t="str">
        <f t="shared" si="74"/>
        <v>E6_3_1_5_Kcat : 13.7</v>
      </c>
      <c r="F413" s="31" t="str">
        <f t="shared" si="75"/>
        <v>E6_3_1_5_Km :1</v>
      </c>
      <c r="G413" s="31" t="str">
        <f t="shared" si="76"/>
        <v>E6_3_1_5_mRNA:E6_3_1_5_mRNA</v>
      </c>
      <c r="H413" s="31" t="str">
        <f t="shared" si="77"/>
        <v>E6_3_1_5:E6_3_1_5</v>
      </c>
      <c r="I413" s="31" t="str">
        <f t="shared" si="78"/>
        <v>E6_3_1_5_mRNA:0</v>
      </c>
      <c r="J413" s="31" t="str">
        <f t="shared" si="79"/>
        <v>E6_3_1_5:0</v>
      </c>
      <c r="K413" s="31" t="str">
        <f t="shared" si="80"/>
        <v>0.00292 - (0.0093 * E6_3_1_5_mRNA)</v>
      </c>
      <c r="L413" s="31" t="str">
        <f t="shared" si="81"/>
        <v>(0.278 * E6_3_1_5_mRNA) - (0.00000278 * E6_3_1_5)</v>
      </c>
      <c r="M413" s="31" t="str">
        <f t="shared" si="82"/>
        <v>mRNA412: -&gt; E6_3_1_5_mRNA | 0.00292 - (0.0093 * E6_3_1_5_mRNA)</v>
      </c>
      <c r="N413" s="31" t="str">
        <f t="shared" si="83"/>
        <v>Peptide412:E6_3_1_5_mRNA -&gt; E6_3_1_5 | (0.278 * E6_3_1_5_mRNA) -  (0.00000278 * E6_3_1_5)</v>
      </c>
    </row>
    <row r="414" spans="1:14" ht="29" x14ac:dyDescent="0.35">
      <c r="A414" s="31">
        <v>413</v>
      </c>
      <c r="B414" s="31" t="s">
        <v>14344</v>
      </c>
      <c r="C414" s="31" t="str">
        <f t="shared" si="72"/>
        <v>E6_3_2_1_mRNA</v>
      </c>
      <c r="D414" s="31" t="str">
        <f t="shared" si="73"/>
        <v>E6_3_2_1</v>
      </c>
      <c r="E414" s="31" t="str">
        <f t="shared" si="74"/>
        <v>E6_3_2_1_Kcat : 13.7</v>
      </c>
      <c r="F414" s="31" t="str">
        <f t="shared" si="75"/>
        <v>E6_3_2_1_Km :1</v>
      </c>
      <c r="G414" s="31" t="str">
        <f t="shared" si="76"/>
        <v>E6_3_2_1_mRNA:E6_3_2_1_mRNA</v>
      </c>
      <c r="H414" s="31" t="str">
        <f t="shared" si="77"/>
        <v>E6_3_2_1:E6_3_2_1</v>
      </c>
      <c r="I414" s="31" t="str">
        <f t="shared" si="78"/>
        <v>E6_3_2_1_mRNA:0</v>
      </c>
      <c r="J414" s="31" t="str">
        <f t="shared" si="79"/>
        <v>E6_3_2_1:0</v>
      </c>
      <c r="K414" s="31" t="str">
        <f t="shared" si="80"/>
        <v>0.00292 - (0.0093 * E6_3_2_1_mRNA)</v>
      </c>
      <c r="L414" s="31" t="str">
        <f t="shared" si="81"/>
        <v>(0.278 * E6_3_2_1_mRNA) - (0.00000278 * E6_3_2_1)</v>
      </c>
      <c r="M414" s="31" t="str">
        <f t="shared" si="82"/>
        <v>mRNA413: -&gt; E6_3_2_1_mRNA | 0.00292 - (0.0093 * E6_3_2_1_mRNA)</v>
      </c>
      <c r="N414" s="31" t="str">
        <f t="shared" si="83"/>
        <v>Peptide413:E6_3_2_1_mRNA -&gt; E6_3_2_1 | (0.278 * E6_3_2_1_mRNA) -  (0.00000278 * E6_3_2_1)</v>
      </c>
    </row>
    <row r="415" spans="1:14" ht="43.5" x14ac:dyDescent="0.35">
      <c r="A415" s="31">
        <v>414</v>
      </c>
      <c r="B415" s="31" t="s">
        <v>14345</v>
      </c>
      <c r="C415" s="31" t="str">
        <f t="shared" si="72"/>
        <v>E6_3_2_10_mRNA</v>
      </c>
      <c r="D415" s="31" t="str">
        <f t="shared" si="73"/>
        <v>E6_3_2_10</v>
      </c>
      <c r="E415" s="31" t="str">
        <f t="shared" si="74"/>
        <v>E6_3_2_10_Kcat : 13.7</v>
      </c>
      <c r="F415" s="31" t="str">
        <f t="shared" si="75"/>
        <v>E6_3_2_10_Km :1</v>
      </c>
      <c r="G415" s="31" t="str">
        <f t="shared" si="76"/>
        <v>E6_3_2_10_mRNA:E6_3_2_10_mRNA</v>
      </c>
      <c r="H415" s="31" t="str">
        <f t="shared" si="77"/>
        <v>E6_3_2_10:E6_3_2_10</v>
      </c>
      <c r="I415" s="31" t="str">
        <f t="shared" si="78"/>
        <v>E6_3_2_10_mRNA:0</v>
      </c>
      <c r="J415" s="31" t="str">
        <f t="shared" si="79"/>
        <v>E6_3_2_10:0</v>
      </c>
      <c r="K415" s="31" t="str">
        <f t="shared" si="80"/>
        <v>0.00292 - (0.0093 * E6_3_2_10_mRNA)</v>
      </c>
      <c r="L415" s="31" t="str">
        <f t="shared" si="81"/>
        <v>(0.278 * E6_3_2_10_mRNA) - (0.00000278 * E6_3_2_10)</v>
      </c>
      <c r="M415" s="31" t="str">
        <f t="shared" si="82"/>
        <v>mRNA414: -&gt; E6_3_2_10_mRNA | 0.00292 - (0.0093 * E6_3_2_10_mRNA)</v>
      </c>
      <c r="N415" s="31" t="str">
        <f t="shared" si="83"/>
        <v>Peptide414:E6_3_2_10_mRNA -&gt; E6_3_2_10 | (0.278 * E6_3_2_10_mRNA) -  (0.00000278 * E6_3_2_10)</v>
      </c>
    </row>
    <row r="416" spans="1:14" ht="43.5" x14ac:dyDescent="0.35">
      <c r="A416" s="31">
        <v>415</v>
      </c>
      <c r="B416" s="31" t="s">
        <v>14346</v>
      </c>
      <c r="C416" s="31" t="str">
        <f t="shared" si="72"/>
        <v>E6_3_2_12 _mRNA</v>
      </c>
      <c r="D416" s="31" t="str">
        <f t="shared" si="73"/>
        <v xml:space="preserve">E6_3_2_12 </v>
      </c>
      <c r="E416" s="31" t="str">
        <f t="shared" si="74"/>
        <v>E6_3_2_12 _Kcat : 13.7</v>
      </c>
      <c r="F416" s="31" t="str">
        <f t="shared" si="75"/>
        <v>E6_3_2_12 _Km :1</v>
      </c>
      <c r="G416" s="31" t="str">
        <f t="shared" si="76"/>
        <v>E6_3_2_12 _mRNA:E6_3_2_12 _mRNA</v>
      </c>
      <c r="H416" s="31" t="str">
        <f t="shared" si="77"/>
        <v xml:space="preserve">E6_3_2_12 :E6_3_2_12 </v>
      </c>
      <c r="I416" s="31" t="str">
        <f t="shared" si="78"/>
        <v>E6_3_2_12 _mRNA:0</v>
      </c>
      <c r="J416" s="31" t="str">
        <f t="shared" si="79"/>
        <v>E6_3_2_12 :0</v>
      </c>
      <c r="K416" s="31" t="str">
        <f t="shared" si="80"/>
        <v>0.00292 - (0.0093 * E6_3_2_12 _mRNA)</v>
      </c>
      <c r="L416" s="31" t="str">
        <f t="shared" si="81"/>
        <v>(0.278 * E6_3_2_12 _mRNA) - (0.00000278 * E6_3_2_12 )</v>
      </c>
      <c r="M416" s="31" t="str">
        <f t="shared" si="82"/>
        <v>mRNA415: -&gt; E6_3_2_12 _mRNA | 0.00292 - (0.0093 * E6_3_2_12 _mRNA)</v>
      </c>
      <c r="N416" s="31" t="str">
        <f t="shared" si="83"/>
        <v>Peptide415:E6_3_2_12 _mRNA -&gt; E6_3_2_12  | (0.278 * E6_3_2_12 _mRNA) -  (0.00000278 * E6_3_2_12 )</v>
      </c>
    </row>
    <row r="417" spans="1:14" ht="43.5" x14ac:dyDescent="0.35">
      <c r="A417" s="31">
        <v>416</v>
      </c>
      <c r="B417" s="31" t="s">
        <v>14347</v>
      </c>
      <c r="C417" s="31" t="str">
        <f t="shared" si="72"/>
        <v>E6_3_2_17_mRNA</v>
      </c>
      <c r="D417" s="31" t="str">
        <f t="shared" si="73"/>
        <v>E6_3_2_17</v>
      </c>
      <c r="E417" s="31" t="str">
        <f t="shared" si="74"/>
        <v>E6_3_2_17_Kcat : 13.7</v>
      </c>
      <c r="F417" s="31" t="str">
        <f t="shared" si="75"/>
        <v>E6_3_2_17_Km :1</v>
      </c>
      <c r="G417" s="31" t="str">
        <f t="shared" si="76"/>
        <v>E6_3_2_17_mRNA:E6_3_2_17_mRNA</v>
      </c>
      <c r="H417" s="31" t="str">
        <f t="shared" si="77"/>
        <v>E6_3_2_17:E6_3_2_17</v>
      </c>
      <c r="I417" s="31" t="str">
        <f t="shared" si="78"/>
        <v>E6_3_2_17_mRNA:0</v>
      </c>
      <c r="J417" s="31" t="str">
        <f t="shared" si="79"/>
        <v>E6_3_2_17:0</v>
      </c>
      <c r="K417" s="31" t="str">
        <f t="shared" si="80"/>
        <v>0.00292 - (0.0093 * E6_3_2_17_mRNA)</v>
      </c>
      <c r="L417" s="31" t="str">
        <f t="shared" si="81"/>
        <v>(0.278 * E6_3_2_17_mRNA) - (0.00000278 * E6_3_2_17)</v>
      </c>
      <c r="M417" s="31" t="str">
        <f t="shared" si="82"/>
        <v>mRNA416: -&gt; E6_3_2_17_mRNA | 0.00292 - (0.0093 * E6_3_2_17_mRNA)</v>
      </c>
      <c r="N417" s="31" t="str">
        <f t="shared" si="83"/>
        <v>Peptide416:E6_3_2_17_mRNA -&gt; E6_3_2_17 | (0.278 * E6_3_2_17_mRNA) -  (0.00000278 * E6_3_2_17)</v>
      </c>
    </row>
    <row r="418" spans="1:14" ht="43.5" x14ac:dyDescent="0.35">
      <c r="A418" s="31">
        <v>417</v>
      </c>
      <c r="B418" s="31" t="s">
        <v>14348</v>
      </c>
      <c r="C418" s="31" t="str">
        <f t="shared" si="72"/>
        <v>E6_3_2_13_mRNA</v>
      </c>
      <c r="D418" s="31" t="str">
        <f t="shared" si="73"/>
        <v>E6_3_2_13</v>
      </c>
      <c r="E418" s="31" t="str">
        <f t="shared" si="74"/>
        <v>E6_3_2_13_Kcat : 13.7</v>
      </c>
      <c r="F418" s="31" t="str">
        <f t="shared" si="75"/>
        <v>E6_3_2_13_Km :1</v>
      </c>
      <c r="G418" s="31" t="str">
        <f t="shared" si="76"/>
        <v>E6_3_2_13_mRNA:E6_3_2_13_mRNA</v>
      </c>
      <c r="H418" s="31" t="str">
        <f t="shared" si="77"/>
        <v>E6_3_2_13:E6_3_2_13</v>
      </c>
      <c r="I418" s="31" t="str">
        <f t="shared" si="78"/>
        <v>E6_3_2_13_mRNA:0</v>
      </c>
      <c r="J418" s="31" t="str">
        <f t="shared" si="79"/>
        <v>E6_3_2_13:0</v>
      </c>
      <c r="K418" s="31" t="str">
        <f t="shared" si="80"/>
        <v>0.00292 - (0.0093 * E6_3_2_13_mRNA)</v>
      </c>
      <c r="L418" s="31" t="str">
        <f t="shared" si="81"/>
        <v>(0.278 * E6_3_2_13_mRNA) - (0.00000278 * E6_3_2_13)</v>
      </c>
      <c r="M418" s="31" t="str">
        <f t="shared" si="82"/>
        <v>mRNA417: -&gt; E6_3_2_13_mRNA | 0.00292 - (0.0093 * E6_3_2_13_mRNA)</v>
      </c>
      <c r="N418" s="31" t="str">
        <f t="shared" si="83"/>
        <v>Peptide417:E6_3_2_13_mRNA -&gt; E6_3_2_13 | (0.278 * E6_3_2_13_mRNA) -  (0.00000278 * E6_3_2_13)</v>
      </c>
    </row>
    <row r="419" spans="1:14" ht="29" x14ac:dyDescent="0.35">
      <c r="A419" s="31">
        <v>418</v>
      </c>
      <c r="B419" s="31" t="s">
        <v>14349</v>
      </c>
      <c r="C419" s="31" t="str">
        <f t="shared" si="72"/>
        <v>E6_3_2_2_mRNA</v>
      </c>
      <c r="D419" s="31" t="str">
        <f t="shared" si="73"/>
        <v>E6_3_2_2</v>
      </c>
      <c r="E419" s="31" t="str">
        <f t="shared" si="74"/>
        <v>E6_3_2_2_Kcat : 13.7</v>
      </c>
      <c r="F419" s="31" t="str">
        <f t="shared" si="75"/>
        <v>E6_3_2_2_Km :1</v>
      </c>
      <c r="G419" s="31" t="str">
        <f t="shared" si="76"/>
        <v>E6_3_2_2_mRNA:E6_3_2_2_mRNA</v>
      </c>
      <c r="H419" s="31" t="str">
        <f t="shared" si="77"/>
        <v>E6_3_2_2:E6_3_2_2</v>
      </c>
      <c r="I419" s="31" t="str">
        <f t="shared" si="78"/>
        <v>E6_3_2_2_mRNA:0</v>
      </c>
      <c r="J419" s="31" t="str">
        <f t="shared" si="79"/>
        <v>E6_3_2_2:0</v>
      </c>
      <c r="K419" s="31" t="str">
        <f t="shared" si="80"/>
        <v>0.00292 - (0.0093 * E6_3_2_2_mRNA)</v>
      </c>
      <c r="L419" s="31" t="str">
        <f t="shared" si="81"/>
        <v>(0.278 * E6_3_2_2_mRNA) - (0.00000278 * E6_3_2_2)</v>
      </c>
      <c r="M419" s="31" t="str">
        <f t="shared" si="82"/>
        <v>mRNA418: -&gt; E6_3_2_2_mRNA | 0.00292 - (0.0093 * E6_3_2_2_mRNA)</v>
      </c>
      <c r="N419" s="31" t="str">
        <f t="shared" si="83"/>
        <v>Peptide418:E6_3_2_2_mRNA -&gt; E6_3_2_2 | (0.278 * E6_3_2_2_mRNA) -  (0.00000278 * E6_3_2_2)</v>
      </c>
    </row>
    <row r="420" spans="1:14" ht="29" x14ac:dyDescent="0.35">
      <c r="A420" s="31">
        <v>419</v>
      </c>
      <c r="B420" s="31" t="s">
        <v>14350</v>
      </c>
      <c r="C420" s="31" t="str">
        <f t="shared" si="72"/>
        <v>E6_3_2_6_mRNA</v>
      </c>
      <c r="D420" s="31" t="str">
        <f t="shared" si="73"/>
        <v>E6_3_2_6</v>
      </c>
      <c r="E420" s="31" t="str">
        <f t="shared" si="74"/>
        <v>E6_3_2_6_Kcat : 13.7</v>
      </c>
      <c r="F420" s="31" t="str">
        <f t="shared" si="75"/>
        <v>E6_3_2_6_Km :1</v>
      </c>
      <c r="G420" s="31" t="str">
        <f t="shared" si="76"/>
        <v>E6_3_2_6_mRNA:E6_3_2_6_mRNA</v>
      </c>
      <c r="H420" s="31" t="str">
        <f t="shared" si="77"/>
        <v>E6_3_2_6:E6_3_2_6</v>
      </c>
      <c r="I420" s="31" t="str">
        <f t="shared" si="78"/>
        <v>E6_3_2_6_mRNA:0</v>
      </c>
      <c r="J420" s="31" t="str">
        <f t="shared" si="79"/>
        <v>E6_3_2_6:0</v>
      </c>
      <c r="K420" s="31" t="str">
        <f t="shared" si="80"/>
        <v>0.00292 - (0.0093 * E6_3_2_6_mRNA)</v>
      </c>
      <c r="L420" s="31" t="str">
        <f t="shared" si="81"/>
        <v>(0.278 * E6_3_2_6_mRNA) - (0.00000278 * E6_3_2_6)</v>
      </c>
      <c r="M420" s="31" t="str">
        <f t="shared" si="82"/>
        <v>mRNA419: -&gt; E6_3_2_6_mRNA | 0.00292 - (0.0093 * E6_3_2_6_mRNA)</v>
      </c>
      <c r="N420" s="31" t="str">
        <f t="shared" si="83"/>
        <v>Peptide419:E6_3_2_6_mRNA -&gt; E6_3_2_6 | (0.278 * E6_3_2_6_mRNA) -  (0.00000278 * E6_3_2_6)</v>
      </c>
    </row>
    <row r="421" spans="1:14" ht="29" x14ac:dyDescent="0.35">
      <c r="A421" s="31">
        <v>420</v>
      </c>
      <c r="B421" s="31" t="s">
        <v>14351</v>
      </c>
      <c r="C421" s="31" t="str">
        <f t="shared" si="72"/>
        <v>E6_3_2_8_mRNA</v>
      </c>
      <c r="D421" s="31" t="str">
        <f t="shared" si="73"/>
        <v>E6_3_2_8</v>
      </c>
      <c r="E421" s="31" t="str">
        <f t="shared" si="74"/>
        <v>E6_3_2_8_Kcat : 13.7</v>
      </c>
      <c r="F421" s="31" t="str">
        <f t="shared" si="75"/>
        <v>E6_3_2_8_Km :1</v>
      </c>
      <c r="G421" s="31" t="str">
        <f t="shared" si="76"/>
        <v>E6_3_2_8_mRNA:E6_3_2_8_mRNA</v>
      </c>
      <c r="H421" s="31" t="str">
        <f t="shared" si="77"/>
        <v>E6_3_2_8:E6_3_2_8</v>
      </c>
      <c r="I421" s="31" t="str">
        <f t="shared" si="78"/>
        <v>E6_3_2_8_mRNA:0</v>
      </c>
      <c r="J421" s="31" t="str">
        <f t="shared" si="79"/>
        <v>E6_3_2_8:0</v>
      </c>
      <c r="K421" s="31" t="str">
        <f t="shared" si="80"/>
        <v>0.00292 - (0.0093 * E6_3_2_8_mRNA)</v>
      </c>
      <c r="L421" s="31" t="str">
        <f t="shared" si="81"/>
        <v>(0.278 * E6_3_2_8_mRNA) - (0.00000278 * E6_3_2_8)</v>
      </c>
      <c r="M421" s="31" t="str">
        <f t="shared" si="82"/>
        <v>mRNA420: -&gt; E6_3_2_8_mRNA | 0.00292 - (0.0093 * E6_3_2_8_mRNA)</v>
      </c>
      <c r="N421" s="31" t="str">
        <f t="shared" si="83"/>
        <v>Peptide420:E6_3_2_8_mRNA -&gt; E6_3_2_8 | (0.278 * E6_3_2_8_mRNA) -  (0.00000278 * E6_3_2_8)</v>
      </c>
    </row>
    <row r="422" spans="1:14" ht="29" x14ac:dyDescent="0.35">
      <c r="A422" s="31">
        <v>421</v>
      </c>
      <c r="B422" s="31" t="s">
        <v>14352</v>
      </c>
      <c r="C422" s="31" t="str">
        <f t="shared" si="72"/>
        <v>E6_3_2_9_mRNA</v>
      </c>
      <c r="D422" s="31" t="str">
        <f t="shared" si="73"/>
        <v>E6_3_2_9</v>
      </c>
      <c r="E422" s="31" t="str">
        <f t="shared" si="74"/>
        <v>E6_3_2_9_Kcat : 13.7</v>
      </c>
      <c r="F422" s="31" t="str">
        <f t="shared" si="75"/>
        <v>E6_3_2_9_Km :1</v>
      </c>
      <c r="G422" s="31" t="str">
        <f t="shared" si="76"/>
        <v>E6_3_2_9_mRNA:E6_3_2_9_mRNA</v>
      </c>
      <c r="H422" s="31" t="str">
        <f t="shared" si="77"/>
        <v>E6_3_2_9:E6_3_2_9</v>
      </c>
      <c r="I422" s="31" t="str">
        <f t="shared" si="78"/>
        <v>E6_3_2_9_mRNA:0</v>
      </c>
      <c r="J422" s="31" t="str">
        <f t="shared" si="79"/>
        <v>E6_3_2_9:0</v>
      </c>
      <c r="K422" s="31" t="str">
        <f t="shared" si="80"/>
        <v>0.00292 - (0.0093 * E6_3_2_9_mRNA)</v>
      </c>
      <c r="L422" s="31" t="str">
        <f t="shared" si="81"/>
        <v>(0.278 * E6_3_2_9_mRNA) - (0.00000278 * E6_3_2_9)</v>
      </c>
      <c r="M422" s="31" t="str">
        <f t="shared" si="82"/>
        <v>mRNA421: -&gt; E6_3_2_9_mRNA | 0.00292 - (0.0093 * E6_3_2_9_mRNA)</v>
      </c>
      <c r="N422" s="31" t="str">
        <f t="shared" si="83"/>
        <v>Peptide421:E6_3_2_9_mRNA -&gt; E6_3_2_9 | (0.278 * E6_3_2_9_mRNA) -  (0.00000278 * E6_3_2_9)</v>
      </c>
    </row>
    <row r="423" spans="1:14" ht="29" x14ac:dyDescent="0.35">
      <c r="A423" s="31">
        <v>422</v>
      </c>
      <c r="B423" s="31" t="s">
        <v>14353</v>
      </c>
      <c r="C423" s="31" t="str">
        <f t="shared" si="72"/>
        <v>E6_3_3_1_mRNA</v>
      </c>
      <c r="D423" s="31" t="str">
        <f t="shared" si="73"/>
        <v>E6_3_3_1</v>
      </c>
      <c r="E423" s="31" t="str">
        <f t="shared" si="74"/>
        <v>E6_3_3_1_Kcat : 13.7</v>
      </c>
      <c r="F423" s="31" t="str">
        <f t="shared" si="75"/>
        <v>E6_3_3_1_Km :1</v>
      </c>
      <c r="G423" s="31" t="str">
        <f t="shared" si="76"/>
        <v>E6_3_3_1_mRNA:E6_3_3_1_mRNA</v>
      </c>
      <c r="H423" s="31" t="str">
        <f t="shared" si="77"/>
        <v>E6_3_3_1:E6_3_3_1</v>
      </c>
      <c r="I423" s="31" t="str">
        <f t="shared" si="78"/>
        <v>E6_3_3_1_mRNA:0</v>
      </c>
      <c r="J423" s="31" t="str">
        <f t="shared" si="79"/>
        <v>E6_3_3_1:0</v>
      </c>
      <c r="K423" s="31" t="str">
        <f t="shared" si="80"/>
        <v>0.00292 - (0.0093 * E6_3_3_1_mRNA)</v>
      </c>
      <c r="L423" s="31" t="str">
        <f t="shared" si="81"/>
        <v>(0.278 * E6_3_3_1_mRNA) - (0.00000278 * E6_3_3_1)</v>
      </c>
      <c r="M423" s="31" t="str">
        <f t="shared" si="82"/>
        <v>mRNA422: -&gt; E6_3_3_1_mRNA | 0.00292 - (0.0093 * E6_3_3_1_mRNA)</v>
      </c>
      <c r="N423" s="31" t="str">
        <f t="shared" si="83"/>
        <v>Peptide422:E6_3_3_1_mRNA -&gt; E6_3_3_1 | (0.278 * E6_3_3_1_mRNA) -  (0.00000278 * E6_3_3_1)</v>
      </c>
    </row>
    <row r="424" spans="1:14" ht="29" x14ac:dyDescent="0.35">
      <c r="A424" s="31">
        <v>423</v>
      </c>
      <c r="B424" s="31" t="s">
        <v>14354</v>
      </c>
      <c r="C424" s="31" t="str">
        <f t="shared" si="72"/>
        <v>E6_3_3_2_mRNA</v>
      </c>
      <c r="D424" s="31" t="str">
        <f t="shared" si="73"/>
        <v>E6_3_3_2</v>
      </c>
      <c r="E424" s="31" t="str">
        <f t="shared" si="74"/>
        <v>E6_3_3_2_Kcat : 13.7</v>
      </c>
      <c r="F424" s="31" t="str">
        <f t="shared" si="75"/>
        <v>E6_3_3_2_Km :1</v>
      </c>
      <c r="G424" s="31" t="str">
        <f t="shared" si="76"/>
        <v>E6_3_3_2_mRNA:E6_3_3_2_mRNA</v>
      </c>
      <c r="H424" s="31" t="str">
        <f t="shared" si="77"/>
        <v>E6_3_3_2:E6_3_3_2</v>
      </c>
      <c r="I424" s="31" t="str">
        <f t="shared" si="78"/>
        <v>E6_3_3_2_mRNA:0</v>
      </c>
      <c r="J424" s="31" t="str">
        <f t="shared" si="79"/>
        <v>E6_3_3_2:0</v>
      </c>
      <c r="K424" s="31" t="str">
        <f t="shared" si="80"/>
        <v>0.00292 - (0.0093 * E6_3_3_2_mRNA)</v>
      </c>
      <c r="L424" s="31" t="str">
        <f t="shared" si="81"/>
        <v>(0.278 * E6_3_3_2_mRNA) - (0.00000278 * E6_3_3_2)</v>
      </c>
      <c r="M424" s="31" t="str">
        <f t="shared" si="82"/>
        <v>mRNA423: -&gt; E6_3_3_2_mRNA | 0.00292 - (0.0093 * E6_3_3_2_mRNA)</v>
      </c>
      <c r="N424" s="31" t="str">
        <f t="shared" si="83"/>
        <v>Peptide423:E6_3_3_2_mRNA -&gt; E6_3_3_2 | (0.278 * E6_3_3_2_mRNA) -  (0.00000278 * E6_3_3_2)</v>
      </c>
    </row>
    <row r="425" spans="1:14" ht="29" x14ac:dyDescent="0.35">
      <c r="A425" s="31">
        <v>424</v>
      </c>
      <c r="B425" s="31" t="s">
        <v>14355</v>
      </c>
      <c r="C425" s="31" t="str">
        <f t="shared" si="72"/>
        <v>E6_3_3_3_mRNA</v>
      </c>
      <c r="D425" s="31" t="str">
        <f t="shared" si="73"/>
        <v>E6_3_3_3</v>
      </c>
      <c r="E425" s="31" t="str">
        <f t="shared" si="74"/>
        <v>E6_3_3_3_Kcat : 13.7</v>
      </c>
      <c r="F425" s="31" t="str">
        <f t="shared" si="75"/>
        <v>E6_3_3_3_Km :1</v>
      </c>
      <c r="G425" s="31" t="str">
        <f t="shared" si="76"/>
        <v>E6_3_3_3_mRNA:E6_3_3_3_mRNA</v>
      </c>
      <c r="H425" s="31" t="str">
        <f t="shared" si="77"/>
        <v>E6_3_3_3:E6_3_3_3</v>
      </c>
      <c r="I425" s="31" t="str">
        <f t="shared" si="78"/>
        <v>E6_3_3_3_mRNA:0</v>
      </c>
      <c r="J425" s="31" t="str">
        <f t="shared" si="79"/>
        <v>E6_3_3_3:0</v>
      </c>
      <c r="K425" s="31" t="str">
        <f t="shared" si="80"/>
        <v>0.00292 - (0.0093 * E6_3_3_3_mRNA)</v>
      </c>
      <c r="L425" s="31" t="str">
        <f t="shared" si="81"/>
        <v>(0.278 * E6_3_3_3_mRNA) - (0.00000278 * E6_3_3_3)</v>
      </c>
      <c r="M425" s="31" t="str">
        <f t="shared" si="82"/>
        <v>mRNA424: -&gt; E6_3_3_3_mRNA | 0.00292 - (0.0093 * E6_3_3_3_mRNA)</v>
      </c>
      <c r="N425" s="31" t="str">
        <f t="shared" si="83"/>
        <v>Peptide424:E6_3_3_3_mRNA -&gt; E6_3_3_3 | (0.278 * E6_3_3_3_mRNA) -  (0.00000278 * E6_3_3_3)</v>
      </c>
    </row>
    <row r="426" spans="1:14" ht="43.5" x14ac:dyDescent="0.35">
      <c r="A426" s="31">
        <v>425</v>
      </c>
      <c r="B426" s="31" t="s">
        <v>14356</v>
      </c>
      <c r="C426" s="31" t="str">
        <f t="shared" si="72"/>
        <v>E6_3_4_13_mRNA</v>
      </c>
      <c r="D426" s="31" t="str">
        <f t="shared" si="73"/>
        <v>E6_3_4_13</v>
      </c>
      <c r="E426" s="31" t="str">
        <f t="shared" si="74"/>
        <v>E6_3_4_13_Kcat : 13.7</v>
      </c>
      <c r="F426" s="31" t="str">
        <f t="shared" si="75"/>
        <v>E6_3_4_13_Km :1</v>
      </c>
      <c r="G426" s="31" t="str">
        <f t="shared" si="76"/>
        <v>E6_3_4_13_mRNA:E6_3_4_13_mRNA</v>
      </c>
      <c r="H426" s="31" t="str">
        <f t="shared" si="77"/>
        <v>E6_3_4_13:E6_3_4_13</v>
      </c>
      <c r="I426" s="31" t="str">
        <f t="shared" si="78"/>
        <v>E6_3_4_13_mRNA:0</v>
      </c>
      <c r="J426" s="31" t="str">
        <f t="shared" si="79"/>
        <v>E6_3_4_13:0</v>
      </c>
      <c r="K426" s="31" t="str">
        <f t="shared" si="80"/>
        <v>0.00292 - (0.0093 * E6_3_4_13_mRNA)</v>
      </c>
      <c r="L426" s="31" t="str">
        <f t="shared" si="81"/>
        <v>(0.278 * E6_3_4_13_mRNA) - (0.00000278 * E6_3_4_13)</v>
      </c>
      <c r="M426" s="31" t="str">
        <f t="shared" si="82"/>
        <v>mRNA425: -&gt; E6_3_4_13_mRNA | 0.00292 - (0.0093 * E6_3_4_13_mRNA)</v>
      </c>
      <c r="N426" s="31" t="str">
        <f t="shared" si="83"/>
        <v>Peptide425:E6_3_4_13_mRNA -&gt; E6_3_4_13 | (0.278 * E6_3_4_13_mRNA) -  (0.00000278 * E6_3_4_13)</v>
      </c>
    </row>
    <row r="427" spans="1:14" ht="43.5" x14ac:dyDescent="0.35">
      <c r="A427" s="31">
        <v>426</v>
      </c>
      <c r="B427" s="31" t="s">
        <v>14357</v>
      </c>
      <c r="C427" s="31" t="str">
        <f t="shared" si="72"/>
        <v>E6_3_4_15_mRNA</v>
      </c>
      <c r="D427" s="31" t="str">
        <f t="shared" si="73"/>
        <v>E6_3_4_15</v>
      </c>
      <c r="E427" s="31" t="str">
        <f t="shared" si="74"/>
        <v>E6_3_4_15_Kcat : 13.7</v>
      </c>
      <c r="F427" s="31" t="str">
        <f t="shared" si="75"/>
        <v>E6_3_4_15_Km :1</v>
      </c>
      <c r="G427" s="31" t="str">
        <f t="shared" si="76"/>
        <v>E6_3_4_15_mRNA:E6_3_4_15_mRNA</v>
      </c>
      <c r="H427" s="31" t="str">
        <f t="shared" si="77"/>
        <v>E6_3_4_15:E6_3_4_15</v>
      </c>
      <c r="I427" s="31" t="str">
        <f t="shared" si="78"/>
        <v>E6_3_4_15_mRNA:0</v>
      </c>
      <c r="J427" s="31" t="str">
        <f t="shared" si="79"/>
        <v>E6_3_4_15:0</v>
      </c>
      <c r="K427" s="31" t="str">
        <f t="shared" si="80"/>
        <v>0.00292 - (0.0093 * E6_3_4_15_mRNA)</v>
      </c>
      <c r="L427" s="31" t="str">
        <f t="shared" si="81"/>
        <v>(0.278 * E6_3_4_15_mRNA) - (0.00000278 * E6_3_4_15)</v>
      </c>
      <c r="M427" s="31" t="str">
        <f t="shared" si="82"/>
        <v>mRNA426: -&gt; E6_3_4_15_mRNA | 0.00292 - (0.0093 * E6_3_4_15_mRNA)</v>
      </c>
      <c r="N427" s="31" t="str">
        <f t="shared" si="83"/>
        <v>Peptide426:E6_3_4_15_mRNA -&gt; E6_3_4_15 | (0.278 * E6_3_4_15_mRNA) -  (0.00000278 * E6_3_4_15)</v>
      </c>
    </row>
    <row r="428" spans="1:14" ht="43.5" x14ac:dyDescent="0.35">
      <c r="A428" s="31">
        <v>427</v>
      </c>
      <c r="B428" s="31" t="s">
        <v>14358</v>
      </c>
      <c r="C428" s="31" t="str">
        <f t="shared" si="72"/>
        <v>E6_3_4_18_mRNA</v>
      </c>
      <c r="D428" s="31" t="str">
        <f t="shared" si="73"/>
        <v>E6_3_4_18</v>
      </c>
      <c r="E428" s="31" t="str">
        <f t="shared" si="74"/>
        <v>E6_3_4_18_Kcat : 13.7</v>
      </c>
      <c r="F428" s="31" t="str">
        <f t="shared" si="75"/>
        <v>E6_3_4_18_Km :1</v>
      </c>
      <c r="G428" s="31" t="str">
        <f t="shared" si="76"/>
        <v>E6_3_4_18_mRNA:E6_3_4_18_mRNA</v>
      </c>
      <c r="H428" s="31" t="str">
        <f t="shared" si="77"/>
        <v>E6_3_4_18:E6_3_4_18</v>
      </c>
      <c r="I428" s="31" t="str">
        <f t="shared" si="78"/>
        <v>E6_3_4_18_mRNA:0</v>
      </c>
      <c r="J428" s="31" t="str">
        <f t="shared" si="79"/>
        <v>E6_3_4_18:0</v>
      </c>
      <c r="K428" s="31" t="str">
        <f t="shared" si="80"/>
        <v>0.00292 - (0.0093 * E6_3_4_18_mRNA)</v>
      </c>
      <c r="L428" s="31" t="str">
        <f t="shared" si="81"/>
        <v>(0.278 * E6_3_4_18_mRNA) - (0.00000278 * E6_3_4_18)</v>
      </c>
      <c r="M428" s="31" t="str">
        <f t="shared" si="82"/>
        <v>mRNA427: -&gt; E6_3_4_18_mRNA | 0.00292 - (0.0093 * E6_3_4_18_mRNA)</v>
      </c>
      <c r="N428" s="31" t="str">
        <f t="shared" si="83"/>
        <v>Peptide427:E6_3_4_18_mRNA -&gt; E6_3_4_18 | (0.278 * E6_3_4_18_mRNA) -  (0.00000278 * E6_3_4_18)</v>
      </c>
    </row>
    <row r="429" spans="1:14" ht="43.5" x14ac:dyDescent="0.35">
      <c r="A429" s="31">
        <v>428</v>
      </c>
      <c r="B429" s="31" t="s">
        <v>14359</v>
      </c>
      <c r="C429" s="31" t="str">
        <f t="shared" si="72"/>
        <v>E6_3_4_19_mRNA</v>
      </c>
      <c r="D429" s="31" t="str">
        <f t="shared" si="73"/>
        <v>E6_3_4_19</v>
      </c>
      <c r="E429" s="31" t="str">
        <f t="shared" si="74"/>
        <v>E6_3_4_19_Kcat : 13.7</v>
      </c>
      <c r="F429" s="31" t="str">
        <f t="shared" si="75"/>
        <v>E6_3_4_19_Km :1</v>
      </c>
      <c r="G429" s="31" t="str">
        <f t="shared" si="76"/>
        <v>E6_3_4_19_mRNA:E6_3_4_19_mRNA</v>
      </c>
      <c r="H429" s="31" t="str">
        <f t="shared" si="77"/>
        <v>E6_3_4_19:E6_3_4_19</v>
      </c>
      <c r="I429" s="31" t="str">
        <f t="shared" si="78"/>
        <v>E6_3_4_19_mRNA:0</v>
      </c>
      <c r="J429" s="31" t="str">
        <f t="shared" si="79"/>
        <v>E6_3_4_19:0</v>
      </c>
      <c r="K429" s="31" t="str">
        <f t="shared" si="80"/>
        <v>0.00292 - (0.0093 * E6_3_4_19_mRNA)</v>
      </c>
      <c r="L429" s="31" t="str">
        <f t="shared" si="81"/>
        <v>(0.278 * E6_3_4_19_mRNA) - (0.00000278 * E6_3_4_19)</v>
      </c>
      <c r="M429" s="31" t="str">
        <f t="shared" si="82"/>
        <v>mRNA428: -&gt; E6_3_4_19_mRNA | 0.00292 - (0.0093 * E6_3_4_19_mRNA)</v>
      </c>
      <c r="N429" s="31" t="str">
        <f t="shared" si="83"/>
        <v>Peptide428:E6_3_4_19_mRNA -&gt; E6_3_4_19 | (0.278 * E6_3_4_19_mRNA) -  (0.00000278 * E6_3_4_19)</v>
      </c>
    </row>
    <row r="430" spans="1:14" ht="29" x14ac:dyDescent="0.35">
      <c r="A430" s="31">
        <v>429</v>
      </c>
      <c r="B430" s="31" t="s">
        <v>14360</v>
      </c>
      <c r="C430" s="31" t="str">
        <f t="shared" si="72"/>
        <v>E6_3_4_2_mRNA</v>
      </c>
      <c r="D430" s="31" t="str">
        <f t="shared" si="73"/>
        <v>E6_3_4_2</v>
      </c>
      <c r="E430" s="31" t="str">
        <f t="shared" si="74"/>
        <v>E6_3_4_2_Kcat : 13.7</v>
      </c>
      <c r="F430" s="31" t="str">
        <f t="shared" si="75"/>
        <v>E6_3_4_2_Km :1</v>
      </c>
      <c r="G430" s="31" t="str">
        <f t="shared" si="76"/>
        <v>E6_3_4_2_mRNA:E6_3_4_2_mRNA</v>
      </c>
      <c r="H430" s="31" t="str">
        <f t="shared" si="77"/>
        <v>E6_3_4_2:E6_3_4_2</v>
      </c>
      <c r="I430" s="31" t="str">
        <f t="shared" si="78"/>
        <v>E6_3_4_2_mRNA:0</v>
      </c>
      <c r="J430" s="31" t="str">
        <f t="shared" si="79"/>
        <v>E6_3_4_2:0</v>
      </c>
      <c r="K430" s="31" t="str">
        <f t="shared" si="80"/>
        <v>0.00292 - (0.0093 * E6_3_4_2_mRNA)</v>
      </c>
      <c r="L430" s="31" t="str">
        <f t="shared" si="81"/>
        <v>(0.278 * E6_3_4_2_mRNA) - (0.00000278 * E6_3_4_2)</v>
      </c>
      <c r="M430" s="31" t="str">
        <f t="shared" si="82"/>
        <v>mRNA429: -&gt; E6_3_4_2_mRNA | 0.00292 - (0.0093 * E6_3_4_2_mRNA)</v>
      </c>
      <c r="N430" s="31" t="str">
        <f t="shared" si="83"/>
        <v>Peptide429:E6_3_4_2_mRNA -&gt; E6_3_4_2 | (0.278 * E6_3_4_2_mRNA) -  (0.00000278 * E6_3_4_2)</v>
      </c>
    </row>
    <row r="431" spans="1:14" ht="43.5" x14ac:dyDescent="0.35">
      <c r="A431" s="31">
        <v>430</v>
      </c>
      <c r="B431" s="31" t="s">
        <v>14361</v>
      </c>
      <c r="C431" s="31" t="str">
        <f t="shared" si="72"/>
        <v>E6_3_4_21_mRNA</v>
      </c>
      <c r="D431" s="31" t="str">
        <f t="shared" si="73"/>
        <v>E6_3_4_21</v>
      </c>
      <c r="E431" s="31" t="str">
        <f t="shared" si="74"/>
        <v>E6_3_4_21_Kcat : 13.7</v>
      </c>
      <c r="F431" s="31" t="str">
        <f t="shared" si="75"/>
        <v>E6_3_4_21_Km :1</v>
      </c>
      <c r="G431" s="31" t="str">
        <f t="shared" si="76"/>
        <v>E6_3_4_21_mRNA:E6_3_4_21_mRNA</v>
      </c>
      <c r="H431" s="31" t="str">
        <f t="shared" si="77"/>
        <v>E6_3_4_21:E6_3_4_21</v>
      </c>
      <c r="I431" s="31" t="str">
        <f t="shared" si="78"/>
        <v>E6_3_4_21_mRNA:0</v>
      </c>
      <c r="J431" s="31" t="str">
        <f t="shared" si="79"/>
        <v>E6_3_4_21:0</v>
      </c>
      <c r="K431" s="31" t="str">
        <f t="shared" si="80"/>
        <v>0.00292 - (0.0093 * E6_3_4_21_mRNA)</v>
      </c>
      <c r="L431" s="31" t="str">
        <f t="shared" si="81"/>
        <v>(0.278 * E6_3_4_21_mRNA) - (0.00000278 * E6_3_4_21)</v>
      </c>
      <c r="M431" s="31" t="str">
        <f t="shared" si="82"/>
        <v>mRNA430: -&gt; E6_3_4_21_mRNA | 0.00292 - (0.0093 * E6_3_4_21_mRNA)</v>
      </c>
      <c r="N431" s="31" t="str">
        <f t="shared" si="83"/>
        <v>Peptide430:E6_3_4_21_mRNA -&gt; E6_3_4_21 | (0.278 * E6_3_4_21_mRNA) -  (0.00000278 * E6_3_4_21)</v>
      </c>
    </row>
    <row r="432" spans="1:14" ht="29" x14ac:dyDescent="0.35">
      <c r="A432" s="31">
        <v>431</v>
      </c>
      <c r="B432" s="31" t="s">
        <v>14362</v>
      </c>
      <c r="C432" s="31" t="str">
        <f t="shared" si="72"/>
        <v>E6_3_4_4_mRNA</v>
      </c>
      <c r="D432" s="31" t="str">
        <f t="shared" si="73"/>
        <v>E6_3_4_4</v>
      </c>
      <c r="E432" s="31" t="str">
        <f t="shared" si="74"/>
        <v>E6_3_4_4_Kcat : 13.7</v>
      </c>
      <c r="F432" s="31" t="str">
        <f t="shared" si="75"/>
        <v>E6_3_4_4_Km :1</v>
      </c>
      <c r="G432" s="31" t="str">
        <f t="shared" si="76"/>
        <v>E6_3_4_4_mRNA:E6_3_4_4_mRNA</v>
      </c>
      <c r="H432" s="31" t="str">
        <f t="shared" si="77"/>
        <v>E6_3_4_4:E6_3_4_4</v>
      </c>
      <c r="I432" s="31" t="str">
        <f t="shared" si="78"/>
        <v>E6_3_4_4_mRNA:0</v>
      </c>
      <c r="J432" s="31" t="str">
        <f t="shared" si="79"/>
        <v>E6_3_4_4:0</v>
      </c>
      <c r="K432" s="31" t="str">
        <f t="shared" si="80"/>
        <v>0.00292 - (0.0093 * E6_3_4_4_mRNA)</v>
      </c>
      <c r="L432" s="31" t="str">
        <f t="shared" si="81"/>
        <v>(0.278 * E6_3_4_4_mRNA) - (0.00000278 * E6_3_4_4)</v>
      </c>
      <c r="M432" s="31" t="str">
        <f t="shared" si="82"/>
        <v>mRNA431: -&gt; E6_3_4_4_mRNA | 0.00292 - (0.0093 * E6_3_4_4_mRNA)</v>
      </c>
      <c r="N432" s="31" t="str">
        <f t="shared" si="83"/>
        <v>Peptide431:E6_3_4_4_mRNA -&gt; E6_3_4_4 | (0.278 * E6_3_4_4_mRNA) -  (0.00000278 * E6_3_4_4)</v>
      </c>
    </row>
    <row r="433" spans="1:14" ht="29" x14ac:dyDescent="0.35">
      <c r="A433" s="31">
        <v>432</v>
      </c>
      <c r="B433" s="31" t="s">
        <v>14363</v>
      </c>
      <c r="C433" s="31" t="str">
        <f t="shared" si="72"/>
        <v>E6_3_4_5_mRNA</v>
      </c>
      <c r="D433" s="31" t="str">
        <f t="shared" si="73"/>
        <v>E6_3_4_5</v>
      </c>
      <c r="E433" s="31" t="str">
        <f t="shared" si="74"/>
        <v>E6_3_4_5_Kcat : 13.7</v>
      </c>
      <c r="F433" s="31" t="str">
        <f t="shared" si="75"/>
        <v>E6_3_4_5_Km :1</v>
      </c>
      <c r="G433" s="31" t="str">
        <f t="shared" si="76"/>
        <v>E6_3_4_5_mRNA:E6_3_4_5_mRNA</v>
      </c>
      <c r="H433" s="31" t="str">
        <f t="shared" si="77"/>
        <v>E6_3_4_5:E6_3_4_5</v>
      </c>
      <c r="I433" s="31" t="str">
        <f t="shared" si="78"/>
        <v>E6_3_4_5_mRNA:0</v>
      </c>
      <c r="J433" s="31" t="str">
        <f t="shared" si="79"/>
        <v>E6_3_4_5:0</v>
      </c>
      <c r="K433" s="31" t="str">
        <f t="shared" si="80"/>
        <v>0.00292 - (0.0093 * E6_3_4_5_mRNA)</v>
      </c>
      <c r="L433" s="31" t="str">
        <f t="shared" si="81"/>
        <v>(0.278 * E6_3_4_5_mRNA) - (0.00000278 * E6_3_4_5)</v>
      </c>
      <c r="M433" s="31" t="str">
        <f t="shared" si="82"/>
        <v>mRNA432: -&gt; E6_3_4_5_mRNA | 0.00292 - (0.0093 * E6_3_4_5_mRNA)</v>
      </c>
      <c r="N433" s="31" t="str">
        <f t="shared" si="83"/>
        <v>Peptide432:E6_3_4_5_mRNA -&gt; E6_3_4_5 | (0.278 * E6_3_4_5_mRNA) -  (0.00000278 * E6_3_4_5)</v>
      </c>
    </row>
    <row r="434" spans="1:14" ht="29" x14ac:dyDescent="0.35">
      <c r="A434" s="31">
        <v>433</v>
      </c>
      <c r="B434" s="31" t="s">
        <v>14364</v>
      </c>
      <c r="C434" s="31" t="str">
        <f t="shared" si="72"/>
        <v>E6_3_5_2_mRNA</v>
      </c>
      <c r="D434" s="31" t="str">
        <f t="shared" si="73"/>
        <v>E6_3_5_2</v>
      </c>
      <c r="E434" s="31" t="str">
        <f t="shared" si="74"/>
        <v>E6_3_5_2_Kcat : 13.7</v>
      </c>
      <c r="F434" s="31" t="str">
        <f t="shared" si="75"/>
        <v>E6_3_5_2_Km :1</v>
      </c>
      <c r="G434" s="31" t="str">
        <f t="shared" si="76"/>
        <v>E6_3_5_2_mRNA:E6_3_5_2_mRNA</v>
      </c>
      <c r="H434" s="31" t="str">
        <f t="shared" si="77"/>
        <v>E6_3_5_2:E6_3_5_2</v>
      </c>
      <c r="I434" s="31" t="str">
        <f t="shared" si="78"/>
        <v>E6_3_5_2_mRNA:0</v>
      </c>
      <c r="J434" s="31" t="str">
        <f t="shared" si="79"/>
        <v>E6_3_5_2:0</v>
      </c>
      <c r="K434" s="31" t="str">
        <f t="shared" si="80"/>
        <v>0.00292 - (0.0093 * E6_3_5_2_mRNA)</v>
      </c>
      <c r="L434" s="31" t="str">
        <f t="shared" si="81"/>
        <v>(0.278 * E6_3_5_2_mRNA) - (0.00000278 * E6_3_5_2)</v>
      </c>
      <c r="M434" s="31" t="str">
        <f t="shared" si="82"/>
        <v>mRNA433: -&gt; E6_3_5_2_mRNA | 0.00292 - (0.0093 * E6_3_5_2_mRNA)</v>
      </c>
      <c r="N434" s="31" t="str">
        <f t="shared" si="83"/>
        <v>Peptide433:E6_3_5_2_mRNA -&gt; E6_3_5_2 | (0.278 * E6_3_5_2_mRNA) -  (0.00000278 * E6_3_5_2)</v>
      </c>
    </row>
    <row r="435" spans="1:14" ht="29" x14ac:dyDescent="0.35">
      <c r="A435" s="31">
        <v>434</v>
      </c>
      <c r="B435" s="31" t="s">
        <v>14365</v>
      </c>
      <c r="C435" s="31" t="str">
        <f t="shared" si="72"/>
        <v>E6_3_5_4_mRNA</v>
      </c>
      <c r="D435" s="31" t="str">
        <f t="shared" si="73"/>
        <v>E6_3_5_4</v>
      </c>
      <c r="E435" s="31" t="str">
        <f t="shared" si="74"/>
        <v>E6_3_5_4_Kcat : 13.7</v>
      </c>
      <c r="F435" s="31" t="str">
        <f t="shared" si="75"/>
        <v>E6_3_5_4_Km :1</v>
      </c>
      <c r="G435" s="31" t="str">
        <f t="shared" si="76"/>
        <v>E6_3_5_4_mRNA:E6_3_5_4_mRNA</v>
      </c>
      <c r="H435" s="31" t="str">
        <f t="shared" si="77"/>
        <v>E6_3_5_4:E6_3_5_4</v>
      </c>
      <c r="I435" s="31" t="str">
        <f t="shared" si="78"/>
        <v>E6_3_5_4_mRNA:0</v>
      </c>
      <c r="J435" s="31" t="str">
        <f t="shared" si="79"/>
        <v>E6_3_5_4:0</v>
      </c>
      <c r="K435" s="31" t="str">
        <f t="shared" si="80"/>
        <v>0.00292 - (0.0093 * E6_3_5_4_mRNA)</v>
      </c>
      <c r="L435" s="31" t="str">
        <f t="shared" si="81"/>
        <v>(0.278 * E6_3_5_4_mRNA) - (0.00000278 * E6_3_5_4)</v>
      </c>
      <c r="M435" s="31" t="str">
        <f t="shared" si="82"/>
        <v>mRNA434: -&gt; E6_3_5_4_mRNA | 0.00292 - (0.0093 * E6_3_5_4_mRNA)</v>
      </c>
      <c r="N435" s="31" t="str">
        <f t="shared" si="83"/>
        <v>Peptide434:E6_3_5_4_mRNA -&gt; E6_3_5_4 | (0.278 * E6_3_5_4_mRNA) -  (0.00000278 * E6_3_5_4)</v>
      </c>
    </row>
    <row r="436" spans="1:14" ht="29" x14ac:dyDescent="0.35">
      <c r="A436" s="31">
        <v>435</v>
      </c>
      <c r="B436" s="31" t="s">
        <v>14366</v>
      </c>
      <c r="C436" s="31" t="str">
        <f t="shared" si="72"/>
        <v>E6_3_5_5_mRNA</v>
      </c>
      <c r="D436" s="31" t="str">
        <f t="shared" si="73"/>
        <v>E6_3_5_5</v>
      </c>
      <c r="E436" s="31" t="str">
        <f t="shared" si="74"/>
        <v>E6_3_5_5_Kcat : 13.7</v>
      </c>
      <c r="F436" s="31" t="str">
        <f t="shared" si="75"/>
        <v>E6_3_5_5_Km :1</v>
      </c>
      <c r="G436" s="31" t="str">
        <f t="shared" si="76"/>
        <v>E6_3_5_5_mRNA:E6_3_5_5_mRNA</v>
      </c>
      <c r="H436" s="31" t="str">
        <f t="shared" si="77"/>
        <v>E6_3_5_5:E6_3_5_5</v>
      </c>
      <c r="I436" s="31" t="str">
        <f t="shared" si="78"/>
        <v>E6_3_5_5_mRNA:0</v>
      </c>
      <c r="J436" s="31" t="str">
        <f t="shared" si="79"/>
        <v>E6_3_5_5:0</v>
      </c>
      <c r="K436" s="31" t="str">
        <f t="shared" si="80"/>
        <v>0.00292 - (0.0093 * E6_3_5_5_mRNA)</v>
      </c>
      <c r="L436" s="31" t="str">
        <f t="shared" si="81"/>
        <v>(0.278 * E6_3_5_5_mRNA) - (0.00000278 * E6_3_5_5)</v>
      </c>
      <c r="M436" s="31" t="str">
        <f t="shared" si="82"/>
        <v>mRNA435: -&gt; E6_3_5_5_mRNA | 0.00292 - (0.0093 * E6_3_5_5_mRNA)</v>
      </c>
      <c r="N436" s="31" t="str">
        <f t="shared" si="83"/>
        <v>Peptide435:E6_3_5_5_mRNA -&gt; E6_3_5_5 | (0.278 * E6_3_5_5_mRNA) -  (0.00000278 * E6_3_5_5)</v>
      </c>
    </row>
    <row r="437" spans="1:14" ht="29" x14ac:dyDescent="0.35">
      <c r="A437" s="31">
        <v>436</v>
      </c>
      <c r="B437" s="31" t="s">
        <v>14367</v>
      </c>
      <c r="C437" s="31" t="str">
        <f t="shared" si="72"/>
        <v>E6_4_1_1_mRNA</v>
      </c>
      <c r="D437" s="31" t="str">
        <f t="shared" si="73"/>
        <v>E6_4_1_1</v>
      </c>
      <c r="E437" s="31" t="str">
        <f t="shared" si="74"/>
        <v>E6_4_1_1_Kcat : 13.7</v>
      </c>
      <c r="F437" s="31" t="str">
        <f t="shared" si="75"/>
        <v>E6_4_1_1_Km :1</v>
      </c>
      <c r="G437" s="31" t="str">
        <f t="shared" si="76"/>
        <v>E6_4_1_1_mRNA:E6_4_1_1_mRNA</v>
      </c>
      <c r="H437" s="31" t="str">
        <f t="shared" si="77"/>
        <v>E6_4_1_1:E6_4_1_1</v>
      </c>
      <c r="I437" s="31" t="str">
        <f t="shared" si="78"/>
        <v>E6_4_1_1_mRNA:0</v>
      </c>
      <c r="J437" s="31" t="str">
        <f t="shared" si="79"/>
        <v>E6_4_1_1:0</v>
      </c>
      <c r="K437" s="31" t="str">
        <f t="shared" si="80"/>
        <v>0.00292 - (0.0093 * E6_4_1_1_mRNA)</v>
      </c>
      <c r="L437" s="31" t="str">
        <f t="shared" si="81"/>
        <v>(0.278 * E6_4_1_1_mRNA) - (0.00000278 * E6_4_1_1)</v>
      </c>
      <c r="M437" s="31" t="str">
        <f t="shared" si="82"/>
        <v>mRNA436: -&gt; E6_4_1_1_mRNA | 0.00292 - (0.0093 * E6_4_1_1_mRNA)</v>
      </c>
      <c r="N437" s="31" t="str">
        <f t="shared" si="83"/>
        <v>Peptide436:E6_4_1_1_mRNA -&gt; E6_4_1_1 | (0.278 * E6_4_1_1_mRNA) -  (0.00000278 * E6_4_1_1)</v>
      </c>
    </row>
    <row r="438" spans="1:14" ht="29" x14ac:dyDescent="0.35">
      <c r="A438" s="31">
        <v>437</v>
      </c>
      <c r="B438" s="31" t="s">
        <v>14368</v>
      </c>
      <c r="C438" s="31" t="str">
        <f t="shared" si="72"/>
        <v>E6_5_1_2_mRNA</v>
      </c>
      <c r="D438" s="31" t="str">
        <f t="shared" si="73"/>
        <v>E6_5_1_2</v>
      </c>
      <c r="E438" s="31" t="str">
        <f t="shared" si="74"/>
        <v>E6_5_1_2_Kcat : 13.7</v>
      </c>
      <c r="F438" s="31" t="str">
        <f t="shared" si="75"/>
        <v>E6_5_1_2_Km :1</v>
      </c>
      <c r="G438" s="31" t="str">
        <f t="shared" si="76"/>
        <v>E6_5_1_2_mRNA:E6_5_1_2_mRNA</v>
      </c>
      <c r="H438" s="31" t="str">
        <f t="shared" si="77"/>
        <v>E6_5_1_2:E6_5_1_2</v>
      </c>
      <c r="I438" s="31" t="str">
        <f t="shared" si="78"/>
        <v>E6_5_1_2_mRNA:0</v>
      </c>
      <c r="J438" s="31" t="str">
        <f t="shared" si="79"/>
        <v>E6_5_1_2:0</v>
      </c>
      <c r="K438" s="31" t="str">
        <f t="shared" si="80"/>
        <v>0.00292 - (0.0093 * E6_5_1_2_mRNA)</v>
      </c>
      <c r="L438" s="31" t="str">
        <f t="shared" si="81"/>
        <v>(0.278 * E6_5_1_2_mRNA) - (0.00000278 * E6_5_1_2)</v>
      </c>
      <c r="M438" s="31" t="str">
        <f t="shared" si="82"/>
        <v>mRNA437: -&gt; E6_5_1_2_mRNA | 0.00292 - (0.0093 * E6_5_1_2_mRNA)</v>
      </c>
      <c r="N438" s="31" t="str">
        <f t="shared" si="83"/>
        <v>Peptide437:E6_5_1_2_mRNA -&gt; E6_5_1_2 | (0.278 * E6_5_1_2_mRNA) -  (0.00000278 * E6_5_1_2)</v>
      </c>
    </row>
    <row r="439" spans="1:14" ht="29" x14ac:dyDescent="0.35">
      <c r="A439" s="31">
        <v>438</v>
      </c>
      <c r="B439" s="31" t="s">
        <v>14369</v>
      </c>
      <c r="C439" s="31" t="str">
        <f t="shared" si="72"/>
        <v>E6_5_1_8_mRNA</v>
      </c>
      <c r="D439" s="31" t="str">
        <f t="shared" si="73"/>
        <v>E6_5_1_8</v>
      </c>
      <c r="E439" s="31" t="str">
        <f t="shared" si="74"/>
        <v>E6_5_1_8_Kcat : 13.7</v>
      </c>
      <c r="F439" s="31" t="str">
        <f t="shared" si="75"/>
        <v>E6_5_1_8_Km :1</v>
      </c>
      <c r="G439" s="31" t="str">
        <f t="shared" si="76"/>
        <v>E6_5_1_8_mRNA:E6_5_1_8_mRNA</v>
      </c>
      <c r="H439" s="31" t="str">
        <f t="shared" si="77"/>
        <v>E6_5_1_8:E6_5_1_8</v>
      </c>
      <c r="I439" s="31" t="str">
        <f t="shared" si="78"/>
        <v>E6_5_1_8_mRNA:0</v>
      </c>
      <c r="J439" s="31" t="str">
        <f t="shared" si="79"/>
        <v>E6_5_1_8:0</v>
      </c>
      <c r="K439" s="31" t="str">
        <f t="shared" si="80"/>
        <v>0.00292 - (0.0093 * E6_5_1_8_mRNA)</v>
      </c>
      <c r="L439" s="31" t="str">
        <f t="shared" si="81"/>
        <v>(0.278 * E6_5_1_8_mRNA) - (0.00000278 * E6_5_1_8)</v>
      </c>
      <c r="M439" s="31" t="str">
        <f t="shared" si="82"/>
        <v>mRNA438: -&gt; E6_5_1_8_mRNA | 0.00292 - (0.0093 * E6_5_1_8_mRNA)</v>
      </c>
      <c r="N439" s="31" t="str">
        <f t="shared" si="83"/>
        <v>Peptide438:E6_5_1_8_mRNA -&gt; E6_5_1_8 | (0.278 * E6_5_1_8_mRNA) -  (0.00000278 * E6_5_1_8)</v>
      </c>
    </row>
    <row r="440" spans="1:14" ht="29" x14ac:dyDescent="0.35">
      <c r="A440" s="31">
        <v>439</v>
      </c>
      <c r="B440" s="31" t="s">
        <v>14370</v>
      </c>
      <c r="C440" s="31" t="str">
        <f t="shared" si="72"/>
        <v>E7_1_1_8_mRNA</v>
      </c>
      <c r="D440" s="31" t="str">
        <f t="shared" si="73"/>
        <v>E7_1_1_8</v>
      </c>
      <c r="E440" s="31" t="str">
        <f t="shared" si="74"/>
        <v>E7_1_1_8_Kcat : 13.7</v>
      </c>
      <c r="F440" s="31" t="str">
        <f t="shared" si="75"/>
        <v>E7_1_1_8_Km :1</v>
      </c>
      <c r="G440" s="31" t="str">
        <f t="shared" si="76"/>
        <v>E7_1_1_8_mRNA:E7_1_1_8_mRNA</v>
      </c>
      <c r="H440" s="31" t="str">
        <f t="shared" si="77"/>
        <v>E7_1_1_8:E7_1_1_8</v>
      </c>
      <c r="I440" s="31" t="str">
        <f t="shared" si="78"/>
        <v>E7_1_1_8_mRNA:0</v>
      </c>
      <c r="J440" s="31" t="str">
        <f t="shared" si="79"/>
        <v>E7_1_1_8:0</v>
      </c>
      <c r="K440" s="31" t="str">
        <f t="shared" si="80"/>
        <v>0.00292 - (0.0093 * E7_1_1_8_mRNA)</v>
      </c>
      <c r="L440" s="31" t="str">
        <f t="shared" si="81"/>
        <v>(0.278 * E7_1_1_8_mRNA) - (0.00000278 * E7_1_1_8)</v>
      </c>
      <c r="M440" s="31" t="str">
        <f t="shared" si="82"/>
        <v>mRNA439: -&gt; E7_1_1_8_mRNA | 0.00292 - (0.0093 * E7_1_1_8_mRNA)</v>
      </c>
      <c r="N440" s="31" t="str">
        <f t="shared" si="83"/>
        <v>Peptide439:E7_1_1_8_mRNA -&gt; E7_1_1_8 | (0.278 * E7_1_1_8_mRNA) -  (0.00000278 * E7_1_1_8)</v>
      </c>
    </row>
    <row r="441" spans="1:14" ht="29" x14ac:dyDescent="0.35">
      <c r="A441" s="31">
        <v>440</v>
      </c>
      <c r="B441" s="32" t="s">
        <v>14371</v>
      </c>
      <c r="C441" s="31" t="str">
        <f t="shared" si="72"/>
        <v>E7_1_2_2_mRNA</v>
      </c>
      <c r="D441" s="31" t="str">
        <f t="shared" si="73"/>
        <v>E7_1_2_2</v>
      </c>
      <c r="E441" s="31" t="str">
        <f t="shared" si="74"/>
        <v>E7_1_2_2_Kcat : 13.7</v>
      </c>
      <c r="F441" s="31" t="str">
        <f t="shared" si="75"/>
        <v>E7_1_2_2_Km :1</v>
      </c>
      <c r="G441" s="31" t="str">
        <f t="shared" si="76"/>
        <v>E7_1_2_2_mRNA:E7_1_2_2_mRNA</v>
      </c>
      <c r="H441" s="31" t="str">
        <f t="shared" si="77"/>
        <v>E7_1_2_2:E7_1_2_2</v>
      </c>
      <c r="I441" s="31" t="str">
        <f t="shared" si="78"/>
        <v>E7_1_2_2_mRNA:0</v>
      </c>
      <c r="J441" s="31" t="str">
        <f t="shared" si="79"/>
        <v>E7_1_2_2:0</v>
      </c>
      <c r="K441" s="31" t="str">
        <f t="shared" si="80"/>
        <v>0.00292 - (0.0093 * E7_1_2_2_mRNA)</v>
      </c>
      <c r="L441" s="31" t="str">
        <f t="shared" si="81"/>
        <v>(0.278 * E7_1_2_2_mRNA) - (0.00000278 * E7_1_2_2)</v>
      </c>
      <c r="M441" s="31" t="str">
        <f t="shared" si="82"/>
        <v>mRNA440: -&gt; E7_1_2_2_mRNA | 0.00292 - (0.0093 * E7_1_2_2_mRNA)</v>
      </c>
      <c r="N441" s="31" t="str">
        <f t="shared" si="83"/>
        <v>Peptide440:E7_1_2_2_mRNA -&gt; E7_1_2_2 | (0.278 * E7_1_2_2_mRNA) -  (0.00000278 * E7_1_2_2)</v>
      </c>
    </row>
    <row r="442" spans="1:14" ht="29" x14ac:dyDescent="0.35">
      <c r="A442" s="31">
        <v>441</v>
      </c>
      <c r="B442" s="31" t="s">
        <v>14372</v>
      </c>
      <c r="C442" s="31" t="str">
        <f t="shared" si="72"/>
        <v>E7_3_2_1_mRNA</v>
      </c>
      <c r="D442" s="31" t="str">
        <f t="shared" si="73"/>
        <v>E7_3_2_1</v>
      </c>
      <c r="E442" s="31" t="str">
        <f t="shared" si="74"/>
        <v>E7_3_2_1_Kcat : 13.7</v>
      </c>
      <c r="F442" s="31" t="str">
        <f t="shared" si="75"/>
        <v>E7_3_2_1_Km :1</v>
      </c>
      <c r="G442" s="31" t="str">
        <f t="shared" si="76"/>
        <v>E7_3_2_1_mRNA:E7_3_2_1_mRNA</v>
      </c>
      <c r="H442" s="31" t="str">
        <f t="shared" si="77"/>
        <v>E7_3_2_1:E7_3_2_1</v>
      </c>
      <c r="I442" s="31" t="str">
        <f t="shared" si="78"/>
        <v>E7_3_2_1_mRNA:0</v>
      </c>
      <c r="J442" s="31" t="str">
        <f t="shared" si="79"/>
        <v>E7_3_2_1:0</v>
      </c>
      <c r="K442" s="31" t="str">
        <f t="shared" si="80"/>
        <v>0.00292 - (0.0093 * E7_3_2_1_mRNA)</v>
      </c>
      <c r="L442" s="31" t="str">
        <f t="shared" si="81"/>
        <v>(0.278 * E7_3_2_1_mRNA) - (0.00000278 * E7_3_2_1)</v>
      </c>
      <c r="M442" s="31" t="str">
        <f t="shared" si="82"/>
        <v>mRNA441: -&gt; E7_3_2_1_mRNA | 0.00292 - (0.0093 * E7_3_2_1_mRNA)</v>
      </c>
      <c r="N442" s="31" t="str">
        <f t="shared" si="83"/>
        <v>Peptide441:E7_3_2_1_mRNA -&gt; E7_3_2_1 | (0.278 * E7_3_2_1_mRNA) -  (0.00000278 * E7_3_2_1)</v>
      </c>
    </row>
    <row r="443" spans="1:14" ht="29" x14ac:dyDescent="0.35">
      <c r="A443" s="31">
        <v>442</v>
      </c>
      <c r="B443" s="31" t="s">
        <v>14373</v>
      </c>
      <c r="C443" s="31" t="str">
        <f t="shared" si="72"/>
        <v>E7_3_2_2_mRNA</v>
      </c>
      <c r="D443" s="31" t="str">
        <f t="shared" si="73"/>
        <v>E7_3_2_2</v>
      </c>
      <c r="E443" s="31" t="str">
        <f t="shared" si="74"/>
        <v>E7_3_2_2_Kcat : 13.7</v>
      </c>
      <c r="F443" s="31" t="str">
        <f t="shared" si="75"/>
        <v>E7_3_2_2_Km :1</v>
      </c>
      <c r="G443" s="31" t="str">
        <f t="shared" si="76"/>
        <v>E7_3_2_2_mRNA:E7_3_2_2_mRNA</v>
      </c>
      <c r="H443" s="31" t="str">
        <f t="shared" si="77"/>
        <v>E7_3_2_2:E7_3_2_2</v>
      </c>
      <c r="I443" s="31" t="str">
        <f t="shared" si="78"/>
        <v>E7_3_2_2_mRNA:0</v>
      </c>
      <c r="J443" s="31" t="str">
        <f t="shared" si="79"/>
        <v>E7_3_2_2:0</v>
      </c>
      <c r="K443" s="31" t="str">
        <f t="shared" si="80"/>
        <v>0.00292 - (0.0093 * E7_3_2_2_mRNA)</v>
      </c>
      <c r="L443" s="31" t="str">
        <f t="shared" si="81"/>
        <v>(0.278 * E7_3_2_2_mRNA) - (0.00000278 * E7_3_2_2)</v>
      </c>
      <c r="M443" s="31" t="str">
        <f t="shared" si="82"/>
        <v>mRNA442: -&gt; E7_3_2_2_mRNA | 0.00292 - (0.0093 * E7_3_2_2_mRNA)</v>
      </c>
      <c r="N443" s="31" t="str">
        <f t="shared" si="83"/>
        <v>Peptide442:E7_3_2_2_mRNA -&gt; E7_3_2_2 | (0.278 * E7_3_2_2_mRNA) -  (0.00000278 * E7_3_2_2)</v>
      </c>
    </row>
    <row r="444" spans="1:14" ht="43.5" x14ac:dyDescent="0.35">
      <c r="A444" s="31">
        <v>443</v>
      </c>
      <c r="B444" s="31" t="s">
        <v>14374</v>
      </c>
      <c r="C444" s="31" t="str">
        <f t="shared" si="72"/>
        <v>E7_4_2_11_mRNA</v>
      </c>
      <c r="D444" s="31" t="str">
        <f t="shared" si="73"/>
        <v>E7_4_2_11</v>
      </c>
      <c r="E444" s="31" t="str">
        <f t="shared" si="74"/>
        <v>E7_4_2_11_Kcat : 13.7</v>
      </c>
      <c r="F444" s="31" t="str">
        <f t="shared" si="75"/>
        <v>E7_4_2_11_Km :1</v>
      </c>
      <c r="G444" s="31" t="str">
        <f t="shared" si="76"/>
        <v>E7_4_2_11_mRNA:E7_4_2_11_mRNA</v>
      </c>
      <c r="H444" s="31" t="str">
        <f t="shared" si="77"/>
        <v>E7_4_2_11:E7_4_2_11</v>
      </c>
      <c r="I444" s="31" t="str">
        <f t="shared" si="78"/>
        <v>E7_4_2_11_mRNA:0</v>
      </c>
      <c r="J444" s="31" t="str">
        <f t="shared" si="79"/>
        <v>E7_4_2_11:0</v>
      </c>
      <c r="K444" s="31" t="str">
        <f t="shared" si="80"/>
        <v>0.00292 - (0.0093 * E7_4_2_11_mRNA)</v>
      </c>
      <c r="L444" s="31" t="str">
        <f t="shared" si="81"/>
        <v>(0.278 * E7_4_2_11_mRNA) - (0.00000278 * E7_4_2_11)</v>
      </c>
      <c r="M444" s="31" t="str">
        <f t="shared" si="82"/>
        <v>mRNA443: -&gt; E7_4_2_11_mRNA | 0.00292 - (0.0093 * E7_4_2_11_mRNA)</v>
      </c>
      <c r="N444" s="31" t="str">
        <f t="shared" si="83"/>
        <v>Peptide443:E7_4_2_11_mRNA -&gt; E7_4_2_11 | (0.278 * E7_4_2_11_mRNA) -  (0.00000278 * E7_4_2_11)</v>
      </c>
    </row>
    <row r="445" spans="1:14" ht="29" x14ac:dyDescent="0.35">
      <c r="A445" s="31">
        <v>444</v>
      </c>
      <c r="B445" s="31" t="s">
        <v>14523</v>
      </c>
      <c r="C445" s="31" t="str">
        <f t="shared" ref="C445" si="84">CONCATENATE(D445,"_mRNA")</f>
        <v>E2_7_1_1_mRNA</v>
      </c>
      <c r="D445" s="31" t="str">
        <f t="shared" ref="D445" si="85">CONCATENATE("E",B445)</f>
        <v>E2_7_1_1</v>
      </c>
      <c r="E445" s="31" t="str">
        <f t="shared" ref="E445" si="86">CONCATENATE(D445,"_Kcat : 13.7")</f>
        <v>E2_7_1_1_Kcat : 13.7</v>
      </c>
      <c r="F445" s="31" t="str">
        <f t="shared" ref="F445" si="87">CONCATENATE(D445,"_Km :1")</f>
        <v>E2_7_1_1_Km :1</v>
      </c>
      <c r="G445" s="31" t="str">
        <f t="shared" ref="G445" si="88">CONCATENATE(C445,":",C445)</f>
        <v>E2_7_1_1_mRNA:E2_7_1_1_mRNA</v>
      </c>
      <c r="H445" s="31" t="str">
        <f t="shared" ref="H445" si="89">CONCATENATE(D445,":",D445)</f>
        <v>E2_7_1_1:E2_7_1_1</v>
      </c>
      <c r="I445" s="31" t="str">
        <f t="shared" ref="I445" si="90">CONCATENATE(C445,":","0")</f>
        <v>E2_7_1_1_mRNA:0</v>
      </c>
      <c r="J445" s="31" t="str">
        <f t="shared" ref="J445" si="91">CONCATENATE(D445,":","0")</f>
        <v>E2_7_1_1:0</v>
      </c>
      <c r="K445" s="31" t="str">
        <f t="shared" ref="K445" si="92">CONCATENATE("0.00292 - (0.0093 * ",C445,")")</f>
        <v>0.00292 - (0.0093 * E2_7_1_1_mRNA)</v>
      </c>
      <c r="L445" s="31" t="str">
        <f t="shared" ref="L445" si="93">CONCATENATE("(0.278 * ",C445,")", " - (0.00000278 * ",D445,")")</f>
        <v>(0.278 * E2_7_1_1_mRNA) - (0.00000278 * E2_7_1_1)</v>
      </c>
      <c r="M445" s="31" t="str">
        <f t="shared" ref="M445" si="94">CONCATENATE("mRNA",A445,": -&gt; ",C445," | ","0.00292", " -"," (","0.0093"," * ",C445,")")</f>
        <v>mRNA444: -&gt; E2_7_1_1_mRNA | 0.00292 - (0.0093 * E2_7_1_1_mRNA)</v>
      </c>
      <c r="N445" s="31" t="str">
        <f t="shared" ref="N445" si="95">CONCATENATE("Peptide",A445,":",C445," -&gt; ",D445," | ","(","0.278"," * ",C445,")"," - "," (","0.00000278"," * ",D445,")")</f>
        <v>Peptide444:E2_7_1_1_mRNA -&gt; E2_7_1_1 | (0.278 * E2_7_1_1_mRNA) -  (0.00000278 * E2_7_1_1)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939D-D8F4-4492-A60A-4BA60E99A7DD}">
  <dimension ref="A1:K1154"/>
  <sheetViews>
    <sheetView tabSelected="1" workbookViewId="0"/>
  </sheetViews>
  <sheetFormatPr defaultRowHeight="14.5" x14ac:dyDescent="0.35"/>
  <cols>
    <col min="1" max="1" width="18.08984375" style="1" customWidth="1"/>
    <col min="2" max="2" width="16.08984375" style="1" customWidth="1"/>
    <col min="3" max="3" width="13.08984375" style="1" customWidth="1"/>
    <col min="4" max="4" width="7.26953125" style="1" customWidth="1"/>
    <col min="5" max="5" width="15.36328125" style="1" customWidth="1"/>
    <col min="6" max="9" width="25.6328125" style="1" customWidth="1"/>
    <col min="10" max="10" width="66.6328125" style="1" customWidth="1"/>
    <col min="11" max="11" width="90.7265625" style="1" customWidth="1"/>
    <col min="12" max="16384" width="8.7265625" style="1"/>
  </cols>
  <sheetData>
    <row r="1" spans="1:11" s="30" customFormat="1" x14ac:dyDescent="0.35">
      <c r="A1" s="34" t="s">
        <v>10</v>
      </c>
      <c r="B1" s="34" t="s">
        <v>12</v>
      </c>
      <c r="C1" s="34" t="s">
        <v>13847</v>
      </c>
      <c r="D1" s="34" t="s">
        <v>13848</v>
      </c>
      <c r="E1" s="34" t="s">
        <v>13849</v>
      </c>
      <c r="F1" s="34" t="s">
        <v>13850</v>
      </c>
      <c r="G1" s="34" t="s">
        <v>13851</v>
      </c>
      <c r="H1" s="34" t="s">
        <v>13852</v>
      </c>
      <c r="I1" s="34" t="s">
        <v>13853</v>
      </c>
      <c r="J1" s="34" t="s">
        <v>13854</v>
      </c>
      <c r="K1" s="34" t="s">
        <v>13855</v>
      </c>
    </row>
    <row r="2" spans="1:11" ht="29" x14ac:dyDescent="0.35">
      <c r="A2" s="31" t="s">
        <v>7685</v>
      </c>
      <c r="B2" s="31" t="s">
        <v>7686</v>
      </c>
      <c r="C2" s="31" t="s">
        <v>13927</v>
      </c>
      <c r="D2" s="31">
        <v>1</v>
      </c>
      <c r="E2" s="31" t="str">
        <f>CONCATENATE("E",C2)</f>
        <v>E1_1_1_1</v>
      </c>
      <c r="F2" s="31" t="s">
        <v>11540</v>
      </c>
      <c r="G2" s="31" t="str">
        <f>SUBSTITUTE(F2,"+","*")</f>
        <v xml:space="preserve">C00226 * C00003 </v>
      </c>
      <c r="H2" s="31" t="s">
        <v>11541</v>
      </c>
      <c r="I2" s="31" t="str">
        <f>SUBSTITUTE(H2,"+","*")</f>
        <v> C00071 * C00004 * C00080</v>
      </c>
      <c r="J2" s="31" t="str">
        <f>CONCATENATE("(${Variables: ",E2,"_Kcat ","} * ",E2," * ",G2,")"," /(${Variables:",E2,"_Km","} + (",E2," * ",G2,"))")</f>
        <v>(${Variables: E1_1_1_1_Kcat } * E1_1_1_1 * C00226 * C00003 ) /(${Variables:E1_1_1_1_Km} + (E1_1_1_1 * C00226 * C00003 ))</v>
      </c>
      <c r="K2" s="32" t="str">
        <f>CONCATENATE("r",D2,": ",F2," -&gt; ",H2," | ",J2)</f>
        <v>r1: C00226 + C00003  -&gt;  C00071 + C00004 + C00080 | (${Variables: E1_1_1_1_Kcat } * E1_1_1_1 * C00226 * C00003 ) /(${Variables:E1_1_1_1_Km} + (E1_1_1_1 * C00226 * C00003 ))</v>
      </c>
    </row>
    <row r="3" spans="1:11" ht="29" x14ac:dyDescent="0.35">
      <c r="A3" s="31" t="s">
        <v>7685</v>
      </c>
      <c r="B3" s="31" t="s">
        <v>7686</v>
      </c>
      <c r="C3" s="31" t="s">
        <v>13927</v>
      </c>
      <c r="D3" s="31">
        <v>2</v>
      </c>
      <c r="E3" s="31" t="str">
        <f t="shared" ref="E3:E66" si="0">CONCATENATE("E",C3)</f>
        <v>E1_1_1_1</v>
      </c>
      <c r="F3" s="31" t="s">
        <v>8860</v>
      </c>
      <c r="G3" s="31" t="str">
        <f t="shared" ref="G3:G66" si="1">SUBSTITUTE(F3,"+","*")</f>
        <v>C00469 * C00003</v>
      </c>
      <c r="H3" s="31" t="s">
        <v>11543</v>
      </c>
      <c r="I3" s="31" t="str">
        <f t="shared" ref="I3:I66" si="2">SUBSTITUTE(H3,"+","*")</f>
        <v> C00084 * C00004 * C00080</v>
      </c>
      <c r="J3" s="31" t="str">
        <f t="shared" ref="J3:J66" si="3">CONCATENATE("(${Variables: ",E3,"_Kcat ","} * ",E3," * ",G3,")"," /(${Variables:",E3,"_Km","} + (",E3," * ",G3,"))")</f>
        <v>(${Variables: E1_1_1_1_Kcat } * E1_1_1_1 * C00469 * C00003) /(${Variables:E1_1_1_1_Km} + (E1_1_1_1 * C00469 * C00003))</v>
      </c>
      <c r="K3" s="32" t="str">
        <f t="shared" ref="K3:K66" si="4">CONCATENATE("r",D3,": ",F3," -&gt; ",H3," | ",J3)</f>
        <v>r2: C00469 + C00003 -&gt;  C00084 + C00004 + C00080 | (${Variables: E1_1_1_1_Kcat } * E1_1_1_1 * C00469 * C00003) /(${Variables:E1_1_1_1_Km} + (E1_1_1_1 * C00469 * C00003))</v>
      </c>
    </row>
    <row r="4" spans="1:11" ht="58" x14ac:dyDescent="0.35">
      <c r="A4" s="31" t="s">
        <v>7685</v>
      </c>
      <c r="B4" s="31" t="s">
        <v>7686</v>
      </c>
      <c r="C4" s="31" t="s">
        <v>13927</v>
      </c>
      <c r="D4" s="31">
        <v>3</v>
      </c>
      <c r="E4" s="31" t="str">
        <f t="shared" si="0"/>
        <v>E1_1_1_1</v>
      </c>
      <c r="F4" s="31" t="s">
        <v>11545</v>
      </c>
      <c r="G4" s="31" t="str">
        <f t="shared" si="1"/>
        <v xml:space="preserve">	
C00473 * C00003</v>
      </c>
      <c r="H4" s="31" t="s">
        <v>11546</v>
      </c>
      <c r="I4" s="31" t="str">
        <f t="shared" si="2"/>
        <v xml:space="preserve"> C00376 * C00004 * C00080</v>
      </c>
      <c r="J4" s="31" t="str">
        <f t="shared" si="3"/>
        <v>(${Variables: E1_1_1_1_Kcat } * E1_1_1_1 * 	
C00473 * C00003) /(${Variables:E1_1_1_1_Km} + (E1_1_1_1 * 	
C00473 * C00003))</v>
      </c>
      <c r="K4" s="32" t="str">
        <f>CONCATENATE("r",D4,": ",F4," -&gt; ",H4," | ",J4)</f>
        <v>r3: 	
C00473 + C00003 -&gt;  C00376 + C00004 + C00080 | (${Variables: E1_1_1_1_Kcat } * E1_1_1_1 * 	
C00473 * C00003) /(${Variables:E1_1_1_1_Km} + (E1_1_1_1 * 	
C00473 * C00003))</v>
      </c>
    </row>
    <row r="5" spans="1:11" ht="29" x14ac:dyDescent="0.35">
      <c r="A5" s="31" t="s">
        <v>7685</v>
      </c>
      <c r="B5" s="31" t="s">
        <v>7686</v>
      </c>
      <c r="C5" s="31" t="s">
        <v>13927</v>
      </c>
      <c r="D5" s="31">
        <v>4</v>
      </c>
      <c r="E5" s="31" t="str">
        <f t="shared" si="0"/>
        <v>E1_1_1_1</v>
      </c>
      <c r="F5" s="31" t="s">
        <v>8861</v>
      </c>
      <c r="G5" s="31" t="str">
        <f t="shared" si="1"/>
        <v>C00756 * C00003</v>
      </c>
      <c r="H5" s="31" t="s">
        <v>11548</v>
      </c>
      <c r="I5" s="31" t="str">
        <f t="shared" si="2"/>
        <v> C01545 * C00004 * C00080</v>
      </c>
      <c r="J5" s="31" t="str">
        <f t="shared" si="3"/>
        <v>(${Variables: E1_1_1_1_Kcat } * E1_1_1_1 * C00756 * C00003) /(${Variables:E1_1_1_1_Km} + (E1_1_1_1 * C00756 * C00003))</v>
      </c>
      <c r="K5" s="32" t="str">
        <f t="shared" si="4"/>
        <v>r4: C00756 + C00003 -&gt;  C01545 + C00004 + C00080 | (${Variables: E1_1_1_1_Kcat } * E1_1_1_1 * C00756 * C00003) /(${Variables:E1_1_1_1_Km} + (E1_1_1_1 * C00756 * C00003))</v>
      </c>
    </row>
    <row r="6" spans="1:11" ht="58" x14ac:dyDescent="0.35">
      <c r="A6" s="31" t="s">
        <v>7685</v>
      </c>
      <c r="B6" s="31" t="s">
        <v>7686</v>
      </c>
      <c r="C6" s="31" t="s">
        <v>13927</v>
      </c>
      <c r="D6" s="31">
        <v>5</v>
      </c>
      <c r="E6" s="31" t="str">
        <f t="shared" si="0"/>
        <v>E1_1_1_1</v>
      </c>
      <c r="F6" s="31" t="s">
        <v>11550</v>
      </c>
      <c r="G6" s="31" t="str">
        <f t="shared" si="1"/>
        <v xml:space="preserve">	
C05444 * C00003 </v>
      </c>
      <c r="H6" s="31" t="s">
        <v>11551</v>
      </c>
      <c r="I6" s="31" t="str">
        <f t="shared" si="2"/>
        <v>C05445 * C00004 * C00080</v>
      </c>
      <c r="J6" s="31" t="str">
        <f t="shared" si="3"/>
        <v>(${Variables: E1_1_1_1_Kcat } * E1_1_1_1 * 	
C05444 * C00003 ) /(${Variables:E1_1_1_1_Km} + (E1_1_1_1 * 	
C05444 * C00003 ))</v>
      </c>
      <c r="K6" s="32" t="str">
        <f t="shared" si="4"/>
        <v>r5: 	
C05444 + C00003  -&gt; C05445 + C00004 + C00080 | (${Variables: E1_1_1_1_Kcat } * E1_1_1_1 * 	
C05444 * C00003 ) /(${Variables:E1_1_1_1_Km} + (E1_1_1_1 * 	
C05444 * C00003 ))</v>
      </c>
    </row>
    <row r="7" spans="1:11" ht="58" x14ac:dyDescent="0.35">
      <c r="A7" s="31" t="s">
        <v>7685</v>
      </c>
      <c r="B7" s="31" t="s">
        <v>7686</v>
      </c>
      <c r="C7" s="31" t="s">
        <v>13927</v>
      </c>
      <c r="D7" s="31">
        <v>6</v>
      </c>
      <c r="E7" s="31" t="str">
        <f t="shared" si="0"/>
        <v>E1_1_1_1</v>
      </c>
      <c r="F7" s="31" t="s">
        <v>11553</v>
      </c>
      <c r="G7" s="31" t="str">
        <f t="shared" si="1"/>
        <v xml:space="preserve">	
C05576 * C00003</v>
      </c>
      <c r="H7" s="31" t="s">
        <v>8862</v>
      </c>
      <c r="I7" s="31" t="str">
        <f t="shared" si="2"/>
        <v>C05577 * C00004 * C00080</v>
      </c>
      <c r="J7" s="31" t="str">
        <f t="shared" si="3"/>
        <v>(${Variables: E1_1_1_1_Kcat } * E1_1_1_1 * 	
C05576 * C00003) /(${Variables:E1_1_1_1_Km} + (E1_1_1_1 * 	
C05576 * C00003))</v>
      </c>
      <c r="K7" s="32" t="str">
        <f t="shared" si="4"/>
        <v>r6: 	
C05576 + C00003 -&gt; C05577 + C00004 + C00080 | (${Variables: E1_1_1_1_Kcat } * E1_1_1_1 * 	
C05576 * C00003) /(${Variables:E1_1_1_1_Km} + (E1_1_1_1 * 	
C05576 * C00003))</v>
      </c>
    </row>
    <row r="8" spans="1:11" ht="58" x14ac:dyDescent="0.35">
      <c r="A8" s="31" t="s">
        <v>7685</v>
      </c>
      <c r="B8" s="31" t="s">
        <v>7686</v>
      </c>
      <c r="C8" s="31" t="s">
        <v>13927</v>
      </c>
      <c r="D8" s="31">
        <v>7</v>
      </c>
      <c r="E8" s="31" t="str">
        <f t="shared" si="0"/>
        <v>E1_1_1_1</v>
      </c>
      <c r="F8" s="31" t="s">
        <v>11555</v>
      </c>
      <c r="G8" s="31" t="str">
        <f t="shared" si="1"/>
        <v xml:space="preserve">	
C06611 * C00003 </v>
      </c>
      <c r="H8" s="31" t="s">
        <v>11556</v>
      </c>
      <c r="I8" s="31" t="str">
        <f t="shared" si="2"/>
        <v>C06613 * C00004 * C00080</v>
      </c>
      <c r="J8" s="31" t="str">
        <f t="shared" si="3"/>
        <v>(${Variables: E1_1_1_1_Kcat } * E1_1_1_1 * 	
C06611 * C00003 ) /(${Variables:E1_1_1_1_Km} + (E1_1_1_1 * 	
C06611 * C00003 ))</v>
      </c>
      <c r="K8" s="32" t="str">
        <f t="shared" si="4"/>
        <v>r7: 	
C06611 + C00003  -&gt; C06613 + C00004 + C00080 | (${Variables: E1_1_1_1_Kcat } * E1_1_1_1 * 	
C06611 * C00003 ) /(${Variables:E1_1_1_1_Km} + (E1_1_1_1 * 	
C06611 * C00003 ))</v>
      </c>
    </row>
    <row r="9" spans="1:11" ht="29" x14ac:dyDescent="0.35">
      <c r="A9" s="31" t="s">
        <v>7685</v>
      </c>
      <c r="B9" s="31" t="s">
        <v>7686</v>
      </c>
      <c r="C9" s="31" t="s">
        <v>13927</v>
      </c>
      <c r="D9" s="31">
        <v>8</v>
      </c>
      <c r="E9" s="31" t="str">
        <f t="shared" si="0"/>
        <v>E1_1_1_1</v>
      </c>
      <c r="F9" s="31" t="s">
        <v>11558</v>
      </c>
      <c r="G9" s="31" t="str">
        <f t="shared" si="1"/>
        <v>C06612 * C00003</v>
      </c>
      <c r="H9" s="31" t="s">
        <v>11559</v>
      </c>
      <c r="I9" s="31" t="str">
        <f t="shared" si="2"/>
        <v> C16348 * C00004 * C00080</v>
      </c>
      <c r="J9" s="31" t="str">
        <f t="shared" si="3"/>
        <v>(${Variables: E1_1_1_1_Kcat } * E1_1_1_1 * C06612 * C00003) /(${Variables:E1_1_1_1_Km} + (E1_1_1_1 * C06612 * C00003))</v>
      </c>
      <c r="K9" s="32" t="str">
        <f t="shared" si="4"/>
        <v>r8: C06612 + C00003 -&gt;  C16348 + C00004 + C00080 | (${Variables: E1_1_1_1_Kcat } * E1_1_1_1 * C06612 * C00003) /(${Variables:E1_1_1_1_Km} + (E1_1_1_1 * C06612 * C00003))</v>
      </c>
    </row>
    <row r="10" spans="1:11" ht="58" x14ac:dyDescent="0.35">
      <c r="A10" s="31" t="s">
        <v>7685</v>
      </c>
      <c r="B10" s="31" t="s">
        <v>7686</v>
      </c>
      <c r="C10" s="31" t="s">
        <v>13927</v>
      </c>
      <c r="D10" s="31">
        <v>9</v>
      </c>
      <c r="E10" s="31" t="str">
        <f t="shared" si="0"/>
        <v>E1_1_1_1</v>
      </c>
      <c r="F10" s="31" t="s">
        <v>11561</v>
      </c>
      <c r="G10" s="31" t="str">
        <f t="shared" si="1"/>
        <v xml:space="preserve">	
C14089 * C00003</v>
      </c>
      <c r="H10" s="31" t="s">
        <v>8863</v>
      </c>
      <c r="I10" s="31" t="str">
        <f t="shared" si="2"/>
        <v> C14090 * C00004 * C00080</v>
      </c>
      <c r="J10" s="31" t="str">
        <f t="shared" si="3"/>
        <v>(${Variables: E1_1_1_1_Kcat } * E1_1_1_1 * 	
C14089 * C00003) /(${Variables:E1_1_1_1_Km} + (E1_1_1_1 * 	
C14089 * C00003))</v>
      </c>
      <c r="K10" s="32" t="str">
        <f t="shared" si="4"/>
        <v>r9: 	
C14089 + C00003 -&gt;  C14090 + C00004 + C00080 | (${Variables: E1_1_1_1_Kcat } * E1_1_1_1 * 	
C14089 * C00003) /(${Variables:E1_1_1_1_Km} + (E1_1_1_1 * 	
C14089 * C00003))</v>
      </c>
    </row>
    <row r="11" spans="1:11" ht="29" x14ac:dyDescent="0.35">
      <c r="A11" s="31" t="s">
        <v>7685</v>
      </c>
      <c r="B11" s="31" t="s">
        <v>7686</v>
      </c>
      <c r="C11" s="31" t="s">
        <v>13927</v>
      </c>
      <c r="D11" s="31">
        <v>10</v>
      </c>
      <c r="E11" s="31" t="str">
        <f t="shared" si="0"/>
        <v>E1_1_1_1</v>
      </c>
      <c r="F11" s="31" t="s">
        <v>11563</v>
      </c>
      <c r="G11" s="31" t="str">
        <f t="shared" si="1"/>
        <v xml:space="preserve">C02909 * C00003 </v>
      </c>
      <c r="H11" s="31" t="s">
        <v>11564</v>
      </c>
      <c r="I11" s="31" t="str">
        <f t="shared" si="2"/>
        <v> C14099 * C00004 * C00080</v>
      </c>
      <c r="J11" s="31" t="str">
        <f t="shared" si="3"/>
        <v>(${Variables: E1_1_1_1_Kcat } * E1_1_1_1 * C02909 * C00003 ) /(${Variables:E1_1_1_1_Km} + (E1_1_1_1 * C02909 * C00003 ))</v>
      </c>
      <c r="K11" s="32" t="str">
        <f t="shared" si="4"/>
        <v>r10: C02909 + C00003  -&gt;  C14099 + C00004 + C00080 | (${Variables: E1_1_1_1_Kcat } * E1_1_1_1 * C02909 * C00003 ) /(${Variables:E1_1_1_1_Km} + (E1_1_1_1 * C02909 * C00003 ))</v>
      </c>
    </row>
    <row r="12" spans="1:11" ht="58" x14ac:dyDescent="0.35">
      <c r="A12" s="31" t="s">
        <v>7685</v>
      </c>
      <c r="B12" s="31" t="s">
        <v>7686</v>
      </c>
      <c r="C12" s="31" t="s">
        <v>13927</v>
      </c>
      <c r="D12" s="31">
        <v>11</v>
      </c>
      <c r="E12" s="31" t="str">
        <f t="shared" si="0"/>
        <v>E1_1_1_1</v>
      </c>
      <c r="F12" s="31" t="s">
        <v>11566</v>
      </c>
      <c r="G12" s="31" t="str">
        <f t="shared" si="1"/>
        <v xml:space="preserve">	
C07645 * C00004 * C00080</v>
      </c>
      <c r="H12" s="31" t="s">
        <v>11567</v>
      </c>
      <c r="I12" s="31" t="str">
        <f t="shared" si="2"/>
        <v> C16551 * C00003</v>
      </c>
      <c r="J12" s="31" t="str">
        <f t="shared" si="3"/>
        <v>(${Variables: E1_1_1_1_Kcat } * E1_1_1_1 * 	
C07645 * C00004 * C00080) /(${Variables:E1_1_1_1_Km} + (E1_1_1_1 * 	
C07645 * C00004 * C00080))</v>
      </c>
      <c r="K12" s="32" t="str">
        <f t="shared" si="4"/>
        <v>r11: 	
C07645 + C00004 + C00080 -&gt;  C16551 + C00003 | (${Variables: E1_1_1_1_Kcat } * E1_1_1_1 * 	
C07645 * C00004 * C00080) /(${Variables:E1_1_1_1_Km} + (E1_1_1_1 * 	
C07645 * C00004 * C00080))</v>
      </c>
    </row>
    <row r="13" spans="1:11" ht="58" x14ac:dyDescent="0.35">
      <c r="A13" s="31" t="s">
        <v>7685</v>
      </c>
      <c r="B13" s="31" t="s">
        <v>7686</v>
      </c>
      <c r="C13" s="31" t="s">
        <v>13927</v>
      </c>
      <c r="D13" s="31">
        <v>12</v>
      </c>
      <c r="E13" s="31" t="str">
        <f t="shared" si="0"/>
        <v>E1_1_1_1</v>
      </c>
      <c r="F13" s="31" t="s">
        <v>11569</v>
      </c>
      <c r="G13" s="31" t="str">
        <f t="shared" si="1"/>
        <v xml:space="preserve">	
C16586 * C00003 </v>
      </c>
      <c r="H13" s="31" t="s">
        <v>11570</v>
      </c>
      <c r="I13" s="31" t="str">
        <f t="shared" si="2"/>
        <v> C16587 * C00004 * C00080</v>
      </c>
      <c r="J13" s="31" t="str">
        <f t="shared" si="3"/>
        <v>(${Variables: E1_1_1_1_Kcat } * E1_1_1_1 * 	
C16586 * C00003 ) /(${Variables:E1_1_1_1_Km} + (E1_1_1_1 * 	
C16586 * C00003 ))</v>
      </c>
      <c r="K13" s="32" t="str">
        <f t="shared" si="4"/>
        <v>r12: 	
C16586 + C00003  -&gt;  C16587 + C00004 + C00080 | (${Variables: E1_1_1_1_Kcat } * E1_1_1_1 * 	
C16586 * C00003 ) /(${Variables:E1_1_1_1_Km} + (E1_1_1_1 * 	
C16586 * C00003 ))</v>
      </c>
    </row>
    <row r="14" spans="1:11" ht="29" x14ac:dyDescent="0.35">
      <c r="A14" s="31" t="s">
        <v>7685</v>
      </c>
      <c r="B14" s="31" t="s">
        <v>7686</v>
      </c>
      <c r="C14" s="31" t="s">
        <v>13927</v>
      </c>
      <c r="D14" s="31">
        <v>13</v>
      </c>
      <c r="E14" s="31" t="str">
        <f t="shared" si="0"/>
        <v>E1_1_1_1</v>
      </c>
      <c r="F14" s="31" t="s">
        <v>8864</v>
      </c>
      <c r="G14" s="31" t="str">
        <f t="shared" si="1"/>
        <v>C00114 * C00003</v>
      </c>
      <c r="H14" s="31" t="s">
        <v>11572</v>
      </c>
      <c r="I14" s="31" t="str">
        <f t="shared" si="2"/>
        <v>C00576 * C00004 * C00080</v>
      </c>
      <c r="J14" s="31" t="str">
        <f t="shared" si="3"/>
        <v>(${Variables: E1_1_1_1_Kcat } * E1_1_1_1 * C00114 * C00003) /(${Variables:E1_1_1_1_Km} + (E1_1_1_1 * C00114 * C00003))</v>
      </c>
      <c r="K14" s="32" t="str">
        <f t="shared" si="4"/>
        <v>r13: C00114 + C00003 -&gt; C00576 + C00004 + C00080 | (${Variables: E1_1_1_1_Kcat } * E1_1_1_1 * C00114 * C00003) /(${Variables:E1_1_1_1_Km} + (E1_1_1_1 * C00114 * C00003))</v>
      </c>
    </row>
    <row r="15" spans="1:11" ht="58" x14ac:dyDescent="0.35">
      <c r="A15" s="31" t="s">
        <v>7685</v>
      </c>
      <c r="B15" s="31" t="s">
        <v>7686</v>
      </c>
      <c r="C15" s="31" t="s">
        <v>13927</v>
      </c>
      <c r="D15" s="31">
        <v>14</v>
      </c>
      <c r="E15" s="31" t="str">
        <f t="shared" si="0"/>
        <v>E1_1_1_1</v>
      </c>
      <c r="F15" s="31" t="s">
        <v>11574</v>
      </c>
      <c r="G15" s="31" t="str">
        <f t="shared" si="1"/>
        <v xml:space="preserve">	
C00114 * C00006</v>
      </c>
      <c r="H15" s="31" t="s">
        <v>11575</v>
      </c>
      <c r="I15" s="31" t="str">
        <f t="shared" si="2"/>
        <v> C00576 * C00005 * C00080</v>
      </c>
      <c r="J15" s="31" t="str">
        <f t="shared" si="3"/>
        <v>(${Variables: E1_1_1_1_Kcat } * E1_1_1_1 * 	
C00114 * C00006) /(${Variables:E1_1_1_1_Km} + (E1_1_1_1 * 	
C00114 * C00006))</v>
      </c>
      <c r="K15" s="32" t="str">
        <f t="shared" si="4"/>
        <v>r14: 	
C00114 + C00006 -&gt;  C00576 + C00005 + C00080 | (${Variables: E1_1_1_1_Kcat } * E1_1_1_1 * 	
C00114 * C00006) /(${Variables:E1_1_1_1_Km} + (E1_1_1_1 * 	
C00114 * C00006))</v>
      </c>
    </row>
    <row r="16" spans="1:11" ht="58" x14ac:dyDescent="0.35">
      <c r="A16" s="31" t="s">
        <v>7685</v>
      </c>
      <c r="B16" s="31" t="s">
        <v>7686</v>
      </c>
      <c r="C16" s="31" t="s">
        <v>13927</v>
      </c>
      <c r="D16" s="31">
        <v>15</v>
      </c>
      <c r="E16" s="31" t="str">
        <f t="shared" si="0"/>
        <v>E1_1_1_1</v>
      </c>
      <c r="F16" s="31" t="s">
        <v>11577</v>
      </c>
      <c r="G16" s="31" t="str">
        <f t="shared" si="1"/>
        <v xml:space="preserve">	
C16310 * C00004 * C00080</v>
      </c>
      <c r="H16" s="31" t="s">
        <v>11578</v>
      </c>
      <c r="I16" s="31" t="str">
        <f t="shared" si="2"/>
        <v> C08492 * C00003</v>
      </c>
      <c r="J16" s="31" t="str">
        <f t="shared" si="3"/>
        <v>(${Variables: E1_1_1_1_Kcat } * E1_1_1_1 * 	
C16310 * C00004 * C00080) /(${Variables:E1_1_1_1_Km} + (E1_1_1_1 * 	
C16310 * C00004 * C00080))</v>
      </c>
      <c r="K16" s="32" t="str">
        <f t="shared" si="4"/>
        <v>r15: 	
C16310 + C00004 + C00080 -&gt;  C08492 + C00003 | (${Variables: E1_1_1_1_Kcat } * E1_1_1_1 * 	
C16310 * C00004 * C00080) /(${Variables:E1_1_1_1_Km} + (E1_1_1_1 * 	
C16310 * C00004 * C00080))</v>
      </c>
    </row>
    <row r="17" spans="1:11" ht="58" x14ac:dyDescent="0.35">
      <c r="A17" s="31" t="s">
        <v>7685</v>
      </c>
      <c r="B17" s="31" t="s">
        <v>7686</v>
      </c>
      <c r="C17" s="31" t="s">
        <v>13927</v>
      </c>
      <c r="D17" s="31">
        <v>16</v>
      </c>
      <c r="E17" s="31" t="str">
        <f t="shared" si="0"/>
        <v>E1_1_1_1</v>
      </c>
      <c r="F17" s="31" t="s">
        <v>11580</v>
      </c>
      <c r="G17" s="31" t="str">
        <f t="shared" si="1"/>
        <v xml:space="preserve">	
C01612 * C00003</v>
      </c>
      <c r="H17" s="31" t="s">
        <v>8865</v>
      </c>
      <c r="I17" s="31" t="str">
        <f t="shared" si="2"/>
        <v>C01450 * C00004 * C00080</v>
      </c>
      <c r="J17" s="31" t="str">
        <f t="shared" si="3"/>
        <v>(${Variables: E1_1_1_1_Kcat } * E1_1_1_1 * 	
C01612 * C00003) /(${Variables:E1_1_1_1_Km} + (E1_1_1_1 * 	
C01612 * C00003))</v>
      </c>
      <c r="K17" s="32" t="str">
        <f t="shared" si="4"/>
        <v>r16: 	
C01612 + C00003 -&gt; C01450 + C00004 + C00080 | (${Variables: E1_1_1_1_Kcat } * E1_1_1_1 * 	
C01612 * C00003) /(${Variables:E1_1_1_1_Km} + (E1_1_1_1 * 	
C01612 * C00003))</v>
      </c>
    </row>
    <row r="18" spans="1:11" ht="58" x14ac:dyDescent="0.35">
      <c r="A18" s="31" t="s">
        <v>7685</v>
      </c>
      <c r="B18" s="31" t="s">
        <v>7686</v>
      </c>
      <c r="C18" s="31" t="s">
        <v>13927</v>
      </c>
      <c r="D18" s="31">
        <v>17</v>
      </c>
      <c r="E18" s="31" t="str">
        <f t="shared" si="0"/>
        <v>E1_1_1_1</v>
      </c>
      <c r="F18" s="31" t="s">
        <v>11582</v>
      </c>
      <c r="G18" s="31" t="str">
        <f t="shared" si="1"/>
        <v xml:space="preserve">	
C16595 * C00003</v>
      </c>
      <c r="H18" s="31" t="s">
        <v>8866</v>
      </c>
      <c r="I18" s="31" t="str">
        <f t="shared" si="2"/>
        <v>C16596 * C00004 * C00080</v>
      </c>
      <c r="J18" s="31" t="str">
        <f t="shared" si="3"/>
        <v>(${Variables: E1_1_1_1_Kcat } * E1_1_1_1 * 	
C16595 * C00003) /(${Variables:E1_1_1_1_Km} + (E1_1_1_1 * 	
C16595 * C00003))</v>
      </c>
      <c r="K18" s="32" t="str">
        <f t="shared" si="4"/>
        <v>r17: 	
C16595 + C00003 -&gt; C16596 + C00004 + C00080 | (${Variables: E1_1_1_1_Kcat } * E1_1_1_1 * 	
C16595 * C00003) /(${Variables:E1_1_1_1_Km} + (E1_1_1_1 * 	
C16595 * C00003))</v>
      </c>
    </row>
    <row r="19" spans="1:11" ht="58" x14ac:dyDescent="0.35">
      <c r="A19" s="31" t="s">
        <v>7685</v>
      </c>
      <c r="B19" s="31" t="s">
        <v>7686</v>
      </c>
      <c r="C19" s="31" t="s">
        <v>13927</v>
      </c>
      <c r="D19" s="31">
        <v>18</v>
      </c>
      <c r="E19" s="31" t="str">
        <f t="shared" si="0"/>
        <v>E1_1_1_1</v>
      </c>
      <c r="F19" s="31" t="s">
        <v>11584</v>
      </c>
      <c r="G19" s="31" t="str">
        <f t="shared" si="1"/>
        <v xml:space="preserve">	
C00418 * C00003</v>
      </c>
      <c r="H19" s="31" t="s">
        <v>8867</v>
      </c>
      <c r="I19" s="31" t="str">
        <f t="shared" si="2"/>
        <v>C00772 * C00004 * C00080</v>
      </c>
      <c r="J19" s="31" t="str">
        <f t="shared" si="3"/>
        <v>(${Variables: E1_1_1_1_Kcat } * E1_1_1_1 * 	
C00418 * C00003) /(${Variables:E1_1_1_1_Km} + (E1_1_1_1 * 	
C00418 * C00003))</v>
      </c>
      <c r="K19" s="32" t="str">
        <f t="shared" si="4"/>
        <v>r18: 	
C00418 + C00003 -&gt; C00772 + C00004 + C00080 | (${Variables: E1_1_1_1_Kcat } * E1_1_1_1 * 	
C00418 * C00003) /(${Variables:E1_1_1_1_Km} + (E1_1_1_1 * 	
C00418 * C00003))</v>
      </c>
    </row>
    <row r="20" spans="1:11" ht="58" x14ac:dyDescent="0.35">
      <c r="A20" s="31" t="s">
        <v>7685</v>
      </c>
      <c r="B20" s="31" t="s">
        <v>7686</v>
      </c>
      <c r="C20" s="31" t="s">
        <v>13927</v>
      </c>
      <c r="D20" s="31">
        <v>19</v>
      </c>
      <c r="E20" s="31" t="str">
        <f t="shared" si="0"/>
        <v>E1_1_1_1</v>
      </c>
      <c r="F20" s="31" t="s">
        <v>11586</v>
      </c>
      <c r="G20" s="31" t="str">
        <f t="shared" si="1"/>
        <v xml:space="preserve">	
C06899 * C00004 * C00080</v>
      </c>
      <c r="H20" s="31" t="s">
        <v>11587</v>
      </c>
      <c r="I20" s="31" t="str">
        <f t="shared" si="2"/>
        <v> C07490 * C00003 * C00001</v>
      </c>
      <c r="J20" s="31" t="str">
        <f t="shared" si="3"/>
        <v>(${Variables: E1_1_1_1_Kcat } * E1_1_1_1 * 	
C06899 * C00004 * C00080) /(${Variables:E1_1_1_1_Km} + (E1_1_1_1 * 	
C06899 * C00004 * C00080))</v>
      </c>
      <c r="K20" s="32" t="str">
        <f t="shared" si="4"/>
        <v>r19: 	
C06899 + C00004 + C00080 -&gt;  C07490 + C00003 + C00001 | (${Variables: E1_1_1_1_Kcat } * E1_1_1_1 * 	
C06899 * C00004 * C00080) /(${Variables:E1_1_1_1_Km} + (E1_1_1_1 * 	
C06899 * C00004 * C00080))</v>
      </c>
    </row>
    <row r="21" spans="1:11" ht="29" x14ac:dyDescent="0.35">
      <c r="A21" s="31" t="s">
        <v>2078</v>
      </c>
      <c r="B21" s="31" t="s">
        <v>2079</v>
      </c>
      <c r="C21" s="31" t="s">
        <v>13928</v>
      </c>
      <c r="D21" s="31">
        <v>20</v>
      </c>
      <c r="E21" s="31" t="str">
        <f t="shared" si="0"/>
        <v>E1_1_1_100</v>
      </c>
      <c r="F21" s="31" t="s">
        <v>11590</v>
      </c>
      <c r="G21" s="31" t="str">
        <f t="shared" si="1"/>
        <v>C01271 * C00006</v>
      </c>
      <c r="H21" s="31" t="s">
        <v>8868</v>
      </c>
      <c r="I21" s="31" t="str">
        <f t="shared" si="2"/>
        <v>C00685 * C00005 * C00080</v>
      </c>
      <c r="J21" s="31" t="str">
        <f t="shared" si="3"/>
        <v>(${Variables: E1_1_1_100_Kcat } * E1_1_1_100 * C01271 * C00006) /(${Variables:E1_1_1_100_Km} + (E1_1_1_100 * C01271 * C00006))</v>
      </c>
      <c r="K21" s="32" t="str">
        <f t="shared" si="4"/>
        <v>r20: C01271 + C00006 -&gt; C00685 + C00005 + C00080 | (${Variables: E1_1_1_100_Kcat } * E1_1_1_100 * C01271 * C00006) /(${Variables:E1_1_1_100_Km} + (E1_1_1_100 * C01271 * C00006))</v>
      </c>
    </row>
    <row r="22" spans="1:11" ht="58" x14ac:dyDescent="0.35">
      <c r="A22" s="31" t="s">
        <v>2078</v>
      </c>
      <c r="B22" s="31" t="s">
        <v>2079</v>
      </c>
      <c r="C22" s="31" t="s">
        <v>13928</v>
      </c>
      <c r="D22" s="31">
        <v>21</v>
      </c>
      <c r="E22" s="31" t="str">
        <f t="shared" si="0"/>
        <v>E1_1_1_100</v>
      </c>
      <c r="F22" s="31" t="s">
        <v>11591</v>
      </c>
      <c r="G22" s="31" t="str">
        <f t="shared" si="1"/>
        <v xml:space="preserve">	
C04618 * C00006 </v>
      </c>
      <c r="H22" s="31" t="s">
        <v>9387</v>
      </c>
      <c r="I22" s="31" t="str">
        <f t="shared" si="2"/>
        <v> C05744 * C00005 * C00080</v>
      </c>
      <c r="J22" s="31" t="str">
        <f t="shared" si="3"/>
        <v>(${Variables: E1_1_1_100_Kcat } * E1_1_1_100 * 	
C04618 * C00006 ) /(${Variables:E1_1_1_100_Km} + (E1_1_1_100 * 	
C04618 * C00006 ))</v>
      </c>
      <c r="K22" s="32" t="str">
        <f t="shared" si="4"/>
        <v>r21: 	
C04618 + C00006  -&gt;  C05744 + C00005 + C00080 | (${Variables: E1_1_1_100_Kcat } * E1_1_1_100 * 	
C04618 * C00006 ) /(${Variables:E1_1_1_100_Km} + (E1_1_1_100 * 	
C04618 * C00006 ))</v>
      </c>
    </row>
    <row r="23" spans="1:11" ht="58" x14ac:dyDescent="0.35">
      <c r="A23" s="31" t="s">
        <v>2078</v>
      </c>
      <c r="B23" s="31" t="s">
        <v>2079</v>
      </c>
      <c r="C23" s="31" t="s">
        <v>13928</v>
      </c>
      <c r="D23" s="31">
        <v>22</v>
      </c>
      <c r="E23" s="31" t="str">
        <f t="shared" si="0"/>
        <v>E1_1_1_100</v>
      </c>
      <c r="F23" s="31" t="s">
        <v>11592</v>
      </c>
      <c r="G23" s="31" t="str">
        <f t="shared" si="1"/>
        <v xml:space="preserve">	
C04619 * C00006</v>
      </c>
      <c r="H23" s="31" t="s">
        <v>8870</v>
      </c>
      <c r="I23" s="31" t="str">
        <f t="shared" si="2"/>
        <v>C05753 * C00005</v>
      </c>
      <c r="J23" s="31" t="str">
        <f t="shared" si="3"/>
        <v>(${Variables: E1_1_1_100_Kcat } * E1_1_1_100 * 	
C04619 * C00006) /(${Variables:E1_1_1_100_Km} + (E1_1_1_100 * 	
C04619 * C00006))</v>
      </c>
      <c r="K23" s="32" t="str">
        <f t="shared" si="4"/>
        <v>r22: 	
C04619 + C00006 -&gt; C05753 + C00005 | (${Variables: E1_1_1_100_Kcat } * E1_1_1_100 * 	
C04619 * C00006) /(${Variables:E1_1_1_100_Km} + (E1_1_1_100 * 	
C04619 * C00006))</v>
      </c>
    </row>
    <row r="24" spans="1:11" ht="58" x14ac:dyDescent="0.35">
      <c r="A24" s="31" t="s">
        <v>2078</v>
      </c>
      <c r="B24" s="31" t="s">
        <v>2079</v>
      </c>
      <c r="C24" s="31" t="s">
        <v>13928</v>
      </c>
      <c r="D24" s="31">
        <v>23</v>
      </c>
      <c r="E24" s="31" t="str">
        <f t="shared" si="0"/>
        <v>E1_1_1_100</v>
      </c>
      <c r="F24" s="31" t="s">
        <v>9394</v>
      </c>
      <c r="G24" s="31" t="str">
        <f t="shared" si="1"/>
        <v xml:space="preserve">	
C04620 * C00006</v>
      </c>
      <c r="H24" s="31" t="s">
        <v>8871</v>
      </c>
      <c r="I24" s="31" t="str">
        <f t="shared" si="2"/>
        <v>C05750 * C00005 * C00080</v>
      </c>
      <c r="J24" s="31" t="str">
        <f t="shared" si="3"/>
        <v>(${Variables: E1_1_1_100_Kcat } * E1_1_1_100 * 	
C04620 * C00006) /(${Variables:E1_1_1_100_Km} + (E1_1_1_100 * 	
C04620 * C00006))</v>
      </c>
      <c r="K24" s="32" t="str">
        <f t="shared" si="4"/>
        <v>r23: 	
C04620 + C00006 -&gt; C05750 + C00005 + C00080 | (${Variables: E1_1_1_100_Kcat } * E1_1_1_100 * 	
C04620 * C00006) /(${Variables:E1_1_1_100_Km} + (E1_1_1_100 * 	
C04620 * C00006))</v>
      </c>
    </row>
    <row r="25" spans="1:11" ht="58" x14ac:dyDescent="0.35">
      <c r="A25" s="31" t="s">
        <v>2078</v>
      </c>
      <c r="B25" s="31" t="s">
        <v>2079</v>
      </c>
      <c r="C25" s="31" t="s">
        <v>13928</v>
      </c>
      <c r="D25" s="31">
        <v>24</v>
      </c>
      <c r="E25" s="31" t="str">
        <f t="shared" si="0"/>
        <v>E1_1_1_100</v>
      </c>
      <c r="F25" s="31" t="s">
        <v>11593</v>
      </c>
      <c r="G25" s="31" t="str">
        <f t="shared" si="1"/>
        <v xml:space="preserve">	
C04633 * C00006</v>
      </c>
      <c r="H25" s="31" t="s">
        <v>8873</v>
      </c>
      <c r="I25" s="31" t="str">
        <f t="shared" si="2"/>
        <v>C05762 * C00005 * C00080</v>
      </c>
      <c r="J25" s="31" t="str">
        <f t="shared" si="3"/>
        <v>(${Variables: E1_1_1_100_Kcat } * E1_1_1_100 * 	
C04633 * C00006) /(${Variables:E1_1_1_100_Km} + (E1_1_1_100 * 	
C04633 * C00006))</v>
      </c>
      <c r="K25" s="32" t="str">
        <f t="shared" si="4"/>
        <v>r24: 	
C04633 + C00006 -&gt; C05762 + C00005 + C00080 | (${Variables: E1_1_1_100_Kcat } * E1_1_1_100 * 	
C04633 * C00006) /(${Variables:E1_1_1_100_Km} + (E1_1_1_100 * 	
C04633 * C00006))</v>
      </c>
    </row>
    <row r="26" spans="1:11" ht="58" x14ac:dyDescent="0.35">
      <c r="A26" s="31" t="s">
        <v>2078</v>
      </c>
      <c r="B26" s="31" t="s">
        <v>2079</v>
      </c>
      <c r="C26" s="31" t="s">
        <v>13928</v>
      </c>
      <c r="D26" s="31">
        <v>25</v>
      </c>
      <c r="E26" s="31" t="str">
        <f t="shared" si="0"/>
        <v>E1_1_1_100</v>
      </c>
      <c r="F26" s="31" t="s">
        <v>11594</v>
      </c>
      <c r="G26" s="31" t="str">
        <f t="shared" si="1"/>
        <v xml:space="preserve">	
C04688 * C00006</v>
      </c>
      <c r="H26" s="31" t="s">
        <v>9405</v>
      </c>
      <c r="I26" s="31" t="str">
        <f t="shared" si="2"/>
        <v>C05759 * C00005 * C00080</v>
      </c>
      <c r="J26" s="31" t="str">
        <f t="shared" si="3"/>
        <v>(${Variables: E1_1_1_100_Kcat } * E1_1_1_100 * 	
C04688 * C00006) /(${Variables:E1_1_1_100_Km} + (E1_1_1_100 * 	
C04688 * C00006))</v>
      </c>
      <c r="K26" s="32" t="str">
        <f t="shared" si="4"/>
        <v>r25: 	
C04688 + C00006 -&gt; C05759 + C00005 + C00080 | (${Variables: E1_1_1_100_Kcat } * E1_1_1_100 * 	
C04688 * C00006) /(${Variables:E1_1_1_100_Km} + (E1_1_1_100 * 	
C04688 * C00006))</v>
      </c>
    </row>
    <row r="27" spans="1:11" ht="58" x14ac:dyDescent="0.35">
      <c r="A27" s="31" t="s">
        <v>2078</v>
      </c>
      <c r="B27" s="31" t="s">
        <v>2079</v>
      </c>
      <c r="C27" s="31" t="s">
        <v>13928</v>
      </c>
      <c r="D27" s="31">
        <v>26</v>
      </c>
      <c r="E27" s="31" t="str">
        <f t="shared" si="0"/>
        <v>E1_1_1_100</v>
      </c>
      <c r="F27" s="31" t="s">
        <v>9419</v>
      </c>
      <c r="G27" s="31" t="str">
        <f t="shared" si="1"/>
        <v xml:space="preserve">	
C05747 * C00006</v>
      </c>
      <c r="H27" s="31" t="s">
        <v>8874</v>
      </c>
      <c r="I27" s="31" t="str">
        <f t="shared" si="2"/>
        <v>C05746 * C00005 * C00080</v>
      </c>
      <c r="J27" s="31" t="str">
        <f t="shared" si="3"/>
        <v>(${Variables: E1_1_1_100_Kcat } * E1_1_1_100 * 	
C05747 * C00006) /(${Variables:E1_1_1_100_Km} + (E1_1_1_100 * 	
C05747 * C00006))</v>
      </c>
      <c r="K27" s="32" t="str">
        <f t="shared" si="4"/>
        <v>r26: 	
C05747 + C00006 -&gt; C05746 + C00005 + C00080 | (${Variables: E1_1_1_100_Kcat } * E1_1_1_100 * 	
C05747 * C00006) /(${Variables:E1_1_1_100_Km} + (E1_1_1_100 * 	
C05747 * C00006))</v>
      </c>
    </row>
    <row r="28" spans="1:11" ht="29" x14ac:dyDescent="0.35">
      <c r="A28" s="31" t="s">
        <v>2078</v>
      </c>
      <c r="B28" s="31" t="s">
        <v>2079</v>
      </c>
      <c r="C28" s="31" t="s">
        <v>13928</v>
      </c>
      <c r="D28" s="31">
        <v>27</v>
      </c>
      <c r="E28" s="31" t="str">
        <f t="shared" si="0"/>
        <v>E1_1_1_100</v>
      </c>
      <c r="F28" s="31" t="s">
        <v>11595</v>
      </c>
      <c r="G28" s="31" t="str">
        <f t="shared" si="1"/>
        <v xml:space="preserve">C05757 * C00006 </v>
      </c>
      <c r="H28" s="31" t="s">
        <v>8876</v>
      </c>
      <c r="I28" s="31" t="str">
        <f t="shared" si="2"/>
        <v> C05756 * C00005 * C00080</v>
      </c>
      <c r="J28" s="31" t="str">
        <f t="shared" si="3"/>
        <v>(${Variables: E1_1_1_100_Kcat } * E1_1_1_100 * C05757 * C00006 ) /(${Variables:E1_1_1_100_Km} + (E1_1_1_100 * C05757 * C00006 ))</v>
      </c>
      <c r="K28" s="32" t="str">
        <f t="shared" si="4"/>
        <v>r27: C05757 + C00006  -&gt;  C05756 + C00005 + C00080 | (${Variables: E1_1_1_100_Kcat } * E1_1_1_100 * C05757 * C00006 ) /(${Variables:E1_1_1_100_Km} + (E1_1_1_100 * C05757 * C00006 ))</v>
      </c>
    </row>
    <row r="29" spans="1:11" ht="29" x14ac:dyDescent="0.35">
      <c r="A29" s="31" t="s">
        <v>2078</v>
      </c>
      <c r="B29" s="31" t="s">
        <v>2079</v>
      </c>
      <c r="C29" s="31" t="s">
        <v>13928</v>
      </c>
      <c r="D29" s="31">
        <v>28</v>
      </c>
      <c r="E29" s="31" t="str">
        <f t="shared" si="0"/>
        <v>E1_1_1_100</v>
      </c>
      <c r="F29" s="31" t="s">
        <v>11597</v>
      </c>
      <c r="G29" s="31" t="str">
        <f t="shared" si="1"/>
        <v xml:space="preserve">C16219 * C00005 * C00080 </v>
      </c>
      <c r="H29" s="31" t="s">
        <v>11598</v>
      </c>
      <c r="I29" s="31" t="str">
        <f t="shared" si="2"/>
        <v> C16220 * C00006</v>
      </c>
      <c r="J29" s="31" t="str">
        <f t="shared" si="3"/>
        <v>(${Variables: E1_1_1_100_Kcat } * E1_1_1_100 * C16219 * C00005 * C00080 ) /(${Variables:E1_1_1_100_Km} + (E1_1_1_100 * C16219 * C00005 * C00080 ))</v>
      </c>
      <c r="K29" s="32" t="str">
        <f t="shared" si="4"/>
        <v>r28: C16219 + C00005 + C00080  -&gt;  C16220 + C00006 | (${Variables: E1_1_1_100_Kcat } * E1_1_1_100 * C16219 * C00005 * C00080 ) /(${Variables:E1_1_1_100_Km} + (E1_1_1_100 * C16219 * C00005 * C00080 ))</v>
      </c>
    </row>
    <row r="30" spans="1:11" ht="58" x14ac:dyDescent="0.35">
      <c r="A30" s="31" t="s">
        <v>2078</v>
      </c>
      <c r="B30" s="31" t="s">
        <v>2079</v>
      </c>
      <c r="C30" s="31" t="s">
        <v>13928</v>
      </c>
      <c r="D30" s="31">
        <v>29</v>
      </c>
      <c r="E30" s="31" t="str">
        <f t="shared" si="0"/>
        <v>E1_1_1_100</v>
      </c>
      <c r="F30" s="31" t="s">
        <v>11600</v>
      </c>
      <c r="G30" s="31" t="str">
        <f t="shared" si="1"/>
        <v xml:space="preserve">	
C20372 * C00005 * C00080 </v>
      </c>
      <c r="H30" s="31" t="s">
        <v>11601</v>
      </c>
      <c r="I30" s="31" t="str">
        <f t="shared" si="2"/>
        <v> C20373 * C00006</v>
      </c>
      <c r="J30" s="31" t="str">
        <f t="shared" si="3"/>
        <v>(${Variables: E1_1_1_100_Kcat } * E1_1_1_100 * 	
C20372 * C00005 * C00080 ) /(${Variables:E1_1_1_100_Km} + (E1_1_1_100 * 	
C20372 * C00005 * C00080 ))</v>
      </c>
      <c r="K30" s="32" t="str">
        <f t="shared" si="4"/>
        <v>r29: 	
C20372 + C00005 + C00080  -&gt;  C20373 + C00006 | (${Variables: E1_1_1_100_Kcat } * E1_1_1_100 * 	
C20372 * C00005 * C00080 ) /(${Variables:E1_1_1_100_Km} + (E1_1_1_100 * 	
C20372 * C00005 * C00080 ))</v>
      </c>
    </row>
    <row r="31" spans="1:11" ht="58" x14ac:dyDescent="0.35">
      <c r="A31" s="31" t="s">
        <v>2078</v>
      </c>
      <c r="B31" s="31" t="s">
        <v>2079</v>
      </c>
      <c r="C31" s="31" t="s">
        <v>13928</v>
      </c>
      <c r="D31" s="31">
        <v>30</v>
      </c>
      <c r="E31" s="31" t="str">
        <f t="shared" si="0"/>
        <v>E1_1_1_100</v>
      </c>
      <c r="F31" s="31" t="s">
        <v>11603</v>
      </c>
      <c r="G31" s="31" t="str">
        <f t="shared" si="1"/>
        <v xml:space="preserve">	
C20376 * C00005 * C00080 </v>
      </c>
      <c r="H31" s="31" t="s">
        <v>11604</v>
      </c>
      <c r="I31" s="31" t="str">
        <f t="shared" si="2"/>
        <v> C20377 * C00006</v>
      </c>
      <c r="J31" s="31" t="str">
        <f t="shared" si="3"/>
        <v>(${Variables: E1_1_1_100_Kcat } * E1_1_1_100 * 	
C20376 * C00005 * C00080 ) /(${Variables:E1_1_1_100_Km} + (E1_1_1_100 * 	
C20376 * C00005 * C00080 ))</v>
      </c>
      <c r="K31" s="32" t="str">
        <f t="shared" si="4"/>
        <v>r30: 	
C20376 + C00005 + C00080  -&gt;  C20377 + C00006 | (${Variables: E1_1_1_100_Kcat } * E1_1_1_100 * 	
C20376 * C00005 * C00080 ) /(${Variables:E1_1_1_100_Km} + (E1_1_1_100 * 	
C20376 * C00005 * C00080 ))</v>
      </c>
    </row>
    <row r="32" spans="1:11" ht="58" x14ac:dyDescent="0.35">
      <c r="A32" s="31" t="s">
        <v>3103</v>
      </c>
      <c r="B32" s="31" t="s">
        <v>3104</v>
      </c>
      <c r="C32" s="31" t="s">
        <v>13929</v>
      </c>
      <c r="D32" s="31">
        <v>31</v>
      </c>
      <c r="E32" s="31" t="str">
        <f t="shared" si="0"/>
        <v>E1_1_1_169</v>
      </c>
      <c r="F32" s="31" t="s">
        <v>11607</v>
      </c>
      <c r="G32" s="31" t="str">
        <f t="shared" si="1"/>
        <v xml:space="preserve">	
C00522 * C00006</v>
      </c>
      <c r="H32" s="31" t="s">
        <v>8877</v>
      </c>
      <c r="I32" s="31" t="str">
        <f t="shared" si="2"/>
        <v>C00966 * C00005 * C00080</v>
      </c>
      <c r="J32" s="31" t="str">
        <f t="shared" si="3"/>
        <v>(${Variables: E1_1_1_169_Kcat } * E1_1_1_169 * 	
C00522 * C00006) /(${Variables:E1_1_1_169_Km} + (E1_1_1_169 * 	
C00522 * C00006))</v>
      </c>
      <c r="K32" s="44" t="str">
        <f>CONCATENATE("r",D32,": ",F32," -&gt; ",H32," | ",J32)</f>
        <v>r31: 	
C00522 + C00006 -&gt; C00966 + C00005 + C00080 | (${Variables: E1_1_1_169_Kcat } * E1_1_1_169 * 	
C00522 * C00006) /(${Variables:E1_1_1_169_Km} + (E1_1_1_169 * 	
C00522 * C00006))</v>
      </c>
    </row>
    <row r="33" spans="1:11" ht="58" x14ac:dyDescent="0.35">
      <c r="A33" s="31" t="s">
        <v>8316</v>
      </c>
      <c r="B33" s="31" t="s">
        <v>8317</v>
      </c>
      <c r="C33" s="31" t="s">
        <v>13930</v>
      </c>
      <c r="D33" s="31">
        <v>32</v>
      </c>
      <c r="E33" s="31" t="str">
        <f t="shared" si="0"/>
        <v>E1_1_1_18</v>
      </c>
      <c r="F33" s="31" t="s">
        <v>11610</v>
      </c>
      <c r="G33" s="31" t="str">
        <f t="shared" si="1"/>
        <v xml:space="preserve">	
C00137 * C00003</v>
      </c>
      <c r="H33" s="31" t="s">
        <v>11611</v>
      </c>
      <c r="I33" s="31" t="str">
        <f t="shared" si="2"/>
        <v> C00691 * C00004 * C00080</v>
      </c>
      <c r="J33" s="31" t="str">
        <f t="shared" si="3"/>
        <v>(${Variables: E1_1_1_18_Kcat } * E1_1_1_18 * 	
C00137 * C00003) /(${Variables:E1_1_1_18_Km} + (E1_1_1_18 * 	
C00137 * C00003))</v>
      </c>
      <c r="K33" s="44" t="str">
        <f t="shared" si="4"/>
        <v>r32: 	
C00137 + C00003 -&gt;  C00691 + C00004 + C00080 | (${Variables: E1_1_1_18_Kcat } * E1_1_1_18 * 	
C00137 * C00003) /(${Variables:E1_1_1_18_Km} + (E1_1_1_18 * 	
C00137 * C00003))</v>
      </c>
    </row>
    <row r="34" spans="1:11" ht="58" x14ac:dyDescent="0.35">
      <c r="A34" s="31" t="s">
        <v>4510</v>
      </c>
      <c r="B34" s="31" t="s">
        <v>4511</v>
      </c>
      <c r="C34" s="31" t="s">
        <v>13931</v>
      </c>
      <c r="D34" s="31">
        <v>33</v>
      </c>
      <c r="E34" s="31" t="str">
        <f t="shared" si="0"/>
        <v xml:space="preserve">E1_1_1_193 </v>
      </c>
      <c r="F34" s="31" t="s">
        <v>11614</v>
      </c>
      <c r="G34" s="31" t="str">
        <f t="shared" si="1"/>
        <v xml:space="preserve">	
C04454 * C00006</v>
      </c>
      <c r="H34" s="31" t="s">
        <v>11615</v>
      </c>
      <c r="I34" s="31" t="str">
        <f t="shared" si="2"/>
        <v> C01268 * C00005 * C00080</v>
      </c>
      <c r="J34" s="31" t="str">
        <f t="shared" si="3"/>
        <v>(${Variables: E1_1_1_193 _Kcat } * E1_1_1_193  * 	
C04454 * C00006) /(${Variables:E1_1_1_193 _Km} + (E1_1_1_193  * 	
C04454 * C00006))</v>
      </c>
      <c r="K34" s="44" t="str">
        <f t="shared" si="4"/>
        <v>r33: 	
C04454 + C00006 -&gt;  C01268 + C00005 + C00080 | (${Variables: E1_1_1_193 _Kcat } * E1_1_1_193  * 	
C04454 * C00006) /(${Variables:E1_1_1_193 _Km} + (E1_1_1_193  * 	
C04454 * C00006))</v>
      </c>
    </row>
    <row r="35" spans="1:11" ht="29" x14ac:dyDescent="0.35">
      <c r="A35" s="31" t="s">
        <v>4510</v>
      </c>
      <c r="B35" s="31" t="s">
        <v>4511</v>
      </c>
      <c r="C35" s="31" t="s">
        <v>13932</v>
      </c>
      <c r="D35" s="31">
        <v>34</v>
      </c>
      <c r="E35" s="31" t="str">
        <f t="shared" si="0"/>
        <v>E3_5_4_26</v>
      </c>
      <c r="F35" s="31" t="s">
        <v>11618</v>
      </c>
      <c r="G35" s="31" t="str">
        <f t="shared" si="1"/>
        <v xml:space="preserve">C01304 * C00001 </v>
      </c>
      <c r="H35" s="31" t="s">
        <v>11619</v>
      </c>
      <c r="I35" s="31" t="str">
        <f t="shared" si="2"/>
        <v>C01268 * C00014</v>
      </c>
      <c r="J35" s="31" t="str">
        <f t="shared" si="3"/>
        <v>(${Variables: E3_5_4_26_Kcat } * E3_5_4_26 * C01304 * C00001 ) /(${Variables:E3_5_4_26_Km} + (E3_5_4_26 * C01304 * C00001 ))</v>
      </c>
      <c r="K35" s="32" t="str">
        <f t="shared" si="4"/>
        <v>r34: C01304 + C00001  -&gt; C01268 + C00014 | (${Variables: E3_5_4_26_Kcat } * E3_5_4_26 * C01304 * C00001 ) /(${Variables:E3_5_4_26_Km} + (E3_5_4_26 * C01304 * C00001 ))</v>
      </c>
    </row>
    <row r="36" spans="1:11" ht="29" x14ac:dyDescent="0.35">
      <c r="A36" s="31" t="s">
        <v>1772</v>
      </c>
      <c r="B36" s="31" t="s">
        <v>1773</v>
      </c>
      <c r="C36" s="31" t="s">
        <v>13933</v>
      </c>
      <c r="D36" s="31">
        <v>35</v>
      </c>
      <c r="E36" s="31" t="str">
        <f t="shared" si="0"/>
        <v>E1_1_1_205</v>
      </c>
      <c r="F36" s="31" t="s">
        <v>11622</v>
      </c>
      <c r="G36" s="31" t="str">
        <f t="shared" si="1"/>
        <v>C00130 * C00003 * C00001</v>
      </c>
      <c r="H36" s="31" t="s">
        <v>11623</v>
      </c>
      <c r="I36" s="31" t="str">
        <f t="shared" si="2"/>
        <v>C00655 * C00004 * C00080</v>
      </c>
      <c r="J36" s="31" t="str">
        <f t="shared" si="3"/>
        <v>(${Variables: E1_1_1_205_Kcat } * E1_1_1_205 * C00130 * C00003 * C00001) /(${Variables:E1_1_1_205_Km} + (E1_1_1_205 * C00130 * C00003 * C00001))</v>
      </c>
      <c r="K36" s="32" t="str">
        <f t="shared" si="4"/>
        <v>r35: C00130 + C00003 + C00001 -&gt; C00655 + C00004 + C00080 | (${Variables: E1_1_1_205_Kcat } * E1_1_1_205 * C00130 * C00003 * C00001) /(${Variables:E1_1_1_205_Km} + (E1_1_1_205 * C00130 * C00003 * C00001))</v>
      </c>
    </row>
    <row r="37" spans="1:11" ht="29" x14ac:dyDescent="0.35">
      <c r="A37" s="31" t="s">
        <v>1772</v>
      </c>
      <c r="B37" s="31" t="s">
        <v>1773</v>
      </c>
      <c r="C37" s="31" t="s">
        <v>13933</v>
      </c>
      <c r="D37" s="31">
        <v>36</v>
      </c>
      <c r="E37" s="31" t="str">
        <f t="shared" si="0"/>
        <v>E1_1_1_205</v>
      </c>
      <c r="F37" s="31" t="s">
        <v>11625</v>
      </c>
      <c r="G37" s="31" t="str">
        <f t="shared" si="1"/>
        <v xml:space="preserve">C04646 * C00003 * C00001 </v>
      </c>
      <c r="H37" s="31" t="s">
        <v>8878</v>
      </c>
      <c r="I37" s="31" t="str">
        <f t="shared" si="2"/>
        <v>C16618 * C00004 * C00080</v>
      </c>
      <c r="J37" s="31" t="str">
        <f t="shared" si="3"/>
        <v>(${Variables: E1_1_1_205_Kcat } * E1_1_1_205 * C04646 * C00003 * C00001 ) /(${Variables:E1_1_1_205_Km} + (E1_1_1_205 * C04646 * C00003 * C00001 ))</v>
      </c>
      <c r="K37" s="32" t="str">
        <f t="shared" si="4"/>
        <v>r36: C04646 + C00003 + C00001  -&gt; C16618 + C00004 + C00080 | (${Variables: E1_1_1_205_Kcat } * E1_1_1_205 * C04646 * C00003 * C00001 ) /(${Variables:E1_1_1_205_Km} + (E1_1_1_205 * C04646 * C00003 * C00001 ))</v>
      </c>
    </row>
    <row r="38" spans="1:11" ht="58" x14ac:dyDescent="0.35">
      <c r="A38" s="31" t="s">
        <v>5799</v>
      </c>
      <c r="B38" s="31" t="s">
        <v>5800</v>
      </c>
      <c r="C38" s="31" t="s">
        <v>13934</v>
      </c>
      <c r="D38" s="31">
        <v>37</v>
      </c>
      <c r="E38" s="31" t="str">
        <f t="shared" si="0"/>
        <v>E1_1_1_23</v>
      </c>
      <c r="F38" s="31" t="s">
        <v>13856</v>
      </c>
      <c r="G38" s="31" t="str">
        <f t="shared" si="1"/>
        <v xml:space="preserve">	
C00860 * C00003 * C00001</v>
      </c>
      <c r="H38" s="31" t="s">
        <v>14404</v>
      </c>
      <c r="I38" s="31" t="str">
        <f t="shared" si="2"/>
        <v>C00135 * C00004 * C00080</v>
      </c>
      <c r="J38" s="31" t="str">
        <f t="shared" si="3"/>
        <v>(${Variables: E1_1_1_23_Kcat } * E1_1_1_23 * 	
C00860 * C00003 * C00001) /(${Variables:E1_1_1_23_Km} + (E1_1_1_23 * 	
C00860 * C00003 * C00001))</v>
      </c>
      <c r="K38" s="32" t="str">
        <f t="shared" si="4"/>
        <v>r37: 	
C00860 + C00003 + C00001 -&gt; C00135 + C00004 + C00080 | (${Variables: E1_1_1_23_Kcat } * E1_1_1_23 * 	
C00860 * C00003 * C00001) /(${Variables:E1_1_1_23_Km} + (E1_1_1_23 * 	
C00860 * C00003 * C00001))</v>
      </c>
    </row>
    <row r="39" spans="1:11" ht="58" x14ac:dyDescent="0.35">
      <c r="A39" s="31" t="s">
        <v>5799</v>
      </c>
      <c r="B39" s="31" t="s">
        <v>5800</v>
      </c>
      <c r="C39" s="31" t="s">
        <v>13934</v>
      </c>
      <c r="D39" s="31">
        <v>38</v>
      </c>
      <c r="E39" s="31" t="str">
        <f t="shared" si="0"/>
        <v>E1_1_1_23</v>
      </c>
      <c r="F39" s="31" t="s">
        <v>11629</v>
      </c>
      <c r="G39" s="31" t="str">
        <f t="shared" si="1"/>
        <v xml:space="preserve">	
C01929 * C00001 * C00003</v>
      </c>
      <c r="H39" s="31" t="s">
        <v>11630</v>
      </c>
      <c r="I39" s="31" t="str">
        <f t="shared" si="2"/>
        <v>C00135 * C00004 * C00080</v>
      </c>
      <c r="J39" s="31" t="str">
        <f t="shared" si="3"/>
        <v>(${Variables: E1_1_1_23_Kcat } * E1_1_1_23 * 	
C01929 * C00001 * C00003) /(${Variables:E1_1_1_23_Km} + (E1_1_1_23 * 	
C01929 * C00001 * C00003))</v>
      </c>
      <c r="K39" s="32" t="str">
        <f t="shared" si="4"/>
        <v>r38: 	
C01929 + C00001 + C00003 -&gt; C00135 + C00004 + C00080 | (${Variables: E1_1_1_23_Kcat } * E1_1_1_23 * 	
C01929 * C00001 * C00003) /(${Variables:E1_1_1_23_Km} + (E1_1_1_23 * 	
C01929 * C00001 * C00003))</v>
      </c>
    </row>
    <row r="40" spans="1:11" ht="58" x14ac:dyDescent="0.35">
      <c r="A40" s="31" t="s">
        <v>5799</v>
      </c>
      <c r="B40" s="31" t="s">
        <v>5800</v>
      </c>
      <c r="C40" s="31" t="s">
        <v>13934</v>
      </c>
      <c r="D40" s="31">
        <v>39</v>
      </c>
      <c r="E40" s="31" t="str">
        <f t="shared" si="0"/>
        <v>E1_1_1_23</v>
      </c>
      <c r="F40" s="31" t="s">
        <v>11632</v>
      </c>
      <c r="G40" s="31" t="str">
        <f t="shared" si="1"/>
        <v xml:space="preserve">	
C00860 * C00003</v>
      </c>
      <c r="H40" s="31" t="s">
        <v>8880</v>
      </c>
      <c r="I40" s="31" t="str">
        <f t="shared" si="2"/>
        <v>C01929 * C00004 * C00080</v>
      </c>
      <c r="J40" s="31" t="str">
        <f t="shared" si="3"/>
        <v>(${Variables: E1_1_1_23_Kcat } * E1_1_1_23 * 	
C00860 * C00003) /(${Variables:E1_1_1_23_Km} + (E1_1_1_23 * 	
C00860 * C00003))</v>
      </c>
      <c r="K40" s="32" t="str">
        <f t="shared" si="4"/>
        <v>r39: 	
C00860 + C00003 -&gt; C01929 + C00004 + C00080 | (${Variables: E1_1_1_23_Kcat } * E1_1_1_23 * 	
C00860 * C00003) /(${Variables:E1_1_1_23_Km} + (E1_1_1_23 * 	
C00860 * C00003))</v>
      </c>
    </row>
    <row r="41" spans="1:11" ht="58" x14ac:dyDescent="0.35">
      <c r="A41" s="31" t="s">
        <v>4615</v>
      </c>
      <c r="B41" s="31" t="s">
        <v>4616</v>
      </c>
      <c r="C41" s="31" t="s">
        <v>13935</v>
      </c>
      <c r="D41" s="31">
        <v>40</v>
      </c>
      <c r="E41" s="31" t="str">
        <f t="shared" si="0"/>
        <v>E1_1_1_25</v>
      </c>
      <c r="F41" s="31" t="s">
        <v>11635</v>
      </c>
      <c r="G41" s="31" t="str">
        <f t="shared" si="1"/>
        <v xml:space="preserve">	
C00493 * C00006</v>
      </c>
      <c r="H41" s="31" t="s">
        <v>8881</v>
      </c>
      <c r="I41" s="31" t="str">
        <f t="shared" si="2"/>
        <v>C02637 * C00005 * C00080</v>
      </c>
      <c r="J41" s="31" t="str">
        <f t="shared" si="3"/>
        <v>(${Variables: E1_1_1_25_Kcat } * E1_1_1_25 * 	
C00493 * C00006) /(${Variables:E1_1_1_25_Km} + (E1_1_1_25 * 	
C00493 * C00006))</v>
      </c>
      <c r="K41" s="32" t="str">
        <f t="shared" si="4"/>
        <v>r40: 	
C00493 + C00006 -&gt; C02637 + C00005 + C00080 | (${Variables: E1_1_1_25_Kcat } * E1_1_1_25 * 	
C00493 * C00006) /(${Variables:E1_1_1_25_Km} + (E1_1_1_25 * 	
C00493 * C00006))</v>
      </c>
    </row>
    <row r="42" spans="1:11" ht="58" x14ac:dyDescent="0.35">
      <c r="A42" s="31" t="s">
        <v>4615</v>
      </c>
      <c r="B42" s="31" t="s">
        <v>4616</v>
      </c>
      <c r="C42" s="31" t="s">
        <v>13935</v>
      </c>
      <c r="D42" s="31">
        <v>41</v>
      </c>
      <c r="E42" s="31" t="str">
        <f t="shared" si="0"/>
        <v>E1_1_1_25</v>
      </c>
      <c r="F42" s="31" t="s">
        <v>11637</v>
      </c>
      <c r="G42" s="31" t="str">
        <f t="shared" si="1"/>
        <v xml:space="preserve">	
C02637 * C00006 </v>
      </c>
      <c r="H42" s="31" t="s">
        <v>8882</v>
      </c>
      <c r="I42" s="31" t="str">
        <f t="shared" si="2"/>
        <v>C22438 * C00005 * C00080</v>
      </c>
      <c r="J42" s="31" t="str">
        <f t="shared" si="3"/>
        <v>(${Variables: E1_1_1_25_Kcat } * E1_1_1_25 * 	
C02637 * C00006 ) /(${Variables:E1_1_1_25_Km} + (E1_1_1_25 * 	
C02637 * C00006 ))</v>
      </c>
      <c r="K42" s="32" t="str">
        <f t="shared" si="4"/>
        <v>r41: 	
C02637 + C00006  -&gt; C22438 + C00005 + C00080 | (${Variables: E1_1_1_25_Kcat } * E1_1_1_25 * 	
C02637 * C00006 ) /(${Variables:E1_1_1_25_Km} + (E1_1_1_25 * 	
C02637 * C00006 ))</v>
      </c>
    </row>
    <row r="43" spans="1:11" ht="58" x14ac:dyDescent="0.35">
      <c r="A43" s="31" t="s">
        <v>5554</v>
      </c>
      <c r="B43" s="31" t="s">
        <v>5555</v>
      </c>
      <c r="C43" s="31" t="s">
        <v>13936</v>
      </c>
      <c r="D43" s="31">
        <v>42</v>
      </c>
      <c r="E43" s="31" t="str">
        <f t="shared" si="0"/>
        <v>E1_1_1_267</v>
      </c>
      <c r="F43" s="31" t="s">
        <v>11640</v>
      </c>
      <c r="G43" s="31" t="str">
        <f t="shared" si="1"/>
        <v xml:space="preserve">	
C11434 * C00006</v>
      </c>
      <c r="H43" s="31" t="s">
        <v>8883</v>
      </c>
      <c r="I43" s="31" t="str">
        <f t="shared" si="2"/>
        <v> C11437 * C00005 * C00080</v>
      </c>
      <c r="J43" s="31" t="str">
        <f t="shared" si="3"/>
        <v>(${Variables: E1_1_1_267_Kcat } * E1_1_1_267 * 	
C11434 * C00006) /(${Variables:E1_1_1_267_Km} + (E1_1_1_267 * 	
C11434 * C00006))</v>
      </c>
      <c r="K43" s="32" t="str">
        <f t="shared" si="4"/>
        <v>r42: 	
C11434 + C00006 -&gt;  C11437 + C00005 + C00080 | (${Variables: E1_1_1_267_Kcat } * E1_1_1_267 * 	
C11434 * C00006) /(${Variables:E1_1_1_267_Km} + (E1_1_1_267 * 	
C11434 * C00006))</v>
      </c>
    </row>
    <row r="44" spans="1:11" ht="58" x14ac:dyDescent="0.35">
      <c r="A44" s="31" t="s">
        <v>7934</v>
      </c>
      <c r="B44" s="31" t="s">
        <v>7935</v>
      </c>
      <c r="C44" s="31" t="s">
        <v>13937</v>
      </c>
      <c r="D44" s="31">
        <v>43</v>
      </c>
      <c r="E44" s="31" t="str">
        <f t="shared" si="0"/>
        <v>E1_1_1_27</v>
      </c>
      <c r="F44" s="31" t="s">
        <v>11643</v>
      </c>
      <c r="G44" s="31" t="str">
        <f t="shared" si="1"/>
        <v xml:space="preserve">	
C00186 * C00003 </v>
      </c>
      <c r="H44" s="31" t="s">
        <v>8884</v>
      </c>
      <c r="I44" s="31" t="str">
        <f t="shared" si="2"/>
        <v> C00022 * C00004 * C00080</v>
      </c>
      <c r="J44" s="31" t="str">
        <f t="shared" si="3"/>
        <v>(${Variables: E1_1_1_27_Kcat } * E1_1_1_27 * 	
C00186 * C00003 ) /(${Variables:E1_1_1_27_Km} + (E1_1_1_27 * 	
C00186 * C00003 ))</v>
      </c>
      <c r="K44" s="32" t="str">
        <f t="shared" si="4"/>
        <v>r43: 	
C00186 + C00003  -&gt;  C00022 + C00004 + C00080 | (${Variables: E1_1_1_27_Kcat } * E1_1_1_27 * 	
C00186 * C00003 ) /(${Variables:E1_1_1_27_Km} + (E1_1_1_27 * 	
C00186 * C00003 ))</v>
      </c>
    </row>
    <row r="45" spans="1:11" ht="58" x14ac:dyDescent="0.35">
      <c r="A45" s="31" t="s">
        <v>7934</v>
      </c>
      <c r="B45" s="31" t="s">
        <v>7935</v>
      </c>
      <c r="C45" s="31" t="s">
        <v>13937</v>
      </c>
      <c r="D45" s="31">
        <v>44</v>
      </c>
      <c r="E45" s="31" t="str">
        <f t="shared" si="0"/>
        <v>E1_1_1_27</v>
      </c>
      <c r="F45" s="31" t="s">
        <v>11645</v>
      </c>
      <c r="G45" s="31" t="str">
        <f t="shared" si="1"/>
        <v xml:space="preserve">	
C05984 * C00003 </v>
      </c>
      <c r="H45" s="31" t="s">
        <v>11646</v>
      </c>
      <c r="I45" s="31" t="str">
        <f t="shared" si="2"/>
        <v xml:space="preserve"> C00109 * C00004 * C00080</v>
      </c>
      <c r="J45" s="31" t="str">
        <f t="shared" si="3"/>
        <v>(${Variables: E1_1_1_27_Kcat } * E1_1_1_27 * 	
C05984 * C00003 ) /(${Variables:E1_1_1_27_Km} + (E1_1_1_27 * 	
C05984 * C00003 ))</v>
      </c>
      <c r="K45" s="32" t="str">
        <f t="shared" si="4"/>
        <v>r44: 	
C05984 + C00003  -&gt;  C00109 + C00004 + C00080 | (${Variables: E1_1_1_27_Kcat } * E1_1_1_27 * 	
C05984 * C00003 ) /(${Variables:E1_1_1_27_Km} + (E1_1_1_27 * 	
C05984 * C00003 ))</v>
      </c>
    </row>
    <row r="46" spans="1:11" ht="58" x14ac:dyDescent="0.35">
      <c r="A46" s="31" t="s">
        <v>7934</v>
      </c>
      <c r="B46" s="31" t="s">
        <v>7935</v>
      </c>
      <c r="C46" s="31" t="s">
        <v>13937</v>
      </c>
      <c r="D46" s="31">
        <v>45</v>
      </c>
      <c r="E46" s="31" t="str">
        <f t="shared" si="0"/>
        <v>E1_1_1_27</v>
      </c>
      <c r="F46" s="31" t="s">
        <v>11648</v>
      </c>
      <c r="G46" s="31" t="str">
        <f t="shared" si="1"/>
        <v xml:space="preserve">	
C05823 * C00003 </v>
      </c>
      <c r="H46" s="31" t="s">
        <v>8885</v>
      </c>
      <c r="I46" s="31" t="str">
        <f t="shared" si="2"/>
        <v> C00957 * C00004 * C00080</v>
      </c>
      <c r="J46" s="31" t="str">
        <f t="shared" si="3"/>
        <v>(${Variables: E1_1_1_27_Kcat } * E1_1_1_27 * 	
C05823 * C00003 ) /(${Variables:E1_1_1_27_Km} + (E1_1_1_27 * 	
C05823 * C00003 ))</v>
      </c>
      <c r="K46" s="32" t="str">
        <f t="shared" si="4"/>
        <v>r45: 	
C05823 + C00003  -&gt;  C00957 + C00004 + C00080 | (${Variables: E1_1_1_27_Kcat } * E1_1_1_27 * 	
C05823 * C00003 ) /(${Variables:E1_1_1_27_Km} + (E1_1_1_27 * 	
C05823 * C00003 ))</v>
      </c>
    </row>
    <row r="47" spans="1:11" ht="58" x14ac:dyDescent="0.35">
      <c r="A47" s="31" t="s">
        <v>2609</v>
      </c>
      <c r="B47" s="31" t="s">
        <v>2610</v>
      </c>
      <c r="C47" s="31" t="s">
        <v>13938</v>
      </c>
      <c r="D47" s="31">
        <v>46</v>
      </c>
      <c r="E47" s="31" t="str">
        <f t="shared" si="0"/>
        <v>E1_1_1_28</v>
      </c>
      <c r="F47" s="31" t="s">
        <v>11651</v>
      </c>
      <c r="G47" s="31" t="str">
        <f t="shared" si="1"/>
        <v xml:space="preserve">	
C00256 * C00003</v>
      </c>
      <c r="H47" s="31" t="s">
        <v>8886</v>
      </c>
      <c r="I47" s="31" t="str">
        <f t="shared" si="2"/>
        <v>C00022 * C00004 * C00080</v>
      </c>
      <c r="J47" s="31" t="str">
        <f t="shared" si="3"/>
        <v>(${Variables: E1_1_1_28_Kcat } * E1_1_1_28 * 	
C00256 * C00003) /(${Variables:E1_1_1_28_Km} + (E1_1_1_28 * 	
C00256 * C00003))</v>
      </c>
      <c r="K47" s="44" t="str">
        <f t="shared" si="4"/>
        <v>r46: 	
C00256 + C00003 -&gt; C00022 + C00004 + C00080 | (${Variables: E1_1_1_28_Kcat } * E1_1_1_28 * 	
C00256 * C00003) /(${Variables:E1_1_1_28_Km} + (E1_1_1_28 * 	
C00256 * C00003))</v>
      </c>
    </row>
    <row r="48" spans="1:11" ht="58" x14ac:dyDescent="0.35">
      <c r="A48" s="31" t="s">
        <v>8196</v>
      </c>
      <c r="B48" s="31" t="s">
        <v>8197</v>
      </c>
      <c r="C48" s="31" t="s">
        <v>13939</v>
      </c>
      <c r="D48" s="31">
        <v>47</v>
      </c>
      <c r="E48" s="31" t="str">
        <f t="shared" si="0"/>
        <v>E1_1_1_298</v>
      </c>
      <c r="F48" s="31" t="s">
        <v>11654</v>
      </c>
      <c r="G48" s="31" t="str">
        <f t="shared" si="1"/>
        <v xml:space="preserve">	
C01013 * C00006 </v>
      </c>
      <c r="H48" s="31" t="s">
        <v>8887</v>
      </c>
      <c r="I48" s="31" t="str">
        <f t="shared" si="2"/>
        <v>C00222 * C00005 * C00080</v>
      </c>
      <c r="J48" s="31" t="str">
        <f t="shared" si="3"/>
        <v>(${Variables: E1_1_1_298_Kcat } * E1_1_1_298 * 	
C01013 * C00006 ) /(${Variables:E1_1_1_298_Km} + (E1_1_1_298 * 	
C01013 * C00006 ))</v>
      </c>
      <c r="K48" s="44" t="str">
        <f t="shared" si="4"/>
        <v>r47: 	
C01013 + C00006  -&gt; C00222 + C00005 + C00080 | (${Variables: E1_1_1_298_Kcat } * E1_1_1_298 * 	
C01013 * C00006 ) /(${Variables:E1_1_1_298_Km} + (E1_1_1_298 * 	
C01013 * C00006 ))</v>
      </c>
    </row>
    <row r="49" spans="1:11" ht="58" x14ac:dyDescent="0.35">
      <c r="A49" s="31" t="s">
        <v>3362</v>
      </c>
      <c r="B49" s="31" t="s">
        <v>3363</v>
      </c>
      <c r="C49" s="31" t="s">
        <v>13940</v>
      </c>
      <c r="D49" s="31">
        <v>48</v>
      </c>
      <c r="E49" s="31" t="str">
        <f t="shared" si="0"/>
        <v>E1_1_1_3</v>
      </c>
      <c r="F49" s="31" t="s">
        <v>11657</v>
      </c>
      <c r="G49" s="31" t="str">
        <f t="shared" si="1"/>
        <v xml:space="preserve">	
C00263 * C00003</v>
      </c>
      <c r="H49" s="31" t="s">
        <v>11658</v>
      </c>
      <c r="I49" s="31" t="str">
        <f t="shared" si="2"/>
        <v> C00441 * C00004 * C00080</v>
      </c>
      <c r="J49" s="31" t="str">
        <f t="shared" si="3"/>
        <v>(${Variables: E1_1_1_3_Kcat } * E1_1_1_3 * 	
C00263 * C00003) /(${Variables:E1_1_1_3_Km} + (E1_1_1_3 * 	
C00263 * C00003))</v>
      </c>
      <c r="K49" s="32" t="str">
        <f>CONCATENATE("r",D49,": ",F49," -&gt; ",H49," | ",J49)</f>
        <v>r48: 	
C00263 + C00003 -&gt;  C00441 + C00004 + C00080 | (${Variables: E1_1_1_3_Kcat } * E1_1_1_3 * 	
C00263 * C00003) /(${Variables:E1_1_1_3_Km} + (E1_1_1_3 * 	
C00263 * C00003))</v>
      </c>
    </row>
    <row r="50" spans="1:11" ht="58" x14ac:dyDescent="0.35">
      <c r="A50" s="31" t="s">
        <v>3362</v>
      </c>
      <c r="B50" s="31" t="s">
        <v>3363</v>
      </c>
      <c r="C50" s="31" t="s">
        <v>13940</v>
      </c>
      <c r="D50" s="31">
        <v>49</v>
      </c>
      <c r="E50" s="31" t="str">
        <f t="shared" si="0"/>
        <v>E1_1_1_3</v>
      </c>
      <c r="F50" s="31" t="s">
        <v>11660</v>
      </c>
      <c r="G50" s="31" t="str">
        <f t="shared" si="1"/>
        <v xml:space="preserve">	
C00263 * C00006 </v>
      </c>
      <c r="H50" s="31" t="s">
        <v>8888</v>
      </c>
      <c r="I50" s="31" t="str">
        <f t="shared" si="2"/>
        <v>C00441 * C00005 * C00080</v>
      </c>
      <c r="J50" s="31" t="str">
        <f t="shared" si="3"/>
        <v>(${Variables: E1_1_1_3_Kcat } * E1_1_1_3 * 	
C00263 * C00006 ) /(${Variables:E1_1_1_3_Km} + (E1_1_1_3 * 	
C00263 * C00006 ))</v>
      </c>
      <c r="K50" s="32" t="str">
        <f t="shared" si="4"/>
        <v>r49: 	
C00263 + C00006  -&gt; C00441 + C00005 + C00080 | (${Variables: E1_1_1_3_Kcat } * E1_1_1_3 * 	
C00263 * C00006 ) /(${Variables:E1_1_1_3_Km} + (E1_1_1_3 * 	
C00263 * C00006 ))</v>
      </c>
    </row>
    <row r="51" spans="1:11" ht="29" x14ac:dyDescent="0.35">
      <c r="A51" s="31" t="s">
        <v>963</v>
      </c>
      <c r="B51" s="31" t="s">
        <v>964</v>
      </c>
      <c r="C51" s="31" t="s">
        <v>13941</v>
      </c>
      <c r="D51" s="31">
        <v>50</v>
      </c>
      <c r="E51" s="31" t="str">
        <f t="shared" si="0"/>
        <v>E1_1_1_306</v>
      </c>
      <c r="F51" s="31" t="s">
        <v>11663</v>
      </c>
      <c r="G51" s="31" t="str">
        <f t="shared" si="1"/>
        <v>C18235 * C00003</v>
      </c>
      <c r="H51" s="31" t="s">
        <v>11664</v>
      </c>
      <c r="I51" s="31" t="str">
        <f t="shared" si="2"/>
        <v> C06718 * C00004 * C00080</v>
      </c>
      <c r="J51" s="31" t="str">
        <f t="shared" si="3"/>
        <v>(${Variables: E1_1_1_306_Kcat } * E1_1_1_306 * C18235 * C00003) /(${Variables:E1_1_1_306_Km} + (E1_1_1_306 * C18235 * C00003))</v>
      </c>
      <c r="K51" s="44" t="str">
        <f t="shared" si="4"/>
        <v>r50: C18235 + C00003 -&gt;  C06718 + C00004 + C00080 | (${Variables: E1_1_1_306_Kcat } * E1_1_1_306 * C18235 * C00003) /(${Variables:E1_1_1_306_Km} + (E1_1_1_306 * C18235 * C00003))</v>
      </c>
    </row>
    <row r="52" spans="1:11" ht="58" x14ac:dyDescent="0.35">
      <c r="A52" s="31" t="s">
        <v>963</v>
      </c>
      <c r="B52" s="31" t="s">
        <v>964</v>
      </c>
      <c r="C52" s="31" t="s">
        <v>13941</v>
      </c>
      <c r="D52" s="31">
        <v>51</v>
      </c>
      <c r="E52" s="31" t="str">
        <f t="shared" si="0"/>
        <v>E1_1_1_306</v>
      </c>
      <c r="F52" s="31" t="s">
        <v>11666</v>
      </c>
      <c r="G52" s="31" t="str">
        <f t="shared" si="1"/>
        <v xml:space="preserve">	
C18235 * C00003 * C00001</v>
      </c>
      <c r="H52" s="31" t="s">
        <v>11667</v>
      </c>
      <c r="I52" s="31" t="str">
        <f t="shared" si="2"/>
        <v> C00058 * C06717 * C00004 * C00080</v>
      </c>
      <c r="J52" s="31" t="str">
        <f t="shared" si="3"/>
        <v>(${Variables: E1_1_1_306_Kcat } * E1_1_1_306 * 	
C18235 * C00003 * C00001) /(${Variables:E1_1_1_306_Km} + (E1_1_1_306 * 	
C18235 * C00003 * C00001))</v>
      </c>
      <c r="K52" s="44" t="str">
        <f>CONCATENATE("r",D52,": ",F52," -&gt; ",H52," | ",J52)</f>
        <v>r51: 	
C18235 + C00003 + C00001 -&gt;  C00058 + C06717 + C00004 + C00080 | (${Variables: E1_1_1_306_Kcat } * E1_1_1_306 * 	
C18235 * C00003 * C00001) /(${Variables:E1_1_1_306_Km} + (E1_1_1_306 * 	
C18235 * C00003 * C00001))</v>
      </c>
    </row>
    <row r="53" spans="1:11" ht="58" x14ac:dyDescent="0.35">
      <c r="A53" s="31" t="s">
        <v>582</v>
      </c>
      <c r="B53" s="31" t="s">
        <v>583</v>
      </c>
      <c r="C53" s="31" t="s">
        <v>13942</v>
      </c>
      <c r="D53" s="31">
        <v>52</v>
      </c>
      <c r="E53" s="31" t="str">
        <f t="shared" si="0"/>
        <v>E1_1_1_333</v>
      </c>
      <c r="F53" s="31" t="s">
        <v>11670</v>
      </c>
      <c r="G53" s="31" t="str">
        <f t="shared" si="1"/>
        <v xml:space="preserve">	
C20370 * C00003 </v>
      </c>
      <c r="H53" s="31" t="s">
        <v>11671</v>
      </c>
      <c r="I53" s="31" t="str">
        <f t="shared" si="2"/>
        <v> C20369 * C00004 * C00080</v>
      </c>
      <c r="J53" s="31" t="str">
        <f t="shared" si="3"/>
        <v>(${Variables: E1_1_1_333_Kcat } * E1_1_1_333 * 	
C20370 * C00003 ) /(${Variables:E1_1_1_333_Km} + (E1_1_1_333 * 	
C20370 * C00003 ))</v>
      </c>
      <c r="K53" s="44" t="str">
        <f t="shared" si="4"/>
        <v>r52: 	
C20370 + C00003  -&gt;  C20369 + C00004 + C00080 | (${Variables: E1_1_1_333_Kcat } * E1_1_1_333 * 	
C20370 * C00003 ) /(${Variables:E1_1_1_333_Km} + (E1_1_1_333 * 	
C20370 * C00003 ))</v>
      </c>
    </row>
    <row r="54" spans="1:11" ht="58" x14ac:dyDescent="0.35">
      <c r="A54" s="31" t="s">
        <v>6561</v>
      </c>
      <c r="B54" s="31" t="s">
        <v>6562</v>
      </c>
      <c r="C54" s="31" t="s">
        <v>13943</v>
      </c>
      <c r="D54" s="31">
        <v>53</v>
      </c>
      <c r="E54" s="31" t="str">
        <f t="shared" si="0"/>
        <v>E1_1_1_37</v>
      </c>
      <c r="F54" s="31" t="s">
        <v>11674</v>
      </c>
      <c r="G54" s="31" t="str">
        <f t="shared" si="1"/>
        <v xml:space="preserve">	
C00149 * C00003 </v>
      </c>
      <c r="H54" s="31" t="s">
        <v>11675</v>
      </c>
      <c r="I54" s="31" t="str">
        <f t="shared" si="2"/>
        <v xml:space="preserve"> C00036 * C00004 * C00080</v>
      </c>
      <c r="J54" s="31" t="str">
        <f t="shared" si="3"/>
        <v>(${Variables: E1_1_1_37_Kcat } * E1_1_1_37 * 	
C00149 * C00003 ) /(${Variables:E1_1_1_37_Km} + (E1_1_1_37 * 	
C00149 * C00003 ))</v>
      </c>
      <c r="K54" s="32" t="str">
        <f t="shared" si="4"/>
        <v>r53: 	
C00149 + C00003  -&gt;  C00036 + C00004 + C00080 | (${Variables: E1_1_1_37_Kcat } * E1_1_1_37 * 	
C00149 * C00003 ) /(${Variables:E1_1_1_37_Km} + (E1_1_1_37 * 	
C00149 * C00003 ))</v>
      </c>
    </row>
    <row r="55" spans="1:11" ht="58" x14ac:dyDescent="0.35">
      <c r="A55" s="31" t="s">
        <v>6561</v>
      </c>
      <c r="B55" s="31" t="s">
        <v>6562</v>
      </c>
      <c r="C55" s="31" t="s">
        <v>13943</v>
      </c>
      <c r="D55" s="31">
        <v>54</v>
      </c>
      <c r="E55" s="31" t="str">
        <f t="shared" si="0"/>
        <v>E1_1_1_37</v>
      </c>
      <c r="F55" s="31" t="s">
        <v>11677</v>
      </c>
      <c r="G55" s="31" t="str">
        <f t="shared" si="1"/>
        <v xml:space="preserve">	
C04367 * C00003</v>
      </c>
      <c r="H55" s="31" t="s">
        <v>11678</v>
      </c>
      <c r="I55" s="31" t="str">
        <f t="shared" si="2"/>
        <v>C01244 * C00004 * C00080</v>
      </c>
      <c r="J55" s="31" t="str">
        <f t="shared" si="3"/>
        <v>(${Variables: E1_1_1_37_Kcat } * E1_1_1_37 * 	
C04367 * C00003) /(${Variables:E1_1_1_37_Km} + (E1_1_1_37 * 	
C04367 * C00003))</v>
      </c>
      <c r="K55" s="32" t="str">
        <f t="shared" si="4"/>
        <v>r54: 	
C04367 + C00003 -&gt; C01244 + C00004 + C00080 | (${Variables: E1_1_1_37_Kcat } * E1_1_1_37 * 	
C04367 * C00003) /(${Variables:E1_1_1_37_Km} + (E1_1_1_37 * 	
C04367 * C00003))</v>
      </c>
    </row>
    <row r="56" spans="1:11" ht="58" x14ac:dyDescent="0.35">
      <c r="A56" s="31" t="s">
        <v>6561</v>
      </c>
      <c r="B56" s="31" t="s">
        <v>6562</v>
      </c>
      <c r="C56" s="31" t="s">
        <v>13943</v>
      </c>
      <c r="D56" s="31">
        <v>55</v>
      </c>
      <c r="E56" s="31" t="str">
        <f t="shared" si="0"/>
        <v>E1_1_1_37</v>
      </c>
      <c r="F56" s="31" t="s">
        <v>11680</v>
      </c>
      <c r="G56" s="31" t="str">
        <f t="shared" si="1"/>
        <v xml:space="preserve">	
C11537 * C00003</v>
      </c>
      <c r="H56" s="31" t="s">
        <v>8889</v>
      </c>
      <c r="I56" s="31" t="str">
        <f t="shared" si="2"/>
        <v> C05528 * C00004 * C00080</v>
      </c>
      <c r="J56" s="31" t="str">
        <f t="shared" si="3"/>
        <v>(${Variables: E1_1_1_37_Kcat } * E1_1_1_37 * 	
C11537 * C00003) /(${Variables:E1_1_1_37_Km} + (E1_1_1_37 * 	
C11537 * C00003))</v>
      </c>
      <c r="K56" s="32" t="str">
        <f t="shared" si="4"/>
        <v>r55: 	
C11537 + C00003 -&gt;  C05528 + C00004 + C00080 | (${Variables: E1_1_1_37_Kcat } * E1_1_1_37 * 	
C11537 * C00003) /(${Variables:E1_1_1_37_Km} + (E1_1_1_37 * 	
C11537 * C00003))</v>
      </c>
    </row>
    <row r="57" spans="1:11" ht="29" x14ac:dyDescent="0.35">
      <c r="A57" s="31" t="s">
        <v>8175</v>
      </c>
      <c r="B57" s="31" t="s">
        <v>8176</v>
      </c>
      <c r="C57" s="31" t="s">
        <v>13944</v>
      </c>
      <c r="D57" s="31">
        <v>56</v>
      </c>
      <c r="E57" s="31" t="str">
        <f t="shared" si="0"/>
        <v>E1_1_1_40</v>
      </c>
      <c r="F57" s="31" t="s">
        <v>11683</v>
      </c>
      <c r="G57" s="31" t="str">
        <f t="shared" si="1"/>
        <v>C00149 * C00006</v>
      </c>
      <c r="H57" s="31" t="s">
        <v>11684</v>
      </c>
      <c r="I57" s="31" t="str">
        <f t="shared" si="2"/>
        <v> C00022 * C00011 * C00005 * C00080</v>
      </c>
      <c r="J57" s="31" t="str">
        <f t="shared" si="3"/>
        <v>(${Variables: E1_1_1_40_Kcat } * E1_1_1_40 * C00149 * C00006) /(${Variables:E1_1_1_40_Km} + (E1_1_1_40 * C00149 * C00006))</v>
      </c>
      <c r="K57" s="44" t="str">
        <f t="shared" si="4"/>
        <v>r56: C00149 + C00006 -&gt;  C00022 + C00011 + C00005 + C00080 | (${Variables: E1_1_1_40_Kcat } * E1_1_1_40 * C00149 * C00006) /(${Variables:E1_1_1_40_Km} + (E1_1_1_40 * C00149 * C00006))</v>
      </c>
    </row>
    <row r="58" spans="1:11" ht="58" x14ac:dyDescent="0.35">
      <c r="A58" s="31" t="s">
        <v>8175</v>
      </c>
      <c r="B58" s="31" t="s">
        <v>8176</v>
      </c>
      <c r="C58" s="31" t="s">
        <v>13944</v>
      </c>
      <c r="D58" s="31">
        <v>57</v>
      </c>
      <c r="E58" s="31" t="str">
        <f t="shared" si="0"/>
        <v>E1_1_1_40</v>
      </c>
      <c r="F58" s="31" t="s">
        <v>11686</v>
      </c>
      <c r="G58" s="31" t="str">
        <f t="shared" si="1"/>
        <v xml:space="preserve">	
C00036 </v>
      </c>
      <c r="H58" s="31" t="s">
        <v>11687</v>
      </c>
      <c r="I58" s="31" t="str">
        <f t="shared" si="2"/>
        <v>C00022 * C00011</v>
      </c>
      <c r="J58" s="31" t="str">
        <f t="shared" si="3"/>
        <v>(${Variables: E1_1_1_40_Kcat } * E1_1_1_40 * 	
C00036 ) /(${Variables:E1_1_1_40_Km} + (E1_1_1_40 * 	
C00036 ))</v>
      </c>
      <c r="K58" s="44" t="str">
        <f t="shared" si="4"/>
        <v>r57: 	
C00036  -&gt; C00022 + C00011 | (${Variables: E1_1_1_40_Kcat } * E1_1_1_40 * 	
C00036 ) /(${Variables:E1_1_1_40_Km} + (E1_1_1_40 * 	
C00036 ))</v>
      </c>
    </row>
    <row r="59" spans="1:11" ht="29" x14ac:dyDescent="0.35">
      <c r="A59" s="31" t="s">
        <v>1936</v>
      </c>
      <c r="B59" s="31" t="s">
        <v>1937</v>
      </c>
      <c r="C59" s="31" t="s">
        <v>13945</v>
      </c>
      <c r="D59" s="31">
        <v>58</v>
      </c>
      <c r="E59" s="31" t="str">
        <f t="shared" si="0"/>
        <v>E1_1_1_42</v>
      </c>
      <c r="F59" s="31" t="s">
        <v>11690</v>
      </c>
      <c r="G59" s="31" t="str">
        <f t="shared" si="1"/>
        <v>C00311 * C00006</v>
      </c>
      <c r="H59" s="31" t="s">
        <v>8891</v>
      </c>
      <c r="I59" s="31" t="str">
        <f t="shared" si="2"/>
        <v> C00026 * C00011 * C00005 * C00080</v>
      </c>
      <c r="J59" s="31" t="str">
        <f t="shared" si="3"/>
        <v>(${Variables: E1_1_1_42_Kcat } * E1_1_1_42 * C00311 * C00006) /(${Variables:E1_1_1_42_Km} + (E1_1_1_42 * C00311 * C00006))</v>
      </c>
      <c r="K59" s="32" t="str">
        <f t="shared" si="4"/>
        <v>r58: C00311 + C00006 -&gt;  C00026 + C00011 + C00005 + C00080 | (${Variables: E1_1_1_42_Kcat } * E1_1_1_42 * C00311 * C00006) /(${Variables:E1_1_1_42_Km} + (E1_1_1_42 * C00311 * C00006))</v>
      </c>
    </row>
    <row r="60" spans="1:11" ht="58" x14ac:dyDescent="0.35">
      <c r="A60" s="31" t="s">
        <v>1936</v>
      </c>
      <c r="B60" s="31" t="s">
        <v>1937</v>
      </c>
      <c r="C60" s="31" t="s">
        <v>13945</v>
      </c>
      <c r="D60" s="31">
        <v>59</v>
      </c>
      <c r="E60" s="31" t="str">
        <f t="shared" si="0"/>
        <v>E1_1_1_42</v>
      </c>
      <c r="F60" s="31" t="s">
        <v>11692</v>
      </c>
      <c r="G60" s="31" t="str">
        <f t="shared" si="1"/>
        <v xml:space="preserve">	
C05379 </v>
      </c>
      <c r="H60" s="31" t="s">
        <v>11693</v>
      </c>
      <c r="I60" s="31" t="str">
        <f t="shared" si="2"/>
        <v>C00026 * C00011</v>
      </c>
      <c r="J60" s="31" t="str">
        <f t="shared" si="3"/>
        <v>(${Variables: E1_1_1_42_Kcat } * E1_1_1_42 * 	
C05379 ) /(${Variables:E1_1_1_42_Km} + (E1_1_1_42 * 	
C05379 ))</v>
      </c>
      <c r="K60" s="32" t="str">
        <f t="shared" si="4"/>
        <v>r59: 	
C05379  -&gt; C00026 + C00011 | (${Variables: E1_1_1_42_Kcat } * E1_1_1_42 * 	
C05379 ) /(${Variables:E1_1_1_42_Km} + (E1_1_1_42 * 	
C05379 ))</v>
      </c>
    </row>
    <row r="61" spans="1:11" ht="29" x14ac:dyDescent="0.35">
      <c r="A61" s="31" t="s">
        <v>1936</v>
      </c>
      <c r="B61" s="31" t="s">
        <v>1937</v>
      </c>
      <c r="C61" s="31" t="s">
        <v>13945</v>
      </c>
      <c r="D61" s="31">
        <v>60</v>
      </c>
      <c r="E61" s="31" t="str">
        <f t="shared" si="0"/>
        <v>E1_1_1_42</v>
      </c>
      <c r="F61" s="31" t="s">
        <v>11695</v>
      </c>
      <c r="G61" s="31" t="str">
        <f t="shared" si="1"/>
        <v xml:space="preserve">C00311 * C00006 </v>
      </c>
      <c r="H61" s="31" t="s">
        <v>11696</v>
      </c>
      <c r="I61" s="31" t="str">
        <f t="shared" si="2"/>
        <v xml:space="preserve"> C05379 * C00005 * C00080</v>
      </c>
      <c r="J61" s="31" t="str">
        <f t="shared" si="3"/>
        <v>(${Variables: E1_1_1_42_Kcat } * E1_1_1_42 * C00311 * C00006 ) /(${Variables:E1_1_1_42_Km} + (E1_1_1_42 * C00311 * C00006 ))</v>
      </c>
      <c r="K61" s="32" t="str">
        <f t="shared" si="4"/>
        <v>r60: C00311 + C00006  -&gt;  C05379 + C00005 + C00080 | (${Variables: E1_1_1_42_Kcat } * E1_1_1_42 * C00311 * C00006 ) /(${Variables:E1_1_1_42_Km} + (E1_1_1_42 * C00311 * C00006 ))</v>
      </c>
    </row>
    <row r="62" spans="1:11" ht="29" x14ac:dyDescent="0.35">
      <c r="A62" s="31" t="s">
        <v>4096</v>
      </c>
      <c r="B62" s="31" t="s">
        <v>4097</v>
      </c>
      <c r="C62" s="31" t="s">
        <v>13946</v>
      </c>
      <c r="D62" s="31">
        <v>61</v>
      </c>
      <c r="E62" s="31" t="str">
        <f t="shared" si="0"/>
        <v>E1_1_1_44</v>
      </c>
      <c r="F62" s="31" t="s">
        <v>11699</v>
      </c>
      <c r="G62" s="31" t="str">
        <f t="shared" si="1"/>
        <v>C00345 * C00006</v>
      </c>
      <c r="H62" s="31" t="s">
        <v>11700</v>
      </c>
      <c r="I62" s="31" t="str">
        <f t="shared" si="2"/>
        <v>C00199 * C00011 * C00005 * C00080</v>
      </c>
      <c r="J62" s="31" t="str">
        <f t="shared" si="3"/>
        <v>(${Variables: E1_1_1_44_Kcat } * E1_1_1_44 * C00345 * C00006) /(${Variables:E1_1_1_44_Km} + (E1_1_1_44 * C00345 * C00006))</v>
      </c>
      <c r="K62" s="44" t="str">
        <f t="shared" si="4"/>
        <v>r61: C00345 + C00006 -&gt; C00199 + C00011 + C00005 + C00080 | (${Variables: E1_1_1_44_Kcat } * E1_1_1_44 * C00345 * C00006) /(${Variables:E1_1_1_44_Km} + (E1_1_1_44 * C00345 * C00006))</v>
      </c>
    </row>
    <row r="63" spans="1:11" ht="29" x14ac:dyDescent="0.35">
      <c r="A63" s="31" t="s">
        <v>4440</v>
      </c>
      <c r="B63" s="31" t="s">
        <v>4441</v>
      </c>
      <c r="C63" s="31" t="s">
        <v>13947</v>
      </c>
      <c r="D63" s="31">
        <v>62</v>
      </c>
      <c r="E63" s="31" t="str">
        <f t="shared" si="0"/>
        <v>E1_1_1_49</v>
      </c>
      <c r="F63" s="31" t="s">
        <v>11703</v>
      </c>
      <c r="G63" s="31" t="str">
        <f t="shared" si="1"/>
        <v xml:space="preserve">C00092 * C00006 </v>
      </c>
      <c r="H63" s="31" t="s">
        <v>11704</v>
      </c>
      <c r="I63" s="31" t="str">
        <f t="shared" si="2"/>
        <v xml:space="preserve"> C01236 * C00005 * C00080</v>
      </c>
      <c r="J63" s="31" t="str">
        <f t="shared" si="3"/>
        <v>(${Variables: E1_1_1_49_Kcat } * E1_1_1_49 * C00092 * C00006 ) /(${Variables:E1_1_1_49_Km} + (E1_1_1_49 * C00092 * C00006 ))</v>
      </c>
      <c r="K63" s="44" t="str">
        <f t="shared" si="4"/>
        <v>r62: C00092 + C00006  -&gt;  C01236 + C00005 + C00080 | (${Variables: E1_1_1_49_Kcat } * E1_1_1_49 * C00092 * C00006 ) /(${Variables:E1_1_1_49_Km} + (E1_1_1_49 * C00092 * C00006 ))</v>
      </c>
    </row>
    <row r="64" spans="1:11" ht="58" x14ac:dyDescent="0.35">
      <c r="A64" s="31" t="s">
        <v>4440</v>
      </c>
      <c r="B64" s="31" t="s">
        <v>4441</v>
      </c>
      <c r="C64" s="31" t="s">
        <v>13947</v>
      </c>
      <c r="D64" s="31">
        <v>63</v>
      </c>
      <c r="E64" s="31" t="str">
        <f t="shared" si="0"/>
        <v>E1_1_1_49</v>
      </c>
      <c r="F64" s="31" t="s">
        <v>11706</v>
      </c>
      <c r="G64" s="31" t="str">
        <f t="shared" si="1"/>
        <v xml:space="preserve">	
C01172 * C00006</v>
      </c>
      <c r="H64" s="31" t="s">
        <v>11707</v>
      </c>
      <c r="I64" s="31" t="str">
        <f t="shared" si="2"/>
        <v> C01236 * C00005 * C00080</v>
      </c>
      <c r="J64" s="31" t="str">
        <f t="shared" si="3"/>
        <v>(${Variables: E1_1_1_49_Kcat } * E1_1_1_49 * 	
C01172 * C00006) /(${Variables:E1_1_1_49_Km} + (E1_1_1_49 * 	
C01172 * C00006))</v>
      </c>
      <c r="K64" s="44" t="str">
        <f t="shared" si="4"/>
        <v>r63: 	
C01172 + C00006 -&gt;  C01236 + C00005 + C00080 | (${Variables: E1_1_1_49_Kcat } * E1_1_1_49 * 	
C01172 * C00006) /(${Variables:E1_1_1_49_Km} + (E1_1_1_49 * 	
C01172 * C00006))</v>
      </c>
    </row>
    <row r="65" spans="1:11" ht="58" x14ac:dyDescent="0.35">
      <c r="A65" s="31" t="s">
        <v>3648</v>
      </c>
      <c r="B65" s="31" t="s">
        <v>3649</v>
      </c>
      <c r="C65" s="31" t="s">
        <v>13948</v>
      </c>
      <c r="D65" s="31">
        <v>64</v>
      </c>
      <c r="E65" s="31" t="str">
        <f t="shared" si="0"/>
        <v>E1_1_1_85</v>
      </c>
      <c r="F65" s="31" t="s">
        <v>11710</v>
      </c>
      <c r="G65" s="31" t="str">
        <f t="shared" si="1"/>
        <v xml:space="preserve">	
C00233 * C00011</v>
      </c>
      <c r="H65" s="31" t="s">
        <v>11711</v>
      </c>
      <c r="I65" s="31" t="str">
        <f t="shared" si="2"/>
        <v> C04236</v>
      </c>
      <c r="J65" s="31" t="str">
        <f t="shared" si="3"/>
        <v>(${Variables: E1_1_1_85_Kcat } * E1_1_1_85 * 	
C00233 * C00011) /(${Variables:E1_1_1_85_Km} + (E1_1_1_85 * 	
C00233 * C00011))</v>
      </c>
      <c r="K65" s="32" t="str">
        <f t="shared" si="4"/>
        <v>r64: 	
C00233 + C00011 -&gt;  C04236 | (${Variables: E1_1_1_85_Kcat } * E1_1_1_85 * 	
C00233 * C00011) /(${Variables:E1_1_1_85_Km} + (E1_1_1_85 * 	
C00233 * C00011))</v>
      </c>
    </row>
    <row r="66" spans="1:11" ht="58" x14ac:dyDescent="0.35">
      <c r="A66" s="31" t="s">
        <v>3648</v>
      </c>
      <c r="B66" s="31" t="s">
        <v>3649</v>
      </c>
      <c r="C66" s="31" t="s">
        <v>13948</v>
      </c>
      <c r="D66" s="31">
        <v>65</v>
      </c>
      <c r="E66" s="31" t="str">
        <f t="shared" si="0"/>
        <v>E1_1_1_85</v>
      </c>
      <c r="F66" s="31" t="s">
        <v>11713</v>
      </c>
      <c r="G66" s="31" t="str">
        <f t="shared" si="1"/>
        <v xml:space="preserve">	
C04411 * C00003</v>
      </c>
      <c r="H66" s="31" t="s">
        <v>11714</v>
      </c>
      <c r="I66" s="31" t="str">
        <f t="shared" si="2"/>
        <v> C04236 * C00004 * C00080</v>
      </c>
      <c r="J66" s="31" t="str">
        <f t="shared" si="3"/>
        <v>(${Variables: E1_1_1_85_Kcat } * E1_1_1_85 * 	
C04411 * C00003) /(${Variables:E1_1_1_85_Km} + (E1_1_1_85 * 	
C04411 * C00003))</v>
      </c>
      <c r="K66" s="32" t="str">
        <f t="shared" si="4"/>
        <v>r65: 	
C04411 + C00003 -&gt;  C04236 + C00004 + C00080 | (${Variables: E1_1_1_85_Kcat } * E1_1_1_85 * 	
C04411 * C00003) /(${Variables:E1_1_1_85_Km} + (E1_1_1_85 * 	
C04411 * C00003))</v>
      </c>
    </row>
    <row r="67" spans="1:11" ht="58" x14ac:dyDescent="0.35">
      <c r="A67" s="31" t="s">
        <v>3648</v>
      </c>
      <c r="B67" s="31" t="s">
        <v>3649</v>
      </c>
      <c r="C67" s="31" t="s">
        <v>13948</v>
      </c>
      <c r="D67" s="31">
        <v>66</v>
      </c>
      <c r="E67" s="31" t="str">
        <f t="shared" ref="E67:E130" si="5">CONCATENATE("E",C67)</f>
        <v>E1_1_1_85</v>
      </c>
      <c r="F67" s="31" t="s">
        <v>11716</v>
      </c>
      <c r="G67" s="31" t="str">
        <f t="shared" ref="G67:G130" si="6">SUBSTITUTE(F67,"+","*")</f>
        <v xml:space="preserve">	
C04411 * C00003 </v>
      </c>
      <c r="H67" s="31" t="s">
        <v>11717</v>
      </c>
      <c r="I67" s="31" t="str">
        <f t="shared" ref="I67:I130" si="7">SUBSTITUTE(H67,"+","*")</f>
        <v> C00233 * C00011 * C00004 * C00080</v>
      </c>
      <c r="J67" s="31" t="str">
        <f t="shared" ref="J67:J130" si="8">CONCATENATE("(${Variables: ",E67,"_Kcat ","} * ",E67," * ",G67,")"," /(${Variables:",E67,"_Km","} + (",E67," * ",G67,"))")</f>
        <v>(${Variables: E1_1_1_85_Kcat } * E1_1_1_85 * 	
C04411 * C00003 ) /(${Variables:E1_1_1_85_Km} + (E1_1_1_85 * 	
C04411 * C00003 ))</v>
      </c>
      <c r="K67" s="32" t="str">
        <f t="shared" ref="K67:K130" si="9">CONCATENATE("r",D67,": ",F67," -&gt; ",H67," | ",J67)</f>
        <v>r66: 	
C04411 + C00003  -&gt;  C00233 + C00011 + C00004 + C00080 | (${Variables: E1_1_1_85_Kcat } * E1_1_1_85 * 	
C04411 * C00003 ) /(${Variables:E1_1_1_85_Km} + (E1_1_1_85 * 	
C04411 * C00003 ))</v>
      </c>
    </row>
    <row r="68" spans="1:11" ht="58" x14ac:dyDescent="0.35">
      <c r="A68" s="31" t="s">
        <v>3648</v>
      </c>
      <c r="B68" s="31" t="s">
        <v>3649</v>
      </c>
      <c r="C68" s="31" t="s">
        <v>13948</v>
      </c>
      <c r="D68" s="31">
        <v>67</v>
      </c>
      <c r="E68" s="31" t="str">
        <f t="shared" si="5"/>
        <v>E1_1_1_85</v>
      </c>
      <c r="F68" s="31" t="s">
        <v>11719</v>
      </c>
      <c r="G68" s="31" t="str">
        <f t="shared" si="6"/>
        <v xml:space="preserve">	
C00109 * C00011 * C00004 * C00080 </v>
      </c>
      <c r="H68" s="31" t="s">
        <v>8894</v>
      </c>
      <c r="I68" s="31" t="str">
        <f t="shared" si="7"/>
        <v> C06032 * C00003</v>
      </c>
      <c r="J68" s="31" t="str">
        <f t="shared" si="8"/>
        <v>(${Variables: E1_1_1_85_Kcat } * E1_1_1_85 * 	
C00109 * C00011 * C00004 * C00080 ) /(${Variables:E1_1_1_85_Km} + (E1_1_1_85 * 	
C00109 * C00011 * C00004 * C00080 ))</v>
      </c>
      <c r="K68" s="32" t="str">
        <f t="shared" si="9"/>
        <v>r67: 	
C00109 + C00011 + C00004 + C00080  -&gt;  C06032 + C00003 | (${Variables: E1_1_1_85_Kcat } * E1_1_1_85 * 	
C00109 * C00011 * C00004 * C00080 ) /(${Variables:E1_1_1_85_Km} + (E1_1_1_85 * 	
C00109 * C00011 * C00004 * C00080 ))</v>
      </c>
    </row>
    <row r="69" spans="1:11" ht="58" x14ac:dyDescent="0.35">
      <c r="A69" s="31" t="s">
        <v>3619</v>
      </c>
      <c r="B69" s="31" t="s">
        <v>3620</v>
      </c>
      <c r="C69" s="31" t="s">
        <v>13949</v>
      </c>
      <c r="D69" s="31">
        <v>68</v>
      </c>
      <c r="E69" s="31" t="str">
        <f t="shared" si="5"/>
        <v>E1_1_1_86</v>
      </c>
      <c r="F69" s="31" t="s">
        <v>11722</v>
      </c>
      <c r="G69" s="31" t="str">
        <f t="shared" si="6"/>
        <v xml:space="preserve">	
C04272 * C00006</v>
      </c>
      <c r="H69" s="31" t="s">
        <v>11723</v>
      </c>
      <c r="I69" s="31" t="str">
        <f t="shared" si="7"/>
        <v>C06010 * C00005 * C00080</v>
      </c>
      <c r="J69" s="31" t="str">
        <f t="shared" si="8"/>
        <v>(${Variables: E1_1_1_86_Kcat } * E1_1_1_86 * 	
C04272 * C00006) /(${Variables:E1_1_1_86_Km} + (E1_1_1_86 * 	
C04272 * C00006))</v>
      </c>
      <c r="K69" s="32" t="str">
        <f t="shared" si="9"/>
        <v>r68: 	
C04272 + C00006 -&gt; C06010 + C00005 + C00080 | (${Variables: E1_1_1_86_Kcat } * E1_1_1_86 * 	
C04272 * C00006) /(${Variables:E1_1_1_86_Km} + (E1_1_1_86 * 	
C04272 * C00006))</v>
      </c>
    </row>
    <row r="70" spans="1:11" ht="29" x14ac:dyDescent="0.35">
      <c r="A70" s="31" t="s">
        <v>3619</v>
      </c>
      <c r="B70" s="31" t="s">
        <v>3620</v>
      </c>
      <c r="C70" s="31" t="s">
        <v>13949</v>
      </c>
      <c r="D70" s="31">
        <v>69</v>
      </c>
      <c r="E70" s="31" t="str">
        <f t="shared" si="5"/>
        <v>E1_1_1_86</v>
      </c>
      <c r="F70" s="31" t="s">
        <v>11725</v>
      </c>
      <c r="G70" s="31" t="str">
        <f t="shared" si="6"/>
        <v>C00900 * C00005 * C00080</v>
      </c>
      <c r="H70" s="31" t="s">
        <v>11726</v>
      </c>
      <c r="I70" s="31" t="str">
        <f t="shared" si="7"/>
        <v>C04039 * C00006</v>
      </c>
      <c r="J70" s="31" t="str">
        <f t="shared" si="8"/>
        <v>(${Variables: E1_1_1_86_Kcat } * E1_1_1_86 * C00900 * C00005 * C00080) /(${Variables:E1_1_1_86_Km} + (E1_1_1_86 * C00900 * C00005 * C00080))</v>
      </c>
      <c r="K70" s="32" t="str">
        <f t="shared" si="9"/>
        <v>r69: C00900 + C00005 + C00080 -&gt; C04039 + C00006 | (${Variables: E1_1_1_86_Kcat } * E1_1_1_86 * C00900 * C00005 * C00080) /(${Variables:E1_1_1_86_Km} + (E1_1_1_86 * C00900 * C00005 * C00080))</v>
      </c>
    </row>
    <row r="71" spans="1:11" ht="58" x14ac:dyDescent="0.35">
      <c r="A71" s="31" t="s">
        <v>3619</v>
      </c>
      <c r="B71" s="31" t="s">
        <v>3620</v>
      </c>
      <c r="C71" s="31" t="s">
        <v>13949</v>
      </c>
      <c r="D71" s="31">
        <v>70</v>
      </c>
      <c r="E71" s="31" t="str">
        <f t="shared" si="5"/>
        <v>E1_1_1_86</v>
      </c>
      <c r="F71" s="31" t="s">
        <v>11728</v>
      </c>
      <c r="G71" s="31" t="str">
        <f t="shared" si="6"/>
        <v xml:space="preserve">	
C04272 * C00006 </v>
      </c>
      <c r="H71" s="31" t="s">
        <v>8895</v>
      </c>
      <c r="I71" s="31" t="str">
        <f t="shared" si="7"/>
        <v>C04181 * C00005 * C00080</v>
      </c>
      <c r="J71" s="31" t="str">
        <f t="shared" si="8"/>
        <v>(${Variables: E1_1_1_86_Kcat } * E1_1_1_86 * 	
C04272 * C00006 ) /(${Variables:E1_1_1_86_Km} + (E1_1_1_86 * 	
C04272 * C00006 ))</v>
      </c>
      <c r="K71" s="32" t="str">
        <f t="shared" si="9"/>
        <v>r70: 	
C04272 + C00006  -&gt; C04181 + C00005 + C00080 | (${Variables: E1_1_1_86_Kcat } * E1_1_1_86 * 	
C04272 * C00006 ) /(${Variables:E1_1_1_86_Km} + (E1_1_1_86 * 	
C04272 * C00006 ))</v>
      </c>
    </row>
    <row r="72" spans="1:11" ht="58" x14ac:dyDescent="0.35">
      <c r="A72" s="31" t="s">
        <v>3619</v>
      </c>
      <c r="B72" s="31" t="s">
        <v>3620</v>
      </c>
      <c r="C72" s="31" t="s">
        <v>13949</v>
      </c>
      <c r="D72" s="31">
        <v>71</v>
      </c>
      <c r="E72" s="31" t="str">
        <f t="shared" si="5"/>
        <v>E1_1_1_86</v>
      </c>
      <c r="F72" s="31" t="s">
        <v>11730</v>
      </c>
      <c r="G72" s="31" t="str">
        <f t="shared" si="6"/>
        <v xml:space="preserve">	
C06007 * C00006</v>
      </c>
      <c r="H72" s="31" t="s">
        <v>11731</v>
      </c>
      <c r="I72" s="31" t="str">
        <f t="shared" si="7"/>
        <v> C14463 * C00005 * C00080</v>
      </c>
      <c r="J72" s="31" t="str">
        <f t="shared" si="8"/>
        <v>(${Variables: E1_1_1_86_Kcat } * E1_1_1_86 * 	
C06007 * C00006) /(${Variables:E1_1_1_86_Km} + (E1_1_1_86 * 	
C06007 * C00006))</v>
      </c>
      <c r="K72" s="32" t="str">
        <f t="shared" si="9"/>
        <v>r71: 	
C06007 + C00006 -&gt;  C14463 + C00005 + C00080 | (${Variables: E1_1_1_86_Kcat } * E1_1_1_86 * 	
C06007 * C00006) /(${Variables:E1_1_1_86_Km} + (E1_1_1_86 * 	
C06007 * C00006))</v>
      </c>
    </row>
    <row r="73" spans="1:11" ht="58" x14ac:dyDescent="0.35">
      <c r="A73" s="31" t="s">
        <v>3619</v>
      </c>
      <c r="B73" s="31" t="s">
        <v>3620</v>
      </c>
      <c r="C73" s="31" t="s">
        <v>13949</v>
      </c>
      <c r="D73" s="31">
        <v>72</v>
      </c>
      <c r="E73" s="31" t="str">
        <f t="shared" si="5"/>
        <v>E1_1_1_86</v>
      </c>
      <c r="F73" s="31" t="s">
        <v>11733</v>
      </c>
      <c r="G73" s="31" t="str">
        <f t="shared" si="6"/>
        <v xml:space="preserve">	
C06006</v>
      </c>
      <c r="H73" s="31" t="s">
        <v>11734</v>
      </c>
      <c r="I73" s="31" t="str">
        <f t="shared" si="7"/>
        <v>C14463</v>
      </c>
      <c r="J73" s="31" t="str">
        <f t="shared" si="8"/>
        <v>(${Variables: E1_1_1_86_Kcat } * E1_1_1_86 * 	
C06006) /(${Variables:E1_1_1_86_Km} + (E1_1_1_86 * 	
C06006))</v>
      </c>
      <c r="K73" s="32" t="str">
        <f t="shared" si="9"/>
        <v>r72: 	
C06006 -&gt; C14463 | (${Variables: E1_1_1_86_Kcat } * E1_1_1_86 * 	
C06006) /(${Variables:E1_1_1_86_Km} + (E1_1_1_86 * 	
C06006))</v>
      </c>
    </row>
    <row r="74" spans="1:11" ht="58" x14ac:dyDescent="0.35">
      <c r="A74" s="31" t="s">
        <v>3619</v>
      </c>
      <c r="B74" s="31" t="s">
        <v>3620</v>
      </c>
      <c r="C74" s="31" t="s">
        <v>13949</v>
      </c>
      <c r="D74" s="31">
        <v>73</v>
      </c>
      <c r="E74" s="31" t="str">
        <f t="shared" si="5"/>
        <v>E1_1_1_86</v>
      </c>
      <c r="F74" s="31" t="s">
        <v>11736</v>
      </c>
      <c r="G74" s="31" t="str">
        <f t="shared" si="6"/>
        <v xml:space="preserve">	
C06010</v>
      </c>
      <c r="H74" s="31" t="s">
        <v>11737</v>
      </c>
      <c r="I74" s="31" t="str">
        <f t="shared" si="7"/>
        <v>C04181</v>
      </c>
      <c r="J74" s="31" t="str">
        <f t="shared" si="8"/>
        <v>(${Variables: E1_1_1_86_Kcat } * E1_1_1_86 * 	
C06010) /(${Variables:E1_1_1_86_Km} + (E1_1_1_86 * 	
C06010))</v>
      </c>
      <c r="K74" s="32" t="str">
        <f t="shared" si="9"/>
        <v>r73: 	
C06010 -&gt; C04181 | (${Variables: E1_1_1_86_Kcat } * E1_1_1_86 * 	
C06010) /(${Variables:E1_1_1_86_Km} + (E1_1_1_86 * 	
C06010))</v>
      </c>
    </row>
    <row r="75" spans="1:11" ht="58" x14ac:dyDescent="0.35">
      <c r="A75" s="31" t="s">
        <v>3733</v>
      </c>
      <c r="B75" s="31" t="s">
        <v>3734</v>
      </c>
      <c r="C75" s="31" t="s">
        <v>13950</v>
      </c>
      <c r="D75" s="31">
        <v>74</v>
      </c>
      <c r="E75" s="31" t="str">
        <f t="shared" si="5"/>
        <v>E1_1_1_94</v>
      </c>
      <c r="F75" s="31" t="s">
        <v>11740</v>
      </c>
      <c r="G75" s="31" t="str">
        <f t="shared" si="6"/>
        <v xml:space="preserve">	
C00093 * C00003 </v>
      </c>
      <c r="H75" s="31" t="s">
        <v>11741</v>
      </c>
      <c r="I75" s="31" t="str">
        <f t="shared" si="7"/>
        <v>C00111 * C00004 * C00080</v>
      </c>
      <c r="J75" s="31" t="str">
        <f t="shared" si="8"/>
        <v>(${Variables: E1_1_1_94_Kcat } * E1_1_1_94 * 	
C00093 * C00003 ) /(${Variables:E1_1_1_94_Km} + (E1_1_1_94 * 	
C00093 * C00003 ))</v>
      </c>
      <c r="K75" s="32" t="str">
        <f t="shared" si="9"/>
        <v>r74: 	
C00093 + C00003  -&gt; C00111 + C00004 + C00080 | (${Variables: E1_1_1_94_Kcat } * E1_1_1_94 * 	
C00093 * C00003 ) /(${Variables:E1_1_1_94_Km} + (E1_1_1_94 * 	
C00093 * C00003 ))</v>
      </c>
    </row>
    <row r="76" spans="1:11" ht="58" x14ac:dyDescent="0.35">
      <c r="A76" s="31" t="s">
        <v>3733</v>
      </c>
      <c r="B76" s="31" t="s">
        <v>3734</v>
      </c>
      <c r="C76" s="31" t="s">
        <v>13950</v>
      </c>
      <c r="D76" s="31">
        <v>75</v>
      </c>
      <c r="E76" s="31" t="str">
        <f t="shared" si="5"/>
        <v>E1_1_1_94</v>
      </c>
      <c r="F76" s="31" t="s">
        <v>11743</v>
      </c>
      <c r="G76" s="31" t="str">
        <f t="shared" si="6"/>
        <v xml:space="preserve">	
C00093 * C00006</v>
      </c>
      <c r="H76" s="31" t="s">
        <v>8898</v>
      </c>
      <c r="I76" s="31" t="str">
        <f t="shared" si="7"/>
        <v>C00111 * C00005 * C00080</v>
      </c>
      <c r="J76" s="31" t="str">
        <f t="shared" si="8"/>
        <v>(${Variables: E1_1_1_94_Kcat } * E1_1_1_94 * 	
C00093 * C00006) /(${Variables:E1_1_1_94_Km} + (E1_1_1_94 * 	
C00093 * C00006))</v>
      </c>
      <c r="K76" s="32" t="str">
        <f t="shared" si="9"/>
        <v>r75: 	
C00093 + C00006 -&gt; C00111 + C00005 + C00080 | (${Variables: E1_1_1_94_Kcat } * E1_1_1_94 * 	
C00093 * C00006) /(${Variables:E1_1_1_94_Km} + (E1_1_1_94 * 	
C00093 * C00006))</v>
      </c>
    </row>
    <row r="77" spans="1:11" ht="58" x14ac:dyDescent="0.35">
      <c r="A77" s="31" t="s">
        <v>3642</v>
      </c>
      <c r="B77" s="31" t="s">
        <v>3643</v>
      </c>
      <c r="C77" s="31" t="s">
        <v>13951</v>
      </c>
      <c r="D77" s="31">
        <v>76</v>
      </c>
      <c r="E77" s="31" t="str">
        <f t="shared" si="5"/>
        <v>E1_1_1_95</v>
      </c>
      <c r="F77" s="31" t="s">
        <v>11746</v>
      </c>
      <c r="G77" s="31" t="str">
        <f t="shared" si="6"/>
        <v xml:space="preserve">	
C00197 * C00003 </v>
      </c>
      <c r="H77" s="31" t="s">
        <v>11747</v>
      </c>
      <c r="I77" s="31" t="str">
        <f t="shared" si="7"/>
        <v>C03232 * C00004 * C00080</v>
      </c>
      <c r="J77" s="31" t="str">
        <f t="shared" si="8"/>
        <v>(${Variables: E1_1_1_95_Kcat } * E1_1_1_95 * 	
C00197 * C00003 ) /(${Variables:E1_1_1_95_Km} + (E1_1_1_95 * 	
C00197 * C00003 ))</v>
      </c>
      <c r="K77" s="32" t="str">
        <f t="shared" si="9"/>
        <v>r76: 	
C00197 + C00003  -&gt; C03232 + C00004 + C00080 | (${Variables: E1_1_1_95_Kcat } * E1_1_1_95 * 	
C00197 * C00003 ) /(${Variables:E1_1_1_95_Km} + (E1_1_1_95 * 	
C00197 * C00003 ))</v>
      </c>
    </row>
    <row r="78" spans="1:11" ht="29" x14ac:dyDescent="0.35">
      <c r="A78" s="31" t="s">
        <v>3642</v>
      </c>
      <c r="B78" s="31" t="s">
        <v>3643</v>
      </c>
      <c r="C78" s="31" t="s">
        <v>13951</v>
      </c>
      <c r="D78" s="31">
        <v>77</v>
      </c>
      <c r="E78" s="31" t="str">
        <f t="shared" si="5"/>
        <v>E1_1_1_95</v>
      </c>
      <c r="F78" s="31" t="s">
        <v>11749</v>
      </c>
      <c r="G78" s="31" t="str">
        <f t="shared" si="6"/>
        <v>C02630 * C00003 </v>
      </c>
      <c r="H78" s="31" t="s">
        <v>8899</v>
      </c>
      <c r="I78" s="31" t="str">
        <f t="shared" si="7"/>
        <v> C00026 * C00004 * C00080</v>
      </c>
      <c r="J78" s="31" t="str">
        <f t="shared" si="8"/>
        <v>(${Variables: E1_1_1_95_Kcat } * E1_1_1_95 * C02630 * C00003 ) /(${Variables:E1_1_1_95_Km} + (E1_1_1_95 * C02630 * C00003 ))</v>
      </c>
      <c r="K78" s="32" t="str">
        <f t="shared" si="9"/>
        <v>r77: C02630 + C00003  -&gt;  C00026 + C00004 + C00080 | (${Variables: E1_1_1_95_Kcat } * E1_1_1_95 * C02630 * C00003 ) /(${Variables:E1_1_1_95_Km} + (E1_1_1_95 * C02630 * C00003 ))</v>
      </c>
    </row>
    <row r="79" spans="1:11" ht="58" x14ac:dyDescent="0.35">
      <c r="A79" s="31" t="s">
        <v>5519</v>
      </c>
      <c r="B79" s="31" t="s">
        <v>5520</v>
      </c>
      <c r="C79" s="31" t="s">
        <v>13952</v>
      </c>
      <c r="D79" s="31">
        <v>78</v>
      </c>
      <c r="E79" s="31" t="str">
        <f t="shared" si="5"/>
        <v>E1_1_5_4</v>
      </c>
      <c r="F79" s="31" t="s">
        <v>11752</v>
      </c>
      <c r="G79" s="31" t="str">
        <f t="shared" si="6"/>
        <v xml:space="preserve">	
C00149 * C15602</v>
      </c>
      <c r="H79" s="31" t="s">
        <v>11753</v>
      </c>
      <c r="I79" s="31" t="str">
        <f t="shared" si="7"/>
        <v>C00036 * C15603</v>
      </c>
      <c r="J79" s="31" t="str">
        <f t="shared" si="8"/>
        <v>(${Variables: E1_1_5_4_Kcat } * E1_1_5_4 * 	
C00149 * C15602) /(${Variables:E1_1_5_4_Km} + (E1_1_5_4 * 	
C00149 * C15602))</v>
      </c>
      <c r="K79" s="31" t="str">
        <f t="shared" si="9"/>
        <v>r78: 	
C00149 + C15602 -&gt; C00036 + C15603 | (${Variables: E1_1_5_4_Kcat } * E1_1_5_4 * 	
C00149 * C15602) /(${Variables:E1_1_5_4_Km} + (E1_1_5_4 * 	
C00149 * C15602))</v>
      </c>
    </row>
    <row r="80" spans="1:11" ht="58" x14ac:dyDescent="0.35">
      <c r="A80" s="31" t="s">
        <v>5519</v>
      </c>
      <c r="B80" s="31" t="s">
        <v>5520</v>
      </c>
      <c r="C80" s="31" t="s">
        <v>13952</v>
      </c>
      <c r="D80" s="31">
        <v>79</v>
      </c>
      <c r="E80" s="31" t="str">
        <f t="shared" si="5"/>
        <v>E1_1_5_4</v>
      </c>
      <c r="F80" s="31" t="s">
        <v>11755</v>
      </c>
      <c r="G80" s="31" t="str">
        <f t="shared" si="6"/>
        <v xml:space="preserve">	
C00149 * C00007 </v>
      </c>
      <c r="H80" s="31" t="s">
        <v>8900</v>
      </c>
      <c r="I80" s="31" t="str">
        <f t="shared" si="7"/>
        <v>C00036 * C00027</v>
      </c>
      <c r="J80" s="31" t="str">
        <f t="shared" si="8"/>
        <v>(${Variables: E1_1_5_4_Kcat } * E1_1_5_4 * 	
C00149 * C00007 ) /(${Variables:E1_1_5_4_Km} + (E1_1_5_4 * 	
C00149 * C00007 ))</v>
      </c>
      <c r="K80" s="31" t="str">
        <f t="shared" si="9"/>
        <v>r79: 	
C00149 + C00007  -&gt; C00036 + C00027 | (${Variables: E1_1_5_4_Kcat } * E1_1_5_4 * 	
C00149 * C00007 ) /(${Variables:E1_1_5_4_Km} + (E1_1_5_4 * 	
C00149 * C00007 ))</v>
      </c>
    </row>
    <row r="81" spans="1:11" ht="58" x14ac:dyDescent="0.35">
      <c r="A81" s="31" t="s">
        <v>5519</v>
      </c>
      <c r="B81" s="31" t="s">
        <v>5520</v>
      </c>
      <c r="C81" s="31" t="s">
        <v>13952</v>
      </c>
      <c r="D81" s="31">
        <v>80</v>
      </c>
      <c r="E81" s="31" t="str">
        <f t="shared" si="5"/>
        <v>E1_1_5_4</v>
      </c>
      <c r="F81" s="31" t="s">
        <v>11757</v>
      </c>
      <c r="G81" s="31" t="str">
        <f t="shared" si="6"/>
        <v xml:space="preserve">	
C00149 * C00016 </v>
      </c>
      <c r="H81" s="31" t="s">
        <v>11758</v>
      </c>
      <c r="I81" s="31" t="str">
        <f t="shared" si="7"/>
        <v>C00036 * C01352</v>
      </c>
      <c r="J81" s="31" t="str">
        <f t="shared" si="8"/>
        <v>(${Variables: E1_1_5_4_Kcat } * E1_1_5_4 * 	
C00149 * C00016 ) /(${Variables:E1_1_5_4_Km} + (E1_1_5_4 * 	
C00149 * C00016 ))</v>
      </c>
      <c r="K81" s="31" t="str">
        <f t="shared" si="9"/>
        <v>r80: 	
C00149 + C00016  -&gt; C00036 + C01352 | (${Variables: E1_1_5_4_Kcat } * E1_1_5_4 * 	
C00149 * C00016 ) /(${Variables:E1_1_5_4_Km} + (E1_1_5_4 * 	
C00149 * C00016 ))</v>
      </c>
    </row>
    <row r="82" spans="1:11" ht="29" x14ac:dyDescent="0.35">
      <c r="A82" s="31" t="s">
        <v>6846</v>
      </c>
      <c r="B82" s="31" t="s">
        <v>6847</v>
      </c>
      <c r="C82" s="31" t="s">
        <v>13953</v>
      </c>
      <c r="D82" s="31">
        <v>81</v>
      </c>
      <c r="E82" s="31" t="str">
        <f t="shared" si="5"/>
        <v>E1_11_1_24</v>
      </c>
      <c r="F82" s="31" t="s">
        <v>11761</v>
      </c>
      <c r="G82" s="31" t="str">
        <f t="shared" si="6"/>
        <v>C00342 * C15498</v>
      </c>
      <c r="H82" s="31" t="s">
        <v>11762</v>
      </c>
      <c r="I82" s="31" t="str">
        <f t="shared" si="7"/>
        <v>C00343 * C00001 * C01335</v>
      </c>
      <c r="J82" s="31" t="str">
        <f t="shared" si="8"/>
        <v>(${Variables: E1_11_1_24_Kcat } * E1_11_1_24 * C00342 * C15498) /(${Variables:E1_11_1_24_Km} + (E1_11_1_24 * C00342 * C15498))</v>
      </c>
      <c r="K82" s="32" t="str">
        <f t="shared" si="9"/>
        <v>r81: C00342 + C15498 -&gt; C00343 + C00001 + C01335 | (${Variables: E1_11_1_24_Kcat } * E1_11_1_24 * C00342 * C15498) /(${Variables:E1_11_1_24_Km} + (E1_11_1_24 * C00342 * C15498))</v>
      </c>
    </row>
    <row r="83" spans="1:11" ht="58" x14ac:dyDescent="0.35">
      <c r="A83" s="31" t="s">
        <v>784</v>
      </c>
      <c r="B83" s="31" t="s">
        <v>785</v>
      </c>
      <c r="C83" s="31" t="s">
        <v>13954</v>
      </c>
      <c r="D83" s="31">
        <v>82</v>
      </c>
      <c r="E83" s="31" t="str">
        <f t="shared" si="5"/>
        <v>E1_11_1_6</v>
      </c>
      <c r="F83" s="31" t="s">
        <v>13857</v>
      </c>
      <c r="G83" s="31" t="str">
        <f t="shared" si="6"/>
        <v xml:space="preserve">	
C00027 </v>
      </c>
      <c r="H83" s="31" t="s">
        <v>14405</v>
      </c>
      <c r="I83" s="31" t="str">
        <f t="shared" si="7"/>
        <v>C00007 * C00001</v>
      </c>
      <c r="J83" s="31" t="str">
        <f t="shared" si="8"/>
        <v>(${Variables: E1_11_1_6_Kcat } * E1_11_1_6 * 	
C00027 ) /(${Variables:E1_11_1_6_Km} + (E1_11_1_6 * 	
C00027 ))</v>
      </c>
      <c r="K83" s="32" t="str">
        <f t="shared" si="9"/>
        <v>r82: 	
C00027  -&gt; C00007 + C00001 | (${Variables: E1_11_1_6_Kcat } * E1_11_1_6 * 	
C00027 ) /(${Variables:E1_11_1_6_Km} + (E1_11_1_6 * 	
C00027 ))</v>
      </c>
    </row>
    <row r="84" spans="1:11" ht="58" x14ac:dyDescent="0.35">
      <c r="A84" s="31" t="s">
        <v>784</v>
      </c>
      <c r="B84" s="31" t="s">
        <v>785</v>
      </c>
      <c r="C84" s="31" t="s">
        <v>13954</v>
      </c>
      <c r="D84" s="31">
        <v>83</v>
      </c>
      <c r="E84" s="31" t="str">
        <f t="shared" si="5"/>
        <v>E1_11_1_6</v>
      </c>
      <c r="F84" s="31" t="s">
        <v>11767</v>
      </c>
      <c r="G84" s="31" t="str">
        <f t="shared" si="6"/>
        <v xml:space="preserve">	
C00132 * C00027 </v>
      </c>
      <c r="H84" s="31" t="s">
        <v>14406</v>
      </c>
      <c r="I84" s="31" t="str">
        <f t="shared" si="7"/>
        <v>C00067 *  C00001</v>
      </c>
      <c r="J84" s="31" t="str">
        <f t="shared" si="8"/>
        <v>(${Variables: E1_11_1_6_Kcat } * E1_11_1_6 * 	
C00132 * C00027 ) /(${Variables:E1_11_1_6_Km} + (E1_11_1_6 * 	
C00132 * C00027 ))</v>
      </c>
      <c r="K84" s="32" t="str">
        <f t="shared" si="9"/>
        <v>r83: 	
C00132 + C00027  -&gt; C00067 +  C00001 | (${Variables: E1_11_1_6_Kcat } * E1_11_1_6 * 	
C00132 * C00027 ) /(${Variables:E1_11_1_6_Km} + (E1_11_1_6 * 	
C00132 * C00027 ))</v>
      </c>
    </row>
    <row r="85" spans="1:11" ht="29" x14ac:dyDescent="0.35">
      <c r="A85" s="31" t="s">
        <v>784</v>
      </c>
      <c r="B85" s="31" t="s">
        <v>785</v>
      </c>
      <c r="C85" s="31" t="s">
        <v>13954</v>
      </c>
      <c r="D85" s="31">
        <v>84</v>
      </c>
      <c r="E85" s="31" t="str">
        <f t="shared" si="5"/>
        <v>E1_11_1_6</v>
      </c>
      <c r="F85" s="31" t="s">
        <v>14375</v>
      </c>
      <c r="G85" s="31" t="str">
        <f t="shared" si="6"/>
        <v>C00632 * C00007</v>
      </c>
      <c r="H85" s="31" t="s">
        <v>14407</v>
      </c>
      <c r="I85" s="31" t="str">
        <f t="shared" si="7"/>
        <v>C05640 *  C00704 *  C00027 *  C00080</v>
      </c>
      <c r="J85" s="31" t="str">
        <f t="shared" si="8"/>
        <v>(${Variables: E1_11_1_6_Kcat } * E1_11_1_6 * C00632 * C00007) /(${Variables:E1_11_1_6_Km} + (E1_11_1_6 * C00632 * C00007))</v>
      </c>
      <c r="K85" s="32" t="str">
        <f t="shared" si="9"/>
        <v>r84: C00632 + C00007 -&gt; C05640 +  C00704 +  C00027 +  C00080 | (${Variables: E1_11_1_6_Kcat } * E1_11_1_6 * C00632 * C00007) /(${Variables:E1_11_1_6_Km} + (E1_11_1_6 * C00632 * C00007))</v>
      </c>
    </row>
    <row r="86" spans="1:11" ht="58" x14ac:dyDescent="0.35">
      <c r="A86" s="31" t="s">
        <v>6628</v>
      </c>
      <c r="B86" s="31" t="s">
        <v>6629</v>
      </c>
      <c r="C86" s="31" t="s">
        <v>13955</v>
      </c>
      <c r="D86" s="31">
        <v>85</v>
      </c>
      <c r="E86" s="31" t="str">
        <f t="shared" si="5"/>
        <v>E1_13_11_1</v>
      </c>
      <c r="F86" s="31" t="s">
        <v>11772</v>
      </c>
      <c r="G86" s="31" t="str">
        <f t="shared" si="6"/>
        <v xml:space="preserve">	
C00090 * C00007 </v>
      </c>
      <c r="H86" s="31" t="s">
        <v>8902</v>
      </c>
      <c r="I86" s="31" t="str">
        <f t="shared" si="7"/>
        <v>C02480</v>
      </c>
      <c r="J86" s="31" t="str">
        <f t="shared" si="8"/>
        <v>(${Variables: E1_13_11_1_Kcat } * E1_13_11_1 * 	
C00090 * C00007 ) /(${Variables:E1_13_11_1_Km} + (E1_13_11_1 * 	
C00090 * C00007 ))</v>
      </c>
      <c r="K86" s="31" t="str">
        <f t="shared" si="9"/>
        <v>r85: 	
C00090 + C00007  -&gt; C02480 | (${Variables: E1_13_11_1_Kcat } * E1_13_11_1 * 	
C00090 * C00007 ) /(${Variables:E1_13_11_1_Km} + (E1_13_11_1 * 	
C00090 * C00007 ))</v>
      </c>
    </row>
    <row r="87" spans="1:11" ht="58" x14ac:dyDescent="0.35">
      <c r="A87" s="31" t="s">
        <v>6628</v>
      </c>
      <c r="B87" s="31" t="s">
        <v>6629</v>
      </c>
      <c r="C87" s="31" t="s">
        <v>13955</v>
      </c>
      <c r="D87" s="31">
        <v>86</v>
      </c>
      <c r="E87" s="31" t="str">
        <f t="shared" si="5"/>
        <v>E1_13_11_1</v>
      </c>
      <c r="F87" s="31" t="s">
        <v>11774</v>
      </c>
      <c r="G87" s="31" t="str">
        <f t="shared" si="6"/>
        <v xml:space="preserve">	
C02375 * C00007 </v>
      </c>
      <c r="H87" s="31" t="s">
        <v>8903</v>
      </c>
      <c r="I87" s="31" t="str">
        <f t="shared" si="7"/>
        <v>C03585</v>
      </c>
      <c r="J87" s="31" t="str">
        <f t="shared" si="8"/>
        <v>(${Variables: E1_13_11_1_Kcat } * E1_13_11_1 * 	
C02375 * C00007 ) /(${Variables:E1_13_11_1_Km} + (E1_13_11_1 * 	
C02375 * C00007 ))</v>
      </c>
      <c r="K87" s="31" t="str">
        <f t="shared" si="9"/>
        <v>r86: 	
C02375 + C00007  -&gt; C03585 | (${Variables: E1_13_11_1_Kcat } * E1_13_11_1 * 	
C02375 * C00007 ) /(${Variables:E1_13_11_1_Km} + (E1_13_11_1 * 	
C02375 * C00007 ))</v>
      </c>
    </row>
    <row r="88" spans="1:11" ht="58" x14ac:dyDescent="0.35">
      <c r="A88" s="31" t="s">
        <v>6628</v>
      </c>
      <c r="B88" s="31" t="s">
        <v>6629</v>
      </c>
      <c r="C88" s="31" t="s">
        <v>13955</v>
      </c>
      <c r="D88" s="31">
        <v>87</v>
      </c>
      <c r="E88" s="31" t="str">
        <f t="shared" si="5"/>
        <v>E1_13_11_1</v>
      </c>
      <c r="F88" s="31" t="s">
        <v>11776</v>
      </c>
      <c r="G88" s="31" t="str">
        <f t="shared" si="6"/>
        <v xml:space="preserve">	
C06730 * C00007 </v>
      </c>
      <c r="H88" s="31" t="s">
        <v>8904</v>
      </c>
      <c r="I88" s="31" t="str">
        <f t="shared" si="7"/>
        <v>C04112</v>
      </c>
      <c r="J88" s="31" t="str">
        <f t="shared" si="8"/>
        <v>(${Variables: E1_13_11_1_Kcat } * E1_13_11_1 * 	
C06730 * C00007 ) /(${Variables:E1_13_11_1_Km} + (E1_13_11_1 * 	
C06730 * C00007 ))</v>
      </c>
      <c r="K88" s="31" t="str">
        <f>CONCATENATE("r",D88,": ",F88," -&gt; ",H88," | ",J88)</f>
        <v>r87: 	
C06730 + C00007  -&gt; C04112 | (${Variables: E1_13_11_1_Kcat } * E1_13_11_1 * 	
C06730 * C00007 ) /(${Variables:E1_13_11_1_Km} + (E1_13_11_1 * 	
C06730 * C00007 ))</v>
      </c>
    </row>
    <row r="89" spans="1:11" ht="58" x14ac:dyDescent="0.35">
      <c r="A89" s="31" t="s">
        <v>6628</v>
      </c>
      <c r="B89" s="31" t="s">
        <v>6629</v>
      </c>
      <c r="C89" s="31" t="s">
        <v>13955</v>
      </c>
      <c r="D89" s="31">
        <v>88</v>
      </c>
      <c r="E89" s="31" t="str">
        <f t="shared" si="5"/>
        <v>E1_13_11_1</v>
      </c>
      <c r="F89" s="31" t="s">
        <v>11778</v>
      </c>
      <c r="G89" s="31" t="str">
        <f t="shared" si="6"/>
        <v xml:space="preserve">	
C16472 * C00007</v>
      </c>
      <c r="H89" s="31" t="s">
        <v>11779</v>
      </c>
      <c r="I89" s="31" t="str">
        <f t="shared" si="7"/>
        <v> C16475</v>
      </c>
      <c r="J89" s="31" t="str">
        <f t="shared" si="8"/>
        <v>(${Variables: E1_13_11_1_Kcat } * E1_13_11_1 * 	
C16472 * C00007) /(${Variables:E1_13_11_1_Km} + (E1_13_11_1 * 	
C16472 * C00007))</v>
      </c>
      <c r="K89" s="31" t="str">
        <f t="shared" si="9"/>
        <v>r88: 	
C16472 + C00007 -&gt;  C16475 | (${Variables: E1_13_11_1_Kcat } * E1_13_11_1 * 	
C16472 * C00007) /(${Variables:E1_13_11_1_Km} + (E1_13_11_1 * 	
C16472 * C00007))</v>
      </c>
    </row>
    <row r="90" spans="1:11" ht="58" x14ac:dyDescent="0.35">
      <c r="A90" s="31" t="s">
        <v>6628</v>
      </c>
      <c r="B90" s="31" t="s">
        <v>6629</v>
      </c>
      <c r="C90" s="31" t="s">
        <v>13955</v>
      </c>
      <c r="D90" s="31">
        <v>89</v>
      </c>
      <c r="E90" s="31" t="str">
        <f t="shared" si="5"/>
        <v>E1_13_11_1</v>
      </c>
      <c r="F90" s="31" t="s">
        <v>11781</v>
      </c>
      <c r="G90" s="31" t="str">
        <f t="shared" si="6"/>
        <v xml:space="preserve">	
C16473 * C00007</v>
      </c>
      <c r="H90" s="31" t="s">
        <v>8906</v>
      </c>
      <c r="I90" s="31" t="str">
        <f t="shared" si="7"/>
        <v>C16474</v>
      </c>
      <c r="J90" s="31" t="str">
        <f t="shared" si="8"/>
        <v>(${Variables: E1_13_11_1_Kcat } * E1_13_11_1 * 	
C16473 * C00007) /(${Variables:E1_13_11_1_Km} + (E1_13_11_1 * 	
C16473 * C00007))</v>
      </c>
      <c r="K90" s="31" t="str">
        <f t="shared" si="9"/>
        <v>r89: 	
C16473 + C00007 -&gt; C16474 | (${Variables: E1_13_11_1_Kcat } * E1_13_11_1 * 	
C16473 * C00007) /(${Variables:E1_13_11_1_Km} + (E1_13_11_1 * 	
C16473 * C00007))</v>
      </c>
    </row>
    <row r="91" spans="1:11" ht="58" x14ac:dyDescent="0.35">
      <c r="A91" s="31" t="s">
        <v>6628</v>
      </c>
      <c r="B91" s="31" t="s">
        <v>6629</v>
      </c>
      <c r="C91" s="31" t="s">
        <v>13955</v>
      </c>
      <c r="D91" s="31">
        <v>90</v>
      </c>
      <c r="E91" s="31" t="str">
        <f t="shared" si="5"/>
        <v>E1_13_11_1</v>
      </c>
      <c r="F91" s="31" t="s">
        <v>11783</v>
      </c>
      <c r="G91" s="31" t="str">
        <f t="shared" si="6"/>
        <v xml:space="preserve">	
C18240 * C00007</v>
      </c>
      <c r="H91" s="31" t="s">
        <v>8907</v>
      </c>
      <c r="I91" s="31" t="str">
        <f t="shared" si="7"/>
        <v>C18241</v>
      </c>
      <c r="J91" s="31" t="str">
        <f t="shared" si="8"/>
        <v>(${Variables: E1_13_11_1_Kcat } * E1_13_11_1 * 	
C18240 * C00007) /(${Variables:E1_13_11_1_Km} + (E1_13_11_1 * 	
C18240 * C00007))</v>
      </c>
      <c r="K91" s="31" t="str">
        <f t="shared" si="9"/>
        <v>r90: 	
C18240 + C00007 -&gt; C18241 | (${Variables: E1_13_11_1_Kcat } * E1_13_11_1 * 	
C18240 * C00007) /(${Variables:E1_13_11_1_Km} + (E1_13_11_1 * 	
C18240 * C00007))</v>
      </c>
    </row>
    <row r="92" spans="1:11" ht="29" x14ac:dyDescent="0.35">
      <c r="A92" s="31" t="s">
        <v>6612</v>
      </c>
      <c r="B92" s="31" t="s">
        <v>6613</v>
      </c>
      <c r="C92" s="31" t="s">
        <v>13956</v>
      </c>
      <c r="D92" s="31">
        <v>91</v>
      </c>
      <c r="E92" s="31" t="str">
        <f t="shared" si="5"/>
        <v>E1_13_11_3</v>
      </c>
      <c r="F92" s="31" t="s">
        <v>11786</v>
      </c>
      <c r="G92" s="31" t="str">
        <f t="shared" si="6"/>
        <v xml:space="preserve">C00230 * C00007 </v>
      </c>
      <c r="H92" s="31" t="s">
        <v>11787</v>
      </c>
      <c r="I92" s="31" t="str">
        <f t="shared" si="7"/>
        <v>C01163</v>
      </c>
      <c r="J92" s="31" t="str">
        <f t="shared" si="8"/>
        <v>(${Variables: E1_13_11_3_Kcat } * E1_13_11_3 * C00230 * C00007 ) /(${Variables:E1_13_11_3_Km} + (E1_13_11_3 * C00230 * C00007 ))</v>
      </c>
      <c r="K92" s="31" t="str">
        <f>CONCATENATE("r",D92,": ",F92," -&gt; ",H92," | ",J92)</f>
        <v>r91: C00230 + C00007  -&gt; C01163 | (${Variables: E1_13_11_3_Kcat } * E1_13_11_3 * C00230 * C00007 ) /(${Variables:E1_13_11_3_Km} + (E1_13_11_3 * C00230 * C00007 ))</v>
      </c>
    </row>
    <row r="93" spans="1:11" ht="58" x14ac:dyDescent="0.35">
      <c r="A93" s="31" t="s">
        <v>6612</v>
      </c>
      <c r="B93" s="31" t="s">
        <v>6613</v>
      </c>
      <c r="C93" s="31" t="s">
        <v>13956</v>
      </c>
      <c r="D93" s="31">
        <v>92</v>
      </c>
      <c r="E93" s="31" t="str">
        <f t="shared" si="5"/>
        <v>E1_13_11_3</v>
      </c>
      <c r="F93" s="31" t="s">
        <v>11789</v>
      </c>
      <c r="G93" s="31" t="str">
        <f t="shared" si="6"/>
        <v xml:space="preserve">	
C01424 * C00007</v>
      </c>
      <c r="H93" s="31" t="s">
        <v>8909</v>
      </c>
      <c r="I93" s="31" t="str">
        <f t="shared" si="7"/>
        <v>C03671 * C00001</v>
      </c>
      <c r="J93" s="31" t="str">
        <f t="shared" si="8"/>
        <v>(${Variables: E1_13_11_3_Kcat } * E1_13_11_3 * 	
C01424 * C00007) /(${Variables:E1_13_11_3_Km} + (E1_13_11_3 * 	
C01424 * C00007))</v>
      </c>
      <c r="K93" s="31" t="str">
        <f t="shared" si="9"/>
        <v>r92: 	
C01424 + C00007 -&gt; C03671 + C00001 | (${Variables: E1_13_11_3_Kcat } * E1_13_11_3 * 	
C01424 * C00007) /(${Variables:E1_13_11_3_Km} + (E1_13_11_3 * 	
C01424 * C00007))</v>
      </c>
    </row>
    <row r="94" spans="1:11" ht="29" x14ac:dyDescent="0.35">
      <c r="A94" s="31" t="s">
        <v>6615</v>
      </c>
      <c r="B94" s="31" t="s">
        <v>6616</v>
      </c>
      <c r="C94" s="31" t="s">
        <v>13956</v>
      </c>
      <c r="D94" s="31">
        <v>93</v>
      </c>
      <c r="E94" s="31" t="str">
        <f t="shared" si="5"/>
        <v>E1_13_11_3</v>
      </c>
      <c r="F94" s="31" t="s">
        <v>11786</v>
      </c>
      <c r="G94" s="31" t="str">
        <f t="shared" si="6"/>
        <v xml:space="preserve">C00230 * C00007 </v>
      </c>
      <c r="H94" s="31" t="s">
        <v>11787</v>
      </c>
      <c r="I94" s="31" t="str">
        <f t="shared" si="7"/>
        <v>C01163</v>
      </c>
      <c r="J94" s="31" t="str">
        <f t="shared" si="8"/>
        <v>(${Variables: E1_13_11_3_Kcat } * E1_13_11_3 * C00230 * C00007 ) /(${Variables:E1_13_11_3_Km} + (E1_13_11_3 * C00230 * C00007 ))</v>
      </c>
      <c r="K94" s="31" t="str">
        <f>CONCATENATE("r",D94,": ",F94," -&gt; ",H94," | ",J94)</f>
        <v>r93: C00230 + C00007  -&gt; C01163 | (${Variables: E1_13_11_3_Kcat } * E1_13_11_3 * C00230 * C00007 ) /(${Variables:E1_13_11_3_Km} + (E1_13_11_3 * C00230 * C00007 ))</v>
      </c>
    </row>
    <row r="95" spans="1:11" ht="58" x14ac:dyDescent="0.35">
      <c r="A95" s="31" t="s">
        <v>6615</v>
      </c>
      <c r="B95" s="31" t="s">
        <v>6616</v>
      </c>
      <c r="C95" s="31" t="s">
        <v>13956</v>
      </c>
      <c r="D95" s="31">
        <v>94</v>
      </c>
      <c r="E95" s="31" t="str">
        <f t="shared" si="5"/>
        <v>E1_13_11_3</v>
      </c>
      <c r="F95" s="31" t="s">
        <v>11789</v>
      </c>
      <c r="G95" s="31" t="str">
        <f t="shared" si="6"/>
        <v xml:space="preserve">	
C01424 * C00007</v>
      </c>
      <c r="H95" s="31" t="s">
        <v>8909</v>
      </c>
      <c r="I95" s="31" t="str">
        <f t="shared" si="7"/>
        <v>C03671 * C00001</v>
      </c>
      <c r="J95" s="31" t="str">
        <f t="shared" si="8"/>
        <v>(${Variables: E1_13_11_3_Kcat } * E1_13_11_3 * 	
C01424 * C00007) /(${Variables:E1_13_11_3_Km} + (E1_13_11_3 * 	
C01424 * C00007))</v>
      </c>
      <c r="K95" s="31" t="str">
        <f t="shared" si="9"/>
        <v>r94: 	
C01424 + C00007 -&gt; C03671 + C00001 | (${Variables: E1_13_11_3_Kcat } * E1_13_11_3 * 	
C01424 * C00007) /(${Variables:E1_13_11_3_Km} + (E1_13_11_3 * 	
C01424 * C00007))</v>
      </c>
    </row>
    <row r="96" spans="1:11" ht="58" x14ac:dyDescent="0.35">
      <c r="A96" s="31" t="s">
        <v>2707</v>
      </c>
      <c r="B96" s="31" t="s">
        <v>2708</v>
      </c>
      <c r="C96" s="31" t="s">
        <v>13957</v>
      </c>
      <c r="D96" s="31">
        <v>95</v>
      </c>
      <c r="E96" s="31" t="str">
        <f t="shared" si="5"/>
        <v>E1_13_12_16</v>
      </c>
      <c r="F96" s="31" t="s">
        <v>11792</v>
      </c>
      <c r="G96" s="31" t="str">
        <f t="shared" si="6"/>
        <v xml:space="preserve">	
C18091 * C00007 * C01847 </v>
      </c>
      <c r="H96" s="31" t="s">
        <v>11793</v>
      </c>
      <c r="I96" s="31" t="str">
        <f t="shared" si="7"/>
        <v> C00084 * C00088 * C00061 * C00001</v>
      </c>
      <c r="J96" s="31" t="str">
        <f t="shared" si="8"/>
        <v>(${Variables: E1_13_12_16_Kcat } * E1_13_12_16 * 	
C18091 * C00007 * C01847 ) /(${Variables:E1_13_12_16_Km} + (E1_13_12_16 * 	
C18091 * C00007 * C01847 ))</v>
      </c>
      <c r="K96" s="32" t="str">
        <f t="shared" si="9"/>
        <v>r95: 	
C18091 + C00007 + C01847  -&gt;  C00084 + C00088 + C00061 + C00001 | (${Variables: E1_13_12_16_Kcat } * E1_13_12_16 * 	
C18091 * C00007 * C01847 ) /(${Variables:E1_13_12_16_Km} + (E1_13_12_16 * 	
C18091 * C00007 * C01847 ))</v>
      </c>
    </row>
    <row r="97" spans="1:11" ht="29" x14ac:dyDescent="0.35">
      <c r="A97" s="31" t="s">
        <v>6632</v>
      </c>
      <c r="B97" s="31" t="s">
        <v>6633</v>
      </c>
      <c r="C97" s="31" t="s">
        <v>13958</v>
      </c>
      <c r="D97" s="31">
        <v>96</v>
      </c>
      <c r="E97" s="31" t="str">
        <f t="shared" si="5"/>
        <v>E1_14_12_10</v>
      </c>
      <c r="F97" s="31" t="s">
        <v>11796</v>
      </c>
      <c r="G97" s="31" t="str">
        <f t="shared" si="6"/>
        <v>C00180 * C00004 * C00080 * C00007</v>
      </c>
      <c r="H97" s="31" t="s">
        <v>11797</v>
      </c>
      <c r="I97" s="31" t="str">
        <f t="shared" si="7"/>
        <v>C04634 * C00003</v>
      </c>
      <c r="J97" s="31" t="str">
        <f t="shared" si="8"/>
        <v>(${Variables: E1_14_12_10_Kcat } * E1_14_12_10 * C00180 * C00004 * C00080 * C00007) /(${Variables:E1_14_12_10_Km} + (E1_14_12_10 * C00180 * C00004 * C00080 * C00007))</v>
      </c>
      <c r="K97" s="31" t="str">
        <f t="shared" si="9"/>
        <v>r96: C00180 + C00004 + C00080 + C00007 -&gt; C04634 + C00003 | (${Variables: E1_14_12_10_Kcat } * E1_14_12_10 * C00180 * C00004 * C00080 * C00007) /(${Variables:E1_14_12_10_Km} + (E1_14_12_10 * C00180 * C00004 * C00080 * C00007))</v>
      </c>
    </row>
    <row r="98" spans="1:11" ht="58" x14ac:dyDescent="0.35">
      <c r="A98" s="31" t="s">
        <v>6632</v>
      </c>
      <c r="B98" s="31" t="s">
        <v>6633</v>
      </c>
      <c r="C98" s="31" t="s">
        <v>13958</v>
      </c>
      <c r="D98" s="31">
        <v>97</v>
      </c>
      <c r="E98" s="31" t="str">
        <f t="shared" si="5"/>
        <v>E1_14_12_10</v>
      </c>
      <c r="F98" s="31" t="s">
        <v>11799</v>
      </c>
      <c r="G98" s="31" t="str">
        <f t="shared" si="6"/>
        <v xml:space="preserve">	
C00180 * C00004 * C00080 * C00007 </v>
      </c>
      <c r="H98" s="31" t="s">
        <v>11800</v>
      </c>
      <c r="I98" s="31" t="str">
        <f t="shared" si="7"/>
        <v> C06321 * C00003</v>
      </c>
      <c r="J98" s="31" t="str">
        <f t="shared" si="8"/>
        <v>(${Variables: E1_14_12_10_Kcat } * E1_14_12_10 * 	
C00180 * C00004 * C00080 * C00007 ) /(${Variables:E1_14_12_10_Km} + (E1_14_12_10 * 	
C00180 * C00004 * C00080 * C00007 ))</v>
      </c>
      <c r="K98" s="31" t="str">
        <f>CONCATENATE("r",D98,": ",F98," -&gt; ",H98," | ",J98)</f>
        <v>r97: 	
C00180 + C00004 + C00080 + C00007  -&gt;  C06321 + C00003 | (${Variables: E1_14_12_10_Kcat } * E1_14_12_10 * 	
C00180 * C00004 * C00080 * C00007 ) /(${Variables:E1_14_12_10_Km} + (E1_14_12_10 * 	
C00180 * C00004 * C00080 * C00007 ))</v>
      </c>
    </row>
    <row r="99" spans="1:11" ht="58" x14ac:dyDescent="0.35">
      <c r="A99" s="31" t="s">
        <v>6632</v>
      </c>
      <c r="B99" s="31" t="s">
        <v>6633</v>
      </c>
      <c r="C99" s="31" t="s">
        <v>13958</v>
      </c>
      <c r="D99" s="31">
        <v>98</v>
      </c>
      <c r="E99" s="31" t="str">
        <f t="shared" si="5"/>
        <v>E1_14_12_10</v>
      </c>
      <c r="F99" s="31" t="s">
        <v>11802</v>
      </c>
      <c r="G99" s="31" t="str">
        <f t="shared" si="6"/>
        <v xml:space="preserve">	
C00180 * C00005 * C00080 * C00007 </v>
      </c>
      <c r="H99" s="31" t="s">
        <v>11803</v>
      </c>
      <c r="I99" s="31" t="str">
        <f t="shared" si="7"/>
        <v>C06321 * C00006</v>
      </c>
      <c r="J99" s="31" t="str">
        <f t="shared" si="8"/>
        <v>(${Variables: E1_14_12_10_Kcat } * E1_14_12_10 * 	
C00180 * C00005 * C00080 * C00007 ) /(${Variables:E1_14_12_10_Km} + (E1_14_12_10 * 	
C00180 * C00005 * C00080 * C00007 ))</v>
      </c>
      <c r="K99" s="31" t="str">
        <f t="shared" si="9"/>
        <v>r98: 	
C00180 + C00005 + C00080 + C00007  -&gt; C06321 + C00006 | (${Variables: E1_14_12_10_Kcat } * E1_14_12_10 * 	
C00180 * C00005 * C00080 * C00007 ) /(${Variables:E1_14_12_10_Km} + (E1_14_12_10 * 	
C00180 * C00005 * C00080 * C00007 ))</v>
      </c>
    </row>
    <row r="100" spans="1:11" ht="29" x14ac:dyDescent="0.35">
      <c r="A100" s="31" t="s">
        <v>6632</v>
      </c>
      <c r="B100" s="31" t="s">
        <v>6633</v>
      </c>
      <c r="C100" s="31" t="s">
        <v>13958</v>
      </c>
      <c r="D100" s="31">
        <v>99</v>
      </c>
      <c r="E100" s="31" t="str">
        <f t="shared" si="5"/>
        <v>E1_14_12_10</v>
      </c>
      <c r="F100" s="31" t="s">
        <v>11805</v>
      </c>
      <c r="G100" s="31" t="str">
        <f t="shared" si="6"/>
        <v>C02359 * C00004 * C00080 * C00007</v>
      </c>
      <c r="H100" s="31" t="s">
        <v>11806</v>
      </c>
      <c r="I100" s="31" t="str">
        <f t="shared" si="7"/>
        <v>C16482 * C00003</v>
      </c>
      <c r="J100" s="31" t="str">
        <f t="shared" si="8"/>
        <v>(${Variables: E1_14_12_10_Kcat } * E1_14_12_10 * C02359 * C00004 * C00080 * C00007) /(${Variables:E1_14_12_10_Km} + (E1_14_12_10 * C02359 * C00004 * C00080 * C00007))</v>
      </c>
      <c r="K100" s="31" t="str">
        <f t="shared" si="9"/>
        <v>r99: C02359 + C00004 + C00080 + C00007 -&gt; C16482 + C00003 | (${Variables: E1_14_12_10_Kcat } * E1_14_12_10 * C02359 * C00004 * C00080 * C00007) /(${Variables:E1_14_12_10_Km} + (E1_14_12_10 * C02359 * C00004 * C00080 * C00007))</v>
      </c>
    </row>
    <row r="101" spans="1:11" ht="58" x14ac:dyDescent="0.35">
      <c r="A101" s="31" t="s">
        <v>6632</v>
      </c>
      <c r="B101" s="31" t="s">
        <v>6633</v>
      </c>
      <c r="C101" s="31" t="s">
        <v>13958</v>
      </c>
      <c r="D101" s="31">
        <v>100</v>
      </c>
      <c r="E101" s="31" t="str">
        <f t="shared" si="5"/>
        <v>E1_14_12_10</v>
      </c>
      <c r="F101" s="31" t="s">
        <v>11808</v>
      </c>
      <c r="G101" s="31" t="str">
        <f t="shared" si="6"/>
        <v xml:space="preserve">	
C02359 * C00004 * C00080 * C00007</v>
      </c>
      <c r="H101" s="31" t="s">
        <v>8910</v>
      </c>
      <c r="I101" s="31" t="str">
        <f t="shared" si="7"/>
        <v>C16481 * C00003</v>
      </c>
      <c r="J101" s="31" t="str">
        <f t="shared" si="8"/>
        <v>(${Variables: E1_14_12_10_Kcat } * E1_14_12_10 * 	
C02359 * C00004 * C00080 * C00007) /(${Variables:E1_14_12_10_Km} + (E1_14_12_10 * 	
C02359 * C00004 * C00080 * C00007))</v>
      </c>
      <c r="K101" s="31" t="str">
        <f t="shared" si="9"/>
        <v>r100: 	
C02359 + C00004 + C00080 + C00007 -&gt; C16481 + C00003 | (${Variables: E1_14_12_10_Kcat } * E1_14_12_10 * 	
C02359 * C00004 * C00080 * C00007) /(${Variables:E1_14_12_10_Km} + (E1_14_12_10 * 	
C02359 * C00004 * C00080 * C00007))</v>
      </c>
    </row>
    <row r="102" spans="1:11" ht="29" x14ac:dyDescent="0.35">
      <c r="A102" s="31" t="s">
        <v>6632</v>
      </c>
      <c r="B102" s="31" t="s">
        <v>6633</v>
      </c>
      <c r="C102" s="31" t="s">
        <v>13958</v>
      </c>
      <c r="D102" s="31">
        <v>101</v>
      </c>
      <c r="E102" s="31" t="str">
        <f t="shared" si="5"/>
        <v>E1_14_12_10</v>
      </c>
      <c r="F102" s="31" t="s">
        <v>11810</v>
      </c>
      <c r="G102" s="31" t="str">
        <f t="shared" si="6"/>
        <v xml:space="preserve">C02364 * C00004 * C00007 * C00080 </v>
      </c>
      <c r="H102" s="31" t="s">
        <v>8911</v>
      </c>
      <c r="I102" s="31" t="str">
        <f t="shared" si="7"/>
        <v>C16478 * C00003</v>
      </c>
      <c r="J102" s="31" t="str">
        <f t="shared" si="8"/>
        <v>(${Variables: E1_14_12_10_Kcat } * E1_14_12_10 * C02364 * C00004 * C00007 * C00080 ) /(${Variables:E1_14_12_10_Km} + (E1_14_12_10 * C02364 * C00004 * C00007 * C00080 ))</v>
      </c>
      <c r="K102" s="31" t="str">
        <f t="shared" si="9"/>
        <v>r101: C02364 + C00004 + C00007 + C00080  -&gt; C16478 + C00003 | (${Variables: E1_14_12_10_Kcat } * E1_14_12_10 * C02364 * C00004 * C00007 * C00080 ) /(${Variables:E1_14_12_10_Km} + (E1_14_12_10 * C02364 * C00004 * C00007 * C00080 ))</v>
      </c>
    </row>
    <row r="103" spans="1:11" ht="58" x14ac:dyDescent="0.35">
      <c r="A103" s="31" t="s">
        <v>6632</v>
      </c>
      <c r="B103" s="31" t="s">
        <v>6633</v>
      </c>
      <c r="C103" s="31" t="s">
        <v>13958</v>
      </c>
      <c r="D103" s="31">
        <v>102</v>
      </c>
      <c r="E103" s="31" t="str">
        <f t="shared" si="5"/>
        <v>E1_14_12_10</v>
      </c>
      <c r="F103" s="31" t="s">
        <v>11812</v>
      </c>
      <c r="G103" s="31" t="str">
        <f t="shared" si="6"/>
        <v xml:space="preserve">	
C02364 * C00004 * C00080 * C00007</v>
      </c>
      <c r="H103" s="31" t="s">
        <v>8912</v>
      </c>
      <c r="I103" s="31" t="str">
        <f t="shared" si="7"/>
        <v> C16479 * C00003</v>
      </c>
      <c r="J103" s="31" t="str">
        <f t="shared" si="8"/>
        <v>(${Variables: E1_14_12_10_Kcat } * E1_14_12_10 * 	
C02364 * C00004 * C00080 * C00007) /(${Variables:E1_14_12_10_Km} + (E1_14_12_10 * 	
C02364 * C00004 * C00080 * C00007))</v>
      </c>
      <c r="K103" s="31" t="str">
        <f t="shared" si="9"/>
        <v>r102: 	
C02364 + C00004 + C00080 + C00007 -&gt;  C16479 + C00003 | (${Variables: E1_14_12_10_Kcat } * E1_14_12_10 * 	
C02364 * C00004 * C00080 * C00007) /(${Variables:E1_14_12_10_Km} + (E1_14_12_10 * 	
C02364 * C00004 * C00080 * C00007))</v>
      </c>
    </row>
    <row r="104" spans="1:11" ht="58" x14ac:dyDescent="0.35">
      <c r="A104" s="31" t="s">
        <v>6632</v>
      </c>
      <c r="B104" s="31" t="s">
        <v>6633</v>
      </c>
      <c r="C104" s="31" t="s">
        <v>13958</v>
      </c>
      <c r="D104" s="31">
        <v>103</v>
      </c>
      <c r="E104" s="31" t="str">
        <f t="shared" si="5"/>
        <v>E1_14_12_10</v>
      </c>
      <c r="F104" s="31" t="s">
        <v>11814</v>
      </c>
      <c r="G104" s="31" t="str">
        <f t="shared" si="6"/>
        <v xml:space="preserve">	
C02371 * C00004 * C00080 * C00007</v>
      </c>
      <c r="H104" s="31" t="s">
        <v>8913</v>
      </c>
      <c r="I104" s="31" t="str">
        <f t="shared" si="7"/>
        <v>C16480 * C00003</v>
      </c>
      <c r="J104" s="31" t="str">
        <f t="shared" si="8"/>
        <v>(${Variables: E1_14_12_10_Kcat } * E1_14_12_10 * 	
C02371 * C00004 * C00080 * C00007) /(${Variables:E1_14_12_10_Km} + (E1_14_12_10 * 	
C02371 * C00004 * C00080 * C00007))</v>
      </c>
      <c r="K104" s="31" t="str">
        <f t="shared" si="9"/>
        <v>r103: 	
C02371 + C00004 + C00080 + C00007 -&gt; C16480 + C00003 | (${Variables: E1_14_12_10_Kcat } * E1_14_12_10 * 	
C02371 * C00004 * C00080 * C00007) /(${Variables:E1_14_12_10_Km} + (E1_14_12_10 * 	
C02371 * C00004 * C00080 * C00007))</v>
      </c>
    </row>
    <row r="105" spans="1:11" ht="29" x14ac:dyDescent="0.35">
      <c r="A105" s="31" t="s">
        <v>6636</v>
      </c>
      <c r="B105" s="31" t="s">
        <v>6637</v>
      </c>
      <c r="C105" s="31" t="s">
        <v>13958</v>
      </c>
      <c r="D105" s="31">
        <v>104</v>
      </c>
      <c r="E105" s="31" t="str">
        <f t="shared" si="5"/>
        <v>E1_14_12_10</v>
      </c>
      <c r="F105" s="31" t="s">
        <v>11796</v>
      </c>
      <c r="G105" s="31" t="str">
        <f t="shared" si="6"/>
        <v>C00180 * C00004 * C00080 * C00007</v>
      </c>
      <c r="H105" s="31" t="s">
        <v>11797</v>
      </c>
      <c r="I105" s="31" t="str">
        <f t="shared" si="7"/>
        <v>C04634 * C00003</v>
      </c>
      <c r="J105" s="31" t="str">
        <f t="shared" si="8"/>
        <v>(${Variables: E1_14_12_10_Kcat } * E1_14_12_10 * C00180 * C00004 * C00080 * C00007) /(${Variables:E1_14_12_10_Km} + (E1_14_12_10 * C00180 * C00004 * C00080 * C00007))</v>
      </c>
      <c r="K105" s="31" t="str">
        <f t="shared" si="9"/>
        <v>r104: C00180 + C00004 + C00080 + C00007 -&gt; C04634 + C00003 | (${Variables: E1_14_12_10_Kcat } * E1_14_12_10 * C00180 * C00004 * C00080 * C00007) /(${Variables:E1_14_12_10_Km} + (E1_14_12_10 * C00180 * C00004 * C00080 * C00007))</v>
      </c>
    </row>
    <row r="106" spans="1:11" ht="58" x14ac:dyDescent="0.35">
      <c r="A106" s="31" t="s">
        <v>6636</v>
      </c>
      <c r="B106" s="31" t="s">
        <v>6637</v>
      </c>
      <c r="C106" s="31" t="s">
        <v>13958</v>
      </c>
      <c r="D106" s="31">
        <v>105</v>
      </c>
      <c r="E106" s="31" t="str">
        <f t="shared" si="5"/>
        <v>E1_14_12_10</v>
      </c>
      <c r="F106" s="31" t="s">
        <v>11799</v>
      </c>
      <c r="G106" s="31" t="str">
        <f t="shared" si="6"/>
        <v xml:space="preserve">	
C00180 * C00004 * C00080 * C00007 </v>
      </c>
      <c r="H106" s="31" t="s">
        <v>11800</v>
      </c>
      <c r="I106" s="31" t="str">
        <f t="shared" si="7"/>
        <v> C06321 * C00003</v>
      </c>
      <c r="J106" s="31" t="str">
        <f t="shared" si="8"/>
        <v>(${Variables: E1_14_12_10_Kcat } * E1_14_12_10 * 	
C00180 * C00004 * C00080 * C00007 ) /(${Variables:E1_14_12_10_Km} + (E1_14_12_10 * 	
C00180 * C00004 * C00080 * C00007 ))</v>
      </c>
      <c r="K106" s="31" t="str">
        <f t="shared" si="9"/>
        <v>r105: 	
C00180 + C00004 + C00080 + C00007  -&gt;  C06321 + C00003 | (${Variables: E1_14_12_10_Kcat } * E1_14_12_10 * 	
C00180 * C00004 * C00080 * C00007 ) /(${Variables:E1_14_12_10_Km} + (E1_14_12_10 * 	
C00180 * C00004 * C00080 * C00007 ))</v>
      </c>
    </row>
    <row r="107" spans="1:11" ht="58" x14ac:dyDescent="0.35">
      <c r="A107" s="31" t="s">
        <v>6636</v>
      </c>
      <c r="B107" s="31" t="s">
        <v>6637</v>
      </c>
      <c r="C107" s="31" t="s">
        <v>13958</v>
      </c>
      <c r="D107" s="31">
        <v>106</v>
      </c>
      <c r="E107" s="31" t="str">
        <f t="shared" si="5"/>
        <v>E1_14_12_10</v>
      </c>
      <c r="F107" s="31" t="s">
        <v>11802</v>
      </c>
      <c r="G107" s="31" t="str">
        <f t="shared" si="6"/>
        <v xml:space="preserve">	
C00180 * C00005 * C00080 * C00007 </v>
      </c>
      <c r="H107" s="31" t="s">
        <v>11803</v>
      </c>
      <c r="I107" s="31" t="str">
        <f t="shared" si="7"/>
        <v>C06321 * C00006</v>
      </c>
      <c r="J107" s="31" t="str">
        <f t="shared" si="8"/>
        <v>(${Variables: E1_14_12_10_Kcat } * E1_14_12_10 * 	
C00180 * C00005 * C00080 * C00007 ) /(${Variables:E1_14_12_10_Km} + (E1_14_12_10 * 	
C00180 * C00005 * C00080 * C00007 ))</v>
      </c>
      <c r="K107" s="31" t="str">
        <f t="shared" si="9"/>
        <v>r106: 	
C00180 + C00005 + C00080 + C00007  -&gt; C06321 + C00006 | (${Variables: E1_14_12_10_Kcat } * E1_14_12_10 * 	
C00180 * C00005 * C00080 * C00007 ) /(${Variables:E1_14_12_10_Km} + (E1_14_12_10 * 	
C00180 * C00005 * C00080 * C00007 ))</v>
      </c>
    </row>
    <row r="108" spans="1:11" ht="29" x14ac:dyDescent="0.35">
      <c r="A108" s="31" t="s">
        <v>6636</v>
      </c>
      <c r="B108" s="31" t="s">
        <v>6637</v>
      </c>
      <c r="C108" s="31" t="s">
        <v>13958</v>
      </c>
      <c r="D108" s="31">
        <v>107</v>
      </c>
      <c r="E108" s="31" t="str">
        <f t="shared" si="5"/>
        <v>E1_14_12_10</v>
      </c>
      <c r="F108" s="31" t="s">
        <v>11805</v>
      </c>
      <c r="G108" s="31" t="str">
        <f t="shared" si="6"/>
        <v>C02359 * C00004 * C00080 * C00007</v>
      </c>
      <c r="H108" s="31" t="s">
        <v>11806</v>
      </c>
      <c r="I108" s="31" t="str">
        <f t="shared" si="7"/>
        <v>C16482 * C00003</v>
      </c>
      <c r="J108" s="31" t="str">
        <f t="shared" si="8"/>
        <v>(${Variables: E1_14_12_10_Kcat } * E1_14_12_10 * C02359 * C00004 * C00080 * C00007) /(${Variables:E1_14_12_10_Km} + (E1_14_12_10 * C02359 * C00004 * C00080 * C00007))</v>
      </c>
      <c r="K108" s="31" t="str">
        <f t="shared" si="9"/>
        <v>r107: C02359 + C00004 + C00080 + C00007 -&gt; C16482 + C00003 | (${Variables: E1_14_12_10_Kcat } * E1_14_12_10 * C02359 * C00004 * C00080 * C00007) /(${Variables:E1_14_12_10_Km} + (E1_14_12_10 * C02359 * C00004 * C00080 * C00007))</v>
      </c>
    </row>
    <row r="109" spans="1:11" ht="58" x14ac:dyDescent="0.35">
      <c r="A109" s="31" t="s">
        <v>6636</v>
      </c>
      <c r="B109" s="31" t="s">
        <v>6637</v>
      </c>
      <c r="C109" s="31" t="s">
        <v>13958</v>
      </c>
      <c r="D109" s="31">
        <v>108</v>
      </c>
      <c r="E109" s="31" t="str">
        <f t="shared" si="5"/>
        <v>E1_14_12_10</v>
      </c>
      <c r="F109" s="31" t="s">
        <v>11808</v>
      </c>
      <c r="G109" s="31" t="str">
        <f t="shared" si="6"/>
        <v xml:space="preserve">	
C02359 * C00004 * C00080 * C00007</v>
      </c>
      <c r="H109" s="31" t="s">
        <v>8910</v>
      </c>
      <c r="I109" s="31" t="str">
        <f t="shared" si="7"/>
        <v>C16481 * C00003</v>
      </c>
      <c r="J109" s="31" t="str">
        <f t="shared" si="8"/>
        <v>(${Variables: E1_14_12_10_Kcat } * E1_14_12_10 * 	
C02359 * C00004 * C00080 * C00007) /(${Variables:E1_14_12_10_Km} + (E1_14_12_10 * 	
C02359 * C00004 * C00080 * C00007))</v>
      </c>
      <c r="K109" s="31" t="str">
        <f t="shared" si="9"/>
        <v>r108: 	
C02359 + C00004 + C00080 + C00007 -&gt; C16481 + C00003 | (${Variables: E1_14_12_10_Kcat } * E1_14_12_10 * 	
C02359 * C00004 * C00080 * C00007) /(${Variables:E1_14_12_10_Km} + (E1_14_12_10 * 	
C02359 * C00004 * C00080 * C00007))</v>
      </c>
    </row>
    <row r="110" spans="1:11" ht="29" x14ac:dyDescent="0.35">
      <c r="A110" s="31" t="s">
        <v>6636</v>
      </c>
      <c r="B110" s="31" t="s">
        <v>6637</v>
      </c>
      <c r="C110" s="31" t="s">
        <v>13958</v>
      </c>
      <c r="D110" s="31">
        <v>109</v>
      </c>
      <c r="E110" s="31" t="str">
        <f t="shared" si="5"/>
        <v>E1_14_12_10</v>
      </c>
      <c r="F110" s="31" t="s">
        <v>11810</v>
      </c>
      <c r="G110" s="31" t="str">
        <f t="shared" si="6"/>
        <v xml:space="preserve">C02364 * C00004 * C00007 * C00080 </v>
      </c>
      <c r="H110" s="31" t="s">
        <v>8911</v>
      </c>
      <c r="I110" s="31" t="str">
        <f t="shared" si="7"/>
        <v>C16478 * C00003</v>
      </c>
      <c r="J110" s="31" t="str">
        <f t="shared" si="8"/>
        <v>(${Variables: E1_14_12_10_Kcat } * E1_14_12_10 * C02364 * C00004 * C00007 * C00080 ) /(${Variables:E1_14_12_10_Km} + (E1_14_12_10 * C02364 * C00004 * C00007 * C00080 ))</v>
      </c>
      <c r="K110" s="31" t="str">
        <f>CONCATENATE("r",D110,": ",F110," -&gt; ",H110," | ",J110)</f>
        <v>r109: C02364 + C00004 + C00007 + C00080  -&gt; C16478 + C00003 | (${Variables: E1_14_12_10_Kcat } * E1_14_12_10 * C02364 * C00004 * C00007 * C00080 ) /(${Variables:E1_14_12_10_Km} + (E1_14_12_10 * C02364 * C00004 * C00007 * C00080 ))</v>
      </c>
    </row>
    <row r="111" spans="1:11" ht="58" x14ac:dyDescent="0.35">
      <c r="A111" s="31" t="s">
        <v>6636</v>
      </c>
      <c r="B111" s="31" t="s">
        <v>6637</v>
      </c>
      <c r="C111" s="31" t="s">
        <v>13958</v>
      </c>
      <c r="D111" s="31">
        <v>110</v>
      </c>
      <c r="E111" s="31" t="str">
        <f t="shared" si="5"/>
        <v>E1_14_12_10</v>
      </c>
      <c r="F111" s="31" t="s">
        <v>11812</v>
      </c>
      <c r="G111" s="31" t="str">
        <f t="shared" si="6"/>
        <v xml:space="preserve">	
C02364 * C00004 * C00080 * C00007</v>
      </c>
      <c r="H111" s="31" t="s">
        <v>8912</v>
      </c>
      <c r="I111" s="31" t="str">
        <f t="shared" si="7"/>
        <v> C16479 * C00003</v>
      </c>
      <c r="J111" s="31" t="str">
        <f t="shared" si="8"/>
        <v>(${Variables: E1_14_12_10_Kcat } * E1_14_12_10 * 	
C02364 * C00004 * C00080 * C00007) /(${Variables:E1_14_12_10_Km} + (E1_14_12_10 * 	
C02364 * C00004 * C00080 * C00007))</v>
      </c>
      <c r="K111" s="31" t="str">
        <f t="shared" si="9"/>
        <v>r110: 	
C02364 + C00004 + C00080 + C00007 -&gt;  C16479 + C00003 | (${Variables: E1_14_12_10_Kcat } * E1_14_12_10 * 	
C02364 * C00004 * C00080 * C00007) /(${Variables:E1_14_12_10_Km} + (E1_14_12_10 * 	
C02364 * C00004 * C00080 * C00007))</v>
      </c>
    </row>
    <row r="112" spans="1:11" ht="58" x14ac:dyDescent="0.35">
      <c r="A112" s="31" t="s">
        <v>6636</v>
      </c>
      <c r="B112" s="31" t="s">
        <v>6637</v>
      </c>
      <c r="C112" s="31" t="s">
        <v>13958</v>
      </c>
      <c r="D112" s="31">
        <v>111</v>
      </c>
      <c r="E112" s="31" t="str">
        <f t="shared" si="5"/>
        <v>E1_14_12_10</v>
      </c>
      <c r="F112" s="31" t="s">
        <v>11814</v>
      </c>
      <c r="G112" s="31" t="str">
        <f t="shared" si="6"/>
        <v xml:space="preserve">	
C02371 * C00004 * C00080 * C00007</v>
      </c>
      <c r="H112" s="31" t="s">
        <v>8913</v>
      </c>
      <c r="I112" s="31" t="str">
        <f t="shared" si="7"/>
        <v>C16480 * C00003</v>
      </c>
      <c r="J112" s="31" t="str">
        <f t="shared" si="8"/>
        <v>(${Variables: E1_14_12_10_Kcat } * E1_14_12_10 * 	
C02371 * C00004 * C00080 * C00007) /(${Variables:E1_14_12_10_Km} + (E1_14_12_10 * 	
C02371 * C00004 * C00080 * C00007))</v>
      </c>
      <c r="K112" s="31" t="str">
        <f t="shared" si="9"/>
        <v>r111: 	
C02371 + C00004 + C00080 + C00007 -&gt; C16480 + C00003 | (${Variables: E1_14_12_10_Kcat } * E1_14_12_10 * 	
C02371 * C00004 * C00080 * C00007) /(${Variables:E1_14_12_10_Km} + (E1_14_12_10 * 	
C02371 * C00004 * C00080 * C00007))</v>
      </c>
    </row>
    <row r="113" spans="1:11" ht="29" x14ac:dyDescent="0.35">
      <c r="A113" s="31" t="s">
        <v>3298</v>
      </c>
      <c r="B113" s="31" t="s">
        <v>3299</v>
      </c>
      <c r="C113" s="31" t="s">
        <v>13959</v>
      </c>
      <c r="D113" s="31">
        <v>112</v>
      </c>
      <c r="E113" s="31" t="str">
        <f t="shared" si="5"/>
        <v>E1_14_13_127</v>
      </c>
      <c r="F113" s="31" t="s">
        <v>11817</v>
      </c>
      <c r="G113" s="31" t="str">
        <f t="shared" si="6"/>
        <v xml:space="preserve">C11457 * C00007 * C00004 * C00080 </v>
      </c>
      <c r="H113" s="31" t="s">
        <v>11818</v>
      </c>
      <c r="I113" s="31" t="str">
        <f t="shared" si="7"/>
        <v>C04044 * C00001 * C00003</v>
      </c>
      <c r="J113" s="31" t="str">
        <f t="shared" si="8"/>
        <v>(${Variables: E1_14_13_127_Kcat } * E1_14_13_127 * C11457 * C00007 * C00004 * C00080 ) /(${Variables:E1_14_13_127_Km} + (E1_14_13_127 * C11457 * C00007 * C00004 * C00080 ))</v>
      </c>
      <c r="K113" s="31" t="str">
        <f>CONCATENATE("r",D113,": ",F113," -&gt; ",H113," | ",J113)</f>
        <v>r112: C11457 + C00007 + C00004 + C00080  -&gt; C04044 + C00001 + C00003 | (${Variables: E1_14_13_127_Kcat } * E1_14_13_127 * C11457 * C00007 * C00004 * C00080 ) /(${Variables:E1_14_13_127_Km} + (E1_14_13_127 * C11457 * C00007 * C00004 * C00080 ))</v>
      </c>
    </row>
    <row r="114" spans="1:11" ht="58" x14ac:dyDescent="0.35">
      <c r="A114" s="31" t="s">
        <v>3298</v>
      </c>
      <c r="B114" s="31" t="s">
        <v>3299</v>
      </c>
      <c r="C114" s="31" t="s">
        <v>13959</v>
      </c>
      <c r="D114" s="31">
        <v>113</v>
      </c>
      <c r="E114" s="31" t="str">
        <f t="shared" si="5"/>
        <v>E1_14_13_127</v>
      </c>
      <c r="F114" s="31" t="s">
        <v>11820</v>
      </c>
      <c r="G114" s="31" t="str">
        <f t="shared" si="6"/>
        <v xml:space="preserve">	
C12621 * C00007 * C00004 * C00080</v>
      </c>
      <c r="H114" s="31" t="s">
        <v>8914</v>
      </c>
      <c r="I114" s="31" t="str">
        <f t="shared" si="7"/>
        <v>C12623 * C00001 * C00003</v>
      </c>
      <c r="J114" s="31" t="str">
        <f t="shared" si="8"/>
        <v>(${Variables: E1_14_13_127_Kcat } * E1_14_13_127 * 	
C12621 * C00007 * C00004 * C00080) /(${Variables:E1_14_13_127_Km} + (E1_14_13_127 * 	
C12621 * C00007 * C00004 * C00080))</v>
      </c>
      <c r="K114" s="31" t="str">
        <f t="shared" si="9"/>
        <v>r113: 	
C12621 + C00007 + C00004 + C00080 -&gt; C12623 + C00001 + C00003 | (${Variables: E1_14_13_127_Kcat } * E1_14_13_127 * 	
C12621 * C00007 * C00004 * C00080) /(${Variables:E1_14_13_127_Km} + (E1_14_13_127 * 	
C12621 * C00007 * C00004 * C00080))</v>
      </c>
    </row>
    <row r="115" spans="1:11" ht="58" x14ac:dyDescent="0.35">
      <c r="A115" s="31" t="s">
        <v>8222</v>
      </c>
      <c r="B115" s="31" t="s">
        <v>8223</v>
      </c>
      <c r="C115" s="31" t="s">
        <v>13960</v>
      </c>
      <c r="D115" s="31">
        <v>114</v>
      </c>
      <c r="E115" s="31" t="str">
        <f t="shared" si="5"/>
        <v>E1_14_13_24</v>
      </c>
      <c r="F115" s="31" t="s">
        <v>11823</v>
      </c>
      <c r="G115" s="31" t="str">
        <f t="shared" si="6"/>
        <v xml:space="preserve">	
C00587 * C00007 * C00004 * C00080 </v>
      </c>
      <c r="H115" s="31" t="s">
        <v>11824</v>
      </c>
      <c r="I115" s="31" t="str">
        <f t="shared" si="7"/>
        <v>C00628 * C00003 * C00001</v>
      </c>
      <c r="J115" s="31" t="str">
        <f t="shared" si="8"/>
        <v>(${Variables: E1_14_13_24_Kcat } * E1_14_13_24 * 	
C00587 * C00007 * C00004 * C00080 ) /(${Variables:E1_14_13_24_Km} + (E1_14_13_24 * 	
C00587 * C00007 * C00004 * C00080 ))</v>
      </c>
      <c r="K115" s="31" t="str">
        <f t="shared" si="9"/>
        <v>r114: 	
C00587 + C00007 + C00004 + C00080  -&gt; C00628 + C00003 + C00001 | (${Variables: E1_14_13_24_Kcat } * E1_14_13_24 * 	
C00587 * C00007 * C00004 * C00080 ) /(${Variables:E1_14_13_24_Km} + (E1_14_13_24 * 	
C00587 * C00007 * C00004 * C00080 ))</v>
      </c>
    </row>
    <row r="116" spans="1:11" ht="58" x14ac:dyDescent="0.35">
      <c r="A116" s="31" t="s">
        <v>7966</v>
      </c>
      <c r="B116" s="31" t="s">
        <v>7967</v>
      </c>
      <c r="C116" s="31" t="s">
        <v>13961</v>
      </c>
      <c r="D116" s="31">
        <v>115</v>
      </c>
      <c r="E116" s="31" t="str">
        <f t="shared" si="5"/>
        <v>E1_15_1_1</v>
      </c>
      <c r="F116" s="31" t="s">
        <v>13859</v>
      </c>
      <c r="G116" s="31" t="str">
        <f t="shared" si="6"/>
        <v xml:space="preserve">	
C00704 * C00080</v>
      </c>
      <c r="H116" s="31" t="s">
        <v>11827</v>
      </c>
      <c r="I116" s="31" t="str">
        <f t="shared" si="7"/>
        <v> C00027 * C00007</v>
      </c>
      <c r="J116" s="31" t="str">
        <f t="shared" si="8"/>
        <v>(${Variables: E1_15_1_1_Kcat } * E1_15_1_1 * 	
C00704 * C00080) /(${Variables:E1_15_1_1_Km} + (E1_15_1_1 * 	
C00704 * C00080))</v>
      </c>
      <c r="K116" s="32" t="str">
        <f t="shared" si="9"/>
        <v>r115: 	
C00704 + C00080 -&gt;  C00027 + C00007 | (${Variables: E1_15_1_1_Kcat } * E1_15_1_1 * 	
C00704 * C00080) /(${Variables:E1_15_1_1_Km} + (E1_15_1_1 * 	
C00704 * C00080))</v>
      </c>
    </row>
    <row r="117" spans="1:11" ht="58" x14ac:dyDescent="0.35">
      <c r="A117" s="31" t="s">
        <v>5436</v>
      </c>
      <c r="B117" s="31" t="s">
        <v>5437</v>
      </c>
      <c r="C117" s="31" t="s">
        <v>13962</v>
      </c>
      <c r="D117" s="31">
        <v>116</v>
      </c>
      <c r="E117" s="31" t="str">
        <f t="shared" si="5"/>
        <v>E1_17_1_8</v>
      </c>
      <c r="F117" s="31" t="s">
        <v>11830</v>
      </c>
      <c r="G117" s="31" t="str">
        <f t="shared" si="6"/>
        <v xml:space="preserve">	
C03972 * C00003 * C00001 </v>
      </c>
      <c r="H117" s="31" t="s">
        <v>8915</v>
      </c>
      <c r="I117" s="31" t="str">
        <f t="shared" si="7"/>
        <v> C20258 * C00004 * C00080</v>
      </c>
      <c r="J117" s="31" t="str">
        <f t="shared" si="8"/>
        <v>(${Variables: E1_17_1_8_Kcat } * E1_17_1_8 * 	
C03972 * C00003 * C00001 ) /(${Variables:E1_17_1_8_Km} + (E1_17_1_8 * 	
C03972 * C00003 * C00001 ))</v>
      </c>
      <c r="K117" s="31" t="str">
        <f t="shared" si="9"/>
        <v>r116: 	
C03972 + C00003 + C00001  -&gt;  C20258 + C00004 + C00080 | (${Variables: E1_17_1_8_Kcat } * E1_17_1_8 * 	
C03972 * C00003 * C00001 ) /(${Variables:E1_17_1_8_Km} + (E1_17_1_8 * 	
C03972 * C00003 * C00001 ))</v>
      </c>
    </row>
    <row r="118" spans="1:11" ht="58" x14ac:dyDescent="0.35">
      <c r="A118" s="31" t="s">
        <v>5436</v>
      </c>
      <c r="B118" s="31" t="s">
        <v>5437</v>
      </c>
      <c r="C118" s="31" t="s">
        <v>13962</v>
      </c>
      <c r="D118" s="31">
        <v>117</v>
      </c>
      <c r="E118" s="31" t="str">
        <f t="shared" si="5"/>
        <v>E1_17_1_8</v>
      </c>
      <c r="F118" s="31" t="s">
        <v>11832</v>
      </c>
      <c r="G118" s="31" t="str">
        <f t="shared" si="6"/>
        <v xml:space="preserve">	
C03972 * C00006 * C00001</v>
      </c>
      <c r="H118" s="31" t="s">
        <v>8916</v>
      </c>
      <c r="I118" s="31" t="str">
        <f t="shared" si="7"/>
        <v>C20258 * C00005 * C00080</v>
      </c>
      <c r="J118" s="31" t="str">
        <f t="shared" si="8"/>
        <v>(${Variables: E1_17_1_8_Kcat } * E1_17_1_8 * 	
C03972 * C00006 * C00001) /(${Variables:E1_17_1_8_Km} + (E1_17_1_8 * 	
C03972 * C00006 * C00001))</v>
      </c>
      <c r="K118" s="31" t="str">
        <f t="shared" si="9"/>
        <v>r117: 	
C03972 + C00006 + C00001 -&gt; C20258 + C00005 + C00080 | (${Variables: E1_17_1_8_Kcat } * E1_17_1_8 * 	
C03972 * C00006 * C00001) /(${Variables:E1_17_1_8_Km} + (E1_17_1_8 * 	
C03972 * C00006 * C00001))</v>
      </c>
    </row>
    <row r="119" spans="1:11" ht="29" x14ac:dyDescent="0.35">
      <c r="A119" s="32" t="s">
        <v>6934</v>
      </c>
      <c r="B119" s="32" t="s">
        <v>6935</v>
      </c>
      <c r="C119" s="32" t="s">
        <v>13963</v>
      </c>
      <c r="D119" s="31">
        <v>118</v>
      </c>
      <c r="E119" s="31" t="str">
        <f t="shared" si="5"/>
        <v>E1_17_4_1</v>
      </c>
      <c r="F119" s="31" t="s">
        <v>11833</v>
      </c>
      <c r="G119" s="31" t="str">
        <f t="shared" si="6"/>
        <v>C04232 * C00343 * C00001</v>
      </c>
      <c r="H119" s="31" t="s">
        <v>11835</v>
      </c>
      <c r="I119" s="31" t="str">
        <f t="shared" si="7"/>
        <v> C03723 * C00342</v>
      </c>
      <c r="J119" s="31" t="str">
        <f t="shared" si="8"/>
        <v>(${Variables: E1_17_4_1_Kcat } * E1_17_4_1 * C04232 * C00343 * C00001) /(${Variables:E1_17_4_1_Km} + (E1_17_4_1 * C04232 * C00343 * C00001))</v>
      </c>
      <c r="K119" s="32" t="str">
        <f t="shared" si="9"/>
        <v>r118: C04232 + C00343 + C00001 -&gt;  C03723 + C00342 | (${Variables: E1_17_4_1_Kcat } * E1_17_4_1 * C04232 * C00343 * C00001) /(${Variables:E1_17_4_1_Km} + (E1_17_4_1 * C04232 * C00343 * C00001))</v>
      </c>
    </row>
    <row r="120" spans="1:11" ht="58" x14ac:dyDescent="0.35">
      <c r="A120" s="45" t="s">
        <v>6934</v>
      </c>
      <c r="B120" s="45" t="s">
        <v>6935</v>
      </c>
      <c r="C120" s="45" t="s">
        <v>13963</v>
      </c>
      <c r="D120" s="31">
        <v>119</v>
      </c>
      <c r="E120" s="31" t="str">
        <f t="shared" si="5"/>
        <v>E1_17_4_1</v>
      </c>
      <c r="F120" s="31" t="s">
        <v>11836</v>
      </c>
      <c r="G120" s="31" t="str">
        <f t="shared" si="6"/>
        <v xml:space="preserve">	
C00206 * C00343 * C00001 </v>
      </c>
      <c r="H120" s="31" t="s">
        <v>11837</v>
      </c>
      <c r="I120" s="31" t="str">
        <f t="shared" si="7"/>
        <v> C00342 * C00008</v>
      </c>
      <c r="J120" s="31" t="str">
        <f t="shared" si="8"/>
        <v>(${Variables: E1_17_4_1_Kcat } * E1_17_4_1 * 	
C00206 * C00343 * C00001 ) /(${Variables:E1_17_4_1_Km} + (E1_17_4_1 * 	
C00206 * C00343 * C00001 ))</v>
      </c>
      <c r="K120" s="32" t="str">
        <f t="shared" si="9"/>
        <v>r119: 	
C00206 + C00343 + C00001  -&gt;  C00342 + C00008 | (${Variables: E1_17_4_1_Kcat } * E1_17_4_1 * 	
C00206 * C00343 * C00001 ) /(${Variables:E1_17_4_1_Km} + (E1_17_4_1 * 	
C00206 * C00343 * C00001 ))</v>
      </c>
    </row>
    <row r="121" spans="1:11" ht="58" x14ac:dyDescent="0.35">
      <c r="A121" s="45" t="s">
        <v>6934</v>
      </c>
      <c r="B121" s="45" t="s">
        <v>6935</v>
      </c>
      <c r="C121" s="45" t="s">
        <v>13963</v>
      </c>
      <c r="D121" s="31">
        <v>120</v>
      </c>
      <c r="E121" s="31" t="str">
        <f t="shared" si="5"/>
        <v>E1_17_4_1</v>
      </c>
      <c r="F121" s="31" t="s">
        <v>11838</v>
      </c>
      <c r="G121" s="31" t="str">
        <f t="shared" si="6"/>
        <v xml:space="preserve">	
C01346 * C00343 * C00001 </v>
      </c>
      <c r="H121" s="31" t="s">
        <v>11839</v>
      </c>
      <c r="I121" s="31" t="str">
        <f t="shared" si="7"/>
        <v>C00342 * C00015</v>
      </c>
      <c r="J121" s="31" t="str">
        <f t="shared" si="8"/>
        <v>(${Variables: E1_17_4_1_Kcat } * E1_17_4_1 * 	
C01346 * C00343 * C00001 ) /(${Variables:E1_17_4_1_Km} + (E1_17_4_1 * 	
C01346 * C00343 * C00001 ))</v>
      </c>
      <c r="K121" s="32" t="str">
        <f t="shared" si="9"/>
        <v>r120: 	
C01346 + C00343 + C00001  -&gt; C00342 + C00015 | (${Variables: E1_17_4_1_Kcat } * E1_17_4_1 * 	
C01346 * C00343 * C00001 ) /(${Variables:E1_17_4_1_Km} + (E1_17_4_1 * 	
C01346 * C00343 * C00001 ))</v>
      </c>
    </row>
    <row r="122" spans="1:11" ht="58" x14ac:dyDescent="0.35">
      <c r="A122" s="45" t="s">
        <v>6934</v>
      </c>
      <c r="B122" s="45" t="s">
        <v>6935</v>
      </c>
      <c r="C122" s="45" t="s">
        <v>13963</v>
      </c>
      <c r="D122" s="31">
        <v>121</v>
      </c>
      <c r="E122" s="31" t="str">
        <f t="shared" si="5"/>
        <v>E1_17_4_1</v>
      </c>
      <c r="F122" s="31" t="s">
        <v>11840</v>
      </c>
      <c r="G122" s="31" t="str">
        <f t="shared" si="6"/>
        <v xml:space="preserve">	
C00361 * C00343 * C00001</v>
      </c>
      <c r="H122" s="31" t="s">
        <v>11841</v>
      </c>
      <c r="I122" s="31" t="str">
        <f t="shared" si="7"/>
        <v>C00035 * C00342</v>
      </c>
      <c r="J122" s="31" t="str">
        <f t="shared" si="8"/>
        <v>(${Variables: E1_17_4_1_Kcat } * E1_17_4_1 * 	
C00361 * C00343 * C00001) /(${Variables:E1_17_4_1_Km} + (E1_17_4_1 * 	
C00361 * C00343 * C00001))</v>
      </c>
      <c r="K122" s="32" t="str">
        <f t="shared" si="9"/>
        <v>r121: 	
C00361 + C00343 + C00001 -&gt; C00035 + C00342 | (${Variables: E1_17_4_1_Kcat } * E1_17_4_1 * 	
C00361 * C00343 * C00001) /(${Variables:E1_17_4_1_Km} + (E1_17_4_1 * 	
C00361 * C00343 * C00001))</v>
      </c>
    </row>
    <row r="123" spans="1:11" ht="58" x14ac:dyDescent="0.35">
      <c r="A123" s="45" t="s">
        <v>6934</v>
      </c>
      <c r="B123" s="45" t="s">
        <v>6935</v>
      </c>
      <c r="C123" s="45" t="s">
        <v>13963</v>
      </c>
      <c r="D123" s="31">
        <v>122</v>
      </c>
      <c r="E123" s="31" t="str">
        <f t="shared" si="5"/>
        <v>E1_17_4_1</v>
      </c>
      <c r="F123" s="31" t="s">
        <v>11842</v>
      </c>
      <c r="G123" s="31" t="str">
        <f t="shared" si="6"/>
        <v xml:space="preserve">	
C00705 * C00343 * C00001</v>
      </c>
      <c r="H123" s="31" t="s">
        <v>11843</v>
      </c>
      <c r="I123" s="31" t="str">
        <f t="shared" si="7"/>
        <v>C00342 * C00112</v>
      </c>
      <c r="J123" s="31" t="str">
        <f t="shared" si="8"/>
        <v>(${Variables: E1_17_4_1_Kcat } * E1_17_4_1 * 	
C00705 * C00343 * C00001) /(${Variables:E1_17_4_1_Km} + (E1_17_4_1 * 	
C00705 * C00343 * C00001))</v>
      </c>
      <c r="K123" s="32" t="str">
        <f t="shared" si="9"/>
        <v>r122: 	
C00705 + C00343 + C00001 -&gt; C00342 + C00112 | (${Variables: E1_17_4_1_Kcat } * E1_17_4_1 * 	
C00705 * C00343 * C00001) /(${Variables:E1_17_4_1_Km} + (E1_17_4_1 * 	
C00705 * C00343 * C00001))</v>
      </c>
    </row>
    <row r="124" spans="1:11" ht="58" x14ac:dyDescent="0.35">
      <c r="A124" s="45" t="s">
        <v>6934</v>
      </c>
      <c r="B124" s="45" t="s">
        <v>6935</v>
      </c>
      <c r="C124" s="45" t="s">
        <v>13963</v>
      </c>
      <c r="D124" s="31">
        <v>123</v>
      </c>
      <c r="E124" s="31" t="str">
        <f t="shared" si="5"/>
        <v>E1_17_4_1</v>
      </c>
      <c r="F124" s="31" t="s">
        <v>11844</v>
      </c>
      <c r="G124" s="31" t="str">
        <f t="shared" si="6"/>
        <v xml:space="preserve">	
C04232 * C16664 * C00001</v>
      </c>
      <c r="H124" s="31" t="s">
        <v>11845</v>
      </c>
      <c r="I124" s="31" t="str">
        <f t="shared" si="7"/>
        <v>C03723 * C16663</v>
      </c>
      <c r="J124" s="31" t="str">
        <f t="shared" si="8"/>
        <v>(${Variables: E1_17_4_1_Kcat } * E1_17_4_1 * 	
C04232 * C16664 * C00001) /(${Variables:E1_17_4_1_Km} + (E1_17_4_1 * 	
C04232 * C16664 * C00001))</v>
      </c>
      <c r="K124" s="32" t="str">
        <f t="shared" si="9"/>
        <v>r123: 	
C04232 + C16664 + C00001 -&gt; C03723 + C16663 | (${Variables: E1_17_4_1_Kcat } * E1_17_4_1 * 	
C04232 * C16664 * C00001) /(${Variables:E1_17_4_1_Km} + (E1_17_4_1 * 	
C04232 * C16664 * C00001))</v>
      </c>
    </row>
    <row r="125" spans="1:11" ht="58" x14ac:dyDescent="0.35">
      <c r="A125" s="45" t="s">
        <v>6934</v>
      </c>
      <c r="B125" s="45" t="s">
        <v>6935</v>
      </c>
      <c r="C125" s="45" t="s">
        <v>13963</v>
      </c>
      <c r="D125" s="31">
        <v>124</v>
      </c>
      <c r="E125" s="31" t="str">
        <f t="shared" si="5"/>
        <v>E1_17_4_1</v>
      </c>
      <c r="F125" s="31" t="s">
        <v>11846</v>
      </c>
      <c r="G125" s="31" t="str">
        <f t="shared" si="6"/>
        <v xml:space="preserve">	
C04232 * C03170 * C00001</v>
      </c>
      <c r="H125" s="31" t="s">
        <v>11847</v>
      </c>
      <c r="I125" s="31" t="str">
        <f t="shared" si="7"/>
        <v>C03723 * C02090</v>
      </c>
      <c r="J125" s="31" t="str">
        <f t="shared" si="8"/>
        <v>(${Variables: E1_17_4_1_Kcat } * E1_17_4_1 * 	
C04232 * C03170 * C00001) /(${Variables:E1_17_4_1_Km} + (E1_17_4_1 * 	
C04232 * C03170 * C00001))</v>
      </c>
      <c r="K125" s="32" t="str">
        <f t="shared" si="9"/>
        <v>r124: 	
C04232 + C03170 + C00001 -&gt; C03723 + C02090 | (${Variables: E1_17_4_1_Kcat } * E1_17_4_1 * 	
C04232 * C03170 * C00001) /(${Variables:E1_17_4_1_Km} + (E1_17_4_1 * 	
C04232 * C03170 * C00001))</v>
      </c>
    </row>
    <row r="126" spans="1:11" ht="58" x14ac:dyDescent="0.35">
      <c r="A126" s="45" t="s">
        <v>6934</v>
      </c>
      <c r="B126" s="45" t="s">
        <v>6935</v>
      </c>
      <c r="C126" s="45" t="s">
        <v>13963</v>
      </c>
      <c r="D126" s="31">
        <v>125</v>
      </c>
      <c r="E126" s="31" t="str">
        <f t="shared" si="5"/>
        <v>E1_17_4_1</v>
      </c>
      <c r="F126" s="31" t="s">
        <v>11848</v>
      </c>
      <c r="G126" s="31" t="str">
        <f t="shared" si="6"/>
        <v xml:space="preserve">	
C21750 * C00343 * C00001</v>
      </c>
      <c r="H126" s="31" t="s">
        <v>11849</v>
      </c>
      <c r="I126" s="31" t="str">
        <f t="shared" si="7"/>
        <v>C21748 * C00342</v>
      </c>
      <c r="J126" s="31" t="str">
        <f t="shared" si="8"/>
        <v>(${Variables: E1_17_4_1_Kcat } * E1_17_4_1 * 	
C21750 * C00343 * C00001) /(${Variables:E1_17_4_1_Km} + (E1_17_4_1 * 	
C21750 * C00343 * C00001))</v>
      </c>
      <c r="K126" s="32" t="str">
        <f t="shared" si="9"/>
        <v>r125: 	
C21750 + C00343 + C00001 -&gt; C21748 + C00342 | (${Variables: E1_17_4_1_Kcat } * E1_17_4_1 * 	
C21750 * C00343 * C00001) /(${Variables:E1_17_4_1_Km} + (E1_17_4_1 * 	
C21750 * C00343 * C00001))</v>
      </c>
    </row>
    <row r="127" spans="1:11" ht="29" x14ac:dyDescent="0.35">
      <c r="A127" s="32" t="s">
        <v>6946</v>
      </c>
      <c r="B127" s="32" t="s">
        <v>6947</v>
      </c>
      <c r="C127" s="32" t="s">
        <v>13963</v>
      </c>
      <c r="D127" s="31">
        <v>126</v>
      </c>
      <c r="E127" s="31" t="str">
        <f t="shared" si="5"/>
        <v>E1_17_4_1</v>
      </c>
      <c r="F127" s="31" t="s">
        <v>11834</v>
      </c>
      <c r="G127" s="31" t="str">
        <f t="shared" si="6"/>
        <v>C04232 * C00343 * C00001</v>
      </c>
      <c r="H127" s="31" t="s">
        <v>11835</v>
      </c>
      <c r="I127" s="31" t="str">
        <f t="shared" si="7"/>
        <v> C03723 * C00342</v>
      </c>
      <c r="J127" s="31" t="str">
        <f t="shared" si="8"/>
        <v>(${Variables: E1_17_4_1_Kcat } * E1_17_4_1 * C04232 * C00343 * C00001) /(${Variables:E1_17_4_1_Km} + (E1_17_4_1 * C04232 * C00343 * C00001))</v>
      </c>
      <c r="K127" s="32" t="str">
        <f t="shared" si="9"/>
        <v>r126: C04232 + C00343 + C00001 -&gt;  C03723 + C00342 | (${Variables: E1_17_4_1_Kcat } * E1_17_4_1 * C04232 * C00343 * C00001) /(${Variables:E1_17_4_1_Km} + (E1_17_4_1 * C04232 * C00343 * C00001))</v>
      </c>
    </row>
    <row r="128" spans="1:11" ht="58" x14ac:dyDescent="0.35">
      <c r="A128" s="31" t="s">
        <v>6946</v>
      </c>
      <c r="B128" s="31" t="s">
        <v>6947</v>
      </c>
      <c r="C128" s="31" t="s">
        <v>13963</v>
      </c>
      <c r="D128" s="31">
        <v>127</v>
      </c>
      <c r="E128" s="31" t="str">
        <f t="shared" si="5"/>
        <v>E1_17_4_1</v>
      </c>
      <c r="F128" s="31" t="s">
        <v>11836</v>
      </c>
      <c r="G128" s="31" t="str">
        <f t="shared" si="6"/>
        <v xml:space="preserve">	
C00206 * C00343 * C00001 </v>
      </c>
      <c r="H128" s="31" t="s">
        <v>11837</v>
      </c>
      <c r="I128" s="31" t="str">
        <f t="shared" si="7"/>
        <v> C00342 * C00008</v>
      </c>
      <c r="J128" s="31" t="str">
        <f t="shared" si="8"/>
        <v>(${Variables: E1_17_4_1_Kcat } * E1_17_4_1 * 	
C00206 * C00343 * C00001 ) /(${Variables:E1_17_4_1_Km} + (E1_17_4_1 * 	
C00206 * C00343 * C00001 ))</v>
      </c>
      <c r="K128" s="32" t="str">
        <f t="shared" si="9"/>
        <v>r127: 	
C00206 + C00343 + C00001  -&gt;  C00342 + C00008 | (${Variables: E1_17_4_1_Kcat } * E1_17_4_1 * 	
C00206 * C00343 * C00001 ) /(${Variables:E1_17_4_1_Km} + (E1_17_4_1 * 	
C00206 * C00343 * C00001 ))</v>
      </c>
    </row>
    <row r="129" spans="1:11" ht="58" x14ac:dyDescent="0.35">
      <c r="A129" s="31" t="s">
        <v>6946</v>
      </c>
      <c r="B129" s="31" t="s">
        <v>6947</v>
      </c>
      <c r="C129" s="31" t="s">
        <v>13963</v>
      </c>
      <c r="D129" s="31">
        <v>128</v>
      </c>
      <c r="E129" s="31" t="str">
        <f t="shared" si="5"/>
        <v>E1_17_4_1</v>
      </c>
      <c r="F129" s="31" t="s">
        <v>11838</v>
      </c>
      <c r="G129" s="31" t="str">
        <f t="shared" si="6"/>
        <v xml:space="preserve">	
C01346 * C00343 * C00001 </v>
      </c>
      <c r="H129" s="31" t="s">
        <v>11839</v>
      </c>
      <c r="I129" s="31" t="str">
        <f t="shared" si="7"/>
        <v>C00342 * C00015</v>
      </c>
      <c r="J129" s="31" t="str">
        <f t="shared" si="8"/>
        <v>(${Variables: E1_17_4_1_Kcat } * E1_17_4_1 * 	
C01346 * C00343 * C00001 ) /(${Variables:E1_17_4_1_Km} + (E1_17_4_1 * 	
C01346 * C00343 * C00001 ))</v>
      </c>
      <c r="K129" s="32" t="str">
        <f t="shared" si="9"/>
        <v>r128: 	
C01346 + C00343 + C00001  -&gt; C00342 + C00015 | (${Variables: E1_17_4_1_Kcat } * E1_17_4_1 * 	
C01346 * C00343 * C00001 ) /(${Variables:E1_17_4_1_Km} + (E1_17_4_1 * 	
C01346 * C00343 * C00001 ))</v>
      </c>
    </row>
    <row r="130" spans="1:11" ht="58" x14ac:dyDescent="0.35">
      <c r="A130" s="31" t="s">
        <v>6946</v>
      </c>
      <c r="B130" s="31" t="s">
        <v>6947</v>
      </c>
      <c r="C130" s="31" t="s">
        <v>13963</v>
      </c>
      <c r="D130" s="31">
        <v>129</v>
      </c>
      <c r="E130" s="31" t="str">
        <f t="shared" si="5"/>
        <v>E1_17_4_1</v>
      </c>
      <c r="F130" s="31" t="s">
        <v>11840</v>
      </c>
      <c r="G130" s="31" t="str">
        <f t="shared" si="6"/>
        <v xml:space="preserve">	
C00361 * C00343 * C00001</v>
      </c>
      <c r="H130" s="31" t="s">
        <v>11841</v>
      </c>
      <c r="I130" s="31" t="str">
        <f t="shared" si="7"/>
        <v>C00035 * C00342</v>
      </c>
      <c r="J130" s="31" t="str">
        <f t="shared" si="8"/>
        <v>(${Variables: E1_17_4_1_Kcat } * E1_17_4_1 * 	
C00361 * C00343 * C00001) /(${Variables:E1_17_4_1_Km} + (E1_17_4_1 * 	
C00361 * C00343 * C00001))</v>
      </c>
      <c r="K130" s="32" t="str">
        <f t="shared" si="9"/>
        <v>r129: 	
C00361 + C00343 + C00001 -&gt; C00035 + C00342 | (${Variables: E1_17_4_1_Kcat } * E1_17_4_1 * 	
C00361 * C00343 * C00001) /(${Variables:E1_17_4_1_Km} + (E1_17_4_1 * 	
C00361 * C00343 * C00001))</v>
      </c>
    </row>
    <row r="131" spans="1:11" ht="58" x14ac:dyDescent="0.35">
      <c r="A131" s="31" t="s">
        <v>6946</v>
      </c>
      <c r="B131" s="31" t="s">
        <v>6947</v>
      </c>
      <c r="C131" s="31" t="s">
        <v>13963</v>
      </c>
      <c r="D131" s="31">
        <v>130</v>
      </c>
      <c r="E131" s="31" t="str">
        <f t="shared" ref="E131:E194" si="10">CONCATENATE("E",C131)</f>
        <v>E1_17_4_1</v>
      </c>
      <c r="F131" s="31" t="s">
        <v>11842</v>
      </c>
      <c r="G131" s="31" t="str">
        <f t="shared" ref="G131:G194" si="11">SUBSTITUTE(F131,"+","*")</f>
        <v xml:space="preserve">	
C00705 * C00343 * C00001</v>
      </c>
      <c r="H131" s="31" t="s">
        <v>11843</v>
      </c>
      <c r="I131" s="31" t="str">
        <f t="shared" ref="I131:I194" si="12">SUBSTITUTE(H131,"+","*")</f>
        <v>C00342 * C00112</v>
      </c>
      <c r="J131" s="31" t="str">
        <f t="shared" ref="J131:J194" si="13">CONCATENATE("(${Variables: ",E131,"_Kcat ","} * ",E131," * ",G131,")"," /(${Variables:",E131,"_Km","} + (",E131," * ",G131,"))")</f>
        <v>(${Variables: E1_17_4_1_Kcat } * E1_17_4_1 * 	
C00705 * C00343 * C00001) /(${Variables:E1_17_4_1_Km} + (E1_17_4_1 * 	
C00705 * C00343 * C00001))</v>
      </c>
      <c r="K131" s="32" t="str">
        <f t="shared" ref="K131:K194" si="14">CONCATENATE("r",D131,": ",F131," -&gt; ",H131," | ",J131)</f>
        <v>r130: 	
C00705 + C00343 + C00001 -&gt; C00342 + C00112 | (${Variables: E1_17_4_1_Kcat } * E1_17_4_1 * 	
C00705 * C00343 * C00001) /(${Variables:E1_17_4_1_Km} + (E1_17_4_1 * 	
C00705 * C00343 * C00001))</v>
      </c>
    </row>
    <row r="132" spans="1:11" ht="58" x14ac:dyDescent="0.35">
      <c r="A132" s="31" t="s">
        <v>6946</v>
      </c>
      <c r="B132" s="31" t="s">
        <v>6947</v>
      </c>
      <c r="C132" s="31" t="s">
        <v>13963</v>
      </c>
      <c r="D132" s="31">
        <v>131</v>
      </c>
      <c r="E132" s="31" t="str">
        <f t="shared" si="10"/>
        <v>E1_17_4_1</v>
      </c>
      <c r="F132" s="31" t="s">
        <v>11844</v>
      </c>
      <c r="G132" s="31" t="str">
        <f t="shared" si="11"/>
        <v xml:space="preserve">	
C04232 * C16664 * C00001</v>
      </c>
      <c r="H132" s="31" t="s">
        <v>11845</v>
      </c>
      <c r="I132" s="31" t="str">
        <f t="shared" si="12"/>
        <v>C03723 * C16663</v>
      </c>
      <c r="J132" s="31" t="str">
        <f t="shared" si="13"/>
        <v>(${Variables: E1_17_4_1_Kcat } * E1_17_4_1 * 	
C04232 * C16664 * C00001) /(${Variables:E1_17_4_1_Km} + (E1_17_4_1 * 	
C04232 * C16664 * C00001))</v>
      </c>
      <c r="K132" s="32" t="str">
        <f t="shared" si="14"/>
        <v>r131: 	
C04232 + C16664 + C00001 -&gt; C03723 + C16663 | (${Variables: E1_17_4_1_Kcat } * E1_17_4_1 * 	
C04232 * C16664 * C00001) /(${Variables:E1_17_4_1_Km} + (E1_17_4_1 * 	
C04232 * C16664 * C00001))</v>
      </c>
    </row>
    <row r="133" spans="1:11" ht="58" x14ac:dyDescent="0.35">
      <c r="A133" s="31" t="s">
        <v>6946</v>
      </c>
      <c r="B133" s="31" t="s">
        <v>6947</v>
      </c>
      <c r="C133" s="31" t="s">
        <v>13963</v>
      </c>
      <c r="D133" s="31">
        <v>132</v>
      </c>
      <c r="E133" s="31" t="str">
        <f t="shared" si="10"/>
        <v>E1_17_4_1</v>
      </c>
      <c r="F133" s="31" t="s">
        <v>11846</v>
      </c>
      <c r="G133" s="31" t="str">
        <f t="shared" si="11"/>
        <v xml:space="preserve">	
C04232 * C03170 * C00001</v>
      </c>
      <c r="H133" s="31" t="s">
        <v>11847</v>
      </c>
      <c r="I133" s="31" t="str">
        <f t="shared" si="12"/>
        <v>C03723 * C02090</v>
      </c>
      <c r="J133" s="31" t="str">
        <f t="shared" si="13"/>
        <v>(${Variables: E1_17_4_1_Kcat } * E1_17_4_1 * 	
C04232 * C03170 * C00001) /(${Variables:E1_17_4_1_Km} + (E1_17_4_1 * 	
C04232 * C03170 * C00001))</v>
      </c>
      <c r="K133" s="32" t="str">
        <f t="shared" si="14"/>
        <v>r132: 	
C04232 + C03170 + C00001 -&gt; C03723 + C02090 | (${Variables: E1_17_4_1_Kcat } * E1_17_4_1 * 	
C04232 * C03170 * C00001) /(${Variables:E1_17_4_1_Km} + (E1_17_4_1 * 	
C04232 * C03170 * C00001))</v>
      </c>
    </row>
    <row r="134" spans="1:11" ht="58" x14ac:dyDescent="0.35">
      <c r="A134" s="31" t="s">
        <v>6946</v>
      </c>
      <c r="B134" s="31" t="s">
        <v>6947</v>
      </c>
      <c r="C134" s="31" t="s">
        <v>13963</v>
      </c>
      <c r="D134" s="31">
        <v>133</v>
      </c>
      <c r="E134" s="31" t="str">
        <f t="shared" si="10"/>
        <v>E1_17_4_1</v>
      </c>
      <c r="F134" s="31" t="s">
        <v>11848</v>
      </c>
      <c r="G134" s="31" t="str">
        <f t="shared" si="11"/>
        <v xml:space="preserve">	
C21750 * C00343 * C00001</v>
      </c>
      <c r="H134" s="31" t="s">
        <v>11849</v>
      </c>
      <c r="I134" s="31" t="str">
        <f t="shared" si="12"/>
        <v>C21748 * C00342</v>
      </c>
      <c r="J134" s="31" t="str">
        <f t="shared" si="13"/>
        <v>(${Variables: E1_17_4_1_Kcat } * E1_17_4_1 * 	
C21750 * C00343 * C00001) /(${Variables:E1_17_4_1_Km} + (E1_17_4_1 * 	
C21750 * C00343 * C00001))</v>
      </c>
      <c r="K134" s="32" t="str">
        <f t="shared" si="14"/>
        <v>r133: 	
C21750 + C00343 + C00001 -&gt; C21748 + C00342 | (${Variables: E1_17_4_1_Kcat } * E1_17_4_1 * 	
C21750 * C00343 * C00001) /(${Variables:E1_17_4_1_Km} + (E1_17_4_1 * 	
C21750 * C00343 * C00001))</v>
      </c>
    </row>
    <row r="135" spans="1:11" ht="58" x14ac:dyDescent="0.35">
      <c r="A135" s="31" t="s">
        <v>5547</v>
      </c>
      <c r="B135" s="31" t="s">
        <v>5548</v>
      </c>
      <c r="C135" s="31" t="s">
        <v>13964</v>
      </c>
      <c r="D135" s="31">
        <v>134</v>
      </c>
      <c r="E135" s="31" t="str">
        <f t="shared" si="10"/>
        <v>E1_17_7_1</v>
      </c>
      <c r="F135" s="31" t="s">
        <v>13860</v>
      </c>
      <c r="G135" s="31" t="str">
        <f t="shared" si="11"/>
        <v xml:space="preserve">	
C11453 * C00138</v>
      </c>
      <c r="H135" s="31" t="s">
        <v>14408</v>
      </c>
      <c r="I135" s="31" t="str">
        <f t="shared" si="12"/>
        <v> C11811 * C00001 * C00139</v>
      </c>
      <c r="J135" s="31" t="str">
        <f t="shared" si="13"/>
        <v>(${Variables: E1_17_7_1_Kcat } * E1_17_7_1 * 	
C11453 * C00138) /(${Variables:E1_17_7_1_Km} + (E1_17_7_1 * 	
C11453 * C00138))</v>
      </c>
      <c r="K135" s="32" t="str">
        <f t="shared" si="14"/>
        <v>r134: 	
C11453 + C00138 -&gt;  C11811 + C00001 + C00139 | (${Variables: E1_17_7_1_Kcat } * E1_17_7_1 * 	
C11453 * C00138) /(${Variables:E1_17_7_1_Km} + (E1_17_7_1 * 	
C11453 * C00138))</v>
      </c>
    </row>
    <row r="136" spans="1:11" ht="58" x14ac:dyDescent="0.35">
      <c r="A136" s="31" t="s">
        <v>2937</v>
      </c>
      <c r="B136" s="31" t="s">
        <v>2938</v>
      </c>
      <c r="C136" s="31" t="s">
        <v>13965</v>
      </c>
      <c r="D136" s="31">
        <v>135</v>
      </c>
      <c r="E136" s="31" t="str">
        <f t="shared" si="10"/>
        <v>E1_17_7_4</v>
      </c>
      <c r="F136" s="31" t="s">
        <v>14376</v>
      </c>
      <c r="G136" s="31" t="str">
        <f t="shared" si="11"/>
        <v xml:space="preserve">	
C11811 *  C00138 * C00080 </v>
      </c>
      <c r="H136" s="31" t="s">
        <v>14409</v>
      </c>
      <c r="I136" s="31" t="str">
        <f t="shared" si="12"/>
        <v>C00129 *  C00139 * C00001</v>
      </c>
      <c r="J136" s="31" t="str">
        <f t="shared" si="13"/>
        <v>(${Variables: E1_17_7_4_Kcat } * E1_17_7_4 * 	
C11811 *  C00138 * C00080 ) /(${Variables:E1_17_7_4_Km} + (E1_17_7_4 * 	
C11811 *  C00138 * C00080 ))</v>
      </c>
      <c r="K136" s="32" t="str">
        <f t="shared" si="14"/>
        <v>r135: 	
C11811 +  C00138 + C00080  -&gt; C00129 +  C00139 + C00001 | (${Variables: E1_17_7_4_Kcat } * E1_17_7_4 * 	
C11811 *  C00138 * C00080 ) /(${Variables:E1_17_7_4_Km} + (E1_17_7_4 * 	
C11811 *  C00138 * C00080 ))</v>
      </c>
    </row>
    <row r="137" spans="1:11" ht="58" x14ac:dyDescent="0.35">
      <c r="A137" s="31" t="s">
        <v>2937</v>
      </c>
      <c r="B137" s="31" t="s">
        <v>2938</v>
      </c>
      <c r="C137" s="31" t="s">
        <v>13965</v>
      </c>
      <c r="D137" s="31">
        <v>136</v>
      </c>
      <c r="E137" s="31" t="str">
        <f t="shared" si="10"/>
        <v>E1_17_7_4</v>
      </c>
      <c r="F137" s="31" t="s">
        <v>13864</v>
      </c>
      <c r="G137" s="31" t="str">
        <f t="shared" si="11"/>
        <v xml:space="preserve">	
C00235 * C00139 * C00001</v>
      </c>
      <c r="H137" s="31" t="s">
        <v>14410</v>
      </c>
      <c r="I137" s="31" t="str">
        <f t="shared" si="12"/>
        <v>C11811 * C00138 *  C00080</v>
      </c>
      <c r="J137" s="31" t="str">
        <f t="shared" si="13"/>
        <v>(${Variables: E1_17_7_4_Kcat } * E1_17_7_4 * 	
C00235 * C00139 * C00001) /(${Variables:E1_17_7_4_Km} + (E1_17_7_4 * 	
C00235 * C00139 * C00001))</v>
      </c>
      <c r="K137" s="32" t="str">
        <f t="shared" si="14"/>
        <v>r136: 	
C00235 + C00139 + C00001 -&gt; C11811 + C00138 +  C00080 | (${Variables: E1_17_7_4_Kcat } * E1_17_7_4 * 	
C00235 * C00139 * C00001) /(${Variables:E1_17_7_4_Km} + (E1_17_7_4 * 	
C00235 * C00139 * C00001))</v>
      </c>
    </row>
    <row r="138" spans="1:11" ht="58" x14ac:dyDescent="0.35">
      <c r="A138" s="31" t="s">
        <v>4419</v>
      </c>
      <c r="B138" s="31" t="s">
        <v>4420</v>
      </c>
      <c r="C138" s="31" t="s">
        <v>13966</v>
      </c>
      <c r="D138" s="31">
        <v>137</v>
      </c>
      <c r="E138" s="31" t="str">
        <f t="shared" si="10"/>
        <v>E1_17_99_9</v>
      </c>
      <c r="F138" s="31" t="s">
        <v>14377</v>
      </c>
      <c r="G138" s="31" t="str">
        <f t="shared" si="11"/>
        <v xml:space="preserve">	
C15672 * C00001 *  C00028 </v>
      </c>
      <c r="H138" s="31" t="s">
        <v>14411</v>
      </c>
      <c r="I138" s="31" t="str">
        <f t="shared" si="12"/>
        <v> C15670 * C00030</v>
      </c>
      <c r="J138" s="31" t="str">
        <f t="shared" si="13"/>
        <v>(${Variables: E1_17_99_9_Kcat } * E1_17_99_9 * 	
C15672 * C00001 *  C00028 ) /(${Variables:E1_17_99_9_Km} + (E1_17_99_9 * 	
C15672 * C00001 *  C00028 ))</v>
      </c>
      <c r="K138" s="31" t="str">
        <f t="shared" si="14"/>
        <v>r137: 	
C15672 + C00001 +  C00028  -&gt;  C15670 + C00030 | (${Variables: E1_17_99_9_Kcat } * E1_17_99_9 * 	
C15672 * C00001 *  C00028 ) /(${Variables:E1_17_99_9_Km} + (E1_17_99_9 * 	
C15672 * C00001 *  C00028 ))</v>
      </c>
    </row>
    <row r="139" spans="1:11" ht="58" x14ac:dyDescent="0.35">
      <c r="A139" s="31" t="s">
        <v>4419</v>
      </c>
      <c r="B139" s="31" t="s">
        <v>4420</v>
      </c>
      <c r="C139" s="31" t="s">
        <v>13966</v>
      </c>
      <c r="D139" s="31">
        <v>138</v>
      </c>
      <c r="E139" s="31" t="str">
        <f t="shared" si="10"/>
        <v>E1_17_99_9</v>
      </c>
      <c r="F139" s="31" t="s">
        <v>11854</v>
      </c>
      <c r="G139" s="31" t="str">
        <f t="shared" si="11"/>
        <v xml:space="preserve">	
C22328 * C00028 * C00001 </v>
      </c>
      <c r="H139" s="31" t="s">
        <v>11855</v>
      </c>
      <c r="I139" s="31" t="str">
        <f t="shared" si="12"/>
        <v>C22329 * C00030</v>
      </c>
      <c r="J139" s="31" t="str">
        <f t="shared" si="13"/>
        <v>(${Variables: E1_17_99_9_Kcat } * E1_17_99_9 * 	
C22328 * C00028 * C00001 ) /(${Variables:E1_17_99_9_Km} + (E1_17_99_9 * 	
C22328 * C00028 * C00001 ))</v>
      </c>
      <c r="K139" s="31" t="str">
        <f t="shared" si="14"/>
        <v>r138: 	
C22328 + C00028 + C00001  -&gt; C22329 + C00030 | (${Variables: E1_17_99_9_Kcat } * E1_17_99_9 * 	
C22328 * C00028 * C00001 ) /(${Variables:E1_17_99_9_Km} + (E1_17_99_9 * 	
C22328 * C00028 * C00001 ))</v>
      </c>
    </row>
    <row r="140" spans="1:11" ht="58" x14ac:dyDescent="0.35">
      <c r="A140" s="31" t="s">
        <v>4419</v>
      </c>
      <c r="B140" s="31" t="s">
        <v>4420</v>
      </c>
      <c r="C140" s="31" t="s">
        <v>13966</v>
      </c>
      <c r="D140" s="31">
        <v>139</v>
      </c>
      <c r="E140" s="31" t="str">
        <f t="shared" si="10"/>
        <v>E1_17_99_9</v>
      </c>
      <c r="F140" s="31" t="s">
        <v>11856</v>
      </c>
      <c r="G140" s="31" t="str">
        <f t="shared" si="11"/>
        <v xml:space="preserve">	
C22329</v>
      </c>
      <c r="H140" s="31" t="s">
        <v>11857</v>
      </c>
      <c r="I140" s="31" t="str">
        <f t="shared" si="12"/>
        <v>C15670 * C00001</v>
      </c>
      <c r="J140" s="31" t="str">
        <f t="shared" si="13"/>
        <v>(${Variables: E1_17_99_9_Kcat } * E1_17_99_9 * 	
C22329) /(${Variables:E1_17_99_9_Km} + (E1_17_99_9 * 	
C22329))</v>
      </c>
      <c r="K140" s="31" t="str">
        <f t="shared" si="14"/>
        <v>r139: 	
C22329 -&gt; C15670 + C00001 | (${Variables: E1_17_99_9_Kcat } * E1_17_99_9 * 	
C22329) /(${Variables:E1_17_99_9_Km} + (E1_17_99_9 * 	
C22329))</v>
      </c>
    </row>
    <row r="141" spans="1:11" ht="29" x14ac:dyDescent="0.35">
      <c r="A141" s="31" t="s">
        <v>776</v>
      </c>
      <c r="B141" s="31" t="s">
        <v>777</v>
      </c>
      <c r="C141" s="31" t="s">
        <v>13967</v>
      </c>
      <c r="D141" s="31">
        <v>140</v>
      </c>
      <c r="E141" s="31" t="str">
        <f t="shared" si="10"/>
        <v>E1_2_1_11</v>
      </c>
      <c r="F141" s="31" t="s">
        <v>11858</v>
      </c>
      <c r="G141" s="31" t="str">
        <f t="shared" si="11"/>
        <v xml:space="preserve">C00441 * C00009 * C00006 </v>
      </c>
      <c r="H141" s="31" t="s">
        <v>11859</v>
      </c>
      <c r="I141" s="31" t="str">
        <f t="shared" si="12"/>
        <v>C03082 * C00005 * C00080</v>
      </c>
      <c r="J141" s="31" t="str">
        <f t="shared" si="13"/>
        <v>(${Variables: E1_2_1_11_Kcat } * E1_2_1_11 * C00441 * C00009 * C00006 ) /(${Variables:E1_2_1_11_Km} + (E1_2_1_11 * C00441 * C00009 * C00006 ))</v>
      </c>
      <c r="K141" s="32" t="str">
        <f t="shared" si="14"/>
        <v>r140: C00441 + C00009 + C00006  -&gt; C03082 + C00005 + C00080 | (${Variables: E1_2_1_11_Kcat } * E1_2_1_11 * C00441 * C00009 * C00006 ) /(${Variables:E1_2_1_11_Km} + (E1_2_1_11 * C00441 * C00009 * C00006 ))</v>
      </c>
    </row>
    <row r="142" spans="1:11" ht="58" x14ac:dyDescent="0.35">
      <c r="A142" s="31" t="s">
        <v>2710</v>
      </c>
      <c r="B142" s="31" t="s">
        <v>2711</v>
      </c>
      <c r="C142" s="31" t="s">
        <v>13968</v>
      </c>
      <c r="D142" s="31">
        <v>141</v>
      </c>
      <c r="E142" s="31" t="str">
        <f t="shared" si="10"/>
        <v>E1_2_1_12</v>
      </c>
      <c r="F142" s="31" t="s">
        <v>11860</v>
      </c>
      <c r="G142" s="31" t="str">
        <f t="shared" si="11"/>
        <v xml:space="preserve">	
C00118 * C00009 * C00003 </v>
      </c>
      <c r="H142" s="31" t="s">
        <v>11861</v>
      </c>
      <c r="I142" s="31" t="str">
        <f t="shared" si="12"/>
        <v>C00236 * C00004 * C00080</v>
      </c>
      <c r="J142" s="31" t="str">
        <f t="shared" si="13"/>
        <v>(${Variables: E1_2_1_12_Kcat } * E1_2_1_12 * 	
C00118 * C00009 * C00003 ) /(${Variables:E1_2_1_12_Km} + (E1_2_1_12 * 	
C00118 * C00009 * C00003 ))</v>
      </c>
      <c r="K142" s="32" t="str">
        <f t="shared" si="14"/>
        <v>r141: 	
C00118 + C00009 + C00003  -&gt; C00236 + C00004 + C00080 | (${Variables: E1_2_1_12_Kcat } * E1_2_1_12 * 	
C00118 * C00009 * C00003 ) /(${Variables:E1_2_1_12_Km} + (E1_2_1_12 * 	
C00118 * C00009 * C00003 ))</v>
      </c>
    </row>
    <row r="143" spans="1:11" ht="58" x14ac:dyDescent="0.35">
      <c r="A143" s="31" t="s">
        <v>3931</v>
      </c>
      <c r="B143" s="31" t="s">
        <v>3932</v>
      </c>
      <c r="C143" s="31" t="s">
        <v>13969</v>
      </c>
      <c r="D143" s="31">
        <v>142</v>
      </c>
      <c r="E143" s="31" t="str">
        <f t="shared" si="10"/>
        <v>E1_2_1_38</v>
      </c>
      <c r="F143" s="31" t="s">
        <v>11862</v>
      </c>
      <c r="G143" s="31" t="str">
        <f t="shared" si="11"/>
        <v xml:space="preserve">	
C01250 * C00009 * C00006</v>
      </c>
      <c r="H143" s="31" t="s">
        <v>11863</v>
      </c>
      <c r="I143" s="31" t="str">
        <f t="shared" si="12"/>
        <v>C04133 * C00005 * C00080</v>
      </c>
      <c r="J143" s="31" t="str">
        <f t="shared" si="13"/>
        <v>(${Variables: E1_2_1_38_Kcat } * E1_2_1_38 * 	
C01250 * C00009 * C00006) /(${Variables:E1_2_1_38_Km} + (E1_2_1_38 * 	
C01250 * C00009 * C00006))</v>
      </c>
      <c r="K143" s="32" t="str">
        <f t="shared" si="14"/>
        <v>r142: 	
C01250 + C00009 + C00006 -&gt; C04133 + C00005 + C00080 | (${Variables: E1_2_1_38_Kcat } * E1_2_1_38 * 	
C01250 * C00009 * C00006) /(${Variables:E1_2_1_38_Km} + (E1_2_1_38 * 	
C01250 * C00009 * C00006))</v>
      </c>
    </row>
    <row r="144" spans="1:11" ht="58" x14ac:dyDescent="0.35">
      <c r="A144" s="31" t="s">
        <v>6493</v>
      </c>
      <c r="B144" s="31" t="s">
        <v>6494</v>
      </c>
      <c r="C144" s="31" t="s">
        <v>13970</v>
      </c>
      <c r="D144" s="31">
        <v>143</v>
      </c>
      <c r="E144" s="31" t="str">
        <f t="shared" si="10"/>
        <v>E1_2_1_41</v>
      </c>
      <c r="F144" s="31" t="s">
        <v>11864</v>
      </c>
      <c r="G144" s="31" t="str">
        <f t="shared" si="11"/>
        <v xml:space="preserve">	
C01165 * C00009 * C00006 </v>
      </c>
      <c r="H144" s="31" t="s">
        <v>11865</v>
      </c>
      <c r="I144" s="31" t="str">
        <f t="shared" si="12"/>
        <v>C03287 * C00005 * C00080</v>
      </c>
      <c r="J144" s="31" t="str">
        <f t="shared" si="13"/>
        <v>(${Variables: E1_2_1_41_Kcat } * E1_2_1_41 * 	
C01165 * C00009 * C00006 ) /(${Variables:E1_2_1_41_Km} + (E1_2_1_41 * 	
C01165 * C00009 * C00006 ))</v>
      </c>
      <c r="K144" s="32" t="str">
        <f t="shared" si="14"/>
        <v>r143: 	
C01165 + C00009 + C00006  -&gt; C03287 + C00005 + C00080 | (${Variables: E1_2_1_41_Kcat } * E1_2_1_41 * 	
C01165 * C00009 * C00006 ) /(${Variables:E1_2_1_41_Km} + (E1_2_1_41 * 	
C01165 * C00009 * C00006 ))</v>
      </c>
    </row>
    <row r="145" spans="1:11" ht="58" x14ac:dyDescent="0.35">
      <c r="A145" s="31" t="s">
        <v>1220</v>
      </c>
      <c r="B145" s="31" t="s">
        <v>1221</v>
      </c>
      <c r="C145" s="31" t="s">
        <v>13971</v>
      </c>
      <c r="D145" s="31">
        <v>144</v>
      </c>
      <c r="E145" s="31" t="str">
        <f t="shared" si="10"/>
        <v>E1_2_1_70</v>
      </c>
      <c r="F145" s="31" t="s">
        <v>11866</v>
      </c>
      <c r="G145" s="31" t="str">
        <f t="shared" si="11"/>
        <v xml:space="preserve">	
C02987 * C00005 * C00080 </v>
      </c>
      <c r="H145" s="31" t="s">
        <v>11867</v>
      </c>
      <c r="I145" s="31" t="str">
        <f t="shared" si="12"/>
        <v>C03741 * C01641 * C00006</v>
      </c>
      <c r="J145" s="31" t="str">
        <f t="shared" si="13"/>
        <v>(${Variables: E1_2_1_70_Kcat } * E1_2_1_70 * 	
C02987 * C00005 * C00080 ) /(${Variables:E1_2_1_70_Km} + (E1_2_1_70 * 	
C02987 * C00005 * C00080 ))</v>
      </c>
      <c r="K145" s="32" t="str">
        <f t="shared" si="14"/>
        <v>r144: 	
C02987 + C00005 + C00080  -&gt; C03741 + C01641 + C00006 | (${Variables: E1_2_1_70_Kcat } * E1_2_1_70 * 	
C02987 * C00005 * C00080 ) /(${Variables:E1_2_1_70_Km} + (E1_2_1_70 * 	
C02987 * C00005 * C00080 ))</v>
      </c>
    </row>
    <row r="146" spans="1:11" ht="58" x14ac:dyDescent="0.35">
      <c r="A146" s="31" t="s">
        <v>7450</v>
      </c>
      <c r="B146" s="31" t="s">
        <v>7451</v>
      </c>
      <c r="C146" s="31" t="s">
        <v>13972</v>
      </c>
      <c r="D146" s="31">
        <v>145</v>
      </c>
      <c r="E146" s="31" t="str">
        <f t="shared" si="10"/>
        <v>E1_2_1_79</v>
      </c>
      <c r="F146" s="31" t="s">
        <v>11868</v>
      </c>
      <c r="G146" s="31" t="str">
        <f t="shared" si="11"/>
        <v xml:space="preserve">	
C00232 * C00006 * C00001</v>
      </c>
      <c r="H146" s="31" t="s">
        <v>11869</v>
      </c>
      <c r="I146" s="31" t="str">
        <f t="shared" si="12"/>
        <v>C00042 * C00005 * C00080</v>
      </c>
      <c r="J146" s="31" t="str">
        <f t="shared" si="13"/>
        <v>(${Variables: E1_2_1_79_Kcat } * E1_2_1_79 * 	
C00232 * C00006 * C00001) /(${Variables:E1_2_1_79_Km} + (E1_2_1_79 * 	
C00232 * C00006 * C00001))</v>
      </c>
      <c r="K146" s="31" t="str">
        <f t="shared" si="14"/>
        <v>r145: 	
C00232 + C00006 + C00001 -&gt; C00042 + C00005 + C00080 | (${Variables: E1_2_1_79_Kcat } * E1_2_1_79 * 	
C00232 * C00006 * C00001) /(${Variables:E1_2_1_79_Km} + (E1_2_1_79 * 	
C00232 * C00006 * C00001))</v>
      </c>
    </row>
    <row r="147" spans="1:11" ht="58" x14ac:dyDescent="0.35">
      <c r="A147" s="31" t="s">
        <v>6196</v>
      </c>
      <c r="B147" s="31" t="s">
        <v>6197</v>
      </c>
      <c r="C147" s="31" t="s">
        <v>13973</v>
      </c>
      <c r="D147" s="31">
        <v>146</v>
      </c>
      <c r="E147" s="31" t="str">
        <f t="shared" si="10"/>
        <v>E1_2_4_1</v>
      </c>
      <c r="F147" s="31" t="s">
        <v>11870</v>
      </c>
      <c r="G147" s="31" t="str">
        <f t="shared" si="11"/>
        <v xml:space="preserve">	
C00022 * C15972</v>
      </c>
      <c r="H147" s="31" t="s">
        <v>11871</v>
      </c>
      <c r="I147" s="31" t="str">
        <f t="shared" si="12"/>
        <v>C16255 * C00011</v>
      </c>
      <c r="J147" s="31" t="str">
        <f t="shared" si="13"/>
        <v>(${Variables: E1_2_4_1_Kcat } * E1_2_4_1 * 	
C00022 * C15972) /(${Variables:E1_2_4_1_Km} + (E1_2_4_1 * 	
C00022 * C15972))</v>
      </c>
      <c r="K147" s="32" t="str">
        <f t="shared" si="14"/>
        <v>r146: 	
C00022 + C15972 -&gt; C16255 + C00011 | (${Variables: E1_2_4_1_Kcat } * E1_2_4_1 * 	
C00022 * C15972) /(${Variables:E1_2_4_1_Km} + (E1_2_4_1 * 	
C00022 * C15972))</v>
      </c>
    </row>
    <row r="148" spans="1:11" ht="29" x14ac:dyDescent="0.35">
      <c r="A148" s="31" t="s">
        <v>6196</v>
      </c>
      <c r="B148" s="31" t="s">
        <v>6197</v>
      </c>
      <c r="C148" s="31" t="s">
        <v>13973</v>
      </c>
      <c r="D148" s="31">
        <v>147</v>
      </c>
      <c r="E148" s="31" t="str">
        <f t="shared" si="10"/>
        <v>E1_2_4_1</v>
      </c>
      <c r="F148" s="31" t="s">
        <v>9285</v>
      </c>
      <c r="G148" s="31" t="str">
        <f t="shared" si="11"/>
        <v>C00022 * C00068</v>
      </c>
      <c r="H148" s="31" t="s">
        <v>11872</v>
      </c>
      <c r="I148" s="31" t="str">
        <f t="shared" si="12"/>
        <v>C05125 * C00011</v>
      </c>
      <c r="J148" s="31" t="str">
        <f t="shared" si="13"/>
        <v>(${Variables: E1_2_4_1_Kcat } * E1_2_4_1 * C00022 * C00068) /(${Variables:E1_2_4_1_Km} + (E1_2_4_1 * C00022 * C00068))</v>
      </c>
      <c r="K148" s="32" t="str">
        <f t="shared" si="14"/>
        <v>r147: C00022 + C00068 -&gt; C05125 + C00011 | (${Variables: E1_2_4_1_Kcat } * E1_2_4_1 * C00022 * C00068) /(${Variables:E1_2_4_1_Km} + (E1_2_4_1 * C00022 * C00068))</v>
      </c>
    </row>
    <row r="149" spans="1:11" ht="29" x14ac:dyDescent="0.35">
      <c r="A149" s="31" t="s">
        <v>6196</v>
      </c>
      <c r="B149" s="31" t="s">
        <v>6197</v>
      </c>
      <c r="C149" s="31" t="s">
        <v>13973</v>
      </c>
      <c r="D149" s="31">
        <v>148</v>
      </c>
      <c r="E149" s="31" t="str">
        <f t="shared" si="10"/>
        <v>E1_2_4_1</v>
      </c>
      <c r="F149" s="31" t="s">
        <v>11873</v>
      </c>
      <c r="G149" s="31" t="str">
        <f t="shared" si="11"/>
        <v>C05125 * C15972</v>
      </c>
      <c r="H149" s="31" t="s">
        <v>11874</v>
      </c>
      <c r="I149" s="31" t="str">
        <f t="shared" si="12"/>
        <v> C16255 * C00068</v>
      </c>
      <c r="J149" s="31" t="str">
        <f t="shared" si="13"/>
        <v>(${Variables: E1_2_4_1_Kcat } * E1_2_4_1 * C05125 * C15972) /(${Variables:E1_2_4_1_Km} + (E1_2_4_1 * C05125 * C15972))</v>
      </c>
      <c r="K149" s="32" t="str">
        <f t="shared" si="14"/>
        <v>r148: C05125 + C15972 -&gt;  C16255 + C00068 | (${Variables: E1_2_4_1_Kcat } * E1_2_4_1 * C05125 * C15972) /(${Variables:E1_2_4_1_Km} + (E1_2_4_1 * C05125 * C15972))</v>
      </c>
    </row>
    <row r="150" spans="1:11" ht="29" x14ac:dyDescent="0.35">
      <c r="A150" s="31" t="s">
        <v>3116</v>
      </c>
      <c r="B150" s="31" t="s">
        <v>3117</v>
      </c>
      <c r="C150" s="31" t="s">
        <v>13974</v>
      </c>
      <c r="D150" s="31">
        <v>149</v>
      </c>
      <c r="E150" s="31" t="str">
        <f t="shared" si="10"/>
        <v>E1_20_4_1</v>
      </c>
      <c r="F150" s="31" t="s">
        <v>11875</v>
      </c>
      <c r="G150" s="31" t="str">
        <f t="shared" si="11"/>
        <v xml:space="preserve">C11215 * C07292 </v>
      </c>
      <c r="H150" s="31" t="s">
        <v>11876</v>
      </c>
      <c r="I150" s="31" t="str">
        <f t="shared" si="12"/>
        <v>C06697 * C07293</v>
      </c>
      <c r="J150" s="31" t="str">
        <f t="shared" si="13"/>
        <v>(${Variables: E1_20_4_1_Kcat } * E1_20_4_1 * C11215 * C07292 ) /(${Variables:E1_20_4_1_Km} + (E1_20_4_1 * C11215 * C07292 ))</v>
      </c>
      <c r="K150" s="32" t="str">
        <f t="shared" si="14"/>
        <v>r149: C11215 + C07292  -&gt; C06697 + C07293 | (${Variables: E1_20_4_1_Kcat } * E1_20_4_1 * C11215 * C07292 ) /(${Variables:E1_20_4_1_Km} + (E1_20_4_1 * C11215 * C07292 ))</v>
      </c>
    </row>
    <row r="151" spans="1:11" ht="58" x14ac:dyDescent="0.35">
      <c r="A151" s="31" t="s">
        <v>4266</v>
      </c>
      <c r="B151" s="31" t="s">
        <v>4267</v>
      </c>
      <c r="C151" s="31" t="s">
        <v>13975</v>
      </c>
      <c r="D151" s="31">
        <v>150</v>
      </c>
      <c r="E151" s="31" t="str">
        <f t="shared" si="10"/>
        <v>E1_20_4_4</v>
      </c>
      <c r="F151" s="31" t="s">
        <v>11877</v>
      </c>
      <c r="G151" s="31" t="str">
        <f t="shared" si="11"/>
        <v xml:space="preserve">	
C11215 * C00342 </v>
      </c>
      <c r="H151" s="31" t="s">
        <v>11878</v>
      </c>
      <c r="I151" s="31" t="str">
        <f t="shared" si="12"/>
        <v>C06697 * C00343 * C00001</v>
      </c>
      <c r="J151" s="31" t="str">
        <f t="shared" si="13"/>
        <v>(${Variables: E1_20_4_4_Kcat } * E1_20_4_4 * 	
C11215 * C00342 ) /(${Variables:E1_20_4_4_Km} + (E1_20_4_4 * 	
C11215 * C00342 ))</v>
      </c>
      <c r="K151" s="31" t="str">
        <f t="shared" si="14"/>
        <v>r150: 	
C11215 + C00342  -&gt; C06697 + C00343 + C00001 | (${Variables: E1_20_4_4_Kcat } * E1_20_4_4 * 	
C11215 * C00342 ) /(${Variables:E1_20_4_4_Km} + (E1_20_4_4 * 	
C11215 * C00342 ))</v>
      </c>
    </row>
    <row r="152" spans="1:11" ht="29" x14ac:dyDescent="0.35">
      <c r="A152" s="31" t="s">
        <v>693</v>
      </c>
      <c r="B152" s="31" t="s">
        <v>694</v>
      </c>
      <c r="C152" s="31" t="s">
        <v>13976</v>
      </c>
      <c r="D152" s="31">
        <v>151</v>
      </c>
      <c r="E152" s="31" t="str">
        <f t="shared" si="10"/>
        <v>E1_3_1_12</v>
      </c>
      <c r="F152" s="31" t="s">
        <v>11879</v>
      </c>
      <c r="G152" s="31" t="str">
        <f t="shared" si="11"/>
        <v>C00254 * C00003</v>
      </c>
      <c r="H152" s="31" t="s">
        <v>11880</v>
      </c>
      <c r="I152" s="31" t="str">
        <f t="shared" si="12"/>
        <v>C01179 * C00011 * C00004 * C00080</v>
      </c>
      <c r="J152" s="31" t="str">
        <f t="shared" si="13"/>
        <v>(${Variables: E1_3_1_12_Kcat } * E1_3_1_12 * C00254 * C00003) /(${Variables:E1_3_1_12_Km} + (E1_3_1_12 * C00254 * C00003))</v>
      </c>
      <c r="K152" s="31" t="str">
        <f>CONCATENATE("r",D152,": ",F152," -&gt; ",H152," | ",J152)</f>
        <v>r151: C00254 + C00003 -&gt; C01179 + C00011 + C00004 + C00080 | (${Variables: E1_3_1_12_Kcat } * E1_3_1_12 * C00254 * C00003) /(${Variables:E1_3_1_12_Km} + (E1_3_1_12 * C00254 * C00003))</v>
      </c>
    </row>
    <row r="153" spans="1:11" ht="58" x14ac:dyDescent="0.35">
      <c r="A153" s="31" t="s">
        <v>6643</v>
      </c>
      <c r="B153" s="31" t="s">
        <v>6644</v>
      </c>
      <c r="C153" s="31" t="s">
        <v>13977</v>
      </c>
      <c r="D153" s="31">
        <v>152</v>
      </c>
      <c r="E153" s="31" t="str">
        <f t="shared" si="10"/>
        <v>E1_3_1_25</v>
      </c>
      <c r="F153" s="31" t="s">
        <v>11881</v>
      </c>
      <c r="G153" s="31" t="str">
        <f t="shared" si="11"/>
        <v xml:space="preserve">	
C06321 * C00003</v>
      </c>
      <c r="H153" s="31" t="s">
        <v>11882</v>
      </c>
      <c r="I153" s="31" t="str">
        <f t="shared" si="12"/>
        <v>C00090 * C00004 * C00011 * C00080</v>
      </c>
      <c r="J153" s="31" t="str">
        <f t="shared" si="13"/>
        <v>(${Variables: E1_3_1_25_Kcat } * E1_3_1_25 * 	
C06321 * C00003) /(${Variables:E1_3_1_25_Km} + (E1_3_1_25 * 	
C06321 * C00003))</v>
      </c>
      <c r="K153" s="31" t="str">
        <f t="shared" si="14"/>
        <v>r152: 	
C06321 + C00003 -&gt; C00090 + C00004 + C00011 + C00080 | (${Variables: E1_3_1_25_Kcat } * E1_3_1_25 * 	
C06321 * C00003) /(${Variables:E1_3_1_25_Km} + (E1_3_1_25 * 	
C06321 * C00003))</v>
      </c>
    </row>
    <row r="154" spans="1:11" ht="58" x14ac:dyDescent="0.35">
      <c r="A154" s="31" t="s">
        <v>6643</v>
      </c>
      <c r="B154" s="31" t="s">
        <v>6644</v>
      </c>
      <c r="C154" s="31" t="s">
        <v>13977</v>
      </c>
      <c r="D154" s="31">
        <v>153</v>
      </c>
      <c r="E154" s="31" t="str">
        <f t="shared" si="10"/>
        <v>E1_3_1_25</v>
      </c>
      <c r="F154" s="31" t="s">
        <v>11883</v>
      </c>
      <c r="G154" s="31" t="str">
        <f t="shared" si="11"/>
        <v xml:space="preserve">	
C16478 * C00003 </v>
      </c>
      <c r="H154" s="31" t="s">
        <v>11884</v>
      </c>
      <c r="I154" s="31" t="str">
        <f t="shared" si="12"/>
        <v> C16472 * C00004 * C00011 * C00080</v>
      </c>
      <c r="J154" s="31" t="str">
        <f t="shared" si="13"/>
        <v>(${Variables: E1_3_1_25_Kcat } * E1_3_1_25 * 	
C16478 * C00003 ) /(${Variables:E1_3_1_25_Km} + (E1_3_1_25 * 	
C16478 * C00003 ))</v>
      </c>
      <c r="K154" s="31" t="str">
        <f t="shared" si="14"/>
        <v>r153: 	
C16478 + C00003  -&gt;  C16472 + C00004 + C00011 + C00080 | (${Variables: E1_3_1_25_Kcat } * E1_3_1_25 * 	
C16478 * C00003 ) /(${Variables:E1_3_1_25_Km} + (E1_3_1_25 * 	
C16478 * C00003 ))</v>
      </c>
    </row>
    <row r="155" spans="1:11" ht="58" x14ac:dyDescent="0.35">
      <c r="A155" s="31" t="s">
        <v>6643</v>
      </c>
      <c r="B155" s="31" t="s">
        <v>6644</v>
      </c>
      <c r="C155" s="31" t="s">
        <v>13977</v>
      </c>
      <c r="D155" s="31">
        <v>154</v>
      </c>
      <c r="E155" s="31" t="str">
        <f t="shared" si="10"/>
        <v>E1_3_1_25</v>
      </c>
      <c r="F155" s="31" t="s">
        <v>11885</v>
      </c>
      <c r="G155" s="31" t="str">
        <f t="shared" si="11"/>
        <v xml:space="preserve">	
C16479 * C00003</v>
      </c>
      <c r="H155" s="31" t="s">
        <v>11886</v>
      </c>
      <c r="I155" s="31" t="str">
        <f t="shared" si="12"/>
        <v>C16473 * C00004 * C00011 * C00080</v>
      </c>
      <c r="J155" s="31" t="str">
        <f t="shared" si="13"/>
        <v>(${Variables: E1_3_1_25_Kcat } * E1_3_1_25 * 	
C16479 * C00003) /(${Variables:E1_3_1_25_Km} + (E1_3_1_25 * 	
C16479 * C00003))</v>
      </c>
      <c r="K155" s="31" t="str">
        <f>CONCATENATE("r",D155,": ",F155," -&gt; ",H155," | ",J155)</f>
        <v>r154: 	
C16479 + C00003 -&gt; C16473 + C00004 + C00011 + C00080 | (${Variables: E1_3_1_25_Kcat } * E1_3_1_25 * 	
C16479 * C00003) /(${Variables:E1_3_1_25_Km} + (E1_3_1_25 * 	
C16479 * C00003))</v>
      </c>
    </row>
    <row r="156" spans="1:11" ht="58" x14ac:dyDescent="0.35">
      <c r="A156" s="31" t="s">
        <v>6643</v>
      </c>
      <c r="B156" s="31" t="s">
        <v>6644</v>
      </c>
      <c r="C156" s="31" t="s">
        <v>13977</v>
      </c>
      <c r="D156" s="31">
        <v>155</v>
      </c>
      <c r="E156" s="31" t="str">
        <f t="shared" si="10"/>
        <v>E1_3_1_25</v>
      </c>
      <c r="F156" s="31" t="s">
        <v>11887</v>
      </c>
      <c r="G156" s="31" t="str">
        <f t="shared" si="11"/>
        <v xml:space="preserve">	
C16480 * C00003</v>
      </c>
      <c r="H156" s="31" t="s">
        <v>11886</v>
      </c>
      <c r="I156" s="31" t="str">
        <f t="shared" si="12"/>
        <v>C16473 * C00004 * C00011 * C00080</v>
      </c>
      <c r="J156" s="31" t="str">
        <f t="shared" si="13"/>
        <v>(${Variables: E1_3_1_25_Kcat } * E1_3_1_25 * 	
C16480 * C00003) /(${Variables:E1_3_1_25_Km} + (E1_3_1_25 * 	
C16480 * C00003))</v>
      </c>
      <c r="K156" s="31" t="str">
        <f t="shared" si="14"/>
        <v>r155: 	
C16480 + C00003 -&gt; C16473 + C00004 + C00011 + C00080 | (${Variables: E1_3_1_25_Kcat } * E1_3_1_25 * 	
C16480 * C00003) /(${Variables:E1_3_1_25_Km} + (E1_3_1_25 * 	
C16480 * C00003))</v>
      </c>
    </row>
    <row r="157" spans="1:11" ht="29" x14ac:dyDescent="0.35">
      <c r="A157" s="31" t="s">
        <v>3301</v>
      </c>
      <c r="B157" s="31" t="s">
        <v>3302</v>
      </c>
      <c r="C157" s="31" t="s">
        <v>13978</v>
      </c>
      <c r="D157" s="31">
        <v>156</v>
      </c>
      <c r="E157" s="31" t="str">
        <f t="shared" si="10"/>
        <v>E1_3_1_32</v>
      </c>
      <c r="F157" s="31" t="s">
        <v>11888</v>
      </c>
      <c r="G157" s="31" t="str">
        <f t="shared" si="11"/>
        <v>C00846 * C00003</v>
      </c>
      <c r="H157" s="31" t="s">
        <v>11889</v>
      </c>
      <c r="I157" s="31" t="str">
        <f t="shared" si="12"/>
        <v>C02222 * C00004 * C00080</v>
      </c>
      <c r="J157" s="31" t="str">
        <f t="shared" si="13"/>
        <v>(${Variables: E1_3_1_32_Kcat } * E1_3_1_32 * C00846 * C00003) /(${Variables:E1_3_1_32_Km} + (E1_3_1_32 * C00846 * C00003))</v>
      </c>
      <c r="K157" s="31" t="str">
        <f t="shared" si="14"/>
        <v>r156: C00846 + C00003 -&gt; C02222 + C00004 + C00080 | (${Variables: E1_3_1_32_Kcat } * E1_3_1_32 * C00846 * C00003) /(${Variables:E1_3_1_32_Km} + (E1_3_1_32 * C00846 * C00003))</v>
      </c>
    </row>
    <row r="158" spans="1:11" ht="58" x14ac:dyDescent="0.35">
      <c r="A158" s="31" t="s">
        <v>3301</v>
      </c>
      <c r="B158" s="31" t="s">
        <v>3302</v>
      </c>
      <c r="C158" s="31" t="s">
        <v>13978</v>
      </c>
      <c r="D158" s="31">
        <v>157</v>
      </c>
      <c r="E158" s="31" t="str">
        <f t="shared" si="10"/>
        <v>E1_3_1_32</v>
      </c>
      <c r="F158" s="31" t="s">
        <v>11890</v>
      </c>
      <c r="G158" s="31" t="str">
        <f t="shared" si="11"/>
        <v xml:space="preserve">	
C00846 * C00006</v>
      </c>
      <c r="H158" s="31" t="s">
        <v>11891</v>
      </c>
      <c r="I158" s="31" t="str">
        <f t="shared" si="12"/>
        <v> C02222 * C00005 * C00080</v>
      </c>
      <c r="J158" s="31" t="str">
        <f t="shared" si="13"/>
        <v>(${Variables: E1_3_1_32_Kcat } * E1_3_1_32 * 	
C00846 * C00006) /(${Variables:E1_3_1_32_Km} + (E1_3_1_32 * 	
C00846 * C00006))</v>
      </c>
      <c r="K158" s="31" t="str">
        <f t="shared" si="14"/>
        <v>r157: 	
C00846 + C00006 -&gt;  C02222 + C00005 + C00080 | (${Variables: E1_3_1_32_Kcat } * E1_3_1_32 * 	
C00846 * C00006) /(${Variables:E1_3_1_32_Km} + (E1_3_1_32 * 	
C00846 * C00006))</v>
      </c>
    </row>
    <row r="159" spans="1:11" ht="29" x14ac:dyDescent="0.35">
      <c r="A159" s="31" t="s">
        <v>3301</v>
      </c>
      <c r="B159" s="31" t="s">
        <v>3302</v>
      </c>
      <c r="C159" s="31" t="s">
        <v>13978</v>
      </c>
      <c r="D159" s="31">
        <v>158</v>
      </c>
      <c r="E159" s="31" t="str">
        <f t="shared" si="10"/>
        <v>E1_3_1_32</v>
      </c>
      <c r="F159" s="31" t="s">
        <v>11892</v>
      </c>
      <c r="G159" s="31" t="str">
        <f t="shared" si="11"/>
        <v>C06329 * C00004</v>
      </c>
      <c r="H159" s="31" t="s">
        <v>11893</v>
      </c>
      <c r="I159" s="31" t="str">
        <f t="shared" si="12"/>
        <v> C02222 * C00003 * C00698</v>
      </c>
      <c r="J159" s="31" t="str">
        <f t="shared" si="13"/>
        <v>(${Variables: E1_3_1_32_Kcat } * E1_3_1_32 * C06329 * C00004) /(${Variables:E1_3_1_32_Km} + (E1_3_1_32 * C06329 * C00004))</v>
      </c>
      <c r="K159" s="31" t="str">
        <f t="shared" si="14"/>
        <v>r158: C06329 + C00004 -&gt;  C02222 + C00003 + C00698 | (${Variables: E1_3_1_32_Kcat } * E1_3_1_32 * C06329 * C00004) /(${Variables:E1_3_1_32_Km} + (E1_3_1_32 * C06329 * C00004))</v>
      </c>
    </row>
    <row r="160" spans="1:11" ht="29" x14ac:dyDescent="0.35">
      <c r="A160" s="31" t="s">
        <v>3301</v>
      </c>
      <c r="B160" s="31" t="s">
        <v>3302</v>
      </c>
      <c r="C160" s="31" t="s">
        <v>13978</v>
      </c>
      <c r="D160" s="31">
        <v>159</v>
      </c>
      <c r="E160" s="31" t="str">
        <f t="shared" si="10"/>
        <v>E1_3_1_32</v>
      </c>
      <c r="F160" s="31" t="s">
        <v>14378</v>
      </c>
      <c r="G160" s="31" t="str">
        <f t="shared" si="11"/>
        <v>C12835 * C00004 * C00080</v>
      </c>
      <c r="H160" s="31" t="s">
        <v>14412</v>
      </c>
      <c r="I160" s="31" t="str">
        <f t="shared" si="12"/>
        <v> C12836 * C01327 * C00003</v>
      </c>
      <c r="J160" s="31" t="str">
        <f t="shared" si="13"/>
        <v>(${Variables: E1_3_1_32_Kcat } * E1_3_1_32 * C12835 * C00004 * C00080) /(${Variables:E1_3_1_32_Km} + (E1_3_1_32 * C12835 * C00004 * C00080))</v>
      </c>
      <c r="K160" s="31" t="str">
        <f t="shared" si="14"/>
        <v>r159: C12835 + C00004 + C00080 -&gt;  C12836 + C01327 + C00003 | (${Variables: E1_3_1_32_Kcat } * E1_3_1_32 * C12835 * C00004 * C00080) /(${Variables:E1_3_1_32_Km} + (E1_3_1_32 * C12835 * C00004 * C00080))</v>
      </c>
    </row>
    <row r="161" spans="1:11" ht="58" x14ac:dyDescent="0.35">
      <c r="A161" s="31" t="s">
        <v>3301</v>
      </c>
      <c r="B161" s="31" t="s">
        <v>3302</v>
      </c>
      <c r="C161" s="31" t="s">
        <v>13978</v>
      </c>
      <c r="D161" s="31">
        <v>160</v>
      </c>
      <c r="E161" s="31" t="str">
        <f t="shared" si="10"/>
        <v>E1_3_1_32</v>
      </c>
      <c r="F161" s="31" t="s">
        <v>11895</v>
      </c>
      <c r="G161" s="31" t="str">
        <f t="shared" si="11"/>
        <v xml:space="preserve">	
C16249 * C00004 * C00080 </v>
      </c>
      <c r="H161" s="31" t="s">
        <v>11896</v>
      </c>
      <c r="I161" s="31" t="str">
        <f t="shared" si="12"/>
        <v>C02222 * C00003 * C01324</v>
      </c>
      <c r="J161" s="31" t="str">
        <f t="shared" si="13"/>
        <v>(${Variables: E1_3_1_32_Kcat } * E1_3_1_32 * 	
C16249 * C00004 * C00080 ) /(${Variables:E1_3_1_32_Km} + (E1_3_1_32 * 	
C16249 * C00004 * C00080 ))</v>
      </c>
      <c r="K161" s="31" t="str">
        <f>CONCATENATE("r",D161,": ",F161," -&gt; ",H161," | ",J161)</f>
        <v>r160: 	
C16249 + C00004 + C00080  -&gt; C02222 + C00003 + C01324 | (${Variables: E1_3_1_32_Kcat } * E1_3_1_32 * 	
C16249 * C00004 * C00080 ) /(${Variables:E1_3_1_32_Km} + (E1_3_1_32 * 	
C16249 * C00004 * C00080 ))</v>
      </c>
    </row>
    <row r="162" spans="1:11" ht="29" x14ac:dyDescent="0.35">
      <c r="A162" s="31" t="s">
        <v>3301</v>
      </c>
      <c r="B162" s="31" t="s">
        <v>3302</v>
      </c>
      <c r="C162" s="31" t="s">
        <v>13978</v>
      </c>
      <c r="D162" s="31">
        <v>161</v>
      </c>
      <c r="E162" s="31" t="str">
        <f t="shared" si="10"/>
        <v>E1_3_1_32</v>
      </c>
      <c r="F162" s="31" t="s">
        <v>13869</v>
      </c>
      <c r="G162" s="31" t="str">
        <f t="shared" si="11"/>
        <v>C18243 * C00004 * C00080</v>
      </c>
      <c r="H162" s="31" t="s">
        <v>14413</v>
      </c>
      <c r="I162" s="31" t="str">
        <f t="shared" si="12"/>
        <v>C18244 * C00003 * C01327</v>
      </c>
      <c r="J162" s="31" t="str">
        <f t="shared" si="13"/>
        <v>(${Variables: E1_3_1_32_Kcat } * E1_3_1_32 * C18243 * C00004 * C00080) /(${Variables:E1_3_1_32_Km} + (E1_3_1_32 * C18243 * C00004 * C00080))</v>
      </c>
      <c r="K162" s="31" t="str">
        <f t="shared" si="14"/>
        <v>r161: C18243 + C00004 + C00080 -&gt; C18244 + C00003 + C01327 | (${Variables: E1_3_1_32_Kcat } * E1_3_1_32 * C18243 * C00004 * C00080) /(${Variables:E1_3_1_32_Km} + (E1_3_1_32 * C18243 * C00004 * C00080))</v>
      </c>
    </row>
    <row r="163" spans="1:11" ht="58" x14ac:dyDescent="0.35">
      <c r="A163" s="31" t="s">
        <v>3301</v>
      </c>
      <c r="B163" s="31" t="s">
        <v>3302</v>
      </c>
      <c r="C163" s="31" t="s">
        <v>13978</v>
      </c>
      <c r="D163" s="31">
        <v>162</v>
      </c>
      <c r="E163" s="31" t="str">
        <f t="shared" si="10"/>
        <v>E1_3_1_32</v>
      </c>
      <c r="F163" s="31" t="s">
        <v>14379</v>
      </c>
      <c r="G163" s="31" t="str">
        <f t="shared" si="11"/>
        <v xml:space="preserve">	
C18243 *  C00005 * C00080</v>
      </c>
      <c r="H163" s="31" t="s">
        <v>14414</v>
      </c>
      <c r="I163" s="31" t="str">
        <f t="shared" si="12"/>
        <v>C18244 *  C00006 * C01327</v>
      </c>
      <c r="J163" s="31" t="str">
        <f t="shared" si="13"/>
        <v>(${Variables: E1_3_1_32_Kcat } * E1_3_1_32 * 	
C18243 *  C00005 * C00080) /(${Variables:E1_3_1_32_Km} + (E1_3_1_32 * 	
C18243 *  C00005 * C00080))</v>
      </c>
      <c r="K163" s="31" t="str">
        <f t="shared" si="14"/>
        <v>r162: 	
C18243 +  C00005 + C00080 -&gt; C18244 +  C00006 + C01327 | (${Variables: E1_3_1_32_Kcat } * E1_3_1_32 * 	
C18243 *  C00005 * C00080) /(${Variables:E1_3_1_32_Km} + (E1_3_1_32 * 	
C18243 *  C00005 * C00080))</v>
      </c>
    </row>
    <row r="164" spans="1:11" ht="58" x14ac:dyDescent="0.35">
      <c r="A164" s="31" t="s">
        <v>3301</v>
      </c>
      <c r="B164" s="31" t="s">
        <v>3302</v>
      </c>
      <c r="C164" s="31" t="s">
        <v>13978</v>
      </c>
      <c r="D164" s="31">
        <v>163</v>
      </c>
      <c r="E164" s="31" t="str">
        <f t="shared" si="10"/>
        <v>E1_3_1_32</v>
      </c>
      <c r="F164" s="31" t="s">
        <v>11899</v>
      </c>
      <c r="G164" s="31" t="str">
        <f t="shared" si="11"/>
        <v xml:space="preserve">	
C18305 * C00004 * C00080</v>
      </c>
      <c r="H164" s="31" t="s">
        <v>11900</v>
      </c>
      <c r="I164" s="31" t="str">
        <f t="shared" si="12"/>
        <v>C18306 * C00003 * C01327</v>
      </c>
      <c r="J164" s="31" t="str">
        <f t="shared" si="13"/>
        <v>(${Variables: E1_3_1_32_Kcat } * E1_3_1_32 * 	
C18305 * C00004 * C00080) /(${Variables:E1_3_1_32_Km} + (E1_3_1_32 * 	
C18305 * C00004 * C00080))</v>
      </c>
      <c r="K164" s="31" t="str">
        <f t="shared" si="14"/>
        <v>r163: 	
C18305 + C00004 + C00080 -&gt; C18306 + C00003 + C01327 | (${Variables: E1_3_1_32_Kcat } * E1_3_1_32 * 	
C18305 * C00004 * C00080) /(${Variables:E1_3_1_32_Km} + (E1_3_1_32 * 	
C18305 * C00004 * C00080))</v>
      </c>
    </row>
    <row r="165" spans="1:11" ht="58" x14ac:dyDescent="0.35">
      <c r="A165" s="31" t="s">
        <v>3301</v>
      </c>
      <c r="B165" s="31" t="s">
        <v>3302</v>
      </c>
      <c r="C165" s="31" t="s">
        <v>13978</v>
      </c>
      <c r="D165" s="31">
        <v>164</v>
      </c>
      <c r="E165" s="31" t="str">
        <f t="shared" si="10"/>
        <v>E1_3_1_32</v>
      </c>
      <c r="F165" s="31" t="s">
        <v>11901</v>
      </c>
      <c r="G165" s="31" t="str">
        <f t="shared" si="11"/>
        <v xml:space="preserve">	
C18306 * C00004 * C00080</v>
      </c>
      <c r="H165" s="31" t="s">
        <v>11902</v>
      </c>
      <c r="I165" s="31" t="str">
        <f t="shared" si="12"/>
        <v>C18307 * C00003</v>
      </c>
      <c r="J165" s="31" t="str">
        <f t="shared" si="13"/>
        <v>(${Variables: E1_3_1_32_Kcat } * E1_3_1_32 * 	
C18306 * C00004 * C00080) /(${Variables:E1_3_1_32_Km} + (E1_3_1_32 * 	
C18306 * C00004 * C00080))</v>
      </c>
      <c r="K165" s="31" t="str">
        <f t="shared" si="14"/>
        <v>r164: 	
C18306 + C00004 + C00080 -&gt; C18307 + C00003 | (${Variables: E1_3_1_32_Kcat } * E1_3_1_32 * 	
C18306 * C00004 * C00080) /(${Variables:E1_3_1_32_Km} + (E1_3_1_32 * 	
C18306 * C00004 * C00080))</v>
      </c>
    </row>
    <row r="166" spans="1:11" ht="29" x14ac:dyDescent="0.35">
      <c r="A166" s="31" t="s">
        <v>8304</v>
      </c>
      <c r="B166" s="31" t="s">
        <v>8305</v>
      </c>
      <c r="C166" s="31" t="s">
        <v>13978</v>
      </c>
      <c r="D166" s="31">
        <v>165</v>
      </c>
      <c r="E166" s="31" t="str">
        <f t="shared" si="10"/>
        <v>E1_3_1_32</v>
      </c>
      <c r="F166" s="31" t="s">
        <v>11888</v>
      </c>
      <c r="G166" s="31" t="str">
        <f t="shared" si="11"/>
        <v>C00846 * C00003</v>
      </c>
      <c r="H166" s="31" t="s">
        <v>11889</v>
      </c>
      <c r="I166" s="31" t="str">
        <f t="shared" si="12"/>
        <v>C02222 * C00004 * C00080</v>
      </c>
      <c r="J166" s="31" t="str">
        <f t="shared" si="13"/>
        <v>(${Variables: E1_3_1_32_Kcat } * E1_3_1_32 * C00846 * C00003) /(${Variables:E1_3_1_32_Km} + (E1_3_1_32 * C00846 * C00003))</v>
      </c>
      <c r="K166" s="31" t="str">
        <f t="shared" si="14"/>
        <v>r165: C00846 + C00003 -&gt; C02222 + C00004 + C00080 | (${Variables: E1_3_1_32_Kcat } * E1_3_1_32 * C00846 * C00003) /(${Variables:E1_3_1_32_Km} + (E1_3_1_32 * C00846 * C00003))</v>
      </c>
    </row>
    <row r="167" spans="1:11" ht="58" x14ac:dyDescent="0.35">
      <c r="A167" s="31" t="s">
        <v>8304</v>
      </c>
      <c r="B167" s="31" t="s">
        <v>8305</v>
      </c>
      <c r="C167" s="31" t="s">
        <v>13978</v>
      </c>
      <c r="D167" s="31">
        <v>166</v>
      </c>
      <c r="E167" s="31" t="str">
        <f t="shared" si="10"/>
        <v>E1_3_1_32</v>
      </c>
      <c r="F167" s="31" t="s">
        <v>11890</v>
      </c>
      <c r="G167" s="31" t="str">
        <f t="shared" si="11"/>
        <v xml:space="preserve">	
C00846 * C00006</v>
      </c>
      <c r="H167" s="31" t="s">
        <v>11891</v>
      </c>
      <c r="I167" s="31" t="str">
        <f t="shared" si="12"/>
        <v> C02222 * C00005 * C00080</v>
      </c>
      <c r="J167" s="31" t="str">
        <f t="shared" si="13"/>
        <v>(${Variables: E1_3_1_32_Kcat } * E1_3_1_32 * 	
C00846 * C00006) /(${Variables:E1_3_1_32_Km} + (E1_3_1_32 * 	
C00846 * C00006))</v>
      </c>
      <c r="K167" s="31" t="str">
        <f t="shared" si="14"/>
        <v>r166: 	
C00846 + C00006 -&gt;  C02222 + C00005 + C00080 | (${Variables: E1_3_1_32_Kcat } * E1_3_1_32 * 	
C00846 * C00006) /(${Variables:E1_3_1_32_Km} + (E1_3_1_32 * 	
C00846 * C00006))</v>
      </c>
    </row>
    <row r="168" spans="1:11" ht="29" x14ac:dyDescent="0.35">
      <c r="A168" s="31" t="s">
        <v>8304</v>
      </c>
      <c r="B168" s="31" t="s">
        <v>8305</v>
      </c>
      <c r="C168" s="31" t="s">
        <v>13978</v>
      </c>
      <c r="D168" s="31">
        <v>167</v>
      </c>
      <c r="E168" s="31" t="str">
        <f t="shared" si="10"/>
        <v>E1_3_1_32</v>
      </c>
      <c r="F168" s="31" t="s">
        <v>11892</v>
      </c>
      <c r="G168" s="31" t="str">
        <f t="shared" si="11"/>
        <v>C06329 * C00004</v>
      </c>
      <c r="H168" s="31" t="s">
        <v>11893</v>
      </c>
      <c r="I168" s="31" t="str">
        <f t="shared" si="12"/>
        <v> C02222 * C00003 * C00698</v>
      </c>
      <c r="J168" s="31" t="str">
        <f t="shared" si="13"/>
        <v>(${Variables: E1_3_1_32_Kcat } * E1_3_1_32 * C06329 * C00004) /(${Variables:E1_3_1_32_Km} + (E1_3_1_32 * C06329 * C00004))</v>
      </c>
      <c r="K168" s="31" t="str">
        <f t="shared" si="14"/>
        <v>r167: C06329 + C00004 -&gt;  C02222 + C00003 + C00698 | (${Variables: E1_3_1_32_Kcat } * E1_3_1_32 * C06329 * C00004) /(${Variables:E1_3_1_32_Km} + (E1_3_1_32 * C06329 * C00004))</v>
      </c>
    </row>
    <row r="169" spans="1:11" ht="29" x14ac:dyDescent="0.35">
      <c r="A169" s="31" t="s">
        <v>8304</v>
      </c>
      <c r="B169" s="31" t="s">
        <v>8305</v>
      </c>
      <c r="C169" s="31" t="s">
        <v>13978</v>
      </c>
      <c r="D169" s="31">
        <v>168</v>
      </c>
      <c r="E169" s="31" t="str">
        <f t="shared" si="10"/>
        <v>E1_3_1_32</v>
      </c>
      <c r="F169" s="31" t="s">
        <v>14378</v>
      </c>
      <c r="G169" s="31" t="str">
        <f t="shared" si="11"/>
        <v>C12835 * C00004 * C00080</v>
      </c>
      <c r="H169" s="31" t="s">
        <v>14412</v>
      </c>
      <c r="I169" s="31" t="str">
        <f t="shared" si="12"/>
        <v> C12836 * C01327 * C00003</v>
      </c>
      <c r="J169" s="31" t="str">
        <f t="shared" si="13"/>
        <v>(${Variables: E1_3_1_32_Kcat } * E1_3_1_32 * C12835 * C00004 * C00080) /(${Variables:E1_3_1_32_Km} + (E1_3_1_32 * C12835 * C00004 * C00080))</v>
      </c>
      <c r="K169" s="31" t="str">
        <f>CONCATENATE("r",D169,": ",F169," -&gt; ",H169," | ",J169)</f>
        <v>r168: C12835 + C00004 + C00080 -&gt;  C12836 + C01327 + C00003 | (${Variables: E1_3_1_32_Kcat } * E1_3_1_32 * C12835 * C00004 * C00080) /(${Variables:E1_3_1_32_Km} + (E1_3_1_32 * C12835 * C00004 * C00080))</v>
      </c>
    </row>
    <row r="170" spans="1:11" ht="58" x14ac:dyDescent="0.35">
      <c r="A170" s="31" t="s">
        <v>8304</v>
      </c>
      <c r="B170" s="31" t="s">
        <v>8305</v>
      </c>
      <c r="C170" s="31" t="s">
        <v>13978</v>
      </c>
      <c r="D170" s="31">
        <v>169</v>
      </c>
      <c r="E170" s="31" t="str">
        <f t="shared" si="10"/>
        <v>E1_3_1_32</v>
      </c>
      <c r="F170" s="31" t="s">
        <v>11895</v>
      </c>
      <c r="G170" s="31" t="str">
        <f t="shared" si="11"/>
        <v xml:space="preserve">	
C16249 * C00004 * C00080 </v>
      </c>
      <c r="H170" s="31" t="s">
        <v>11896</v>
      </c>
      <c r="I170" s="31" t="str">
        <f t="shared" si="12"/>
        <v>C02222 * C00003 * C01324</v>
      </c>
      <c r="J170" s="31" t="str">
        <f t="shared" si="13"/>
        <v>(${Variables: E1_3_1_32_Kcat } * E1_3_1_32 * 	
C16249 * C00004 * C00080 ) /(${Variables:E1_3_1_32_Km} + (E1_3_1_32 * 	
C16249 * C00004 * C00080 ))</v>
      </c>
      <c r="K170" s="31" t="str">
        <f t="shared" si="14"/>
        <v>r169: 	
C16249 + C00004 + C00080  -&gt; C02222 + C00003 + C01324 | (${Variables: E1_3_1_32_Kcat } * E1_3_1_32 * 	
C16249 * C00004 * C00080 ) /(${Variables:E1_3_1_32_Km} + (E1_3_1_32 * 	
C16249 * C00004 * C00080 ))</v>
      </c>
    </row>
    <row r="171" spans="1:11" ht="29" x14ac:dyDescent="0.35">
      <c r="A171" s="31" t="s">
        <v>8304</v>
      </c>
      <c r="B171" s="31" t="s">
        <v>8305</v>
      </c>
      <c r="C171" s="31" t="s">
        <v>13978</v>
      </c>
      <c r="D171" s="31">
        <v>170</v>
      </c>
      <c r="E171" s="31" t="str">
        <f t="shared" si="10"/>
        <v>E1_3_1_32</v>
      </c>
      <c r="F171" s="31" t="s">
        <v>14380</v>
      </c>
      <c r="G171" s="31" t="str">
        <f t="shared" si="11"/>
        <v>C18243 *  C00004 * C00080</v>
      </c>
      <c r="H171" s="31" t="s">
        <v>14413</v>
      </c>
      <c r="I171" s="31" t="str">
        <f t="shared" si="12"/>
        <v>C18244 * C00003 * C01327</v>
      </c>
      <c r="J171" s="31" t="str">
        <f t="shared" si="13"/>
        <v>(${Variables: E1_3_1_32_Kcat } * E1_3_1_32 * C18243 *  C00004 * C00080) /(${Variables:E1_3_1_32_Km} + (E1_3_1_32 * C18243 *  C00004 * C00080))</v>
      </c>
      <c r="K171" s="31" t="str">
        <f t="shared" si="14"/>
        <v>r170: C18243 +  C00004 + C00080 -&gt; C18244 + C00003 + C01327 | (${Variables: E1_3_1_32_Kcat } * E1_3_1_32 * C18243 *  C00004 * C00080) /(${Variables:E1_3_1_32_Km} + (E1_3_1_32 * C18243 *  C00004 * C00080))</v>
      </c>
    </row>
    <row r="172" spans="1:11" ht="58" x14ac:dyDescent="0.35">
      <c r="A172" s="31" t="s">
        <v>8304</v>
      </c>
      <c r="B172" s="31" t="s">
        <v>8305</v>
      </c>
      <c r="C172" s="31" t="s">
        <v>13978</v>
      </c>
      <c r="D172" s="31">
        <v>171</v>
      </c>
      <c r="E172" s="31" t="str">
        <f t="shared" si="10"/>
        <v>E1_3_1_32</v>
      </c>
      <c r="F172" s="31" t="s">
        <v>14381</v>
      </c>
      <c r="G172" s="31" t="str">
        <f t="shared" si="11"/>
        <v xml:space="preserve">	
C18243 *  C00005 *  C00080</v>
      </c>
      <c r="H172" s="31" t="s">
        <v>14415</v>
      </c>
      <c r="I172" s="31" t="str">
        <f t="shared" si="12"/>
        <v>C18244 * C00006 * C01327</v>
      </c>
      <c r="J172" s="31" t="str">
        <f t="shared" si="13"/>
        <v>(${Variables: E1_3_1_32_Kcat } * E1_3_1_32 * 	
C18243 *  C00005 *  C00080) /(${Variables:E1_3_1_32_Km} + (E1_3_1_32 * 	
C18243 *  C00005 *  C00080))</v>
      </c>
      <c r="K172" s="31" t="str">
        <f t="shared" si="14"/>
        <v>r171: 	
C18243 +  C00005 +  C00080 -&gt; C18244 + C00006 + C01327 | (${Variables: E1_3_1_32_Kcat } * E1_3_1_32 * 	
C18243 *  C00005 *  C00080) /(${Variables:E1_3_1_32_Km} + (E1_3_1_32 * 	
C18243 *  C00005 *  C00080))</v>
      </c>
    </row>
    <row r="173" spans="1:11" ht="58" x14ac:dyDescent="0.35">
      <c r="A173" s="31" t="s">
        <v>8304</v>
      </c>
      <c r="B173" s="31" t="s">
        <v>8305</v>
      </c>
      <c r="C173" s="31" t="s">
        <v>13978</v>
      </c>
      <c r="D173" s="31">
        <v>172</v>
      </c>
      <c r="E173" s="31" t="str">
        <f t="shared" si="10"/>
        <v>E1_3_1_32</v>
      </c>
      <c r="F173" s="31" t="s">
        <v>11899</v>
      </c>
      <c r="G173" s="31" t="str">
        <f t="shared" si="11"/>
        <v xml:space="preserve">	
C18305 * C00004 * C00080</v>
      </c>
      <c r="H173" s="31" t="s">
        <v>11900</v>
      </c>
      <c r="I173" s="31" t="str">
        <f t="shared" si="12"/>
        <v>C18306 * C00003 * C01327</v>
      </c>
      <c r="J173" s="31" t="str">
        <f t="shared" si="13"/>
        <v>(${Variables: E1_3_1_32_Kcat } * E1_3_1_32 * 	
C18305 * C00004 * C00080) /(${Variables:E1_3_1_32_Km} + (E1_3_1_32 * 	
C18305 * C00004 * C00080))</v>
      </c>
      <c r="K173" s="31" t="str">
        <f t="shared" si="14"/>
        <v>r172: 	
C18305 + C00004 + C00080 -&gt; C18306 + C00003 + C01327 | (${Variables: E1_3_1_32_Kcat } * E1_3_1_32 * 	
C18305 * C00004 * C00080) /(${Variables:E1_3_1_32_Km} + (E1_3_1_32 * 	
C18305 * C00004 * C00080))</v>
      </c>
    </row>
    <row r="174" spans="1:11" ht="58" x14ac:dyDescent="0.35">
      <c r="A174" s="31" t="s">
        <v>8304</v>
      </c>
      <c r="B174" s="31" t="s">
        <v>8305</v>
      </c>
      <c r="C174" s="31" t="s">
        <v>13978</v>
      </c>
      <c r="D174" s="31">
        <v>173</v>
      </c>
      <c r="E174" s="31" t="str">
        <f t="shared" si="10"/>
        <v>E1_3_1_32</v>
      </c>
      <c r="F174" s="31" t="s">
        <v>11901</v>
      </c>
      <c r="G174" s="31" t="str">
        <f t="shared" si="11"/>
        <v xml:space="preserve">	
C18306 * C00004 * C00080</v>
      </c>
      <c r="H174" s="31" t="s">
        <v>11902</v>
      </c>
      <c r="I174" s="31" t="str">
        <f t="shared" si="12"/>
        <v>C18307 * C00003</v>
      </c>
      <c r="J174" s="31" t="str">
        <f t="shared" si="13"/>
        <v>(${Variables: E1_3_1_32_Kcat } * E1_3_1_32 * 	
C18306 * C00004 * C00080) /(${Variables:E1_3_1_32_Km} + (E1_3_1_32 * 	
C18306 * C00004 * C00080))</v>
      </c>
      <c r="K174" s="31" t="str">
        <f t="shared" si="14"/>
        <v>r173: 	
C18306 + C00004 + C00080 -&gt; C18307 + C00003 | (${Variables: E1_3_1_32_Kcat } * E1_3_1_32 * 	
C18306 * C00004 * C00080) /(${Variables:E1_3_1_32_Km} + (E1_3_1_32 * 	
C18306 * C00004 * C00080))</v>
      </c>
    </row>
    <row r="175" spans="1:11" ht="58" x14ac:dyDescent="0.35">
      <c r="A175" s="31" t="s">
        <v>1373</v>
      </c>
      <c r="B175" s="31" t="s">
        <v>1374</v>
      </c>
      <c r="C175" s="31" t="s">
        <v>13979</v>
      </c>
      <c r="D175" s="31">
        <v>174</v>
      </c>
      <c r="E175" s="31" t="str">
        <f t="shared" si="10"/>
        <v>E1_3_1_83</v>
      </c>
      <c r="F175" s="31" t="s">
        <v>13871</v>
      </c>
      <c r="G175" s="31" t="str">
        <f t="shared" si="11"/>
        <v xml:space="preserve">	
C00353 * C00080 *  C00005 </v>
      </c>
      <c r="H175" s="31" t="s">
        <v>14416</v>
      </c>
      <c r="I175" s="31" t="str">
        <f t="shared" si="12"/>
        <v>C05427 *  C00006</v>
      </c>
      <c r="J175" s="31" t="str">
        <f t="shared" si="13"/>
        <v>(${Variables: E1_3_1_83_Kcat } * E1_3_1_83 * 	
C00353 * C00080 *  C00005 ) /(${Variables:E1_3_1_83_Km} + (E1_3_1_83 * 	
C00353 * C00080 *  C00005 ))</v>
      </c>
      <c r="K175" s="31" t="str">
        <f t="shared" si="14"/>
        <v>r174: 	
C00353 + C00080 +  C00005  -&gt; C05427 +  C00006 | (${Variables: E1_3_1_83_Kcat } * E1_3_1_83 * 	
C00353 * C00080 *  C00005 ) /(${Variables:E1_3_1_83_Km} + (E1_3_1_83 * 	
C00353 * C00080 *  C00005 ))</v>
      </c>
    </row>
    <row r="176" spans="1:11" ht="58" x14ac:dyDescent="0.35">
      <c r="A176" s="31" t="s">
        <v>1057</v>
      </c>
      <c r="B176" s="31" t="s">
        <v>1058</v>
      </c>
      <c r="C176" s="31" t="s">
        <v>13980</v>
      </c>
      <c r="D176" s="31">
        <v>175</v>
      </c>
      <c r="E176" s="31" t="str">
        <f t="shared" si="10"/>
        <v>E1_3_1_98</v>
      </c>
      <c r="F176" s="31" t="s">
        <v>11904</v>
      </c>
      <c r="G176" s="31" t="str">
        <f t="shared" si="11"/>
        <v xml:space="preserve">	
C01050 * C00006</v>
      </c>
      <c r="H176" s="31" t="s">
        <v>11905</v>
      </c>
      <c r="I176" s="31" t="str">
        <f t="shared" si="12"/>
        <v> C04631 * C00005 * C00080</v>
      </c>
      <c r="J176" s="31" t="str">
        <f t="shared" si="13"/>
        <v>(${Variables: E1_3_1_98_Kcat } * E1_3_1_98 * 	
C01050 * C00006) /(${Variables:E1_3_1_98_Km} + (E1_3_1_98 * 	
C01050 * C00006))</v>
      </c>
      <c r="K176" s="32" t="str">
        <f t="shared" si="14"/>
        <v>r175: 	
C01050 + C00006 -&gt;  C04631 + C00005 + C00080 | (${Variables: E1_3_1_98_Kcat } * E1_3_1_98 * 	
C01050 * C00006) /(${Variables:E1_3_1_98_Km} + (E1_3_1_98 * 	
C01050 * C00006))</v>
      </c>
    </row>
    <row r="177" spans="1:11" ht="58" x14ac:dyDescent="0.35">
      <c r="A177" s="31" t="s">
        <v>1057</v>
      </c>
      <c r="B177" s="31" t="s">
        <v>1058</v>
      </c>
      <c r="C177" s="31" t="s">
        <v>13980</v>
      </c>
      <c r="D177" s="31">
        <v>176</v>
      </c>
      <c r="E177" s="31" t="str">
        <f t="shared" si="10"/>
        <v>E1_3_1_98</v>
      </c>
      <c r="F177" s="31" t="s">
        <v>11906</v>
      </c>
      <c r="G177" s="31" t="str">
        <f t="shared" si="11"/>
        <v xml:space="preserve">	
C01050 * C00003</v>
      </c>
      <c r="H177" s="31" t="s">
        <v>11907</v>
      </c>
      <c r="I177" s="31" t="str">
        <f t="shared" si="12"/>
        <v> C04631 * C00004 * C00080</v>
      </c>
      <c r="J177" s="31" t="str">
        <f t="shared" si="13"/>
        <v>(${Variables: E1_3_1_98_Kcat } * E1_3_1_98 * 	
C01050 * C00003) /(${Variables:E1_3_1_98_Km} + (E1_3_1_98 * 	
C01050 * C00003))</v>
      </c>
      <c r="K177" s="32" t="str">
        <f t="shared" si="14"/>
        <v>r176: 	
C01050 + C00003 -&gt;  C04631 + C00004 + C00080 | (${Variables: E1_3_1_98_Kcat } * E1_3_1_98 * 	
C01050 * C00003) /(${Variables:E1_3_1_98_Km} + (E1_3_1_98 * 	
C01050 * C00003))</v>
      </c>
    </row>
    <row r="178" spans="1:11" ht="58" x14ac:dyDescent="0.35">
      <c r="A178" s="31" t="s">
        <v>1175</v>
      </c>
      <c r="B178" s="31" t="s">
        <v>1176</v>
      </c>
      <c r="C178" s="31" t="s">
        <v>13980</v>
      </c>
      <c r="D178" s="31">
        <v>177</v>
      </c>
      <c r="E178" s="31" t="str">
        <f t="shared" si="10"/>
        <v>E1_3_1_98</v>
      </c>
      <c r="F178" s="31" t="s">
        <v>11904</v>
      </c>
      <c r="G178" s="31" t="str">
        <f t="shared" si="11"/>
        <v xml:space="preserve">	
C01050 * C00006</v>
      </c>
      <c r="H178" s="31" t="s">
        <v>11905</v>
      </c>
      <c r="I178" s="31" t="str">
        <f t="shared" si="12"/>
        <v> C04631 * C00005 * C00080</v>
      </c>
      <c r="J178" s="31" t="str">
        <f t="shared" si="13"/>
        <v>(${Variables: E1_3_1_98_Kcat } * E1_3_1_98 * 	
C01050 * C00006) /(${Variables:E1_3_1_98_Km} + (E1_3_1_98 * 	
C01050 * C00006))</v>
      </c>
      <c r="K178" s="32" t="str">
        <f t="shared" si="14"/>
        <v>r177: 	
C01050 + C00006 -&gt;  C04631 + C00005 + C00080 | (${Variables: E1_3_1_98_Kcat } * E1_3_1_98 * 	
C01050 * C00006) /(${Variables:E1_3_1_98_Km} + (E1_3_1_98 * 	
C01050 * C00006))</v>
      </c>
    </row>
    <row r="179" spans="1:11" ht="58" x14ac:dyDescent="0.35">
      <c r="A179" s="31" t="s">
        <v>1175</v>
      </c>
      <c r="B179" s="31" t="s">
        <v>1176</v>
      </c>
      <c r="C179" s="31" t="s">
        <v>13980</v>
      </c>
      <c r="D179" s="31">
        <v>178</v>
      </c>
      <c r="E179" s="31" t="str">
        <f t="shared" si="10"/>
        <v>E1_3_1_98</v>
      </c>
      <c r="F179" s="31" t="s">
        <v>11906</v>
      </c>
      <c r="G179" s="31" t="str">
        <f t="shared" si="11"/>
        <v xml:space="preserve">	
C01050 * C00003</v>
      </c>
      <c r="H179" s="31" t="s">
        <v>11907</v>
      </c>
      <c r="I179" s="31" t="str">
        <f t="shared" si="12"/>
        <v> C04631 * C00004 * C00080</v>
      </c>
      <c r="J179" s="31" t="str">
        <f t="shared" si="13"/>
        <v>(${Variables: E1_3_1_98_Kcat } * E1_3_1_98 * 	
C01050 * C00003) /(${Variables:E1_3_1_98_Km} + (E1_3_1_98 * 	
C01050 * C00003))</v>
      </c>
      <c r="K179" s="32" t="str">
        <f t="shared" si="14"/>
        <v>r178: 	
C01050 + C00003 -&gt;  C04631 + C00004 + C00080 | (${Variables: E1_3_1_98_Kcat } * E1_3_1_98 * 	
C01050 * C00003) /(${Variables:E1_3_1_98_Km} + (E1_3_1_98 * 	
C01050 * C00003))</v>
      </c>
    </row>
    <row r="180" spans="1:11" ht="58" x14ac:dyDescent="0.35">
      <c r="A180" s="31" t="s">
        <v>1273</v>
      </c>
      <c r="B180" s="31" t="s">
        <v>1274</v>
      </c>
      <c r="C180" s="31" t="s">
        <v>13981</v>
      </c>
      <c r="D180" s="31">
        <v>179</v>
      </c>
      <c r="E180" s="31" t="str">
        <f t="shared" si="10"/>
        <v>E1_3_3_4</v>
      </c>
      <c r="F180" s="31" t="s">
        <v>14382</v>
      </c>
      <c r="G180" s="31" t="str">
        <f t="shared" si="11"/>
        <v xml:space="preserve">	
C01079 *  C00007</v>
      </c>
      <c r="H180" s="31" t="s">
        <v>14417</v>
      </c>
      <c r="I180" s="31" t="str">
        <f t="shared" si="12"/>
        <v>C02191 * C00027</v>
      </c>
      <c r="J180" s="31" t="str">
        <f t="shared" si="13"/>
        <v>(${Variables: E1_3_3_4_Kcat } * E1_3_3_4 * 	
C01079 *  C00007) /(${Variables:E1_3_3_4_Km} + (E1_3_3_4 * 	
C01079 *  C00007))</v>
      </c>
      <c r="K180" s="32" t="str">
        <f t="shared" si="14"/>
        <v>r179: 	
C01079 +  C00007 -&gt; C02191 + C00027 | (${Variables: E1_3_3_4_Kcat } * E1_3_3_4 * 	
C01079 *  C00007) /(${Variables:E1_3_3_4_Km} + (E1_3_3_4 * 	
C01079 *  C00007))</v>
      </c>
    </row>
    <row r="181" spans="1:11" ht="29" x14ac:dyDescent="0.35">
      <c r="A181" s="31" t="s">
        <v>4282</v>
      </c>
      <c r="B181" s="31" t="s">
        <v>4283</v>
      </c>
      <c r="C181" s="31" t="s">
        <v>13982</v>
      </c>
      <c r="D181" s="31">
        <v>180</v>
      </c>
      <c r="E181" s="31" t="str">
        <f t="shared" si="10"/>
        <v>E1_3_5_2</v>
      </c>
      <c r="F181" s="31" t="s">
        <v>11909</v>
      </c>
      <c r="G181" s="31" t="str">
        <f t="shared" si="11"/>
        <v xml:space="preserve">C00337 * C15602 </v>
      </c>
      <c r="H181" s="31" t="s">
        <v>11910</v>
      </c>
      <c r="I181" s="31" t="str">
        <f t="shared" si="12"/>
        <v>C00295 * C15603</v>
      </c>
      <c r="J181" s="31" t="str">
        <f t="shared" si="13"/>
        <v>(${Variables: E1_3_5_2_Kcat } * E1_3_5_2 * C00337 * C15602 ) /(${Variables:E1_3_5_2_Km} + (E1_3_5_2 * C00337 * C15602 ))</v>
      </c>
      <c r="K181" s="31" t="str">
        <f t="shared" si="14"/>
        <v>r180: C00337 + C15602  -&gt; C00295 + C15603 | (${Variables: E1_3_5_2_Kcat } * E1_3_5_2 * C00337 * C15602 ) /(${Variables:E1_3_5_2_Km} + (E1_3_5_2 * C00337 * C15602 ))</v>
      </c>
    </row>
    <row r="182" spans="1:11" ht="58" x14ac:dyDescent="0.35">
      <c r="A182" s="31" t="s">
        <v>5214</v>
      </c>
      <c r="B182" s="31" t="s">
        <v>5215</v>
      </c>
      <c r="C182" s="31" t="s">
        <v>13983</v>
      </c>
      <c r="D182" s="31">
        <v>181</v>
      </c>
      <c r="E182" s="31" t="str">
        <f t="shared" si="10"/>
        <v>E1_3_98_5</v>
      </c>
      <c r="F182" s="31" t="s">
        <v>13873</v>
      </c>
      <c r="G182" s="31" t="str">
        <f t="shared" si="11"/>
        <v xml:space="preserve">	
C21284 *  C00027</v>
      </c>
      <c r="H182" s="31" t="s">
        <v>14418</v>
      </c>
      <c r="I182" s="31" t="str">
        <f t="shared" si="12"/>
        <v> C00032 *  C00011 * C00001</v>
      </c>
      <c r="J182" s="31" t="str">
        <f t="shared" si="13"/>
        <v>(${Variables: E1_3_98_5_Kcat } * E1_3_98_5 * 	
C21284 *  C00027) /(${Variables:E1_3_98_5_Km} + (E1_3_98_5 * 	
C21284 *  C00027))</v>
      </c>
      <c r="K182" s="31" t="str">
        <f t="shared" si="14"/>
        <v>r181: 	
C21284 +  C00027 -&gt;  C00032 +  C00011 + C00001 | (${Variables: E1_3_98_5_Kcat } * E1_3_98_5 * 	
C21284 *  C00027) /(${Variables:E1_3_98_5_Km} + (E1_3_98_5 * 	
C21284 *  C00027))</v>
      </c>
    </row>
    <row r="183" spans="1:11" ht="58" x14ac:dyDescent="0.35">
      <c r="A183" s="31" t="s">
        <v>5214</v>
      </c>
      <c r="B183" s="31" t="s">
        <v>5215</v>
      </c>
      <c r="C183" s="31" t="s">
        <v>13983</v>
      </c>
      <c r="D183" s="31">
        <v>182</v>
      </c>
      <c r="E183" s="31" t="str">
        <f t="shared" si="10"/>
        <v>E1_3_98_5</v>
      </c>
      <c r="F183" s="31" t="s">
        <v>11912</v>
      </c>
      <c r="G183" s="31" t="str">
        <f t="shared" si="11"/>
        <v xml:space="preserve">	
C21284 * C00027 </v>
      </c>
      <c r="H183" s="31" t="s">
        <v>14419</v>
      </c>
      <c r="I183" s="31" t="str">
        <f t="shared" si="12"/>
        <v>C22173 * C00011 * C00001</v>
      </c>
      <c r="J183" s="31" t="str">
        <f t="shared" si="13"/>
        <v>(${Variables: E1_3_98_5_Kcat } * E1_3_98_5 * 	
C21284 * C00027 ) /(${Variables:E1_3_98_5_Km} + (E1_3_98_5 * 	
C21284 * C00027 ))</v>
      </c>
      <c r="K183" s="31" t="str">
        <f t="shared" si="14"/>
        <v>r182: 	
C21284 + C00027  -&gt; C22173 + C00011 + C00001 | (${Variables: E1_3_98_5_Kcat } * E1_3_98_5 * 	
C21284 * C00027 ) /(${Variables:E1_3_98_5_Km} + (E1_3_98_5 * 	
C21284 * C00027 ))</v>
      </c>
    </row>
    <row r="184" spans="1:11" ht="29" x14ac:dyDescent="0.35">
      <c r="A184" s="31" t="s">
        <v>5214</v>
      </c>
      <c r="B184" s="31" t="s">
        <v>5215</v>
      </c>
      <c r="C184" s="31" t="s">
        <v>13983</v>
      </c>
      <c r="D184" s="31">
        <v>183</v>
      </c>
      <c r="E184" s="31" t="str">
        <f t="shared" si="10"/>
        <v>E1_3_98_5</v>
      </c>
      <c r="F184" s="31" t="s">
        <v>11914</v>
      </c>
      <c r="G184" s="31" t="str">
        <f t="shared" si="11"/>
        <v>C22173 * C00027</v>
      </c>
      <c r="H184" s="31" t="s">
        <v>14420</v>
      </c>
      <c r="I184" s="31" t="str">
        <f t="shared" si="12"/>
        <v>C00032 * C00011 * C00001</v>
      </c>
      <c r="J184" s="31" t="str">
        <f t="shared" si="13"/>
        <v>(${Variables: E1_3_98_5_Kcat } * E1_3_98_5 * C22173 * C00027) /(${Variables:E1_3_98_5_Km} + (E1_3_98_5 * C22173 * C00027))</v>
      </c>
      <c r="K184" s="31" t="str">
        <f t="shared" si="14"/>
        <v>r183: C22173 + C00027 -&gt; C00032 + C00011 + C00001 | (${Variables: E1_3_98_5_Kcat } * E1_3_98_5 * C22173 * C00027) /(${Variables:E1_3_98_5_Km} + (E1_3_98_5 * C22173 * C00027))</v>
      </c>
    </row>
    <row r="185" spans="1:11" ht="29" x14ac:dyDescent="0.35">
      <c r="A185" s="31" t="s">
        <v>567</v>
      </c>
      <c r="B185" s="31" t="s">
        <v>568</v>
      </c>
      <c r="C185" s="31" t="s">
        <v>13984</v>
      </c>
      <c r="D185" s="31">
        <v>184</v>
      </c>
      <c r="E185" s="31" t="str">
        <f t="shared" si="10"/>
        <v>E1_4_1_13</v>
      </c>
      <c r="F185" s="31" t="s">
        <v>13874</v>
      </c>
      <c r="G185" s="31" t="str">
        <f t="shared" si="11"/>
        <v xml:space="preserve">C00025 * C00006 </v>
      </c>
      <c r="H185" s="31" t="s">
        <v>11916</v>
      </c>
      <c r="I185" s="31" t="str">
        <f t="shared" si="12"/>
        <v>C00064 * C00026 * C00005 * C00080</v>
      </c>
      <c r="J185" s="31" t="str">
        <f t="shared" si="13"/>
        <v>(${Variables: E1_4_1_13_Kcat } * E1_4_1_13 * C00025 * C00006 ) /(${Variables:E1_4_1_13_Km} + (E1_4_1_13 * C00025 * C00006 ))</v>
      </c>
      <c r="K185" s="32" t="str">
        <f t="shared" si="14"/>
        <v>r184: C00025 + C00006  -&gt; C00064 + C00026 + C00005 + C00080 | (${Variables: E1_4_1_13_Kcat } * E1_4_1_13 * C00025 * C00006 ) /(${Variables:E1_4_1_13_Km} + (E1_4_1_13 * C00025 * C00006 ))</v>
      </c>
    </row>
    <row r="186" spans="1:11" ht="29" x14ac:dyDescent="0.35">
      <c r="A186" s="31" t="s">
        <v>567</v>
      </c>
      <c r="B186" s="31" t="s">
        <v>568</v>
      </c>
      <c r="C186" s="31" t="s">
        <v>13984</v>
      </c>
      <c r="D186" s="31">
        <v>185</v>
      </c>
      <c r="E186" s="31" t="str">
        <f t="shared" si="10"/>
        <v>E1_4_1_13</v>
      </c>
      <c r="F186" s="31" t="s">
        <v>11917</v>
      </c>
      <c r="G186" s="31" t="str">
        <f t="shared" si="11"/>
        <v xml:space="preserve">C00025 * C00006 * C00001 </v>
      </c>
      <c r="H186" s="31" t="s">
        <v>11918</v>
      </c>
      <c r="I186" s="31" t="str">
        <f t="shared" si="12"/>
        <v>C00026 * C00014 * C00005 * C00080</v>
      </c>
      <c r="J186" s="31" t="str">
        <f t="shared" si="13"/>
        <v>(${Variables: E1_4_1_13_Kcat } * E1_4_1_13 * C00025 * C00006 * C00001 ) /(${Variables:E1_4_1_13_Km} + (E1_4_1_13 * C00025 * C00006 * C00001 ))</v>
      </c>
      <c r="K186" s="32" t="str">
        <f t="shared" si="14"/>
        <v>r185: C00025 + C00006 + C00001  -&gt; C00026 + C00014 + C00005 + C00080 | (${Variables: E1_4_1_13_Kcat } * E1_4_1_13 * C00025 * C00006 * C00001 ) /(${Variables:E1_4_1_13_Km} + (E1_4_1_13 * C00025 * C00006 * C00001 ))</v>
      </c>
    </row>
    <row r="187" spans="1:11" ht="58" x14ac:dyDescent="0.35">
      <c r="A187" s="31" t="s">
        <v>567</v>
      </c>
      <c r="B187" s="31" t="s">
        <v>568</v>
      </c>
      <c r="C187" s="31" t="s">
        <v>13984</v>
      </c>
      <c r="D187" s="31">
        <v>186</v>
      </c>
      <c r="E187" s="31" t="str">
        <f t="shared" si="10"/>
        <v>E1_4_1_13</v>
      </c>
      <c r="F187" s="31" t="s">
        <v>11919</v>
      </c>
      <c r="G187" s="31" t="str">
        <f t="shared" si="11"/>
        <v xml:space="preserve">	
C00064 * C00001 </v>
      </c>
      <c r="H187" s="31" t="s">
        <v>11920</v>
      </c>
      <c r="I187" s="31" t="str">
        <f t="shared" si="12"/>
        <v>C00025 * C00014</v>
      </c>
      <c r="J187" s="31" t="str">
        <f t="shared" si="13"/>
        <v>(${Variables: E1_4_1_13_Kcat } * E1_4_1_13 * 	
C00064 * C00001 ) /(${Variables:E1_4_1_13_Km} + (E1_4_1_13 * 	
C00064 * C00001 ))</v>
      </c>
      <c r="K187" s="32" t="str">
        <f t="shared" si="14"/>
        <v>r186: 	
C00064 + C00001  -&gt; C00025 + C00014 | (${Variables: E1_4_1_13_Kcat } * E1_4_1_13 * 	
C00064 * C00001 ) /(${Variables:E1_4_1_13_Km} + (E1_4_1_13 * 	
C00064 * C00001 ))</v>
      </c>
    </row>
    <row r="188" spans="1:11" ht="29" x14ac:dyDescent="0.35">
      <c r="A188" s="31" t="s">
        <v>7207</v>
      </c>
      <c r="B188" s="31" t="s">
        <v>7208</v>
      </c>
      <c r="C188" s="31" t="s">
        <v>13985</v>
      </c>
      <c r="D188" s="31">
        <v>187</v>
      </c>
      <c r="E188" s="31" t="str">
        <f t="shared" si="10"/>
        <v>E1_4_1_16</v>
      </c>
      <c r="F188" s="31" t="s">
        <v>11921</v>
      </c>
      <c r="G188" s="31" t="str">
        <f t="shared" si="11"/>
        <v>C00680 * C00006 * C00001</v>
      </c>
      <c r="H188" s="31" t="s">
        <v>11922</v>
      </c>
      <c r="I188" s="31" t="str">
        <f t="shared" si="12"/>
        <v>C03871 * C00014 * C00005 * C00080</v>
      </c>
      <c r="J188" s="31" t="str">
        <f t="shared" si="13"/>
        <v>(${Variables: E1_4_1_16_Kcat } * E1_4_1_16 * C00680 * C00006 * C00001) /(${Variables:E1_4_1_16_Km} + (E1_4_1_16 * C00680 * C00006 * C00001))</v>
      </c>
      <c r="K188" s="31" t="str">
        <f>CONCATENATE("r",D188,": ",F188," -&gt; ",H188," | ",J188)</f>
        <v>r187: C00680 + C00006 + C00001 -&gt; C03871 + C00014 + C00005 + C00080 | (${Variables: E1_4_1_16_Kcat } * E1_4_1_16 * C00680 * C00006 * C00001) /(${Variables:E1_4_1_16_Km} + (E1_4_1_16 * C00680 * C00006 * C00001))</v>
      </c>
    </row>
    <row r="189" spans="1:11" ht="29" x14ac:dyDescent="0.35">
      <c r="A189" s="31" t="s">
        <v>5732</v>
      </c>
      <c r="B189" s="31" t="s">
        <v>5733</v>
      </c>
      <c r="C189" s="31" t="s">
        <v>13986</v>
      </c>
      <c r="D189" s="31">
        <v>188</v>
      </c>
      <c r="E189" s="31" t="str">
        <f t="shared" si="10"/>
        <v>E1_4_1_4</v>
      </c>
      <c r="F189" s="31" t="s">
        <v>9005</v>
      </c>
      <c r="G189" s="31" t="str">
        <f t="shared" si="11"/>
        <v>C00025 * C00006 * C00001</v>
      </c>
      <c r="H189" s="31" t="s">
        <v>9006</v>
      </c>
      <c r="I189" s="31" t="str">
        <f t="shared" si="12"/>
        <v> C00026 * C00014 * C00005 * C00080</v>
      </c>
      <c r="J189" s="31" t="str">
        <f t="shared" si="13"/>
        <v>(${Variables: E1_4_1_4_Kcat } * E1_4_1_4 * C00025 * C00006 * C00001) /(${Variables:E1_4_1_4_Km} + (E1_4_1_4 * C00025 * C00006 * C00001))</v>
      </c>
      <c r="K189" s="31" t="str">
        <f t="shared" si="14"/>
        <v>r188: C00025 + C00006 + C00001 -&gt;  C00026 + C00014 + C00005 + C00080 | (${Variables: E1_4_1_4_Kcat } * E1_4_1_4 * C00025 * C00006 * C00001) /(${Variables:E1_4_1_4_Km} + (E1_4_1_4 * C00025 * C00006 * C00001))</v>
      </c>
    </row>
    <row r="190" spans="1:11" ht="29" x14ac:dyDescent="0.35">
      <c r="A190" s="31" t="s">
        <v>5732</v>
      </c>
      <c r="B190" s="31" t="s">
        <v>5733</v>
      </c>
      <c r="C190" s="31" t="s">
        <v>13986</v>
      </c>
      <c r="D190" s="31">
        <v>189</v>
      </c>
      <c r="E190" s="31" t="str">
        <f t="shared" si="10"/>
        <v>E1_4_1_4</v>
      </c>
      <c r="F190" s="31" t="s">
        <v>9003</v>
      </c>
      <c r="G190" s="31" t="str">
        <f t="shared" si="11"/>
        <v>C05167 * C00001 * C00003</v>
      </c>
      <c r="H190" s="31" t="s">
        <v>9004</v>
      </c>
      <c r="I190" s="31" t="str">
        <f t="shared" si="12"/>
        <v> C00161 * C00014 * C00004 * C00080</v>
      </c>
      <c r="J190" s="31" t="str">
        <f t="shared" si="13"/>
        <v>(${Variables: E1_4_1_4_Kcat } * E1_4_1_4 * C05167 * C00001 * C00003) /(${Variables:E1_4_1_4_Km} + (E1_4_1_4 * C05167 * C00001 * C00003))</v>
      </c>
      <c r="K190" s="31" t="str">
        <f t="shared" si="14"/>
        <v>r189: C05167 + C00001 + C00003 -&gt;  C00161 + C00014 + C00004 + C00080 | (${Variables: E1_4_1_4_Kcat } * E1_4_1_4 * C05167 * C00001 * C00003) /(${Variables:E1_4_1_4_Km} + (E1_4_1_4 * C05167 * C00001 * C00003))</v>
      </c>
    </row>
    <row r="191" spans="1:11" ht="29" x14ac:dyDescent="0.35">
      <c r="A191" s="31" t="s">
        <v>5732</v>
      </c>
      <c r="B191" s="31" t="s">
        <v>5733</v>
      </c>
      <c r="C191" s="31" t="s">
        <v>13986</v>
      </c>
      <c r="D191" s="31">
        <v>190</v>
      </c>
      <c r="E191" s="31" t="str">
        <f t="shared" si="10"/>
        <v>E1_4_1_4</v>
      </c>
      <c r="F191" s="31" t="s">
        <v>9001</v>
      </c>
      <c r="G191" s="31" t="str">
        <f t="shared" si="11"/>
        <v>C05167 * C00001 * C00006 </v>
      </c>
      <c r="H191" s="31" t="s">
        <v>9002</v>
      </c>
      <c r="I191" s="31" t="str">
        <f t="shared" si="12"/>
        <v>C00161 * C00014 * C00005 * C00080</v>
      </c>
      <c r="J191" s="31" t="str">
        <f t="shared" si="13"/>
        <v>(${Variables: E1_4_1_4_Kcat } * E1_4_1_4 * C05167 * C00001 * C00006 ) /(${Variables:E1_4_1_4_Km} + (E1_4_1_4 * C05167 * C00001 * C00006 ))</v>
      </c>
      <c r="K191" s="31" t="str">
        <f t="shared" si="14"/>
        <v>r190: C05167 + C00001 + C00006  -&gt; C00161 + C00014 + C00005 + C00080 | (${Variables: E1_4_1_4_Kcat } * E1_4_1_4 * C05167 * C00001 * C00006 ) /(${Variables:E1_4_1_4_Km} + (E1_4_1_4 * C05167 * C00001 * C00006 ))</v>
      </c>
    </row>
    <row r="192" spans="1:11" ht="29" x14ac:dyDescent="0.35">
      <c r="A192" s="31" t="s">
        <v>5625</v>
      </c>
      <c r="B192" s="31" t="s">
        <v>5626</v>
      </c>
      <c r="C192" s="31" t="s">
        <v>13987</v>
      </c>
      <c r="D192" s="31">
        <v>191</v>
      </c>
      <c r="E192" s="31" t="str">
        <f t="shared" si="10"/>
        <v>E1_4_3_19</v>
      </c>
      <c r="F192" s="31" t="s">
        <v>9008</v>
      </c>
      <c r="G192" s="31" t="str">
        <f t="shared" si="11"/>
        <v>C00037 * C00001 * C00007</v>
      </c>
      <c r="H192" s="31" t="s">
        <v>9017</v>
      </c>
      <c r="I192" s="31" t="str">
        <f t="shared" si="12"/>
        <v>C00048 * C00014 * C00027</v>
      </c>
      <c r="J192" s="31" t="str">
        <f t="shared" si="13"/>
        <v>(${Variables: E1_4_3_19_Kcat } * E1_4_3_19 * C00037 * C00001 * C00007) /(${Variables:E1_4_3_19_Km} + (E1_4_3_19 * C00037 * C00001 * C00007))</v>
      </c>
      <c r="K192" s="32" t="str">
        <f t="shared" si="14"/>
        <v>r191: C00037 + C00001 + C00007 -&gt; C00048 + C00014 + C00027 | (${Variables: E1_4_3_19_Kcat } * E1_4_3_19 * C00037 * C00001 * C00007) /(${Variables:E1_4_3_19_Km} + (E1_4_3_19 * C00037 * C00001 * C00007))</v>
      </c>
    </row>
    <row r="193" spans="1:11" ht="29" x14ac:dyDescent="0.35">
      <c r="A193" s="31" t="s">
        <v>5625</v>
      </c>
      <c r="B193" s="31" t="s">
        <v>5626</v>
      </c>
      <c r="C193" s="31" t="s">
        <v>13987</v>
      </c>
      <c r="D193" s="31">
        <v>192</v>
      </c>
      <c r="E193" s="31" t="str">
        <f t="shared" si="10"/>
        <v>E1_4_3_19</v>
      </c>
      <c r="F193" s="31" t="s">
        <v>9015</v>
      </c>
      <c r="G193" s="31" t="str">
        <f t="shared" si="11"/>
        <v>C00037 * C00007 </v>
      </c>
      <c r="H193" s="31" t="s">
        <v>9016</v>
      </c>
      <c r="I193" s="31" t="str">
        <f t="shared" si="12"/>
        <v> C15809 * C00027</v>
      </c>
      <c r="J193" s="31" t="str">
        <f t="shared" si="13"/>
        <v>(${Variables: E1_4_3_19_Kcat } * E1_4_3_19 * C00037 * C00007 ) /(${Variables:E1_4_3_19_Km} + (E1_4_3_19 * C00037 * C00007 ))</v>
      </c>
      <c r="K193" s="32" t="str">
        <f t="shared" si="14"/>
        <v>r192: C00037 + C00007  -&gt;  C15809 + C00027 | (${Variables: E1_4_3_19_Kcat } * E1_4_3_19 * C00037 * C00007 ) /(${Variables:E1_4_3_19_Km} + (E1_4_3_19 * C00037 * C00007 ))</v>
      </c>
    </row>
    <row r="194" spans="1:11" ht="29" x14ac:dyDescent="0.35">
      <c r="A194" s="31" t="s">
        <v>5625</v>
      </c>
      <c r="B194" s="31" t="s">
        <v>5626</v>
      </c>
      <c r="C194" s="31" t="s">
        <v>13987</v>
      </c>
      <c r="D194" s="31">
        <v>193</v>
      </c>
      <c r="E194" s="31" t="str">
        <f t="shared" si="10"/>
        <v>E1_4_3_19</v>
      </c>
      <c r="F194" s="31" t="s">
        <v>9018</v>
      </c>
      <c r="G194" s="31" t="str">
        <f t="shared" si="11"/>
        <v>C15809 * C00001</v>
      </c>
      <c r="H194" s="31" t="s">
        <v>9019</v>
      </c>
      <c r="I194" s="31" t="str">
        <f t="shared" si="12"/>
        <v> C00048 * C00014</v>
      </c>
      <c r="J194" s="31" t="str">
        <f t="shared" si="13"/>
        <v>(${Variables: E1_4_3_19_Kcat } * E1_4_3_19 * C15809 * C00001) /(${Variables:E1_4_3_19_Km} + (E1_4_3_19 * C15809 * C00001))</v>
      </c>
      <c r="K194" s="32" t="str">
        <f t="shared" si="14"/>
        <v>r193: C15809 + C00001 -&gt;  C00048 + C00014 | (${Variables: E1_4_3_19_Kcat } * E1_4_3_19 * C15809 * C00001) /(${Variables:E1_4_3_19_Km} + (E1_4_3_19 * C15809 * C00001))</v>
      </c>
    </row>
    <row r="195" spans="1:11" ht="29" x14ac:dyDescent="0.35">
      <c r="A195" s="31" t="s">
        <v>5625</v>
      </c>
      <c r="B195" s="31" t="s">
        <v>5626</v>
      </c>
      <c r="C195" s="31" t="s">
        <v>13987</v>
      </c>
      <c r="D195" s="31">
        <v>194</v>
      </c>
      <c r="E195" s="31" t="str">
        <f t="shared" ref="E195:E258" si="15">CONCATENATE("E",C195)</f>
        <v>E1_4_3_19</v>
      </c>
      <c r="F195" s="31" t="s">
        <v>9020</v>
      </c>
      <c r="G195" s="31" t="str">
        <f t="shared" ref="G195:G258" si="16">SUBSTITUTE(F195,"+","*")</f>
        <v>C00133 * C00001 * C00007 </v>
      </c>
      <c r="H195" s="31" t="s">
        <v>9021</v>
      </c>
      <c r="I195" s="31" t="str">
        <f t="shared" ref="I195:I258" si="17">SUBSTITUTE(H195,"+","*")</f>
        <v>C00022 * C00014 * C00027</v>
      </c>
      <c r="J195" s="31" t="str">
        <f t="shared" ref="J195:J258" si="18">CONCATENATE("(${Variables: ",E195,"_Kcat ","} * ",E195," * ",G195,")"," /(${Variables:",E195,"_Km","} + (",E195," * ",G195,"))")</f>
        <v>(${Variables: E1_4_3_19_Kcat } * E1_4_3_19 * C00133 * C00001 * C00007 ) /(${Variables:E1_4_3_19_Km} + (E1_4_3_19 * C00133 * C00001 * C00007 ))</v>
      </c>
      <c r="K195" s="32" t="str">
        <f t="shared" ref="K195:K258" si="19">CONCATENATE("r",D195,": ",F195," -&gt; ",H195," | ",J195)</f>
        <v>r194: C00133 + C00001 + C00007  -&gt; C00022 + C00014 + C00027 | (${Variables: E1_4_3_19_Kcat } * E1_4_3_19 * C00133 * C00001 * C00007 ) /(${Variables:E1_4_3_19_Km} + (E1_4_3_19 * C00133 * C00001 * C00007 ))</v>
      </c>
    </row>
    <row r="196" spans="1:11" ht="29" x14ac:dyDescent="0.35">
      <c r="A196" s="31" t="s">
        <v>5625</v>
      </c>
      <c r="B196" s="31" t="s">
        <v>5626</v>
      </c>
      <c r="C196" s="31" t="s">
        <v>13987</v>
      </c>
      <c r="D196" s="31">
        <v>195</v>
      </c>
      <c r="E196" s="31" t="str">
        <f t="shared" si="15"/>
        <v>E1_4_3_19</v>
      </c>
      <c r="F196" s="31" t="s">
        <v>9022</v>
      </c>
      <c r="G196" s="31" t="str">
        <f t="shared" si="16"/>
        <v>C00213 * C00001 * C00007</v>
      </c>
      <c r="H196" s="31" t="s">
        <v>9023</v>
      </c>
      <c r="I196" s="31" t="str">
        <f t="shared" si="17"/>
        <v>C00048 * C00218 * C00027</v>
      </c>
      <c r="J196" s="31" t="str">
        <f t="shared" si="18"/>
        <v>(${Variables: E1_4_3_19_Kcat } * E1_4_3_19 * C00213 * C00001 * C00007) /(${Variables:E1_4_3_19_Km} + (E1_4_3_19 * C00213 * C00001 * C00007))</v>
      </c>
      <c r="K196" s="32" t="str">
        <f t="shared" si="19"/>
        <v>r195: C00213 + C00001 + C00007 -&gt; C00048 + C00218 + C00027 | (${Variables: E1_4_3_19_Kcat } * E1_4_3_19 * C00213 * C00001 * C00007) /(${Variables:E1_4_3_19_Km} + (E1_4_3_19 * C00213 * C00001 * C00007))</v>
      </c>
    </row>
    <row r="197" spans="1:11" ht="29" x14ac:dyDescent="0.35">
      <c r="A197" s="31" t="s">
        <v>5625</v>
      </c>
      <c r="B197" s="31" t="s">
        <v>5626</v>
      </c>
      <c r="C197" s="31" t="s">
        <v>13987</v>
      </c>
      <c r="D197" s="31">
        <v>196</v>
      </c>
      <c r="E197" s="31" t="str">
        <f t="shared" si="15"/>
        <v>E1_4_3_19</v>
      </c>
      <c r="F197" s="31" t="s">
        <v>9024</v>
      </c>
      <c r="G197" s="31" t="str">
        <f t="shared" si="16"/>
        <v>C11735 * C00001 * C00007 </v>
      </c>
      <c r="H197" s="31" t="s">
        <v>9025</v>
      </c>
      <c r="I197" s="31" t="str">
        <f t="shared" si="17"/>
        <v>C00048 * C00797 * C00027</v>
      </c>
      <c r="J197" s="31" t="str">
        <f t="shared" si="18"/>
        <v>(${Variables: E1_4_3_19_Kcat } * E1_4_3_19 * C11735 * C00001 * C00007 ) /(${Variables:E1_4_3_19_Km} + (E1_4_3_19 * C11735 * C00001 * C00007 ))</v>
      </c>
      <c r="K197" s="32" t="str">
        <f t="shared" si="19"/>
        <v>r196: C11735 + C00001 + C00007  -&gt; C00048 + C00797 + C00027 | (${Variables: E1_4_3_19_Kcat } * E1_4_3_19 * C11735 * C00001 * C00007 ) /(${Variables:E1_4_3_19_Km} + (E1_4_3_19 * C11735 * C00001 * C00007 ))</v>
      </c>
    </row>
    <row r="198" spans="1:11" ht="29" x14ac:dyDescent="0.35">
      <c r="A198" s="31" t="s">
        <v>1206</v>
      </c>
      <c r="B198" s="31" t="s">
        <v>1207</v>
      </c>
      <c r="C198" s="31" t="s">
        <v>13988</v>
      </c>
      <c r="D198" s="31">
        <v>197</v>
      </c>
      <c r="E198" s="31" t="str">
        <f t="shared" si="15"/>
        <v>E1_5_1_2</v>
      </c>
      <c r="F198" s="31" t="s">
        <v>9028</v>
      </c>
      <c r="G198" s="31" t="str">
        <f t="shared" si="16"/>
        <v>C00148 * C00003</v>
      </c>
      <c r="H198" s="31" t="s">
        <v>9029</v>
      </c>
      <c r="I198" s="31" t="str">
        <f t="shared" si="17"/>
        <v>C03912 * C00004 * C00080</v>
      </c>
      <c r="J198" s="31" t="str">
        <f t="shared" si="18"/>
        <v>(${Variables: E1_5_1_2_Kcat } * E1_5_1_2 * C00148 * C00003) /(${Variables:E1_5_1_2_Km} + (E1_5_1_2 * C00148 * C00003))</v>
      </c>
      <c r="K198" s="32" t="str">
        <f t="shared" si="19"/>
        <v>r197: C00148 + C00003 -&gt; C03912 + C00004 + C00080 | (${Variables: E1_5_1_2_Kcat } * E1_5_1_2 * C00148 * C00003) /(${Variables:E1_5_1_2_Km} + (E1_5_1_2 * C00148 * C00003))</v>
      </c>
    </row>
    <row r="199" spans="1:11" ht="29" x14ac:dyDescent="0.35">
      <c r="A199" s="31" t="s">
        <v>1206</v>
      </c>
      <c r="B199" s="31" t="s">
        <v>1207</v>
      </c>
      <c r="C199" s="31" t="s">
        <v>13988</v>
      </c>
      <c r="D199" s="31">
        <v>198</v>
      </c>
      <c r="E199" s="31" t="str">
        <f t="shared" si="15"/>
        <v>E1_5_1_2</v>
      </c>
      <c r="F199" s="31" t="s">
        <v>9031</v>
      </c>
      <c r="G199" s="31" t="str">
        <f t="shared" si="16"/>
        <v>C00148 * C00006 </v>
      </c>
      <c r="H199" s="31" t="s">
        <v>9032</v>
      </c>
      <c r="I199" s="31" t="str">
        <f t="shared" si="17"/>
        <v> C03912 * C00005 * C00080</v>
      </c>
      <c r="J199" s="31" t="str">
        <f t="shared" si="18"/>
        <v>(${Variables: E1_5_1_2_Kcat } * E1_5_1_2 * C00148 * C00006 ) /(${Variables:E1_5_1_2_Km} + (E1_5_1_2 * C00148 * C00006 ))</v>
      </c>
      <c r="K199" s="32" t="str">
        <f t="shared" si="19"/>
        <v>r198: C00148 + C00006  -&gt;  C03912 + C00005 + C00080 | (${Variables: E1_5_1_2_Kcat } * E1_5_1_2 * C00148 * C00006 ) /(${Variables:E1_5_1_2_Km} + (E1_5_1_2 * C00148 * C00006 ))</v>
      </c>
    </row>
    <row r="200" spans="1:11" ht="29" x14ac:dyDescent="0.35">
      <c r="A200" s="31" t="s">
        <v>1206</v>
      </c>
      <c r="B200" s="31" t="s">
        <v>1207</v>
      </c>
      <c r="C200" s="31" t="s">
        <v>13988</v>
      </c>
      <c r="D200" s="31">
        <v>199</v>
      </c>
      <c r="E200" s="31" t="str">
        <f t="shared" si="15"/>
        <v>E1_5_1_2</v>
      </c>
      <c r="F200" s="31" t="s">
        <v>9034</v>
      </c>
      <c r="G200" s="31" t="str">
        <f t="shared" si="16"/>
        <v>C01157 * C00003 </v>
      </c>
      <c r="H200" s="31" t="s">
        <v>9035</v>
      </c>
      <c r="I200" s="31" t="str">
        <f t="shared" si="17"/>
        <v> C04281 * C00004 * C00080</v>
      </c>
      <c r="J200" s="31" t="str">
        <f t="shared" si="18"/>
        <v>(${Variables: E1_5_1_2_Kcat } * E1_5_1_2 * C01157 * C00003 ) /(${Variables:E1_5_1_2_Km} + (E1_5_1_2 * C01157 * C00003 ))</v>
      </c>
      <c r="K200" s="32" t="str">
        <f t="shared" si="19"/>
        <v>r199: C01157 + C00003  -&gt;  C04281 + C00004 + C00080 | (${Variables: E1_5_1_2_Kcat } * E1_5_1_2 * C01157 * C00003 ) /(${Variables:E1_5_1_2_Km} + (E1_5_1_2 * C01157 * C00003 ))</v>
      </c>
    </row>
    <row r="201" spans="1:11" ht="29" x14ac:dyDescent="0.35">
      <c r="A201" s="31" t="s">
        <v>1206</v>
      </c>
      <c r="B201" s="31" t="s">
        <v>1207</v>
      </c>
      <c r="C201" s="31" t="s">
        <v>13988</v>
      </c>
      <c r="D201" s="31">
        <v>200</v>
      </c>
      <c r="E201" s="31" t="str">
        <f t="shared" si="15"/>
        <v>E1_5_1_2</v>
      </c>
      <c r="F201" s="31" t="s">
        <v>9037</v>
      </c>
      <c r="G201" s="31" t="str">
        <f t="shared" si="16"/>
        <v>C01157 * C00006</v>
      </c>
      <c r="H201" s="31" t="s">
        <v>9038</v>
      </c>
      <c r="I201" s="31" t="str">
        <f t="shared" si="17"/>
        <v>C04281 * C00005 * C00080</v>
      </c>
      <c r="J201" s="31" t="str">
        <f t="shared" si="18"/>
        <v>(${Variables: E1_5_1_2_Kcat } * E1_5_1_2 * C01157 * C00006) /(${Variables:E1_5_1_2_Km} + (E1_5_1_2 * C01157 * C00006))</v>
      </c>
      <c r="K201" s="32" t="str">
        <f t="shared" si="19"/>
        <v>r200: C01157 + C00006 -&gt; C04281 + C00005 + C00080 | (${Variables: E1_5_1_2_Kcat } * E1_5_1_2 * C01157 * C00006) /(${Variables:E1_5_1_2_Km} + (E1_5_1_2 * C01157 * C00006))</v>
      </c>
    </row>
    <row r="202" spans="1:11" ht="29" x14ac:dyDescent="0.35">
      <c r="A202" s="31" t="s">
        <v>5991</v>
      </c>
      <c r="B202" s="31" t="s">
        <v>5992</v>
      </c>
      <c r="C202" s="31" t="s">
        <v>13989</v>
      </c>
      <c r="D202" s="31">
        <v>201</v>
      </c>
      <c r="E202" s="31" t="str">
        <f t="shared" si="15"/>
        <v>E1_5_1_20</v>
      </c>
      <c r="F202" s="31" t="s">
        <v>9041</v>
      </c>
      <c r="G202" s="31" t="str">
        <f t="shared" si="16"/>
        <v>C00440 * C00006 </v>
      </c>
      <c r="H202" s="31" t="s">
        <v>9042</v>
      </c>
      <c r="I202" s="31" t="str">
        <f t="shared" si="17"/>
        <v>C00143 * C00005 * C00080</v>
      </c>
      <c r="J202" s="31" t="str">
        <f t="shared" si="18"/>
        <v>(${Variables: E1_5_1_20_Kcat } * E1_5_1_20 * C00440 * C00006 ) /(${Variables:E1_5_1_20_Km} + (E1_5_1_20 * C00440 * C00006 ))</v>
      </c>
      <c r="K202" s="32" t="str">
        <f t="shared" si="19"/>
        <v>r201: C00440 + C00006  -&gt; C00143 + C00005 + C00080 | (${Variables: E1_5_1_20_Kcat } * E1_5_1_20 * C00440 * C00006 ) /(${Variables:E1_5_1_20_Km} + (E1_5_1_20 * C00440 * C00006 ))</v>
      </c>
    </row>
    <row r="203" spans="1:11" ht="29" x14ac:dyDescent="0.35">
      <c r="A203" s="31" t="s">
        <v>5991</v>
      </c>
      <c r="B203" s="31" t="s">
        <v>5992</v>
      </c>
      <c r="C203" s="31" t="s">
        <v>13989</v>
      </c>
      <c r="D203" s="31">
        <v>202</v>
      </c>
      <c r="E203" s="31" t="str">
        <f t="shared" si="15"/>
        <v>E1_5_1_20</v>
      </c>
      <c r="F203" s="31" t="s">
        <v>9044</v>
      </c>
      <c r="G203" s="31" t="str">
        <f t="shared" si="16"/>
        <v>C00440 * C00003</v>
      </c>
      <c r="H203" s="31" t="s">
        <v>9045</v>
      </c>
      <c r="I203" s="31" t="str">
        <f t="shared" si="17"/>
        <v>C00143 * C00004 * C00080</v>
      </c>
      <c r="J203" s="31" t="str">
        <f t="shared" si="18"/>
        <v>(${Variables: E1_5_1_20_Kcat } * E1_5_1_20 * C00440 * C00003) /(${Variables:E1_5_1_20_Km} + (E1_5_1_20 * C00440 * C00003))</v>
      </c>
      <c r="K203" s="32" t="str">
        <f t="shared" si="19"/>
        <v>r202: C00440 + C00003 -&gt; C00143 + C00004 + C00080 | (${Variables: E1_5_1_20_Kcat } * E1_5_1_20 * C00440 * C00003) /(${Variables:E1_5_1_20_Km} + (E1_5_1_20 * C00440 * C00003))</v>
      </c>
    </row>
    <row r="204" spans="1:11" ht="29" x14ac:dyDescent="0.35">
      <c r="A204" s="31" t="s">
        <v>2083</v>
      </c>
      <c r="B204" s="31" t="s">
        <v>2084</v>
      </c>
      <c r="C204" s="31" t="s">
        <v>13990</v>
      </c>
      <c r="D204" s="31">
        <v>203</v>
      </c>
      <c r="E204" s="31" t="str">
        <f t="shared" si="15"/>
        <v>E1_5_1_3</v>
      </c>
      <c r="F204" s="31" t="s">
        <v>9048</v>
      </c>
      <c r="G204" s="31" t="str">
        <f t="shared" si="16"/>
        <v>C00101 * C00006</v>
      </c>
      <c r="H204" s="31" t="s">
        <v>9049</v>
      </c>
      <c r="I204" s="31" t="str">
        <f t="shared" si="17"/>
        <v>C00415 * C00005 * C00080</v>
      </c>
      <c r="J204" s="31" t="str">
        <f t="shared" si="18"/>
        <v>(${Variables: E1_5_1_3_Kcat } * E1_5_1_3 * C00101 * C00006) /(${Variables:E1_5_1_3_Km} + (E1_5_1_3 * C00101 * C00006))</v>
      </c>
      <c r="K204" s="31" t="str">
        <f t="shared" si="19"/>
        <v>r203: C00101 + C00006 -&gt; C00415 + C00005 + C00080 | (${Variables: E1_5_1_3_Kcat } * E1_5_1_3 * C00101 * C00006) /(${Variables:E1_5_1_3_Km} + (E1_5_1_3 * C00101 * C00006))</v>
      </c>
    </row>
    <row r="205" spans="1:11" ht="29" x14ac:dyDescent="0.35">
      <c r="A205" s="31" t="s">
        <v>2083</v>
      </c>
      <c r="B205" s="31" t="s">
        <v>2084</v>
      </c>
      <c r="C205" s="31" t="s">
        <v>13990</v>
      </c>
      <c r="D205" s="31">
        <v>204</v>
      </c>
      <c r="E205" s="31" t="str">
        <f t="shared" si="15"/>
        <v>E1_5_1_3</v>
      </c>
      <c r="F205" s="31" t="s">
        <v>9051</v>
      </c>
      <c r="G205" s="31" t="str">
        <f t="shared" si="16"/>
        <v>C00101 * C00003</v>
      </c>
      <c r="H205" s="31" t="s">
        <v>9052</v>
      </c>
      <c r="I205" s="31" t="str">
        <f t="shared" si="17"/>
        <v> C00415 * C00004 * C00080</v>
      </c>
      <c r="J205" s="31" t="str">
        <f t="shared" si="18"/>
        <v>(${Variables: E1_5_1_3_Kcat } * E1_5_1_3 * C00101 * C00003) /(${Variables:E1_5_1_3_Km} + (E1_5_1_3 * C00101 * C00003))</v>
      </c>
      <c r="K205" s="31" t="str">
        <f t="shared" si="19"/>
        <v>r204: C00101 + C00003 -&gt;  C00415 + C00004 + C00080 | (${Variables: E1_5_1_3_Kcat } * E1_5_1_3 * C00101 * C00003) /(${Variables:E1_5_1_3_Km} + (E1_5_1_3 * C00101 * C00003))</v>
      </c>
    </row>
    <row r="206" spans="1:11" ht="29" x14ac:dyDescent="0.35">
      <c r="A206" s="31" t="s">
        <v>2083</v>
      </c>
      <c r="B206" s="31" t="s">
        <v>2084</v>
      </c>
      <c r="C206" s="31" t="s">
        <v>13990</v>
      </c>
      <c r="D206" s="31">
        <v>205</v>
      </c>
      <c r="E206" s="31" t="str">
        <f t="shared" si="15"/>
        <v>E1_5_1_3</v>
      </c>
      <c r="F206" s="31" t="s">
        <v>14383</v>
      </c>
      <c r="G206" s="31" t="str">
        <f t="shared" si="16"/>
        <v>C00101 *  C00003 </v>
      </c>
      <c r="H206" s="31" t="s">
        <v>14421</v>
      </c>
      <c r="I206" s="31" t="str">
        <f t="shared" si="17"/>
        <v>C00504 *  C00004 *  C00080</v>
      </c>
      <c r="J206" s="31" t="str">
        <f t="shared" si="18"/>
        <v>(${Variables: E1_5_1_3_Kcat } * E1_5_1_3 * C00101 *  C00003 ) /(${Variables:E1_5_1_3_Km} + (E1_5_1_3 * C00101 *  C00003 ))</v>
      </c>
      <c r="K206" s="31" t="str">
        <f t="shared" si="19"/>
        <v>r205: C00101 +  C00003  -&gt; C00504 +  C00004 +  C00080 | (${Variables: E1_5_1_3_Kcat } * E1_5_1_3 * C00101 *  C00003 ) /(${Variables:E1_5_1_3_Km} + (E1_5_1_3 * C00101 *  C00003 ))</v>
      </c>
    </row>
    <row r="207" spans="1:11" ht="29" x14ac:dyDescent="0.35">
      <c r="A207" s="31" t="s">
        <v>2083</v>
      </c>
      <c r="B207" s="31" t="s">
        <v>2084</v>
      </c>
      <c r="C207" s="31" t="s">
        <v>13990</v>
      </c>
      <c r="D207" s="31">
        <v>206</v>
      </c>
      <c r="E207" s="31" t="str">
        <f t="shared" si="15"/>
        <v>E1_5_1_3</v>
      </c>
      <c r="F207" s="31" t="s">
        <v>14384</v>
      </c>
      <c r="G207" s="31" t="str">
        <f t="shared" si="16"/>
        <v>C00101 *  C00006</v>
      </c>
      <c r="H207" s="31" t="s">
        <v>14422</v>
      </c>
      <c r="I207" s="31" t="str">
        <f t="shared" si="17"/>
        <v> C00504 *  C00005 * C00080</v>
      </c>
      <c r="J207" s="31" t="str">
        <f t="shared" si="18"/>
        <v>(${Variables: E1_5_1_3_Kcat } * E1_5_1_3 * C00101 *  C00006) /(${Variables:E1_5_1_3_Km} + (E1_5_1_3 * C00101 *  C00006))</v>
      </c>
      <c r="K207" s="31" t="str">
        <f t="shared" si="19"/>
        <v>r206: C00101 +  C00006 -&gt;  C00504 +  C00005 + C00080 | (${Variables: E1_5_1_3_Kcat } * E1_5_1_3 * C00101 *  C00006) /(${Variables:E1_5_1_3_Km} + (E1_5_1_3 * C00101 *  C00006))</v>
      </c>
    </row>
    <row r="208" spans="1:11" ht="29" x14ac:dyDescent="0.35">
      <c r="A208" s="31" t="s">
        <v>2083</v>
      </c>
      <c r="B208" s="31" t="s">
        <v>2084</v>
      </c>
      <c r="C208" s="31" t="s">
        <v>13990</v>
      </c>
      <c r="D208" s="31">
        <v>207</v>
      </c>
      <c r="E208" s="31" t="str">
        <f t="shared" si="15"/>
        <v>E1_5_1_3</v>
      </c>
      <c r="F208" s="31" t="s">
        <v>9058</v>
      </c>
      <c r="G208" s="31" t="str">
        <f t="shared" si="16"/>
        <v>C00415 * C00003 </v>
      </c>
      <c r="H208" s="31" t="s">
        <v>9059</v>
      </c>
      <c r="I208" s="31" t="str">
        <f t="shared" si="17"/>
        <v>C00504 * C00004 * C00080</v>
      </c>
      <c r="J208" s="31" t="str">
        <f t="shared" si="18"/>
        <v>(${Variables: E1_5_1_3_Kcat } * E1_5_1_3 * C00415 * C00003 ) /(${Variables:E1_5_1_3_Km} + (E1_5_1_3 * C00415 * C00003 ))</v>
      </c>
      <c r="K208" s="31" t="str">
        <f t="shared" si="19"/>
        <v>r207: C00415 + C00003  -&gt; C00504 + C00004 + C00080 | (${Variables: E1_5_1_3_Kcat } * E1_5_1_3 * C00415 * C00003 ) /(${Variables:E1_5_1_3_Km} + (E1_5_1_3 * C00415 * C00003 ))</v>
      </c>
    </row>
    <row r="209" spans="1:11" ht="29" x14ac:dyDescent="0.35">
      <c r="A209" s="31" t="s">
        <v>2083</v>
      </c>
      <c r="B209" s="31" t="s">
        <v>2084</v>
      </c>
      <c r="C209" s="31" t="s">
        <v>13990</v>
      </c>
      <c r="D209" s="31">
        <v>208</v>
      </c>
      <c r="E209" s="31" t="str">
        <f t="shared" si="15"/>
        <v>E1_5_1_3</v>
      </c>
      <c r="F209" s="31" t="s">
        <v>9061</v>
      </c>
      <c r="G209" s="31" t="str">
        <f t="shared" si="16"/>
        <v>C00415 * C00006 </v>
      </c>
      <c r="H209" s="31" t="s">
        <v>9062</v>
      </c>
      <c r="I209" s="31" t="str">
        <f t="shared" si="17"/>
        <v>C00504 * C00005 * C00080</v>
      </c>
      <c r="J209" s="31" t="str">
        <f t="shared" si="18"/>
        <v>(${Variables: E1_5_1_3_Kcat } * E1_5_1_3 * C00415 * C00006 ) /(${Variables:E1_5_1_3_Km} + (E1_5_1_3 * C00415 * C00006 ))</v>
      </c>
      <c r="K209" s="31" t="str">
        <f t="shared" si="19"/>
        <v>r208: C00415 + C00006  -&gt; C00504 + C00005 + C00080 | (${Variables: E1_5_1_3_Kcat } * E1_5_1_3 * C00415 * C00006 ) /(${Variables:E1_5_1_3_Km} + (E1_5_1_3 * C00415 * C00006 ))</v>
      </c>
    </row>
    <row r="210" spans="1:11" ht="29" x14ac:dyDescent="0.35">
      <c r="A210" s="31" t="s">
        <v>2083</v>
      </c>
      <c r="B210" s="31" t="s">
        <v>2084</v>
      </c>
      <c r="C210" s="31" t="s">
        <v>13990</v>
      </c>
      <c r="D210" s="31">
        <v>209</v>
      </c>
      <c r="E210" s="31" t="str">
        <f t="shared" si="15"/>
        <v>E1_5_1_3</v>
      </c>
      <c r="F210" s="31" t="s">
        <v>9064</v>
      </c>
      <c r="G210" s="31" t="str">
        <f t="shared" si="16"/>
        <v>C00272 * C00006</v>
      </c>
      <c r="H210" s="31" t="s">
        <v>9065</v>
      </c>
      <c r="I210" s="31" t="str">
        <f t="shared" si="17"/>
        <v>C02953 * C00005 * C00080</v>
      </c>
      <c r="J210" s="31" t="str">
        <f t="shared" si="18"/>
        <v>(${Variables: E1_5_1_3_Kcat } * E1_5_1_3 * C00272 * C00006) /(${Variables:E1_5_1_3_Km} + (E1_5_1_3 * C00272 * C00006))</v>
      </c>
      <c r="K210" s="31" t="str">
        <f t="shared" si="19"/>
        <v>r209: C00272 + C00006 -&gt; C02953 + C00005 + C00080 | (${Variables: E1_5_1_3_Kcat } * E1_5_1_3 * C00272 * C00006) /(${Variables:E1_5_1_3_Km} + (E1_5_1_3 * C00272 * C00006))</v>
      </c>
    </row>
    <row r="211" spans="1:11" ht="29" x14ac:dyDescent="0.35">
      <c r="A211" s="31" t="s">
        <v>2439</v>
      </c>
      <c r="B211" s="31" t="s">
        <v>2440</v>
      </c>
      <c r="C211" s="31" t="s">
        <v>13990</v>
      </c>
      <c r="D211" s="31">
        <v>210</v>
      </c>
      <c r="E211" s="31" t="str">
        <f t="shared" si="15"/>
        <v>E1_5_1_3</v>
      </c>
      <c r="F211" s="31" t="s">
        <v>9048</v>
      </c>
      <c r="G211" s="31" t="str">
        <f t="shared" si="16"/>
        <v>C00101 * C00006</v>
      </c>
      <c r="H211" s="31" t="s">
        <v>9049</v>
      </c>
      <c r="I211" s="31" t="str">
        <f t="shared" si="17"/>
        <v>C00415 * C00005 * C00080</v>
      </c>
      <c r="J211" s="31" t="str">
        <f t="shared" si="18"/>
        <v>(${Variables: E1_5_1_3_Kcat } * E1_5_1_3 * C00101 * C00006) /(${Variables:E1_5_1_3_Km} + (E1_5_1_3 * C00101 * C00006))</v>
      </c>
      <c r="K211" s="31" t="str">
        <f t="shared" si="19"/>
        <v>r210: C00101 + C00006 -&gt; C00415 + C00005 + C00080 | (${Variables: E1_5_1_3_Kcat } * E1_5_1_3 * C00101 * C00006) /(${Variables:E1_5_1_3_Km} + (E1_5_1_3 * C00101 * C00006))</v>
      </c>
    </row>
    <row r="212" spans="1:11" ht="29" x14ac:dyDescent="0.35">
      <c r="A212" s="31" t="s">
        <v>2439</v>
      </c>
      <c r="B212" s="31" t="s">
        <v>2440</v>
      </c>
      <c r="C212" s="31" t="s">
        <v>13990</v>
      </c>
      <c r="D212" s="31">
        <v>211</v>
      </c>
      <c r="E212" s="31" t="str">
        <f t="shared" si="15"/>
        <v>E1_5_1_3</v>
      </c>
      <c r="F212" s="31" t="s">
        <v>9051</v>
      </c>
      <c r="G212" s="31" t="str">
        <f t="shared" si="16"/>
        <v>C00101 * C00003</v>
      </c>
      <c r="H212" s="31" t="s">
        <v>9052</v>
      </c>
      <c r="I212" s="31" t="str">
        <f t="shared" si="17"/>
        <v> C00415 * C00004 * C00080</v>
      </c>
      <c r="J212" s="31" t="str">
        <f t="shared" si="18"/>
        <v>(${Variables: E1_5_1_3_Kcat } * E1_5_1_3 * C00101 * C00003) /(${Variables:E1_5_1_3_Km} + (E1_5_1_3 * C00101 * C00003))</v>
      </c>
      <c r="K212" s="31" t="str">
        <f t="shared" si="19"/>
        <v>r211: C00101 + C00003 -&gt;  C00415 + C00004 + C00080 | (${Variables: E1_5_1_3_Kcat } * E1_5_1_3 * C00101 * C00003) /(${Variables:E1_5_1_3_Km} + (E1_5_1_3 * C00101 * C00003))</v>
      </c>
    </row>
    <row r="213" spans="1:11" ht="29" x14ac:dyDescent="0.35">
      <c r="A213" s="31" t="s">
        <v>2439</v>
      </c>
      <c r="B213" s="31" t="s">
        <v>2440</v>
      </c>
      <c r="C213" s="31" t="s">
        <v>13990</v>
      </c>
      <c r="D213" s="31">
        <v>212</v>
      </c>
      <c r="E213" s="31" t="str">
        <f t="shared" si="15"/>
        <v>E1_5_1_3</v>
      </c>
      <c r="F213" s="31" t="s">
        <v>14383</v>
      </c>
      <c r="G213" s="31" t="str">
        <f t="shared" si="16"/>
        <v>C00101 *  C00003 </v>
      </c>
      <c r="H213" s="31" t="s">
        <v>14423</v>
      </c>
      <c r="I213" s="31" t="str">
        <f t="shared" si="17"/>
        <v>C00504 * C00004 *  C00080</v>
      </c>
      <c r="J213" s="31" t="str">
        <f t="shared" si="18"/>
        <v>(${Variables: E1_5_1_3_Kcat } * E1_5_1_3 * C00101 *  C00003 ) /(${Variables:E1_5_1_3_Km} + (E1_5_1_3 * C00101 *  C00003 ))</v>
      </c>
      <c r="K213" s="31" t="str">
        <f t="shared" si="19"/>
        <v>r212: C00101 +  C00003  -&gt; C00504 + C00004 +  C00080 | (${Variables: E1_5_1_3_Kcat } * E1_5_1_3 * C00101 *  C00003 ) /(${Variables:E1_5_1_3_Km} + (E1_5_1_3 * C00101 *  C00003 ))</v>
      </c>
    </row>
    <row r="214" spans="1:11" ht="29" x14ac:dyDescent="0.35">
      <c r="A214" s="31" t="s">
        <v>2439</v>
      </c>
      <c r="B214" s="31" t="s">
        <v>2440</v>
      </c>
      <c r="C214" s="31" t="s">
        <v>13990</v>
      </c>
      <c r="D214" s="31">
        <v>213</v>
      </c>
      <c r="E214" s="31" t="str">
        <f t="shared" si="15"/>
        <v>E1_5_1_3</v>
      </c>
      <c r="F214" s="31" t="s">
        <v>13876</v>
      </c>
      <c r="G214" s="31" t="str">
        <f t="shared" si="16"/>
        <v>C00101 * C00006</v>
      </c>
      <c r="H214" s="31" t="s">
        <v>14424</v>
      </c>
      <c r="I214" s="31" t="str">
        <f t="shared" si="17"/>
        <v> C00504 *  C00005 *  C00080</v>
      </c>
      <c r="J214" s="31" t="str">
        <f t="shared" si="18"/>
        <v>(${Variables: E1_5_1_3_Kcat } * E1_5_1_3 * C00101 * C00006) /(${Variables:E1_5_1_3_Km} + (E1_5_1_3 * C00101 * C00006))</v>
      </c>
      <c r="K214" s="31" t="str">
        <f t="shared" si="19"/>
        <v>r213: C00101 + C00006 -&gt;  C00504 +  C00005 +  C00080 | (${Variables: E1_5_1_3_Kcat } * E1_5_1_3 * C00101 * C00006) /(${Variables:E1_5_1_3_Km} + (E1_5_1_3 * C00101 * C00006))</v>
      </c>
    </row>
    <row r="215" spans="1:11" ht="29" x14ac:dyDescent="0.35">
      <c r="A215" s="31" t="s">
        <v>2439</v>
      </c>
      <c r="B215" s="31" t="s">
        <v>2440</v>
      </c>
      <c r="C215" s="31" t="s">
        <v>13990</v>
      </c>
      <c r="D215" s="31">
        <v>214</v>
      </c>
      <c r="E215" s="31" t="str">
        <f t="shared" si="15"/>
        <v>E1_5_1_3</v>
      </c>
      <c r="F215" s="31" t="s">
        <v>9058</v>
      </c>
      <c r="G215" s="31" t="str">
        <f t="shared" si="16"/>
        <v>C00415 * C00003 </v>
      </c>
      <c r="H215" s="31" t="s">
        <v>9059</v>
      </c>
      <c r="I215" s="31" t="str">
        <f t="shared" si="17"/>
        <v>C00504 * C00004 * C00080</v>
      </c>
      <c r="J215" s="31" t="str">
        <f t="shared" si="18"/>
        <v>(${Variables: E1_5_1_3_Kcat } * E1_5_1_3 * C00415 * C00003 ) /(${Variables:E1_5_1_3_Km} + (E1_5_1_3 * C00415 * C00003 ))</v>
      </c>
      <c r="K215" s="31" t="str">
        <f t="shared" si="19"/>
        <v>r214: C00415 + C00003  -&gt; C00504 + C00004 + C00080 | (${Variables: E1_5_1_3_Kcat } * E1_5_1_3 * C00415 * C00003 ) /(${Variables:E1_5_1_3_Km} + (E1_5_1_3 * C00415 * C00003 ))</v>
      </c>
    </row>
    <row r="216" spans="1:11" ht="29" x14ac:dyDescent="0.35">
      <c r="A216" s="31" t="s">
        <v>2439</v>
      </c>
      <c r="B216" s="31" t="s">
        <v>2440</v>
      </c>
      <c r="C216" s="31" t="s">
        <v>13990</v>
      </c>
      <c r="D216" s="31">
        <v>215</v>
      </c>
      <c r="E216" s="31" t="str">
        <f t="shared" si="15"/>
        <v>E1_5_1_3</v>
      </c>
      <c r="F216" s="31" t="s">
        <v>9061</v>
      </c>
      <c r="G216" s="31" t="str">
        <f t="shared" si="16"/>
        <v>C00415 * C00006 </v>
      </c>
      <c r="H216" s="31" t="s">
        <v>9062</v>
      </c>
      <c r="I216" s="31" t="str">
        <f t="shared" si="17"/>
        <v>C00504 * C00005 * C00080</v>
      </c>
      <c r="J216" s="31" t="str">
        <f t="shared" si="18"/>
        <v>(${Variables: E1_5_1_3_Kcat } * E1_5_1_3 * C00415 * C00006 ) /(${Variables:E1_5_1_3_Km} + (E1_5_1_3 * C00415 * C00006 ))</v>
      </c>
      <c r="K216" s="31" t="str">
        <f t="shared" si="19"/>
        <v>r215: C00415 + C00006  -&gt; C00504 + C00005 + C00080 | (${Variables: E1_5_1_3_Kcat } * E1_5_1_3 * C00415 * C00006 ) /(${Variables:E1_5_1_3_Km} + (E1_5_1_3 * C00415 * C00006 ))</v>
      </c>
    </row>
    <row r="217" spans="1:11" ht="29" x14ac:dyDescent="0.35">
      <c r="A217" s="31" t="s">
        <v>2439</v>
      </c>
      <c r="B217" s="31" t="s">
        <v>2440</v>
      </c>
      <c r="C217" s="31" t="s">
        <v>13990</v>
      </c>
      <c r="D217" s="31">
        <v>216</v>
      </c>
      <c r="E217" s="31" t="str">
        <f t="shared" si="15"/>
        <v>E1_5_1_3</v>
      </c>
      <c r="F217" s="31" t="s">
        <v>9064</v>
      </c>
      <c r="G217" s="31" t="str">
        <f t="shared" si="16"/>
        <v>C00272 * C00006</v>
      </c>
      <c r="H217" s="31" t="s">
        <v>9065</v>
      </c>
      <c r="I217" s="31" t="str">
        <f t="shared" si="17"/>
        <v>C02953 * C00005 * C00080</v>
      </c>
      <c r="J217" s="31" t="str">
        <f t="shared" si="18"/>
        <v>(${Variables: E1_5_1_3_Kcat } * E1_5_1_3 * C00272 * C00006) /(${Variables:E1_5_1_3_Km} + (E1_5_1_3 * C00272 * C00006))</v>
      </c>
      <c r="K217" s="31" t="str">
        <f t="shared" si="19"/>
        <v>r216: C00272 + C00006 -&gt; C02953 + C00005 + C00080 | (${Variables: E1_5_1_3_Kcat } * E1_5_1_3 * C00272 * C00006) /(${Variables:E1_5_1_3_Km} + (E1_5_1_3 * C00272 * C00006))</v>
      </c>
    </row>
    <row r="218" spans="1:11" ht="29" x14ac:dyDescent="0.35">
      <c r="A218" s="31" t="s">
        <v>3869</v>
      </c>
      <c r="B218" s="31" t="s">
        <v>3870</v>
      </c>
      <c r="C218" s="31" t="s">
        <v>13991</v>
      </c>
      <c r="D218" s="31">
        <v>217</v>
      </c>
      <c r="E218" s="31" t="str">
        <f t="shared" si="15"/>
        <v>E1_6_5_2</v>
      </c>
      <c r="F218" s="31" t="s">
        <v>9068</v>
      </c>
      <c r="G218" s="31" t="str">
        <f t="shared" si="16"/>
        <v>C00004 * C00080 * C15602 </v>
      </c>
      <c r="H218" s="31" t="s">
        <v>9069</v>
      </c>
      <c r="I218" s="31" t="str">
        <f t="shared" si="17"/>
        <v> C00003 * C15603</v>
      </c>
      <c r="J218" s="31" t="str">
        <f t="shared" si="18"/>
        <v>(${Variables: E1_6_5_2_Kcat } * E1_6_5_2 * C00004 * C00080 * C15602 ) /(${Variables:E1_6_5_2_Km} + (E1_6_5_2 * C00004 * C00080 * C15602 ))</v>
      </c>
      <c r="K218" s="31" t="str">
        <f t="shared" si="19"/>
        <v>r217: C00004 + C00080 + C15602  -&gt;  C00003 + C15603 | (${Variables: E1_6_5_2_Kcat } * E1_6_5_2 * C00004 * C00080 * C15602 ) /(${Variables:E1_6_5_2_Km} + (E1_6_5_2 * C00004 * C00080 * C15602 ))</v>
      </c>
    </row>
    <row r="219" spans="1:11" ht="29" x14ac:dyDescent="0.35">
      <c r="A219" s="31" t="s">
        <v>3869</v>
      </c>
      <c r="B219" s="31" t="s">
        <v>3870</v>
      </c>
      <c r="C219" s="31" t="s">
        <v>13991</v>
      </c>
      <c r="D219" s="31">
        <v>218</v>
      </c>
      <c r="E219" s="31" t="str">
        <f t="shared" si="15"/>
        <v>E1_6_5_2</v>
      </c>
      <c r="F219" s="31" t="s">
        <v>9074</v>
      </c>
      <c r="G219" s="31" t="str">
        <f t="shared" si="16"/>
        <v>C00828 * C00080 * C00004 </v>
      </c>
      <c r="H219" s="31" t="s">
        <v>9075</v>
      </c>
      <c r="I219" s="31" t="str">
        <f t="shared" si="17"/>
        <v> C05819 * C00003</v>
      </c>
      <c r="J219" s="31" t="str">
        <f t="shared" si="18"/>
        <v>(${Variables: E1_6_5_2_Kcat } * E1_6_5_2 * C00828 * C00080 * C00004 ) /(${Variables:E1_6_5_2_Km} + (E1_6_5_2 * C00828 * C00080 * C00004 ))</v>
      </c>
      <c r="K219" s="31" t="str">
        <f t="shared" si="19"/>
        <v>r218: C00828 + C00080 + C00004  -&gt;  C05819 + C00003 | (${Variables: E1_6_5_2_Kcat } * E1_6_5_2 * C00828 * C00080 * C00004 ) /(${Variables:E1_6_5_2_Km} + (E1_6_5_2 * C00828 * C00080 * C00004 ))</v>
      </c>
    </row>
    <row r="220" spans="1:11" ht="29" x14ac:dyDescent="0.35">
      <c r="A220" s="31" t="s">
        <v>3869</v>
      </c>
      <c r="B220" s="31" t="s">
        <v>3870</v>
      </c>
      <c r="C220" s="31" t="s">
        <v>13991</v>
      </c>
      <c r="D220" s="31">
        <v>219</v>
      </c>
      <c r="E220" s="31" t="str">
        <f t="shared" si="15"/>
        <v>E1_6_5_2</v>
      </c>
      <c r="F220" s="31" t="s">
        <v>9076</v>
      </c>
      <c r="G220" s="31" t="str">
        <f t="shared" si="16"/>
        <v>C01628 * C00004 * C00080 </v>
      </c>
      <c r="H220" s="31" t="s">
        <v>9077</v>
      </c>
      <c r="I220" s="31" t="str">
        <f t="shared" si="17"/>
        <v>C05850 * C00003</v>
      </c>
      <c r="J220" s="31" t="str">
        <f t="shared" si="18"/>
        <v>(${Variables: E1_6_5_2_Kcat } * E1_6_5_2 * C01628 * C00004 * C00080 ) /(${Variables:E1_6_5_2_Km} + (E1_6_5_2 * C01628 * C00004 * C00080 ))</v>
      </c>
      <c r="K220" s="31" t="str">
        <f t="shared" si="19"/>
        <v>r219: C01628 + C00004 + C00080  -&gt; C05850 + C00003 | (${Variables: E1_6_5_2_Kcat } * E1_6_5_2 * C01628 * C00004 * C00080 ) /(${Variables:E1_6_5_2_Km} + (E1_6_5_2 * C01628 * C00004 * C00080 ))</v>
      </c>
    </row>
    <row r="221" spans="1:11" ht="29" x14ac:dyDescent="0.35">
      <c r="A221" s="31" t="s">
        <v>3869</v>
      </c>
      <c r="B221" s="31" t="s">
        <v>3870</v>
      </c>
      <c r="C221" s="31" t="s">
        <v>13991</v>
      </c>
      <c r="D221" s="31">
        <v>220</v>
      </c>
      <c r="E221" s="31" t="str">
        <f t="shared" si="15"/>
        <v>E1_6_5_2</v>
      </c>
      <c r="F221" s="31" t="s">
        <v>9078</v>
      </c>
      <c r="G221" s="31" t="str">
        <f t="shared" si="16"/>
        <v>C02059 * C00004 * C00080 </v>
      </c>
      <c r="H221" s="31" t="s">
        <v>9079</v>
      </c>
      <c r="I221" s="31" t="str">
        <f t="shared" si="17"/>
        <v>C03313 * C00003</v>
      </c>
      <c r="J221" s="31" t="str">
        <f t="shared" si="18"/>
        <v>(${Variables: E1_6_5_2_Kcat } * E1_6_5_2 * C02059 * C00004 * C00080 ) /(${Variables:E1_6_5_2_Km} + (E1_6_5_2 * C02059 * C00004 * C00080 ))</v>
      </c>
      <c r="K221" s="31" t="str">
        <f t="shared" si="19"/>
        <v>r220: C02059 + C00004 + C00080  -&gt; C03313 + C00003 | (${Variables: E1_6_5_2_Kcat } * E1_6_5_2 * C02059 * C00004 * C00080 ) /(${Variables:E1_6_5_2_Km} + (E1_6_5_2 * C02059 * C00004 * C00080 ))</v>
      </c>
    </row>
    <row r="222" spans="1:11" ht="29" x14ac:dyDescent="0.35">
      <c r="A222" s="31" t="s">
        <v>3869</v>
      </c>
      <c r="B222" s="31" t="s">
        <v>3870</v>
      </c>
      <c r="C222" s="31" t="s">
        <v>13991</v>
      </c>
      <c r="D222" s="31">
        <v>221</v>
      </c>
      <c r="E222" s="31" t="str">
        <f t="shared" si="15"/>
        <v>E1_6_5_2</v>
      </c>
      <c r="F222" s="31" t="s">
        <v>9080</v>
      </c>
      <c r="G222" s="31" t="str">
        <f t="shared" si="16"/>
        <v>C00005 * C00080 * C15602 </v>
      </c>
      <c r="H222" s="31" t="s">
        <v>9081</v>
      </c>
      <c r="I222" s="31" t="str">
        <f t="shared" si="17"/>
        <v> C00006 * C15603</v>
      </c>
      <c r="J222" s="31" t="str">
        <f t="shared" si="18"/>
        <v>(${Variables: E1_6_5_2_Kcat } * E1_6_5_2 * C00005 * C00080 * C15602 ) /(${Variables:E1_6_5_2_Km} + (E1_6_5_2 * C00005 * C00080 * C15602 ))</v>
      </c>
      <c r="K222" s="31" t="str">
        <f t="shared" si="19"/>
        <v>r221: C00005 + C00080 + C15602  -&gt;  C00006 + C15603 | (${Variables: E1_6_5_2_Kcat } * E1_6_5_2 * C00005 * C00080 * C15602 ) /(${Variables:E1_6_5_2_Km} + (E1_6_5_2 * C00005 * C00080 * C15602 ))</v>
      </c>
    </row>
    <row r="223" spans="1:11" ht="29" x14ac:dyDescent="0.35">
      <c r="A223" s="31" t="s">
        <v>618</v>
      </c>
      <c r="B223" s="31" t="s">
        <v>619</v>
      </c>
      <c r="C223" s="31" t="s">
        <v>13992</v>
      </c>
      <c r="D223" s="31">
        <v>222</v>
      </c>
      <c r="E223" s="31" t="str">
        <f t="shared" si="15"/>
        <v>E1_6_5_5</v>
      </c>
      <c r="F223" s="31" t="s">
        <v>13877</v>
      </c>
      <c r="G223" s="31" t="str">
        <f t="shared" si="16"/>
        <v>C15602 * C00005 * C00080 </v>
      </c>
      <c r="H223" s="31" t="s">
        <v>14425</v>
      </c>
      <c r="I223" s="31" t="str">
        <f t="shared" si="17"/>
        <v>  C05309 * C00006</v>
      </c>
      <c r="J223" s="31" t="str">
        <f t="shared" si="18"/>
        <v>(${Variables: E1_6_5_5_Kcat } * E1_6_5_5 * C15602 * C00005 * C00080 ) /(${Variables:E1_6_5_5_Km} + (E1_6_5_5 * C15602 * C00005 * C00080 ))</v>
      </c>
      <c r="K223" s="32" t="str">
        <f t="shared" si="19"/>
        <v>r222: C15602 + C00005 + C00080  -&gt;   C05309 + C00006 | (${Variables: E1_6_5_5_Kcat } * E1_6_5_5 * C15602 * C00005 * C00080 ) /(${Variables:E1_6_5_5_Km} + (E1_6_5_5 * C15602 * C00005 * C00080 ))</v>
      </c>
    </row>
    <row r="224" spans="1:11" ht="29" x14ac:dyDescent="0.35">
      <c r="A224" s="31" t="s">
        <v>5525</v>
      </c>
      <c r="B224" s="31" t="s">
        <v>5526</v>
      </c>
      <c r="C224" s="31" t="s">
        <v>13993</v>
      </c>
      <c r="D224" s="31">
        <v>223</v>
      </c>
      <c r="E224" s="31" t="str">
        <f t="shared" si="15"/>
        <v>E1_8_1_15</v>
      </c>
      <c r="F224" s="31" t="s">
        <v>13878</v>
      </c>
      <c r="G224" s="31" t="str">
        <f t="shared" si="16"/>
        <v>C06717 * C00003</v>
      </c>
      <c r="H224" s="31" t="s">
        <v>9089</v>
      </c>
      <c r="I224" s="31" t="str">
        <f t="shared" si="17"/>
        <v>C11502 * C00004 * C00080</v>
      </c>
      <c r="J224" s="31" t="str">
        <f t="shared" si="18"/>
        <v>(${Variables: E1_8_1_15_Kcat } * E1_8_1_15 * C06717 * C00003) /(${Variables:E1_8_1_15_Km} + (E1_8_1_15 * C06717 * C00003))</v>
      </c>
      <c r="K224" s="31" t="str">
        <f t="shared" si="19"/>
        <v>r223: C06717 + C00003 -&gt; C11502 + C00004 + C00080 | (${Variables: E1_8_1_15_Kcat } * E1_8_1_15 * C06717 * C00003) /(${Variables:E1_8_1_15_Km} + (E1_8_1_15 * C06717 * C00003))</v>
      </c>
    </row>
    <row r="225" spans="1:11" ht="29" x14ac:dyDescent="0.35">
      <c r="A225" s="31" t="s">
        <v>5525</v>
      </c>
      <c r="B225" s="31" t="s">
        <v>5526</v>
      </c>
      <c r="C225" s="31" t="s">
        <v>13993</v>
      </c>
      <c r="D225" s="31">
        <v>224</v>
      </c>
      <c r="E225" s="31" t="str">
        <f t="shared" si="15"/>
        <v>E1_8_1_15</v>
      </c>
      <c r="F225" s="31" t="s">
        <v>14385</v>
      </c>
      <c r="G225" s="31" t="str">
        <f t="shared" si="16"/>
        <v> C06717 * C00006</v>
      </c>
      <c r="H225" s="31" t="s">
        <v>9088</v>
      </c>
      <c r="I225" s="31" t="str">
        <f t="shared" si="17"/>
        <v>C11502 * C00005 * C00080</v>
      </c>
      <c r="J225" s="31" t="str">
        <f t="shared" si="18"/>
        <v>(${Variables: E1_8_1_15_Kcat } * E1_8_1_15 *  C06717 * C00006) /(${Variables:E1_8_1_15_Km} + (E1_8_1_15 *  C06717 * C00006))</v>
      </c>
      <c r="K225" s="31" t="str">
        <f t="shared" si="19"/>
        <v>r224:  C06717 + C00006 -&gt; C11502 + C00005 + C00080 | (${Variables: E1_8_1_15_Kcat } * E1_8_1_15 *  C06717 * C00006) /(${Variables:E1_8_1_15_Km} + (E1_8_1_15 *  C06717 * C00006))</v>
      </c>
    </row>
    <row r="226" spans="1:11" ht="29" x14ac:dyDescent="0.35">
      <c r="A226" s="31" t="s">
        <v>1088</v>
      </c>
      <c r="B226" s="31" t="s">
        <v>1089</v>
      </c>
      <c r="C226" s="31" t="s">
        <v>13994</v>
      </c>
      <c r="D226" s="31">
        <v>225</v>
      </c>
      <c r="E226" s="31" t="str">
        <f t="shared" si="15"/>
        <v>E1_8_1_4</v>
      </c>
      <c r="F226" s="31" t="s">
        <v>9092</v>
      </c>
      <c r="G226" s="31" t="str">
        <f t="shared" si="16"/>
        <v>C16832 * C00003 </v>
      </c>
      <c r="H226" s="31" t="s">
        <v>9093</v>
      </c>
      <c r="I226" s="31" t="str">
        <f t="shared" si="17"/>
        <v>C16237 * C00004 * C00080</v>
      </c>
      <c r="J226" s="31" t="str">
        <f t="shared" si="18"/>
        <v>(${Variables: E1_8_1_4_Kcat } * E1_8_1_4 * C16832 * C00003 ) /(${Variables:E1_8_1_4_Km} + (E1_8_1_4 * C16832 * C00003 ))</v>
      </c>
      <c r="K226" s="32" t="str">
        <f t="shared" si="19"/>
        <v>r225: C16832 + C00003  -&gt; C16237 + C00004 + C00080 | (${Variables: E1_8_1_4_Kcat } * E1_8_1_4 * C16832 * C00003 ) /(${Variables:E1_8_1_4_Km} + (E1_8_1_4 * C16832 * C00003 ))</v>
      </c>
    </row>
    <row r="227" spans="1:11" ht="29" x14ac:dyDescent="0.35">
      <c r="A227" s="31" t="s">
        <v>1088</v>
      </c>
      <c r="B227" s="31" t="s">
        <v>1089</v>
      </c>
      <c r="C227" s="31" t="s">
        <v>13994</v>
      </c>
      <c r="D227" s="31">
        <v>226</v>
      </c>
      <c r="E227" s="31" t="str">
        <f t="shared" si="15"/>
        <v>E1_8_1_4</v>
      </c>
      <c r="F227" s="31" t="s">
        <v>9095</v>
      </c>
      <c r="G227" s="31" t="str">
        <f t="shared" si="16"/>
        <v>C02972 * C00003 </v>
      </c>
      <c r="H227" s="31" t="s">
        <v>9096</v>
      </c>
      <c r="I227" s="31" t="str">
        <f t="shared" si="17"/>
        <v> C02051 * C00004 * C00080</v>
      </c>
      <c r="J227" s="31" t="str">
        <f t="shared" si="18"/>
        <v>(${Variables: E1_8_1_4_Kcat } * E1_8_1_4 * C02972 * C00003 ) /(${Variables:E1_8_1_4_Km} + (E1_8_1_4 * C02972 * C00003 ))</v>
      </c>
      <c r="K227" s="32" t="str">
        <f t="shared" si="19"/>
        <v>r226: C02972 + C00003  -&gt;  C02051 + C00004 + C00080 | (${Variables: E1_8_1_4_Kcat } * E1_8_1_4 * C02972 * C00003 ) /(${Variables:E1_8_1_4_Km} + (E1_8_1_4 * C02972 * C00003 ))</v>
      </c>
    </row>
    <row r="228" spans="1:11" ht="29" x14ac:dyDescent="0.35">
      <c r="A228" s="31" t="s">
        <v>1088</v>
      </c>
      <c r="B228" s="31" t="s">
        <v>1089</v>
      </c>
      <c r="C228" s="31" t="s">
        <v>13994</v>
      </c>
      <c r="D228" s="31">
        <v>227</v>
      </c>
      <c r="E228" s="31" t="str">
        <f t="shared" si="15"/>
        <v>E1_8_1_4</v>
      </c>
      <c r="F228" s="31" t="s">
        <v>9098</v>
      </c>
      <c r="G228" s="31" t="str">
        <f t="shared" si="16"/>
        <v>C15973 * C00003</v>
      </c>
      <c r="H228" s="31" t="s">
        <v>9099</v>
      </c>
      <c r="I228" s="31" t="str">
        <f t="shared" si="17"/>
        <v>C15972 * C00004 * C00080</v>
      </c>
      <c r="J228" s="31" t="str">
        <f t="shared" si="18"/>
        <v>(${Variables: E1_8_1_4_Kcat } * E1_8_1_4 * C15973 * C00003) /(${Variables:E1_8_1_4_Km} + (E1_8_1_4 * C15973 * C00003))</v>
      </c>
      <c r="K228" s="32" t="str">
        <f t="shared" si="19"/>
        <v>r227: C15973 + C00003 -&gt; C15972 + C00004 + C00080 | (${Variables: E1_8_1_4_Kcat } * E1_8_1_4 * C15973 * C00003) /(${Variables:E1_8_1_4_Km} + (E1_8_1_4 * C15973 * C00003))</v>
      </c>
    </row>
    <row r="229" spans="1:11" ht="29" x14ac:dyDescent="0.35">
      <c r="A229" s="31" t="s">
        <v>1088</v>
      </c>
      <c r="B229" s="31" t="s">
        <v>1089</v>
      </c>
      <c r="C229" s="31" t="s">
        <v>13994</v>
      </c>
      <c r="D229" s="31">
        <v>228</v>
      </c>
      <c r="E229" s="31" t="str">
        <f t="shared" si="15"/>
        <v>E1_8_1_4</v>
      </c>
      <c r="F229" s="31" t="s">
        <v>9101</v>
      </c>
      <c r="G229" s="31" t="str">
        <f t="shared" si="16"/>
        <v>C00579 * C00003</v>
      </c>
      <c r="H229" s="31" t="s">
        <v>9102</v>
      </c>
      <c r="I229" s="31" t="str">
        <f t="shared" si="17"/>
        <v>C00248 * C00004 * C00080</v>
      </c>
      <c r="J229" s="31" t="str">
        <f t="shared" si="18"/>
        <v>(${Variables: E1_8_1_4_Kcat } * E1_8_1_4 * C00579 * C00003) /(${Variables:E1_8_1_4_Km} + (E1_8_1_4 * C00579 * C00003))</v>
      </c>
      <c r="K229" s="32" t="str">
        <f t="shared" si="19"/>
        <v>r228: C00579 + C00003 -&gt; C00248 + C00004 + C00080 | (${Variables: E1_8_1_4_Kcat } * E1_8_1_4 * C00579 * C00003) /(${Variables:E1_8_1_4_Km} + (E1_8_1_4 * C00579 * C00003))</v>
      </c>
    </row>
    <row r="230" spans="1:11" ht="29" x14ac:dyDescent="0.35">
      <c r="A230" s="31" t="s">
        <v>8383</v>
      </c>
      <c r="B230" s="31" t="s">
        <v>8384</v>
      </c>
      <c r="C230" s="31" t="s">
        <v>13995</v>
      </c>
      <c r="D230" s="31">
        <v>229</v>
      </c>
      <c r="E230" s="31" t="str">
        <f t="shared" si="15"/>
        <v>E1_8_1_9</v>
      </c>
      <c r="F230" s="31" t="s">
        <v>9105</v>
      </c>
      <c r="G230" s="31" t="str">
        <f t="shared" si="16"/>
        <v>C00342 * C00006</v>
      </c>
      <c r="H230" s="31" t="s">
        <v>9106</v>
      </c>
      <c r="I230" s="31" t="str">
        <f t="shared" si="17"/>
        <v> C00343 * C00005 * C00080</v>
      </c>
      <c r="J230" s="31" t="str">
        <f t="shared" si="18"/>
        <v>(${Variables: E1_8_1_9_Kcat } * E1_8_1_9 * C00342 * C00006) /(${Variables:E1_8_1_9_Km} + (E1_8_1_9 * C00342 * C00006))</v>
      </c>
      <c r="K230" s="32" t="str">
        <f t="shared" si="19"/>
        <v>r229: C00342 + C00006 -&gt;  C00343 + C00005 + C00080 | (${Variables: E1_8_1_9_Kcat } * E1_8_1_9 * C00342 * C00006) /(${Variables:E1_8_1_9_Km} + (E1_8_1_9 * C00342 * C00006))</v>
      </c>
    </row>
    <row r="231" spans="1:11" ht="29" x14ac:dyDescent="0.35">
      <c r="A231" s="31" t="s">
        <v>8383</v>
      </c>
      <c r="B231" s="31" t="s">
        <v>8384</v>
      </c>
      <c r="C231" s="31" t="s">
        <v>13995</v>
      </c>
      <c r="D231" s="31">
        <v>230</v>
      </c>
      <c r="E231" s="31" t="str">
        <f t="shared" si="15"/>
        <v>E1_8_1_9</v>
      </c>
      <c r="F231" s="31" t="s">
        <v>9108</v>
      </c>
      <c r="G231" s="31" t="str">
        <f t="shared" si="16"/>
        <v>C00097 * C00051 * C00006 </v>
      </c>
      <c r="H231" s="31" t="s">
        <v>9109</v>
      </c>
      <c r="I231" s="31" t="str">
        <f t="shared" si="17"/>
        <v>C05526 * C00005</v>
      </c>
      <c r="J231" s="31" t="str">
        <f t="shared" si="18"/>
        <v>(${Variables: E1_8_1_9_Kcat } * E1_8_1_9 * C00097 * C00051 * C00006 ) /(${Variables:E1_8_1_9_Km} + (E1_8_1_9 * C00097 * C00051 * C00006 ))</v>
      </c>
      <c r="K231" s="32" t="str">
        <f t="shared" si="19"/>
        <v>r230: C00097 + C00051 + C00006  -&gt; C05526 + C00005 | (${Variables: E1_8_1_9_Kcat } * E1_8_1_9 * C00097 * C00051 * C00006 ) /(${Variables:E1_8_1_9_Km} + (E1_8_1_9 * C00097 * C00051 * C00006 ))</v>
      </c>
    </row>
    <row r="232" spans="1:11" ht="29" x14ac:dyDescent="0.35">
      <c r="A232" s="31" t="s">
        <v>8383</v>
      </c>
      <c r="B232" s="31" t="s">
        <v>8384</v>
      </c>
      <c r="C232" s="31" t="s">
        <v>13995</v>
      </c>
      <c r="D232" s="31">
        <v>231</v>
      </c>
      <c r="E232" s="31" t="str">
        <f t="shared" si="15"/>
        <v>E1_8_1_9</v>
      </c>
      <c r="F232" s="31" t="s">
        <v>13880</v>
      </c>
      <c r="G232" s="31" t="str">
        <f t="shared" si="16"/>
        <v>C01528 *  C00006 * C00001</v>
      </c>
      <c r="H232" s="31" t="s">
        <v>14426</v>
      </c>
      <c r="I232" s="31" t="str">
        <f t="shared" si="17"/>
        <v>C05684 * C00005 *  C00080</v>
      </c>
      <c r="J232" s="31" t="str">
        <f t="shared" si="18"/>
        <v>(${Variables: E1_8_1_9_Kcat } * E1_8_1_9 * C01528 *  C00006 * C00001) /(${Variables:E1_8_1_9_Km} + (E1_8_1_9 * C01528 *  C00006 * C00001))</v>
      </c>
      <c r="K232" s="32" t="str">
        <f t="shared" si="19"/>
        <v>r231: C01528 +  C00006 + C00001 -&gt; C05684 + C00005 +  C00080 | (${Variables: E1_8_1_9_Kcat } * E1_8_1_9 * C01528 *  C00006 * C00001) /(${Variables:E1_8_1_9_Km} + (E1_8_1_9 * C01528 *  C00006 * C00001))</v>
      </c>
    </row>
    <row r="233" spans="1:11" ht="29" x14ac:dyDescent="0.35">
      <c r="A233" s="31" t="s">
        <v>8383</v>
      </c>
      <c r="B233" s="31" t="s">
        <v>8384</v>
      </c>
      <c r="C233" s="31" t="s">
        <v>13995</v>
      </c>
      <c r="D233" s="31">
        <v>232</v>
      </c>
      <c r="E233" s="31" t="str">
        <f t="shared" si="15"/>
        <v>E1_8_1_9</v>
      </c>
      <c r="F233" s="31" t="s">
        <v>14386</v>
      </c>
      <c r="G233" s="31" t="str">
        <f t="shared" si="16"/>
        <v> C00005 * C00080 * C18902</v>
      </c>
      <c r="H233" s="31" t="s">
        <v>14427</v>
      </c>
      <c r="I233" s="31" t="str">
        <f t="shared" si="17"/>
        <v> C00006 *  C00001 * C05703</v>
      </c>
      <c r="J233" s="31" t="str">
        <f t="shared" si="18"/>
        <v>(${Variables: E1_8_1_9_Kcat } * E1_8_1_9 *  C00005 * C00080 * C18902) /(${Variables:E1_8_1_9_Km} + (E1_8_1_9 *  C00005 * C00080 * C18902))</v>
      </c>
      <c r="K233" s="32" t="str">
        <f t="shared" si="19"/>
        <v>r232:  C00005 + C00080 + C18902 -&gt;  C00006 +  C00001 + C05703 | (${Variables: E1_8_1_9_Kcat } * E1_8_1_9 *  C00005 * C00080 * C18902) /(${Variables:E1_8_1_9_Km} + (E1_8_1_9 *  C00005 * C00080 * C18902))</v>
      </c>
    </row>
    <row r="234" spans="1:11" ht="29" x14ac:dyDescent="0.35">
      <c r="A234" s="31" t="s">
        <v>7963</v>
      </c>
      <c r="B234" s="31" t="s">
        <v>7964</v>
      </c>
      <c r="C234" s="31" t="s">
        <v>13996</v>
      </c>
      <c r="D234" s="31">
        <v>233</v>
      </c>
      <c r="E234" s="31" t="str">
        <f t="shared" si="15"/>
        <v>E1_8_4_11</v>
      </c>
      <c r="F234" s="31" t="s">
        <v>9116</v>
      </c>
      <c r="G234" s="31" t="str">
        <f t="shared" si="16"/>
        <v>C03023 * C00343 * C00001</v>
      </c>
      <c r="H234" s="31" t="s">
        <v>9117</v>
      </c>
      <c r="I234" s="31" t="str">
        <f t="shared" si="17"/>
        <v> C03895 * C00342</v>
      </c>
      <c r="J234" s="31" t="str">
        <f t="shared" si="18"/>
        <v>(${Variables: E1_8_4_11_Kcat } * E1_8_4_11 * C03023 * C00343 * C00001) /(${Variables:E1_8_4_11_Km} + (E1_8_4_11 * C03023 * C00343 * C00001))</v>
      </c>
      <c r="K234" s="31" t="str">
        <f t="shared" si="19"/>
        <v>r233: C03023 + C00343 + C00001 -&gt;  C03895 + C00342 | (${Variables: E1_8_4_11_Kcat } * E1_8_4_11 * C03023 * C00343 * C00001) /(${Variables:E1_8_4_11_Km} + (E1_8_4_11 * C03023 * C00343 * C00001))</v>
      </c>
    </row>
    <row r="235" spans="1:11" ht="29" x14ac:dyDescent="0.35">
      <c r="A235" s="31" t="s">
        <v>7963</v>
      </c>
      <c r="B235" s="31" t="s">
        <v>7964</v>
      </c>
      <c r="C235" s="31" t="s">
        <v>13996</v>
      </c>
      <c r="D235" s="31">
        <v>234</v>
      </c>
      <c r="E235" s="31" t="str">
        <f t="shared" si="15"/>
        <v>E1_8_4_11</v>
      </c>
      <c r="F235" s="31" t="s">
        <v>9119</v>
      </c>
      <c r="G235" s="31" t="str">
        <f t="shared" si="16"/>
        <v>C00073 * C00343 * C00001</v>
      </c>
      <c r="H235" s="31" t="s">
        <v>9120</v>
      </c>
      <c r="I235" s="31" t="str">
        <f t="shared" si="17"/>
        <v> C15999 * C00342</v>
      </c>
      <c r="J235" s="31" t="str">
        <f t="shared" si="18"/>
        <v>(${Variables: E1_8_4_11_Kcat } * E1_8_4_11 * C00073 * C00343 * C00001) /(${Variables:E1_8_4_11_Km} + (E1_8_4_11 * C00073 * C00343 * C00001))</v>
      </c>
      <c r="K235" s="31" t="str">
        <f t="shared" si="19"/>
        <v>r234: C00073 + C00343 + C00001 -&gt;  C15999 + C00342 | (${Variables: E1_8_4_11_Kcat } * E1_8_4_11 * C00073 * C00343 * C00001) /(${Variables:E1_8_4_11_Km} + (E1_8_4_11 * C00073 * C00343 * C00001))</v>
      </c>
    </row>
    <row r="236" spans="1:11" ht="29" x14ac:dyDescent="0.35">
      <c r="A236" s="31" t="s">
        <v>5210</v>
      </c>
      <c r="B236" s="31" t="s">
        <v>5211</v>
      </c>
      <c r="C236" s="31" t="s">
        <v>13997</v>
      </c>
      <c r="D236" s="31">
        <v>235</v>
      </c>
      <c r="E236" s="31" t="str">
        <f t="shared" si="15"/>
        <v>E1_8_4_12</v>
      </c>
      <c r="F236" s="31" t="s">
        <v>9116</v>
      </c>
      <c r="G236" s="31" t="str">
        <f t="shared" si="16"/>
        <v>C03023 * C00343 * C00001</v>
      </c>
      <c r="H236" s="31" t="s">
        <v>9123</v>
      </c>
      <c r="I236" s="31" t="str">
        <f t="shared" si="17"/>
        <v>C15653 * C00342</v>
      </c>
      <c r="J236" s="31" t="str">
        <f t="shared" si="18"/>
        <v>(${Variables: E1_8_4_12_Kcat } * E1_8_4_12 * C03023 * C00343 * C00001) /(${Variables:E1_8_4_12_Km} + (E1_8_4_12 * C03023 * C00343 * C00001))</v>
      </c>
      <c r="K236" s="31" t="str">
        <f t="shared" si="19"/>
        <v>r235: C03023 + C00343 + C00001 -&gt; C15653 + C00342 | (${Variables: E1_8_4_12_Kcat } * E1_8_4_12 * C03023 * C00343 * C00001) /(${Variables:E1_8_4_12_Km} + (E1_8_4_12 * C03023 * C00343 * C00001))</v>
      </c>
    </row>
    <row r="237" spans="1:11" ht="29" x14ac:dyDescent="0.35">
      <c r="A237" s="31" t="s">
        <v>7703</v>
      </c>
      <c r="B237" s="31" t="s">
        <v>7704</v>
      </c>
      <c r="C237" s="31" t="s">
        <v>13998</v>
      </c>
      <c r="D237" s="31">
        <v>236</v>
      </c>
      <c r="E237" s="31" t="str">
        <f t="shared" si="15"/>
        <v>E1_8_4_8</v>
      </c>
      <c r="F237" s="31" t="s">
        <v>9126</v>
      </c>
      <c r="G237" s="31" t="str">
        <f t="shared" si="16"/>
        <v>C00342 * C00053</v>
      </c>
      <c r="H237" s="31" t="s">
        <v>9127</v>
      </c>
      <c r="I237" s="31" t="str">
        <f t="shared" si="17"/>
        <v>C00343 * C00094 * C00054</v>
      </c>
      <c r="J237" s="31" t="str">
        <f t="shared" si="18"/>
        <v>(${Variables: E1_8_4_8_Kcat } * E1_8_4_8 * C00342 * C00053) /(${Variables:E1_8_4_8_Km} + (E1_8_4_8 * C00342 * C00053))</v>
      </c>
      <c r="K237" s="31" t="str">
        <f t="shared" si="19"/>
        <v>r236: C00342 + C00053 -&gt; C00343 + C00094 + C00054 | (${Variables: E1_8_4_8_Kcat } * E1_8_4_8 * C00342 * C00053) /(${Variables:E1_8_4_8_Km} + (E1_8_4_8 * C00342 * C00053))</v>
      </c>
    </row>
    <row r="238" spans="1:11" ht="29" x14ac:dyDescent="0.35">
      <c r="A238" s="31" t="s">
        <v>4179</v>
      </c>
      <c r="B238" s="31" t="s">
        <v>4180</v>
      </c>
      <c r="C238" s="31" t="s">
        <v>13999</v>
      </c>
      <c r="D238" s="31">
        <v>237</v>
      </c>
      <c r="E238" s="31" t="str">
        <f t="shared" si="15"/>
        <v>E1_8_7_1</v>
      </c>
      <c r="F238" s="31" t="s">
        <v>14387</v>
      </c>
      <c r="G238" s="31" t="str">
        <f t="shared" si="16"/>
        <v>C00283 * C00139 *  C00001 </v>
      </c>
      <c r="H238" s="31" t="s">
        <v>14428</v>
      </c>
      <c r="I238" s="31" t="str">
        <f t="shared" si="17"/>
        <v> C00094 * C00138 * C00080</v>
      </c>
      <c r="J238" s="31" t="str">
        <f t="shared" si="18"/>
        <v>(${Variables: E1_8_7_1_Kcat } * E1_8_7_1 * C00283 * C00139 *  C00001 ) /(${Variables:E1_8_7_1_Km} + (E1_8_7_1 * C00283 * C00139 *  C00001 ))</v>
      </c>
      <c r="K238" s="32" t="str">
        <f t="shared" si="19"/>
        <v>r237: C00283 + C00139 +  C00001  -&gt;  C00094 + C00138 + C00080 | (${Variables: E1_8_7_1_Kcat } * E1_8_7_1 * C00283 * C00139 *  C00001 ) /(${Variables:E1_8_7_1_Km} + (E1_8_7_1 * C00283 * C00139 *  C00001 ))</v>
      </c>
    </row>
    <row r="239" spans="1:11" ht="29" x14ac:dyDescent="0.35">
      <c r="A239" s="31" t="s">
        <v>4179</v>
      </c>
      <c r="B239" s="31" t="s">
        <v>4180</v>
      </c>
      <c r="C239" s="31" t="s">
        <v>13999</v>
      </c>
      <c r="D239" s="31">
        <v>238</v>
      </c>
      <c r="E239" s="31" t="str">
        <f t="shared" si="15"/>
        <v>E1_8_7_1</v>
      </c>
      <c r="F239" s="31" t="s">
        <v>13883</v>
      </c>
      <c r="G239" s="31" t="str">
        <f t="shared" si="16"/>
        <v>C01528 *  C00139 *  C00001 </v>
      </c>
      <c r="H239" s="31" t="s">
        <v>14429</v>
      </c>
      <c r="I239" s="31" t="str">
        <f t="shared" si="17"/>
        <v>C05684 * C00138 * C00080</v>
      </c>
      <c r="J239" s="31" t="str">
        <f t="shared" si="18"/>
        <v>(${Variables: E1_8_7_1_Kcat } * E1_8_7_1 * C01528 *  C00139 *  C00001 ) /(${Variables:E1_8_7_1_Km} + (E1_8_7_1 * C01528 *  C00139 *  C00001 ))</v>
      </c>
      <c r="K239" s="32" t="str">
        <f t="shared" si="19"/>
        <v>r238: C01528 +  C00139 +  C00001  -&gt; C05684 + C00138 + C00080 | (${Variables: E1_8_7_1_Kcat } * E1_8_7_1 * C01528 *  C00139 *  C00001 ) /(${Variables:E1_8_7_1_Km} + (E1_8_7_1 * C01528 *  C00139 *  C00001 ))</v>
      </c>
    </row>
    <row r="240" spans="1:11" ht="29" x14ac:dyDescent="0.35">
      <c r="A240" s="31" t="s">
        <v>1253</v>
      </c>
      <c r="B240" s="31" t="s">
        <v>1254</v>
      </c>
      <c r="C240" s="31" t="s">
        <v>14000</v>
      </c>
      <c r="D240" s="31">
        <v>239</v>
      </c>
      <c r="E240" s="31" t="str">
        <f t="shared" si="15"/>
        <v>E2_1_1_107</v>
      </c>
      <c r="F240" s="31" t="s">
        <v>9137</v>
      </c>
      <c r="G240" s="31" t="str">
        <f t="shared" si="16"/>
        <v>C00019 * C01051</v>
      </c>
      <c r="H240" s="31" t="s">
        <v>14430</v>
      </c>
      <c r="I240" s="31" t="str">
        <f t="shared" si="17"/>
        <v>C00021 * C02463</v>
      </c>
      <c r="J240" s="31" t="str">
        <f t="shared" si="18"/>
        <v>(${Variables: E2_1_1_107_Kcat } * E2_1_1_107 * C00019 * C01051) /(${Variables:E2_1_1_107_Km} + (E2_1_1_107 * C00019 * C01051))</v>
      </c>
      <c r="K240" s="32" t="str">
        <f t="shared" si="19"/>
        <v>r239: C00019 + C01051 -&gt; C00021 + C02463 | (${Variables: E2_1_1_107_Kcat } * E2_1_1_107 * C00019 * C01051) /(${Variables:E2_1_1_107_Km} + (E2_1_1_107 * C00019 * C01051))</v>
      </c>
    </row>
    <row r="241" spans="1:11" ht="29" x14ac:dyDescent="0.35">
      <c r="A241" s="31" t="s">
        <v>1253</v>
      </c>
      <c r="B241" s="31" t="s">
        <v>1254</v>
      </c>
      <c r="C241" s="31" t="s">
        <v>14000</v>
      </c>
      <c r="D241" s="31">
        <v>240</v>
      </c>
      <c r="E241" s="31" t="str">
        <f t="shared" si="15"/>
        <v>E2_1_1_107</v>
      </c>
      <c r="F241" s="31" t="s">
        <v>9137</v>
      </c>
      <c r="G241" s="31" t="str">
        <f t="shared" si="16"/>
        <v>C00019 * C01051</v>
      </c>
      <c r="H241" s="31" t="s">
        <v>9138</v>
      </c>
      <c r="I241" s="31" t="str">
        <f t="shared" si="17"/>
        <v>C00021 * C15527</v>
      </c>
      <c r="J241" s="31" t="str">
        <f t="shared" si="18"/>
        <v>(${Variables: E2_1_1_107_Kcat } * E2_1_1_107 * C00019 * C01051) /(${Variables:E2_1_1_107_Km} + (E2_1_1_107 * C00019 * C01051))</v>
      </c>
      <c r="K241" s="32" t="str">
        <f t="shared" si="19"/>
        <v>r240: C00019 + C01051 -&gt; C00021 + C15527 | (${Variables: E2_1_1_107_Kcat } * E2_1_1_107 * C00019 * C01051) /(${Variables:E2_1_1_107_Km} + (E2_1_1_107 * C00019 * C01051))</v>
      </c>
    </row>
    <row r="242" spans="1:11" ht="29" x14ac:dyDescent="0.35">
      <c r="A242" s="31" t="s">
        <v>1253</v>
      </c>
      <c r="B242" s="31" t="s">
        <v>1254</v>
      </c>
      <c r="C242" s="31" t="s">
        <v>14000</v>
      </c>
      <c r="D242" s="31">
        <v>241</v>
      </c>
      <c r="E242" s="31" t="str">
        <f t="shared" si="15"/>
        <v>E2_1_1_107</v>
      </c>
      <c r="F242" s="31" t="s">
        <v>9140</v>
      </c>
      <c r="G242" s="31" t="str">
        <f t="shared" si="16"/>
        <v>C00019 * C15527</v>
      </c>
      <c r="H242" s="31" t="s">
        <v>9141</v>
      </c>
      <c r="I242" s="31" t="str">
        <f t="shared" si="17"/>
        <v> C00021 * C02463</v>
      </c>
      <c r="J242" s="31" t="str">
        <f t="shared" si="18"/>
        <v>(${Variables: E2_1_1_107_Kcat } * E2_1_1_107 * C00019 * C15527) /(${Variables:E2_1_1_107_Km} + (E2_1_1_107 * C00019 * C15527))</v>
      </c>
      <c r="K242" s="32" t="str">
        <f t="shared" si="19"/>
        <v>r241: C00019 + C15527 -&gt;  C00021 + C02463 | (${Variables: E2_1_1_107_Kcat } * E2_1_1_107 * C00019 * C15527) /(${Variables:E2_1_1_107_Km} + (E2_1_1_107 * C00019 * C15527))</v>
      </c>
    </row>
    <row r="243" spans="1:11" ht="29" x14ac:dyDescent="0.35">
      <c r="A243" s="31" t="s">
        <v>1253</v>
      </c>
      <c r="B243" s="31" t="s">
        <v>1254</v>
      </c>
      <c r="C243" s="31" t="s">
        <v>14000</v>
      </c>
      <c r="D243" s="31">
        <v>242</v>
      </c>
      <c r="E243" s="31" t="str">
        <f t="shared" si="15"/>
        <v>E2_1_1_107</v>
      </c>
      <c r="F243" s="31" t="s">
        <v>13886</v>
      </c>
      <c r="G243" s="31" t="str">
        <f t="shared" si="16"/>
        <v>C00019 * C02469</v>
      </c>
      <c r="H243" s="31" t="s">
        <v>14431</v>
      </c>
      <c r="I243" s="31" t="str">
        <f t="shared" si="17"/>
        <v> C00021 * C05778</v>
      </c>
      <c r="J243" s="31" t="str">
        <f t="shared" si="18"/>
        <v>(${Variables: E2_1_1_107_Kcat } * E2_1_1_107 * C00019 * C02469) /(${Variables:E2_1_1_107_Km} + (E2_1_1_107 * C00019 * C02469))</v>
      </c>
      <c r="K243" s="32" t="str">
        <f t="shared" si="19"/>
        <v>r242: C00019 + C02469 -&gt;  C00021 + C05778 | (${Variables: E2_1_1_107_Kcat } * E2_1_1_107 * C00019 * C02469) /(${Variables:E2_1_1_107_Km} + (E2_1_1_107 * C00019 * C02469))</v>
      </c>
    </row>
    <row r="244" spans="1:11" ht="29" x14ac:dyDescent="0.35">
      <c r="A244" s="31" t="s">
        <v>5510</v>
      </c>
      <c r="B244" s="31" t="s">
        <v>5511</v>
      </c>
      <c r="C244" s="31" t="s">
        <v>14000</v>
      </c>
      <c r="D244" s="31">
        <v>243</v>
      </c>
      <c r="E244" s="31" t="str">
        <f t="shared" si="15"/>
        <v>E2_1_1_107</v>
      </c>
      <c r="F244" s="31" t="s">
        <v>9137</v>
      </c>
      <c r="G244" s="31" t="str">
        <f t="shared" si="16"/>
        <v>C00019 * C01051</v>
      </c>
      <c r="H244" s="31" t="s">
        <v>14430</v>
      </c>
      <c r="I244" s="31" t="str">
        <f t="shared" si="17"/>
        <v>C00021 * C02463</v>
      </c>
      <c r="J244" s="31" t="str">
        <f t="shared" si="18"/>
        <v>(${Variables: E2_1_1_107_Kcat } * E2_1_1_107 * C00019 * C01051) /(${Variables:E2_1_1_107_Km} + (E2_1_1_107 * C00019 * C01051))</v>
      </c>
      <c r="K244" s="32" t="str">
        <f t="shared" si="19"/>
        <v>r243: C00019 + C01051 -&gt; C00021 + C02463 | (${Variables: E2_1_1_107_Kcat } * E2_1_1_107 * C00019 * C01051) /(${Variables:E2_1_1_107_Km} + (E2_1_1_107 * C00019 * C01051))</v>
      </c>
    </row>
    <row r="245" spans="1:11" ht="29" x14ac:dyDescent="0.35">
      <c r="A245" s="31" t="s">
        <v>5510</v>
      </c>
      <c r="B245" s="31" t="s">
        <v>5511</v>
      </c>
      <c r="C245" s="31" t="s">
        <v>14000</v>
      </c>
      <c r="D245" s="31">
        <v>244</v>
      </c>
      <c r="E245" s="31" t="str">
        <f t="shared" si="15"/>
        <v>E2_1_1_107</v>
      </c>
      <c r="F245" s="31" t="s">
        <v>9137</v>
      </c>
      <c r="G245" s="31" t="str">
        <f t="shared" si="16"/>
        <v>C00019 * C01051</v>
      </c>
      <c r="H245" s="31" t="s">
        <v>9138</v>
      </c>
      <c r="I245" s="31" t="str">
        <f t="shared" si="17"/>
        <v>C00021 * C15527</v>
      </c>
      <c r="J245" s="31" t="str">
        <f t="shared" si="18"/>
        <v>(${Variables: E2_1_1_107_Kcat } * E2_1_1_107 * C00019 * C01051) /(${Variables:E2_1_1_107_Km} + (E2_1_1_107 * C00019 * C01051))</v>
      </c>
      <c r="K245" s="32" t="str">
        <f t="shared" si="19"/>
        <v>r244: C00019 + C01051 -&gt; C00021 + C15527 | (${Variables: E2_1_1_107_Kcat } * E2_1_1_107 * C00019 * C01051) /(${Variables:E2_1_1_107_Km} + (E2_1_1_107 * C00019 * C01051))</v>
      </c>
    </row>
    <row r="246" spans="1:11" ht="29" x14ac:dyDescent="0.35">
      <c r="A246" s="31" t="s">
        <v>5510</v>
      </c>
      <c r="B246" s="31" t="s">
        <v>5511</v>
      </c>
      <c r="C246" s="31" t="s">
        <v>14000</v>
      </c>
      <c r="D246" s="31">
        <v>245</v>
      </c>
      <c r="E246" s="31" t="str">
        <f t="shared" si="15"/>
        <v>E2_1_1_107</v>
      </c>
      <c r="F246" s="31" t="s">
        <v>9140</v>
      </c>
      <c r="G246" s="31" t="str">
        <f t="shared" si="16"/>
        <v>C00019 * C15527</v>
      </c>
      <c r="H246" s="31" t="s">
        <v>9141</v>
      </c>
      <c r="I246" s="31" t="str">
        <f t="shared" si="17"/>
        <v> C00021 * C02463</v>
      </c>
      <c r="J246" s="31" t="str">
        <f t="shared" si="18"/>
        <v>(${Variables: E2_1_1_107_Kcat } * E2_1_1_107 * C00019 * C15527) /(${Variables:E2_1_1_107_Km} + (E2_1_1_107 * C00019 * C15527))</v>
      </c>
      <c r="K246" s="32" t="str">
        <f t="shared" si="19"/>
        <v>r245: C00019 + C15527 -&gt;  C00021 + C02463 | (${Variables: E2_1_1_107_Kcat } * E2_1_1_107 * C00019 * C15527) /(${Variables:E2_1_1_107_Km} + (E2_1_1_107 * C00019 * C15527))</v>
      </c>
    </row>
    <row r="247" spans="1:11" ht="29" x14ac:dyDescent="0.35">
      <c r="A247" s="31" t="s">
        <v>5510</v>
      </c>
      <c r="B247" s="31" t="s">
        <v>5511</v>
      </c>
      <c r="C247" s="31" t="s">
        <v>14000</v>
      </c>
      <c r="D247" s="31">
        <v>246</v>
      </c>
      <c r="E247" s="31" t="str">
        <f t="shared" si="15"/>
        <v>E2_1_1_107</v>
      </c>
      <c r="F247" s="31" t="s">
        <v>13887</v>
      </c>
      <c r="G247" s="31" t="str">
        <f t="shared" si="16"/>
        <v> C00019 * C02469</v>
      </c>
      <c r="H247" s="31" t="s">
        <v>14431</v>
      </c>
      <c r="I247" s="31" t="str">
        <f t="shared" si="17"/>
        <v> C00021 * C05778</v>
      </c>
      <c r="J247" s="31" t="str">
        <f t="shared" si="18"/>
        <v>(${Variables: E2_1_1_107_Kcat } * E2_1_1_107 *  C00019 * C02469) /(${Variables:E2_1_1_107_Km} + (E2_1_1_107 *  C00019 * C02469))</v>
      </c>
      <c r="K247" s="32" t="str">
        <f t="shared" si="19"/>
        <v>r246:  C00019 + C02469 -&gt;  C00021 + C05778 | (${Variables: E2_1_1_107_Kcat } * E2_1_1_107 *  C00019 * C02469) /(${Variables:E2_1_1_107_Km} + (E2_1_1_107 *  C00019 * C02469))</v>
      </c>
    </row>
    <row r="248" spans="1:11" ht="29" x14ac:dyDescent="0.35">
      <c r="A248" s="31" t="s">
        <v>4252</v>
      </c>
      <c r="B248" s="31" t="s">
        <v>4253</v>
      </c>
      <c r="C248" s="31" t="s">
        <v>14001</v>
      </c>
      <c r="D248" s="31">
        <v>247</v>
      </c>
      <c r="E248" s="31" t="str">
        <f t="shared" si="15"/>
        <v>E2_1_1_13</v>
      </c>
      <c r="F248" s="31" t="s">
        <v>9149</v>
      </c>
      <c r="G248" s="31" t="str">
        <f t="shared" si="16"/>
        <v>C00440 * C00155</v>
      </c>
      <c r="H248" s="31" t="s">
        <v>9150</v>
      </c>
      <c r="I248" s="31" t="str">
        <f t="shared" si="17"/>
        <v>C00101 * C00073</v>
      </c>
      <c r="J248" s="31" t="str">
        <f t="shared" si="18"/>
        <v>(${Variables: E2_1_1_13_Kcat } * E2_1_1_13 * C00440 * C00155) /(${Variables:E2_1_1_13_Km} + (E2_1_1_13 * C00440 * C00155))</v>
      </c>
      <c r="K248" s="32" t="str">
        <f t="shared" si="19"/>
        <v>r247: C00440 + C00155 -&gt; C00101 + C00073 | (${Variables: E2_1_1_13_Kcat } * E2_1_1_13 * C00440 * C00155) /(${Variables:E2_1_1_13_Km} + (E2_1_1_13 * C00440 * C00155))</v>
      </c>
    </row>
    <row r="249" spans="1:11" ht="29" x14ac:dyDescent="0.35">
      <c r="A249" s="31" t="s">
        <v>4252</v>
      </c>
      <c r="B249" s="31" t="s">
        <v>4253</v>
      </c>
      <c r="C249" s="31" t="s">
        <v>14001</v>
      </c>
      <c r="D249" s="31">
        <v>248</v>
      </c>
      <c r="E249" s="31" t="str">
        <f t="shared" si="15"/>
        <v>E2_1_1_13</v>
      </c>
      <c r="F249" s="31" t="s">
        <v>9147</v>
      </c>
      <c r="G249" s="31" t="str">
        <f t="shared" si="16"/>
        <v>C05698 * C04489</v>
      </c>
      <c r="H249" s="31" t="s">
        <v>9148</v>
      </c>
      <c r="I249" s="31" t="str">
        <f t="shared" si="17"/>
        <v>C05335 * C04144</v>
      </c>
      <c r="J249" s="31" t="str">
        <f t="shared" si="18"/>
        <v>(${Variables: E2_1_1_13_Kcat } * E2_1_1_13 * C05698 * C04489) /(${Variables:E2_1_1_13_Km} + (E2_1_1_13 * C05698 * C04489))</v>
      </c>
      <c r="K249" s="32" t="str">
        <f t="shared" si="19"/>
        <v>r248: C05698 + C04489 -&gt; C05335 + C04144 | (${Variables: E2_1_1_13_Kcat } * E2_1_1_13 * C05698 * C04489) /(${Variables:E2_1_1_13_Km} + (E2_1_1_13 * C05698 * C04489))</v>
      </c>
    </row>
    <row r="250" spans="1:11" ht="29" x14ac:dyDescent="0.35">
      <c r="A250" s="31" t="s">
        <v>3252</v>
      </c>
      <c r="B250" s="31" t="s">
        <v>3253</v>
      </c>
      <c r="C250" s="31" t="s">
        <v>14002</v>
      </c>
      <c r="D250" s="31">
        <v>249</v>
      </c>
      <c r="E250" s="31" t="str">
        <f t="shared" si="15"/>
        <v>E2_1_1_14</v>
      </c>
      <c r="F250" s="31" t="s">
        <v>9153</v>
      </c>
      <c r="G250" s="31" t="str">
        <f t="shared" si="16"/>
        <v>C04489 * C00155 </v>
      </c>
      <c r="H250" s="31" t="s">
        <v>9154</v>
      </c>
      <c r="I250" s="31" t="str">
        <f t="shared" si="17"/>
        <v>C04144 * C00073</v>
      </c>
      <c r="J250" s="31" t="str">
        <f t="shared" si="18"/>
        <v>(${Variables: E2_1_1_14_Kcat } * E2_1_1_14 * C04489 * C00155 ) /(${Variables:E2_1_1_14_Km} + (E2_1_1_14 * C04489 * C00155 ))</v>
      </c>
      <c r="K250" s="31" t="str">
        <f t="shared" si="19"/>
        <v>r249: C04489 + C00155  -&gt; C04144 + C00073 | (${Variables: E2_1_1_14_Kcat } * E2_1_1_14 * C04489 * C00155 ) /(${Variables:E2_1_1_14_Km} + (E2_1_1_14 * C04489 * C00155 ))</v>
      </c>
    </row>
    <row r="251" spans="1:11" ht="29" x14ac:dyDescent="0.35">
      <c r="A251" s="31" t="s">
        <v>3252</v>
      </c>
      <c r="B251" s="31" t="s">
        <v>3253</v>
      </c>
      <c r="C251" s="31" t="s">
        <v>14002</v>
      </c>
      <c r="D251" s="31">
        <v>250</v>
      </c>
      <c r="E251" s="31" t="str">
        <f t="shared" si="15"/>
        <v>E2_1_1_14</v>
      </c>
      <c r="F251" s="31" t="s">
        <v>9147</v>
      </c>
      <c r="G251" s="31" t="str">
        <f t="shared" si="16"/>
        <v>C05698 * C04489</v>
      </c>
      <c r="H251" s="31" t="s">
        <v>9155</v>
      </c>
      <c r="I251" s="31" t="str">
        <f t="shared" si="17"/>
        <v> C05335 * C04144</v>
      </c>
      <c r="J251" s="31" t="str">
        <f t="shared" si="18"/>
        <v>(${Variables: E2_1_1_14_Kcat } * E2_1_1_14 * C05698 * C04489) /(${Variables:E2_1_1_14_Km} + (E2_1_1_14 * C05698 * C04489))</v>
      </c>
      <c r="K251" s="31" t="str">
        <f t="shared" si="19"/>
        <v>r250: C05698 + C04489 -&gt;  C05335 + C04144 | (${Variables: E2_1_1_14_Kcat } * E2_1_1_14 * C05698 * C04489) /(${Variables:E2_1_1_14_Km} + (E2_1_1_14 * C05698 * C04489))</v>
      </c>
    </row>
    <row r="252" spans="1:11" ht="29" x14ac:dyDescent="0.35">
      <c r="A252" s="31" t="s">
        <v>5432</v>
      </c>
      <c r="B252" s="31" t="s">
        <v>5433</v>
      </c>
      <c r="C252" s="31" t="s">
        <v>14003</v>
      </c>
      <c r="D252" s="31">
        <v>251</v>
      </c>
      <c r="E252" s="31" t="str">
        <f t="shared" si="15"/>
        <v>E2_1_1_148</v>
      </c>
      <c r="F252" s="31" t="s">
        <v>9158</v>
      </c>
      <c r="G252" s="31" t="str">
        <f t="shared" si="16"/>
        <v>C00143 * C00365 * C00005 * C00080 </v>
      </c>
      <c r="H252" s="31" t="s">
        <v>9159</v>
      </c>
      <c r="I252" s="31" t="str">
        <f t="shared" si="17"/>
        <v>C00101 * C00364 * C00006</v>
      </c>
      <c r="J252" s="31" t="str">
        <f t="shared" si="18"/>
        <v>(${Variables: E2_1_1_148_Kcat } * E2_1_1_148 * C00143 * C00365 * C00005 * C00080 ) /(${Variables:E2_1_1_148_Km} + (E2_1_1_148 * C00143 * C00365 * C00005 * C00080 ))</v>
      </c>
      <c r="K252" s="31" t="str">
        <f t="shared" si="19"/>
        <v>r251: C00143 + C00365 + C00005 + C00080  -&gt; C00101 + C00364 + C00006 | (${Variables: E2_1_1_148_Kcat } * E2_1_1_148 * C00143 * C00365 * C00005 * C00080 ) /(${Variables:E2_1_1_148_Km} + (E2_1_1_148 * C00143 * C00365 * C00005 * C00080 ))</v>
      </c>
    </row>
    <row r="253" spans="1:11" ht="29" x14ac:dyDescent="0.35">
      <c r="A253" s="31" t="s">
        <v>1370</v>
      </c>
      <c r="B253" s="31" t="s">
        <v>1371</v>
      </c>
      <c r="C253" s="31" t="s">
        <v>14004</v>
      </c>
      <c r="D253" s="31">
        <v>252</v>
      </c>
      <c r="E253" s="31" t="str">
        <f t="shared" si="15"/>
        <v>E2_1_1_163</v>
      </c>
      <c r="F253" s="31" t="s">
        <v>9162</v>
      </c>
      <c r="G253" s="31" t="str">
        <f t="shared" si="16"/>
        <v>C19847 * C00019 </v>
      </c>
      <c r="H253" s="31" t="s">
        <v>9163</v>
      </c>
      <c r="I253" s="31" t="str">
        <f t="shared" si="17"/>
        <v>C05819 * C00021</v>
      </c>
      <c r="J253" s="31" t="str">
        <f t="shared" si="18"/>
        <v>(${Variables: E2_1_1_163_Kcat } * E2_1_1_163 * C19847 * C00019 ) /(${Variables:E2_1_1_163_Km} + (E2_1_1_163 * C19847 * C00019 ))</v>
      </c>
      <c r="K253" s="32" t="str">
        <f t="shared" si="19"/>
        <v>r252: C19847 + C00019  -&gt; C05819 + C00021 | (${Variables: E2_1_1_163_Kcat } * E2_1_1_163 * C19847 * C00019 ) /(${Variables:E2_1_1_163_Km} + (E2_1_1_163 * C19847 * C00019 ))</v>
      </c>
    </row>
    <row r="254" spans="1:11" ht="29" x14ac:dyDescent="0.35">
      <c r="A254" s="31" t="s">
        <v>8399</v>
      </c>
      <c r="B254" s="31" t="s">
        <v>8400</v>
      </c>
      <c r="C254" s="31" t="s">
        <v>14005</v>
      </c>
      <c r="D254" s="31">
        <v>253</v>
      </c>
      <c r="E254" s="31" t="str">
        <f t="shared" si="15"/>
        <v>E2_1_1_170</v>
      </c>
      <c r="F254" s="31" t="s">
        <v>9165</v>
      </c>
      <c r="G254" s="31" t="str">
        <f t="shared" si="16"/>
        <v>C00019</v>
      </c>
      <c r="H254" s="31" t="s">
        <v>9166</v>
      </c>
      <c r="I254" s="31" t="str">
        <f t="shared" si="17"/>
        <v>C00021 </v>
      </c>
      <c r="J254" s="31" t="str">
        <f t="shared" si="18"/>
        <v>(${Variables: E2_1_1_170_Kcat } * E2_1_1_170 * C00019) /(${Variables:E2_1_1_170_Km} + (E2_1_1_170 * C00019))</v>
      </c>
      <c r="K254" s="31" t="str">
        <f t="shared" si="19"/>
        <v>r253: C00019 -&gt; C00021  | (${Variables: E2_1_1_170_Kcat } * E2_1_1_170 * C00019) /(${Variables:E2_1_1_170_Km} + (E2_1_1_170 * C00019))</v>
      </c>
    </row>
    <row r="255" spans="1:11" ht="29" x14ac:dyDescent="0.35">
      <c r="A255" s="31" t="s">
        <v>3758</v>
      </c>
      <c r="B255" s="31" t="s">
        <v>3759</v>
      </c>
      <c r="C255" s="31" t="s">
        <v>14006</v>
      </c>
      <c r="D255" s="31">
        <v>254</v>
      </c>
      <c r="E255" s="31" t="str">
        <f t="shared" si="15"/>
        <v>E2_1_1_171</v>
      </c>
      <c r="F255" s="31" t="s">
        <v>9169</v>
      </c>
      <c r="G255" s="31" t="str">
        <f t="shared" si="16"/>
        <v>C00019 * C00240</v>
      </c>
      <c r="H255" s="31" t="s">
        <v>9170</v>
      </c>
      <c r="I255" s="31" t="str">
        <f t="shared" si="17"/>
        <v> C00021 * C04153</v>
      </c>
      <c r="J255" s="31" t="str">
        <f t="shared" si="18"/>
        <v>(${Variables: E2_1_1_171_Kcat } * E2_1_1_171 * C00019 * C00240) /(${Variables:E2_1_1_171_Km} + (E2_1_1_171 * C00019 * C00240))</v>
      </c>
      <c r="K255" s="31" t="str">
        <f t="shared" si="19"/>
        <v>r254: C00019 + C00240 -&gt;  C00021 + C04153 | (${Variables: E2_1_1_171_Kcat } * E2_1_1_171 * C00019 * C00240) /(${Variables:E2_1_1_171_Km} + (E2_1_1_171 * C00019 * C00240))</v>
      </c>
    </row>
    <row r="256" spans="1:11" ht="29" x14ac:dyDescent="0.35">
      <c r="A256" s="31" t="s">
        <v>2630</v>
      </c>
      <c r="B256" s="31" t="s">
        <v>2631</v>
      </c>
      <c r="C256" s="31" t="s">
        <v>14007</v>
      </c>
      <c r="D256" s="31">
        <v>255</v>
      </c>
      <c r="E256" s="31" t="str">
        <f t="shared" si="15"/>
        <v>E2_1_1_182</v>
      </c>
      <c r="F256" s="31" t="s">
        <v>13888</v>
      </c>
      <c r="G256" s="31" t="str">
        <f t="shared" si="16"/>
        <v>C00019 * C20648</v>
      </c>
      <c r="H256" s="31" t="s">
        <v>14432</v>
      </c>
      <c r="I256" s="31" t="str">
        <f t="shared" si="17"/>
        <v> C00021 * C20796</v>
      </c>
      <c r="J256" s="31" t="str">
        <f t="shared" si="18"/>
        <v>(${Variables: E2_1_1_182_Kcat } * E2_1_1_182 * C00019 * C20648) /(${Variables:E2_1_1_182_Km} + (E2_1_1_182 * C00019 * C20648))</v>
      </c>
      <c r="K256" s="32" t="str">
        <f t="shared" si="19"/>
        <v>r255: C00019 + C20648 -&gt;  C00021 + C20796 | (${Variables: E2_1_1_182_Kcat } * E2_1_1_182 * C00019 * C20648) /(${Variables:E2_1_1_182_Km} + (E2_1_1_182 * C00019 * C20648))</v>
      </c>
    </row>
    <row r="257" spans="1:11" ht="29" x14ac:dyDescent="0.35">
      <c r="A257" s="31" t="s">
        <v>5565</v>
      </c>
      <c r="B257" s="31" t="s">
        <v>5566</v>
      </c>
      <c r="C257" s="31" t="s">
        <v>14008</v>
      </c>
      <c r="D257" s="31">
        <v>256</v>
      </c>
      <c r="E257" s="31" t="str">
        <f t="shared" si="15"/>
        <v>E2_1_1_192</v>
      </c>
      <c r="F257" s="31" t="s">
        <v>14388</v>
      </c>
      <c r="G257" s="31" t="str">
        <f t="shared" si="16"/>
        <v xml:space="preserve"> C00019* C22150</v>
      </c>
      <c r="H257" s="31" t="s">
        <v>14433</v>
      </c>
      <c r="I257" s="31" t="str">
        <f t="shared" si="17"/>
        <v>C00021* C00073 * C05198 * C22151</v>
      </c>
      <c r="J257" s="31" t="str">
        <f t="shared" si="18"/>
        <v>(${Variables: E2_1_1_192_Kcat } * E2_1_1_192 *  C00019* C22150) /(${Variables:E2_1_1_192_Km} + (E2_1_1_192 *  C00019* C22150))</v>
      </c>
      <c r="K257" s="31" t="str">
        <f t="shared" si="19"/>
        <v>r256:  C00019+ C22150 -&gt; C00021+ C00073 + C05198 + C22151 | (${Variables: E2_1_1_192_Kcat } * E2_1_1_192 *  C00019* C22150) /(${Variables:E2_1_1_192_Km} + (E2_1_1_192 *  C00019* C22150))</v>
      </c>
    </row>
    <row r="258" spans="1:11" ht="29" x14ac:dyDescent="0.35">
      <c r="A258" s="31" t="s">
        <v>6306</v>
      </c>
      <c r="B258" s="31" t="s">
        <v>6307</v>
      </c>
      <c r="C258" s="31" t="s">
        <v>14009</v>
      </c>
      <c r="D258" s="31">
        <v>257</v>
      </c>
      <c r="E258" s="31" t="str">
        <f t="shared" si="15"/>
        <v>E2_1_1_193</v>
      </c>
      <c r="F258" s="31" t="s">
        <v>9165</v>
      </c>
      <c r="G258" s="31" t="str">
        <f t="shared" si="16"/>
        <v>C00019</v>
      </c>
      <c r="H258" s="31" t="s">
        <v>9177</v>
      </c>
      <c r="I258" s="31" t="str">
        <f t="shared" si="17"/>
        <v>C00021</v>
      </c>
      <c r="J258" s="31" t="str">
        <f t="shared" si="18"/>
        <v>(${Variables: E2_1_1_193_Kcat } * E2_1_1_193 * C00019) /(${Variables:E2_1_1_193_Km} + (E2_1_1_193 * C00019))</v>
      </c>
      <c r="K258" s="31" t="str">
        <f t="shared" si="19"/>
        <v>r257: C00019 -&gt; C00021 | (${Variables: E2_1_1_193_Kcat } * E2_1_1_193 * C00019) /(${Variables:E2_1_1_193_Km} + (E2_1_1_193 * C00019))</v>
      </c>
    </row>
    <row r="259" spans="1:11" ht="29" x14ac:dyDescent="0.35">
      <c r="A259" s="31" t="s">
        <v>2582</v>
      </c>
      <c r="B259" s="31" t="s">
        <v>2583</v>
      </c>
      <c r="C259" s="31" t="s">
        <v>14010</v>
      </c>
      <c r="D259" s="31">
        <v>258</v>
      </c>
      <c r="E259" s="31" t="str">
        <f t="shared" ref="E259:E322" si="20">CONCATENATE("E",C259)</f>
        <v>E2_1_1_198</v>
      </c>
      <c r="F259" s="31" t="s">
        <v>9165</v>
      </c>
      <c r="G259" s="31" t="str">
        <f t="shared" ref="G259:G322" si="21">SUBSTITUTE(F259,"+","*")</f>
        <v>C00019</v>
      </c>
      <c r="H259" s="31" t="s">
        <v>9177</v>
      </c>
      <c r="I259" s="31" t="str">
        <f t="shared" ref="I259:I317" si="22">SUBSTITUTE(H259,"+","*")</f>
        <v>C00021</v>
      </c>
      <c r="J259" s="31" t="str">
        <f t="shared" ref="J259:J322" si="23">CONCATENATE("(${Variables: ",E259,"_Kcat ","} * ",E259," * ",G259,")"," /(${Variables:",E259,"_Km","} + (",E259," * ",G259,"))")</f>
        <v>(${Variables: E2_1_1_198_Kcat } * E2_1_1_198 * C00019) /(${Variables:E2_1_1_198_Km} + (E2_1_1_198 * C00019))</v>
      </c>
      <c r="K259" s="31" t="str">
        <f t="shared" ref="K259:K322" si="24">CONCATENATE("r",D259,": ",F259," -&gt; ",H259," | ",J259)</f>
        <v>r258: C00019 -&gt; C00021 | (${Variables: E2_1_1_198_Kcat } * E2_1_1_198 * C00019) /(${Variables:E2_1_1_198_Km} + (E2_1_1_198 * C00019))</v>
      </c>
    </row>
    <row r="260" spans="1:11" ht="29" x14ac:dyDescent="0.35">
      <c r="A260" s="31" t="s">
        <v>5977</v>
      </c>
      <c r="B260" s="31" t="s">
        <v>5978</v>
      </c>
      <c r="C260" s="31" t="s">
        <v>14011</v>
      </c>
      <c r="D260" s="31">
        <v>259</v>
      </c>
      <c r="E260" s="31" t="str">
        <f t="shared" si="20"/>
        <v>E2_1_1_199</v>
      </c>
      <c r="F260" s="31" t="s">
        <v>9165</v>
      </c>
      <c r="G260" s="31" t="str">
        <f t="shared" si="21"/>
        <v>C00019</v>
      </c>
      <c r="H260" s="31" t="s">
        <v>9177</v>
      </c>
      <c r="I260" s="31" t="str">
        <f t="shared" si="22"/>
        <v>C00021</v>
      </c>
      <c r="J260" s="31" t="str">
        <f t="shared" si="23"/>
        <v>(${Variables: E2_1_1_199_Kcat } * E2_1_1_199 * C00019) /(${Variables:E2_1_1_199_Km} + (E2_1_1_199 * C00019))</v>
      </c>
      <c r="K260" s="31" t="str">
        <f t="shared" si="24"/>
        <v>r259: C00019 -&gt; C00021 | (${Variables: E2_1_1_199_Kcat } * E2_1_1_199 * C00019) /(${Variables:E2_1_1_199_Km} + (E2_1_1_199 * C00019))</v>
      </c>
    </row>
    <row r="261" spans="1:11" ht="29" x14ac:dyDescent="0.35">
      <c r="A261" s="31" t="s">
        <v>1889</v>
      </c>
      <c r="B261" s="31" t="s">
        <v>1890</v>
      </c>
      <c r="C261" s="31" t="s">
        <v>14012</v>
      </c>
      <c r="D261" s="31">
        <v>260</v>
      </c>
      <c r="E261" s="31" t="str">
        <f t="shared" si="20"/>
        <v>E2_1_1_207</v>
      </c>
      <c r="F261" s="31" t="s">
        <v>9165</v>
      </c>
      <c r="G261" s="31" t="str">
        <f t="shared" si="21"/>
        <v>C00019</v>
      </c>
      <c r="H261" s="31" t="s">
        <v>9177</v>
      </c>
      <c r="I261" s="31" t="str">
        <f t="shared" si="22"/>
        <v>C00021</v>
      </c>
      <c r="J261" s="31" t="str">
        <f t="shared" si="23"/>
        <v>(${Variables: E2_1_1_207_Kcat } * E2_1_1_207 * C00019) /(${Variables:E2_1_1_207_Km} + (E2_1_1_207 * C00019))</v>
      </c>
      <c r="K261" s="31" t="str">
        <f t="shared" si="24"/>
        <v>r260: C00019 -&gt; C00021 | (${Variables: E2_1_1_207_Kcat } * E2_1_1_207 * C00019) /(${Variables:E2_1_1_207_Km} + (E2_1_1_207 * C00019))</v>
      </c>
    </row>
    <row r="262" spans="1:11" ht="29" x14ac:dyDescent="0.35">
      <c r="A262" s="31" t="s">
        <v>5653</v>
      </c>
      <c r="B262" s="31" t="s">
        <v>5654</v>
      </c>
      <c r="C262" s="31" t="s">
        <v>14013</v>
      </c>
      <c r="D262" s="31">
        <v>261</v>
      </c>
      <c r="E262" s="31" t="str">
        <f t="shared" si="20"/>
        <v>E2_1_1_228</v>
      </c>
      <c r="F262" s="31" t="s">
        <v>9182</v>
      </c>
      <c r="G262" s="31" t="str">
        <f t="shared" si="21"/>
        <v>C00019 * C01977 </v>
      </c>
      <c r="H262" s="31" t="s">
        <v>9183</v>
      </c>
      <c r="I262" s="31" t="str">
        <f t="shared" si="22"/>
        <v> C00021 * C04157</v>
      </c>
      <c r="J262" s="31" t="str">
        <f t="shared" si="23"/>
        <v>(${Variables: E2_1_1_228_Kcat } * E2_1_1_228 * C00019 * C01977 ) /(${Variables:E2_1_1_228_Km} + (E2_1_1_228 * C00019 * C01977 ))</v>
      </c>
      <c r="K262" s="32" t="str">
        <f t="shared" si="24"/>
        <v>r261: C00019 + C01977  -&gt;  C00021 + C04157 | (${Variables: E2_1_1_228_Kcat } * E2_1_1_228 * C00019 * C01977 ) /(${Variables:E2_1_1_228_Km} + (E2_1_1_228 * C00019 * C01977 ))</v>
      </c>
    </row>
    <row r="263" spans="1:11" ht="29" x14ac:dyDescent="0.35">
      <c r="A263" s="31" t="s">
        <v>3422</v>
      </c>
      <c r="B263" s="31" t="s">
        <v>3423</v>
      </c>
      <c r="C263" s="31" t="s">
        <v>14014</v>
      </c>
      <c r="D263" s="31">
        <v>262</v>
      </c>
      <c r="E263" s="31" t="str">
        <f t="shared" si="20"/>
        <v>E2_1_1_297</v>
      </c>
      <c r="F263" s="31" t="s">
        <v>9187</v>
      </c>
      <c r="G263" s="31" t="str">
        <f t="shared" si="21"/>
        <v>C02583 * C00019</v>
      </c>
      <c r="H263" s="31" t="s">
        <v>9188</v>
      </c>
      <c r="I263" s="31" t="str">
        <f t="shared" si="22"/>
        <v> C20858 * C00021</v>
      </c>
      <c r="J263" s="31" t="str">
        <f t="shared" si="23"/>
        <v>(${Variables: E2_1_1_297_Kcat } * E2_1_1_297 * C02583 * C00019) /(${Variables:E2_1_1_297_Km} + (E2_1_1_297 * C02583 * C00019))</v>
      </c>
      <c r="K263" s="31" t="str">
        <f t="shared" si="24"/>
        <v>r262: C02583 + C00019 -&gt;  C20858 + C00021 | (${Variables: E2_1_1_297_Kcat } * E2_1_1_297 * C02583 * C00019) /(${Variables:E2_1_1_297_Km} + (E2_1_1_297 * C02583 * C00019))</v>
      </c>
    </row>
    <row r="264" spans="1:11" ht="29" x14ac:dyDescent="0.35">
      <c r="A264" s="31" t="s">
        <v>7824</v>
      </c>
      <c r="B264" s="31" t="s">
        <v>7825</v>
      </c>
      <c r="C264" s="31" t="s">
        <v>14015</v>
      </c>
      <c r="D264" s="31">
        <v>263</v>
      </c>
      <c r="E264" s="31" t="str">
        <f t="shared" si="20"/>
        <v>E2_1_1_33</v>
      </c>
      <c r="F264" s="31" t="s">
        <v>9191</v>
      </c>
      <c r="G264" s="31" t="str">
        <f t="shared" si="21"/>
        <v>C00019 * C01977</v>
      </c>
      <c r="H264" s="31" t="s">
        <v>9192</v>
      </c>
      <c r="I264" s="31" t="str">
        <f t="shared" si="22"/>
        <v>C00021 * C04160</v>
      </c>
      <c r="J264" s="31" t="str">
        <f t="shared" si="23"/>
        <v>(${Variables: E2_1_1_33_Kcat } * E2_1_1_33 * C00019 * C01977) /(${Variables:E2_1_1_33_Km} + (E2_1_1_33 * C00019 * C01977))</v>
      </c>
      <c r="K264" s="32" t="str">
        <f t="shared" si="24"/>
        <v>r263: C00019 + C01977 -&gt; C00021 + C04160 | (${Variables: E2_1_1_33_Kcat } * E2_1_1_33 * C00019 * C01977) /(${Variables:E2_1_1_33_Km} + (E2_1_1_33 * C00019 * C01977))</v>
      </c>
    </row>
    <row r="265" spans="1:11" ht="29" x14ac:dyDescent="0.35">
      <c r="A265" s="31" t="s">
        <v>4963</v>
      </c>
      <c r="B265" s="31" t="s">
        <v>4964</v>
      </c>
      <c r="C265" s="31" t="s">
        <v>14016</v>
      </c>
      <c r="D265" s="31">
        <v>264</v>
      </c>
      <c r="E265" s="31" t="str">
        <f t="shared" si="20"/>
        <v>E2_1_1_37</v>
      </c>
      <c r="F265" s="31" t="s">
        <v>9195</v>
      </c>
      <c r="G265" s="31" t="str">
        <f t="shared" si="21"/>
        <v>C00019 * C00039 </v>
      </c>
      <c r="H265" s="31" t="s">
        <v>9196</v>
      </c>
      <c r="I265" s="31" t="str">
        <f t="shared" si="22"/>
        <v>C00021 * C02967</v>
      </c>
      <c r="J265" s="31" t="str">
        <f t="shared" si="23"/>
        <v>(${Variables: E2_1_1_37_Kcat } * E2_1_1_37 * C00019 * C00039 ) /(${Variables:E2_1_1_37_Km} + (E2_1_1_37 * C00019 * C00039 ))</v>
      </c>
      <c r="K265" s="31" t="str">
        <f t="shared" si="24"/>
        <v>r264: C00019 + C00039  -&gt; C00021 + C02967 | (${Variables: E2_1_1_37_Kcat } * E2_1_1_37 * C00019 * C00039 ) /(${Variables:E2_1_1_37_Km} + (E2_1_1_37 * C00019 * C00039 ))</v>
      </c>
    </row>
    <row r="266" spans="1:11" ht="29" x14ac:dyDescent="0.35">
      <c r="A266" s="31" t="s">
        <v>4963</v>
      </c>
      <c r="B266" s="31" t="s">
        <v>4964</v>
      </c>
      <c r="C266" s="31" t="s">
        <v>14016</v>
      </c>
      <c r="D266" s="31">
        <v>265</v>
      </c>
      <c r="E266" s="31" t="str">
        <f t="shared" si="20"/>
        <v>E2_1_1_37</v>
      </c>
      <c r="F266" s="31" t="s">
        <v>9198</v>
      </c>
      <c r="G266" s="31" t="str">
        <f t="shared" si="21"/>
        <v>C00019 * C00856 </v>
      </c>
      <c r="H266" s="31" t="s">
        <v>9199</v>
      </c>
      <c r="I266" s="31" t="str">
        <f t="shared" si="22"/>
        <v> C00021 * C02967</v>
      </c>
      <c r="J266" s="31" t="str">
        <f t="shared" si="23"/>
        <v>(${Variables: E2_1_1_37_Kcat } * E2_1_1_37 * C00019 * C00856 ) /(${Variables:E2_1_1_37_Km} + (E2_1_1_37 * C00019 * C00856 ))</v>
      </c>
      <c r="K266" s="31" t="str">
        <f t="shared" si="24"/>
        <v>r265: C00019 + C00856  -&gt;  C00021 + C02967 | (${Variables: E2_1_1_37_Kcat } * E2_1_1_37 * C00019 * C00856 ) /(${Variables:E2_1_1_37_Km} + (E2_1_1_37 * C00019 * C00856 ))</v>
      </c>
    </row>
    <row r="267" spans="1:11" ht="29" x14ac:dyDescent="0.35">
      <c r="A267" s="31" t="s">
        <v>2442</v>
      </c>
      <c r="B267" s="31" t="s">
        <v>2443</v>
      </c>
      <c r="C267" s="31" t="s">
        <v>14017</v>
      </c>
      <c r="D267" s="31">
        <v>266</v>
      </c>
      <c r="E267" s="31" t="str">
        <f t="shared" si="20"/>
        <v>E2_1_1_45</v>
      </c>
      <c r="F267" s="31" t="s">
        <v>9202</v>
      </c>
      <c r="G267" s="31" t="str">
        <f t="shared" si="21"/>
        <v>C00365 * C00143</v>
      </c>
      <c r="H267" s="31" t="s">
        <v>9203</v>
      </c>
      <c r="I267" s="31" t="str">
        <f t="shared" si="22"/>
        <v>C00415 * C00364</v>
      </c>
      <c r="J267" s="31" t="str">
        <f t="shared" si="23"/>
        <v>(${Variables: E2_1_1_45_Kcat } * E2_1_1_45 * C00365 * C00143) /(${Variables:E2_1_1_45_Km} + (E2_1_1_45 * C00365 * C00143))</v>
      </c>
      <c r="K267" s="31" t="str">
        <f t="shared" si="24"/>
        <v>r266: C00365 + C00143 -&gt; C00415 + C00364 | (${Variables: E2_1_1_45_Kcat } * E2_1_1_45 * C00365 * C00143) /(${Variables:E2_1_1_45_Km} + (E2_1_1_45 * C00365 * C00143))</v>
      </c>
    </row>
    <row r="268" spans="1:11" ht="58" x14ac:dyDescent="0.35">
      <c r="A268" s="31" t="s">
        <v>472</v>
      </c>
      <c r="B268" s="31" t="s">
        <v>473</v>
      </c>
      <c r="C268" s="31" t="s">
        <v>14018</v>
      </c>
      <c r="D268" s="31">
        <v>267</v>
      </c>
      <c r="E268" s="31" t="str">
        <f t="shared" si="20"/>
        <v>E2_1_1_63</v>
      </c>
      <c r="F268" s="31" t="s">
        <v>9206</v>
      </c>
      <c r="G268" s="31" t="str">
        <f t="shared" si="21"/>
        <v xml:space="preserve">	
C04250 * C02743 </v>
      </c>
      <c r="H268" s="31" t="s">
        <v>9207</v>
      </c>
      <c r="I268" s="31" t="str">
        <f t="shared" si="22"/>
        <v>C03800 * C11475</v>
      </c>
      <c r="J268" s="31" t="str">
        <f t="shared" si="23"/>
        <v>(${Variables: E2_1_1_63_Kcat } * E2_1_1_63 * 	
C04250 * C02743 ) /(${Variables:E2_1_1_63_Km} + (E2_1_1_63 * 	
C04250 * C02743 ))</v>
      </c>
      <c r="K268" s="32" t="str">
        <f t="shared" si="24"/>
        <v>r267: 	
C04250 + C02743  -&gt; C03800 + C11475 | (${Variables: E2_1_1_63_Kcat } * E2_1_1_63 * 	
C04250 * C02743 ) /(${Variables:E2_1_1_63_Km} + (E2_1_1_63 * 	
C04250 * C02743 ))</v>
      </c>
    </row>
    <row r="269" spans="1:11" ht="58" x14ac:dyDescent="0.35">
      <c r="A269" s="31" t="s">
        <v>8167</v>
      </c>
      <c r="B269" s="31" t="s">
        <v>8168</v>
      </c>
      <c r="C269" s="31" t="s">
        <v>14018</v>
      </c>
      <c r="D269" s="31">
        <v>268</v>
      </c>
      <c r="E269" s="31" t="str">
        <f t="shared" si="20"/>
        <v>E2_1_1_63</v>
      </c>
      <c r="F269" s="31" t="s">
        <v>9206</v>
      </c>
      <c r="G269" s="31" t="str">
        <f t="shared" si="21"/>
        <v xml:space="preserve">	
C04250 * C02743 </v>
      </c>
      <c r="H269" s="31" t="s">
        <v>9207</v>
      </c>
      <c r="I269" s="31" t="str">
        <f t="shared" si="22"/>
        <v>C03800 * C11475</v>
      </c>
      <c r="J269" s="31" t="str">
        <f t="shared" si="23"/>
        <v>(${Variables: E2_1_1_63_Kcat } * E2_1_1_63 * 	
C04250 * C02743 ) /(${Variables:E2_1_1_63_Km} + (E2_1_1_63 * 	
C04250 * C02743 ))</v>
      </c>
      <c r="K269" s="32" t="str">
        <f t="shared" si="24"/>
        <v>r268: 	
C04250 + C02743  -&gt; C03800 + C11475 | (${Variables: E2_1_1_63_Kcat } * E2_1_1_63 * 	
C04250 * C02743 ) /(${Variables:E2_1_1_63_Km} + (E2_1_1_63 * 	
C04250 * C02743 ))</v>
      </c>
    </row>
    <row r="270" spans="1:11" ht="58" x14ac:dyDescent="0.35">
      <c r="A270" s="31" t="s">
        <v>8337</v>
      </c>
      <c r="B270" s="31" t="s">
        <v>8338</v>
      </c>
      <c r="C270" s="31" t="s">
        <v>14018</v>
      </c>
      <c r="D270" s="31">
        <v>269</v>
      </c>
      <c r="E270" s="31" t="str">
        <f t="shared" si="20"/>
        <v>E2_1_1_63</v>
      </c>
      <c r="F270" s="31" t="s">
        <v>9206</v>
      </c>
      <c r="G270" s="31" t="str">
        <f t="shared" si="21"/>
        <v xml:space="preserve">	
C04250 * C02743 </v>
      </c>
      <c r="H270" s="31" t="s">
        <v>9207</v>
      </c>
      <c r="I270" s="31" t="str">
        <f t="shared" si="22"/>
        <v>C03800 * C11475</v>
      </c>
      <c r="J270" s="31" t="str">
        <f t="shared" si="23"/>
        <v>(${Variables: E2_1_1_63_Kcat } * E2_1_1_63 * 	
C04250 * C02743 ) /(${Variables:E2_1_1_63_Km} + (E2_1_1_63 * 	
C04250 * C02743 ))</v>
      </c>
      <c r="K270" s="32" t="str">
        <f t="shared" si="24"/>
        <v>r269: 	
C04250 + C02743  -&gt; C03800 + C11475 | (${Variables: E2_1_1_63_Kcat } * E2_1_1_63 * 	
C04250 * C02743 ) /(${Variables:E2_1_1_63_Km} + (E2_1_1_63 * 	
C04250 * C02743 ))</v>
      </c>
    </row>
    <row r="271" spans="1:11" ht="58" x14ac:dyDescent="0.35">
      <c r="A271" s="31" t="s">
        <v>2864</v>
      </c>
      <c r="B271" s="31" t="s">
        <v>2865</v>
      </c>
      <c r="C271" s="31" t="s">
        <v>14019</v>
      </c>
      <c r="D271" s="31">
        <v>270</v>
      </c>
      <c r="E271" s="31" t="str">
        <f t="shared" si="20"/>
        <v>E2_1_2_1</v>
      </c>
      <c r="F271" s="31" t="s">
        <v>9210</v>
      </c>
      <c r="G271" s="31" t="str">
        <f t="shared" si="21"/>
        <v xml:space="preserve">	
C00143 * C00037 * C00001 </v>
      </c>
      <c r="H271" s="31" t="s">
        <v>9211</v>
      </c>
      <c r="I271" s="31" t="str">
        <f t="shared" si="22"/>
        <v>C00101 * C00065</v>
      </c>
      <c r="J271" s="31" t="str">
        <f t="shared" si="23"/>
        <v>(${Variables: E2_1_2_1_Kcat } * E2_1_2_1 * 	
C00143 * C00037 * C00001 ) /(${Variables:E2_1_2_1_Km} + (E2_1_2_1 * 	
C00143 * C00037 * C00001 ))</v>
      </c>
      <c r="K271" s="32" t="str">
        <f t="shared" si="24"/>
        <v>r270: 	
C00143 + C00037 + C00001  -&gt; C00101 + C00065 | (${Variables: E2_1_2_1_Kcat } * E2_1_2_1 * 	
C00143 * C00037 * C00001 ) /(${Variables:E2_1_2_1_Km} + (E2_1_2_1 * 	
C00143 * C00037 * C00001 ))</v>
      </c>
    </row>
    <row r="272" spans="1:11" ht="29" x14ac:dyDescent="0.35">
      <c r="A272" s="31" t="s">
        <v>2864</v>
      </c>
      <c r="B272" s="31" t="s">
        <v>2865</v>
      </c>
      <c r="C272" s="31" t="s">
        <v>14019</v>
      </c>
      <c r="D272" s="31">
        <v>271</v>
      </c>
      <c r="E272" s="31" t="str">
        <f t="shared" si="20"/>
        <v>E2_1_2_1</v>
      </c>
      <c r="F272" s="31" t="s">
        <v>9213</v>
      </c>
      <c r="G272" s="31" t="str">
        <f t="shared" si="21"/>
        <v>C00065 * C01217</v>
      </c>
      <c r="H272" s="31" t="s">
        <v>9214</v>
      </c>
      <c r="I272" s="31" t="str">
        <f t="shared" si="22"/>
        <v>C04377 * C00037 * C00001</v>
      </c>
      <c r="J272" s="31" t="str">
        <f t="shared" si="23"/>
        <v>(${Variables: E2_1_2_1_Kcat } * E2_1_2_1 * C00065 * C01217) /(${Variables:E2_1_2_1_Km} + (E2_1_2_1 * C00065 * C01217))</v>
      </c>
      <c r="K272" s="32" t="str">
        <f t="shared" si="24"/>
        <v>r271: C00065 + C01217 -&gt; C04377 + C00037 + C00001 | (${Variables: E2_1_2_1_Kcat } * E2_1_2_1 * C00065 * C01217) /(${Variables:E2_1_2_1_Km} + (E2_1_2_1 * C00065 * C01217))</v>
      </c>
    </row>
    <row r="273" spans="1:11" ht="29" x14ac:dyDescent="0.35">
      <c r="A273" s="31" t="s">
        <v>380</v>
      </c>
      <c r="B273" s="31" t="s">
        <v>381</v>
      </c>
      <c r="C273" s="31" t="s">
        <v>14020</v>
      </c>
      <c r="D273" s="31">
        <v>272</v>
      </c>
      <c r="E273" s="31" t="str">
        <f t="shared" si="20"/>
        <v>E2_1_2_11</v>
      </c>
      <c r="F273" s="31" t="s">
        <v>9217</v>
      </c>
      <c r="G273" s="31" t="str">
        <f t="shared" si="21"/>
        <v>C00143 * C00141 * C00001</v>
      </c>
      <c r="H273" s="31" t="s">
        <v>9218</v>
      </c>
      <c r="I273" s="31" t="str">
        <f t="shared" si="22"/>
        <v>C00101 * C00966</v>
      </c>
      <c r="J273" s="31" t="str">
        <f t="shared" si="23"/>
        <v>(${Variables: E2_1_2_11_Kcat } * E2_1_2_11 * C00143 * C00141 * C00001) /(${Variables:E2_1_2_11_Km} + (E2_1_2_11 * C00143 * C00141 * C00001))</v>
      </c>
      <c r="K273" s="32" t="str">
        <f>CONCATENATE("r",D273,": ",F273," -&gt; ",H273," | ",J273)</f>
        <v>r272: C00143 + C00141 + C00001 -&gt; C00101 + C00966 | (${Variables: E2_1_2_11_Kcat } * E2_1_2_11 * C00143 * C00141 * C00001) /(${Variables:E2_1_2_11_Km} + (E2_1_2_11 * C00143 * C00141 * C00001))</v>
      </c>
    </row>
    <row r="274" spans="1:11" ht="58" x14ac:dyDescent="0.35">
      <c r="A274" s="31" t="s">
        <v>380</v>
      </c>
      <c r="B274" s="31" t="s">
        <v>381</v>
      </c>
      <c r="C274" s="31" t="s">
        <v>14020</v>
      </c>
      <c r="D274" s="31">
        <v>273</v>
      </c>
      <c r="E274" s="31" t="str">
        <f t="shared" si="20"/>
        <v>E2_1_2_11</v>
      </c>
      <c r="F274" s="31" t="s">
        <v>9220</v>
      </c>
      <c r="G274" s="31" t="str">
        <f t="shared" si="21"/>
        <v xml:space="preserve">	
C00966</v>
      </c>
      <c r="H274" s="31" t="s">
        <v>9221</v>
      </c>
      <c r="I274" s="31" t="str">
        <f t="shared" si="22"/>
        <v>C00141 * C00067</v>
      </c>
      <c r="J274" s="31" t="str">
        <f t="shared" si="23"/>
        <v>(${Variables: E2_1_2_11_Kcat } * E2_1_2_11 * 	
C00966) /(${Variables:E2_1_2_11_Km} + (E2_1_2_11 * 	
C00966))</v>
      </c>
      <c r="K274" s="32" t="str">
        <f t="shared" si="24"/>
        <v>r273: 	
C00966 -&gt; C00141 + C00067 | (${Variables: E2_1_2_11_Kcat } * E2_1_2_11 * 	
C00966) /(${Variables:E2_1_2_11_Km} + (E2_1_2_11 * 	
C00966))</v>
      </c>
    </row>
    <row r="275" spans="1:11" ht="29" x14ac:dyDescent="0.35">
      <c r="A275" s="31" t="s">
        <v>2490</v>
      </c>
      <c r="B275" s="31" t="s">
        <v>2491</v>
      </c>
      <c r="C275" s="31" t="s">
        <v>14021</v>
      </c>
      <c r="D275" s="31">
        <v>274</v>
      </c>
      <c r="E275" s="31" t="str">
        <f t="shared" si="20"/>
        <v>E2_1_2_2</v>
      </c>
      <c r="F275" s="31" t="s">
        <v>9224</v>
      </c>
      <c r="G275" s="31" t="str">
        <f t="shared" si="21"/>
        <v>C00234 * C03838 </v>
      </c>
      <c r="H275" s="31" t="s">
        <v>9225</v>
      </c>
      <c r="I275" s="31" t="str">
        <f t="shared" si="22"/>
        <v>C00101 * C04376</v>
      </c>
      <c r="J275" s="31" t="str">
        <f t="shared" si="23"/>
        <v>(${Variables: E2_1_2_2_Kcat } * E2_1_2_2 * C00234 * C03838 ) /(${Variables:E2_1_2_2_Km} + (E2_1_2_2 * C00234 * C03838 ))</v>
      </c>
      <c r="K275" s="32" t="str">
        <f t="shared" si="24"/>
        <v>r274: C00234 + C03838  -&gt; C00101 + C04376 | (${Variables: E2_1_2_2_Kcat } * E2_1_2_2 * C00234 * C03838 ) /(${Variables:E2_1_2_2_Km} + (E2_1_2_2 * C00234 * C03838 ))</v>
      </c>
    </row>
    <row r="276" spans="1:11" ht="29" x14ac:dyDescent="0.35">
      <c r="A276" s="31" t="s">
        <v>2490</v>
      </c>
      <c r="B276" s="31" t="s">
        <v>2491</v>
      </c>
      <c r="C276" s="31" t="s">
        <v>14021</v>
      </c>
      <c r="D276" s="31">
        <v>275</v>
      </c>
      <c r="E276" s="31" t="str">
        <f t="shared" si="20"/>
        <v>E2_1_2_2</v>
      </c>
      <c r="F276" s="31" t="s">
        <v>9227</v>
      </c>
      <c r="G276" s="31" t="str">
        <f t="shared" si="21"/>
        <v>C03838 * C00445 * C00001 </v>
      </c>
      <c r="H276" s="31" t="s">
        <v>9228</v>
      </c>
      <c r="I276" s="31" t="str">
        <f t="shared" si="22"/>
        <v xml:space="preserve"> C04376 * C00101</v>
      </c>
      <c r="J276" s="31" t="str">
        <f t="shared" si="23"/>
        <v>(${Variables: E2_1_2_2_Kcat } * E2_1_2_2 * C03838 * C00445 * C00001 ) /(${Variables:E2_1_2_2_Km} + (E2_1_2_2 * C03838 * C00445 * C00001 ))</v>
      </c>
      <c r="K276" s="32" t="str">
        <f t="shared" si="24"/>
        <v>r275: C03838 + C00445 + C00001  -&gt;  C04376 + C00101 | (${Variables: E2_1_2_2_Kcat } * E2_1_2_2 * C03838 * C00445 * C00001 ) /(${Variables:E2_1_2_2_Km} + (E2_1_2_2 * C03838 * C00445 * C00001 ))</v>
      </c>
    </row>
    <row r="277" spans="1:11" ht="29" x14ac:dyDescent="0.35">
      <c r="A277" s="31" t="s">
        <v>2494</v>
      </c>
      <c r="B277" s="31" t="s">
        <v>2495</v>
      </c>
      <c r="C277" s="31" t="s">
        <v>14022</v>
      </c>
      <c r="D277" s="31">
        <v>276</v>
      </c>
      <c r="E277" s="31" t="str">
        <f t="shared" si="20"/>
        <v xml:space="preserve">E2_1_2_3 </v>
      </c>
      <c r="F277" s="31" t="s">
        <v>9230</v>
      </c>
      <c r="G277" s="31" t="str">
        <f t="shared" si="21"/>
        <v>C00234 * C04677</v>
      </c>
      <c r="H277" s="31" t="s">
        <v>9231</v>
      </c>
      <c r="I277" s="31" t="str">
        <f t="shared" si="22"/>
        <v>C00101 * C04734</v>
      </c>
      <c r="J277" s="31" t="str">
        <f t="shared" si="23"/>
        <v>(${Variables: E2_1_2_3 _Kcat } * E2_1_2_3  * C00234 * C04677) /(${Variables:E2_1_2_3 _Km} + (E2_1_2_3  * C00234 * C04677))</v>
      </c>
      <c r="K277" s="31" t="str">
        <f t="shared" si="24"/>
        <v>r276: C00234 + C04677 -&gt; C00101 + C04734 | (${Variables: E2_1_2_3 _Kcat } * E2_1_2_3  * C00234 * C04677) /(${Variables:E2_1_2_3 _Km} + (E2_1_2_3  * C00234 * C04677))</v>
      </c>
    </row>
    <row r="278" spans="1:11" ht="29" x14ac:dyDescent="0.35">
      <c r="A278" s="31" t="s">
        <v>2494</v>
      </c>
      <c r="B278" s="31" t="s">
        <v>2495</v>
      </c>
      <c r="C278" s="31" t="s">
        <v>14023</v>
      </c>
      <c r="D278" s="31">
        <v>277</v>
      </c>
      <c r="E278" s="31" t="str">
        <f t="shared" si="20"/>
        <v>E3_5_4_10</v>
      </c>
      <c r="F278" s="31" t="s">
        <v>9237</v>
      </c>
      <c r="G278" s="31" t="str">
        <f t="shared" si="21"/>
        <v>C00130 * C00001 </v>
      </c>
      <c r="H278" s="31" t="s">
        <v>9238</v>
      </c>
      <c r="I278" s="31" t="str">
        <f t="shared" si="22"/>
        <v>C04734</v>
      </c>
      <c r="J278" s="31" t="str">
        <f t="shared" si="23"/>
        <v>(${Variables: E3_5_4_10_Kcat } * E3_5_4_10 * C00130 * C00001 ) /(${Variables:E3_5_4_10_Km} + (E3_5_4_10 * C00130 * C00001 ))</v>
      </c>
      <c r="K278" s="32" t="str">
        <f t="shared" si="24"/>
        <v>r277: C00130 + C00001  -&gt; C04734 | (${Variables: E3_5_4_10_Kcat } * E3_5_4_10 * C00130 * C00001 ) /(${Variables:E3_5_4_10_Km} + (E3_5_4_10 * C00130 * C00001 ))</v>
      </c>
    </row>
    <row r="279" spans="1:11" ht="29" x14ac:dyDescent="0.35">
      <c r="A279" s="31" t="s">
        <v>4521</v>
      </c>
      <c r="B279" s="31" t="s">
        <v>4522</v>
      </c>
      <c r="C279" s="31" t="s">
        <v>14024</v>
      </c>
      <c r="D279" s="31">
        <v>278</v>
      </c>
      <c r="E279" s="31" t="str">
        <f t="shared" si="20"/>
        <v>E2_1_2_9</v>
      </c>
      <c r="F279" s="31" t="s">
        <v>9241</v>
      </c>
      <c r="G279" s="31" t="str">
        <f t="shared" si="21"/>
        <v>C02430 * C00234</v>
      </c>
      <c r="H279" s="31" t="s">
        <v>9242</v>
      </c>
      <c r="I279" s="31" t="str">
        <f t="shared" si="22"/>
        <v> C00101 * C03294</v>
      </c>
      <c r="J279" s="31" t="str">
        <f t="shared" si="23"/>
        <v>(${Variables: E2_1_2_9_Kcat } * E2_1_2_9 * C02430 * C00234) /(${Variables:E2_1_2_9_Km} + (E2_1_2_9 * C02430 * C00234))</v>
      </c>
      <c r="K279" s="32" t="str">
        <f t="shared" si="24"/>
        <v>r278: C02430 + C00234 -&gt;  C00101 + C03294 | (${Variables: E2_1_2_9_Kcat } * E2_1_2_9 * C02430 * C00234) /(${Variables:E2_1_2_9_Km} + (E2_1_2_9 * C02430 * C00234))</v>
      </c>
    </row>
    <row r="280" spans="1:11" ht="29" x14ac:dyDescent="0.35">
      <c r="A280" s="31" t="s">
        <v>2409</v>
      </c>
      <c r="B280" s="31" t="s">
        <v>2410</v>
      </c>
      <c r="C280" s="31" t="s">
        <v>14025</v>
      </c>
      <c r="D280" s="31">
        <v>279</v>
      </c>
      <c r="E280" s="31" t="str">
        <f t="shared" si="20"/>
        <v>E2_1_3_15</v>
      </c>
      <c r="F280" s="31" t="s">
        <v>9245</v>
      </c>
      <c r="G280" s="31" t="str">
        <f t="shared" si="21"/>
        <v>C00024 * C04419 </v>
      </c>
      <c r="H280" s="31" t="s">
        <v>9246</v>
      </c>
      <c r="I280" s="31" t="str">
        <f t="shared" si="22"/>
        <v>C00083 * C06250</v>
      </c>
      <c r="J280" s="31" t="str">
        <f t="shared" si="23"/>
        <v>(${Variables: E2_1_3_15_Kcat } * E2_1_3_15 * C00024 * C04419 ) /(${Variables:E2_1_3_15_Km} + (E2_1_3_15 * C00024 * C04419 ))</v>
      </c>
      <c r="K280" s="31" t="str">
        <f t="shared" si="24"/>
        <v>r279: C00024 + C04419  -&gt; C00083 + C06250 | (${Variables: E2_1_3_15_Kcat } * E2_1_3_15 * C00024 * C04419 ) /(${Variables:E2_1_3_15_Km} + (E2_1_3_15 * C00024 * C04419 ))</v>
      </c>
    </row>
    <row r="281" spans="1:11" ht="29" x14ac:dyDescent="0.35">
      <c r="A281" s="31" t="s">
        <v>4566</v>
      </c>
      <c r="B281" s="31" t="s">
        <v>4567</v>
      </c>
      <c r="C281" s="31" t="s">
        <v>14026</v>
      </c>
      <c r="D281" s="31">
        <v>280</v>
      </c>
      <c r="E281" s="31" t="str">
        <f t="shared" si="20"/>
        <v>E2_1_3_2</v>
      </c>
      <c r="F281" s="31" t="s">
        <v>9249</v>
      </c>
      <c r="G281" s="31" t="str">
        <f t="shared" si="21"/>
        <v>C00169 * C00049</v>
      </c>
      <c r="H281" s="31" t="s">
        <v>9250</v>
      </c>
      <c r="I281" s="31" t="str">
        <f t="shared" si="22"/>
        <v>C00009 * C00438</v>
      </c>
      <c r="J281" s="31" t="str">
        <f t="shared" si="23"/>
        <v>(${Variables: E2_1_3_2_Kcat } * E2_1_3_2 * C00169 * C00049) /(${Variables:E2_1_3_2_Km} + (E2_1_3_2 * C00169 * C00049))</v>
      </c>
      <c r="K281" s="32" t="str">
        <f t="shared" si="24"/>
        <v>r280: C00169 + C00049 -&gt; C00009 + C00438 | (${Variables: E2_1_3_2_Kcat } * E2_1_3_2 * C00169 * C00049) /(${Variables:E2_1_3_2_Km} + (E2_1_3_2 * C00169 * C00049))</v>
      </c>
    </row>
    <row r="282" spans="1:11" ht="29" x14ac:dyDescent="0.35">
      <c r="A282" s="31" t="s">
        <v>2965</v>
      </c>
      <c r="B282" s="31" t="s">
        <v>2966</v>
      </c>
      <c r="C282" s="31" t="s">
        <v>14027</v>
      </c>
      <c r="D282" s="31">
        <v>281</v>
      </c>
      <c r="E282" s="31" t="str">
        <f t="shared" si="20"/>
        <v>E2_1_3_3</v>
      </c>
      <c r="F282" s="31" t="s">
        <v>9253</v>
      </c>
      <c r="G282" s="31" t="str">
        <f t="shared" si="21"/>
        <v>C00169 * C00077</v>
      </c>
      <c r="H282" s="31" t="s">
        <v>9254</v>
      </c>
      <c r="I282" s="31" t="str">
        <f t="shared" si="22"/>
        <v> C00009 * C00327</v>
      </c>
      <c r="J282" s="31" t="str">
        <f t="shared" si="23"/>
        <v>(${Variables: E2_1_3_3_Kcat } * E2_1_3_3 * C00169 * C00077) /(${Variables:E2_1_3_3_Km} + (E2_1_3_3 * C00169 * C00077))</v>
      </c>
      <c r="K282" s="32" t="str">
        <f t="shared" si="24"/>
        <v>r281: C00169 + C00077 -&gt;  C00009 + C00327 | (${Variables: E2_1_3_3_Kcat } * E2_1_3_3 * C00169 * C00077) /(${Variables:E2_1_3_3_Km} + (E2_1_3_3 * C00169 * C00077))</v>
      </c>
    </row>
    <row r="283" spans="1:11" ht="29" x14ac:dyDescent="0.35">
      <c r="A283" s="31" t="s">
        <v>3945</v>
      </c>
      <c r="B283" s="31" t="s">
        <v>3946</v>
      </c>
      <c r="C283" s="31" t="s">
        <v>14027</v>
      </c>
      <c r="D283" s="31">
        <v>282</v>
      </c>
      <c r="E283" s="31" t="str">
        <f t="shared" si="20"/>
        <v>E2_1_3_3</v>
      </c>
      <c r="F283" s="31" t="s">
        <v>9253</v>
      </c>
      <c r="G283" s="31" t="str">
        <f t="shared" si="21"/>
        <v>C00169 * C00077</v>
      </c>
      <c r="H283" s="31" t="s">
        <v>9254</v>
      </c>
      <c r="I283" s="31" t="str">
        <f t="shared" si="22"/>
        <v> C00009 * C00327</v>
      </c>
      <c r="J283" s="31" t="str">
        <f t="shared" si="23"/>
        <v>(${Variables: E2_1_3_3_Kcat } * E2_1_3_3 * C00169 * C00077) /(${Variables:E2_1_3_3_Km} + (E2_1_3_3 * C00169 * C00077))</v>
      </c>
      <c r="K283" s="32" t="str">
        <f t="shared" si="24"/>
        <v>r282: C00169 + C00077 -&gt;  C00009 + C00327 | (${Variables: E2_1_3_3_Kcat } * E2_1_3_3 * C00169 * C00077) /(${Variables:E2_1_3_3_Km} + (E2_1_3_3 * C00169 * C00077))</v>
      </c>
    </row>
    <row r="284" spans="1:11" ht="29" x14ac:dyDescent="0.35">
      <c r="A284" s="31" t="s">
        <v>4432</v>
      </c>
      <c r="B284" s="31" t="s">
        <v>4433</v>
      </c>
      <c r="C284" s="31" t="s">
        <v>14028</v>
      </c>
      <c r="D284" s="31">
        <v>283</v>
      </c>
      <c r="E284" s="31" t="str">
        <f t="shared" si="20"/>
        <v>E2_2_1_1</v>
      </c>
      <c r="F284" s="31" t="s">
        <v>9257</v>
      </c>
      <c r="G284" s="31" t="str">
        <f t="shared" si="21"/>
        <v>C05382 * C00118 </v>
      </c>
      <c r="H284" s="31" t="s">
        <v>9258</v>
      </c>
      <c r="I284" s="31" t="str">
        <f t="shared" si="22"/>
        <v>C00117 * C00231</v>
      </c>
      <c r="J284" s="31" t="str">
        <f t="shared" si="23"/>
        <v>(${Variables: E2_2_1_1_Kcat } * E2_2_1_1 * C05382 * C00118 ) /(${Variables:E2_2_1_1_Km} + (E2_2_1_1 * C05382 * C00118 ))</v>
      </c>
      <c r="K284" s="32" t="str">
        <f t="shared" si="24"/>
        <v>r283: C05382 + C00118  -&gt; C00117 + C00231 | (${Variables: E2_2_1_1_Kcat } * E2_2_1_1 * C05382 * C00118 ) /(${Variables:E2_2_1_1_Km} + (E2_2_1_1 * C05382 * C00118 ))</v>
      </c>
    </row>
    <row r="285" spans="1:11" ht="29" x14ac:dyDescent="0.35">
      <c r="A285" s="31" t="s">
        <v>4432</v>
      </c>
      <c r="B285" s="31" t="s">
        <v>4433</v>
      </c>
      <c r="C285" s="31" t="s">
        <v>14028</v>
      </c>
      <c r="D285" s="31">
        <v>284</v>
      </c>
      <c r="E285" s="31" t="str">
        <f t="shared" si="20"/>
        <v>E2_2_1_1</v>
      </c>
      <c r="F285" s="31" t="s">
        <v>9260</v>
      </c>
      <c r="G285" s="31" t="str">
        <f t="shared" si="21"/>
        <v>C00085 * C00118</v>
      </c>
      <c r="H285" s="31" t="s">
        <v>9261</v>
      </c>
      <c r="I285" s="31" t="str">
        <f t="shared" si="22"/>
        <v>C00279 * C00231</v>
      </c>
      <c r="J285" s="31" t="str">
        <f t="shared" si="23"/>
        <v>(${Variables: E2_2_1_1_Kcat } * E2_2_1_1 * C00085 * C00118) /(${Variables:E2_2_1_1_Km} + (E2_2_1_1 * C00085 * C00118))</v>
      </c>
      <c r="K285" s="32" t="str">
        <f t="shared" si="24"/>
        <v>r284: C00085 + C00118 -&gt; C00279 + C00231 | (${Variables: E2_2_1_1_Kcat } * E2_2_1_1 * C00085 * C00118) /(${Variables:E2_2_1_1_Km} + (E2_2_1_1 * C00085 * C00118))</v>
      </c>
    </row>
    <row r="286" spans="1:11" ht="29" x14ac:dyDescent="0.35">
      <c r="A286" s="31" t="s">
        <v>4432</v>
      </c>
      <c r="B286" s="31" t="s">
        <v>4433</v>
      </c>
      <c r="C286" s="31" t="s">
        <v>14028</v>
      </c>
      <c r="D286" s="31">
        <v>285</v>
      </c>
      <c r="E286" s="31" t="str">
        <f t="shared" si="20"/>
        <v>E2_2_1_1</v>
      </c>
      <c r="F286" s="31" t="s">
        <v>9263</v>
      </c>
      <c r="G286" s="31" t="str">
        <f t="shared" si="21"/>
        <v>C05345 * C00118</v>
      </c>
      <c r="H286" s="31" t="s">
        <v>9261</v>
      </c>
      <c r="I286" s="31" t="str">
        <f t="shared" si="22"/>
        <v>C00279 * C00231</v>
      </c>
      <c r="J286" s="31" t="str">
        <f t="shared" si="23"/>
        <v>(${Variables: E2_2_1_1_Kcat } * E2_2_1_1 * C05345 * C00118) /(${Variables:E2_2_1_1_Km} + (E2_2_1_1 * C05345 * C00118))</v>
      </c>
      <c r="K286" s="32" t="str">
        <f t="shared" si="24"/>
        <v>r285: C05345 + C00118 -&gt; C00279 + C00231 | (${Variables: E2_2_1_1_Kcat } * E2_2_1_1 * C05345 * C00118) /(${Variables:E2_2_1_1_Km} + (E2_2_1_1 * C05345 * C00118))</v>
      </c>
    </row>
    <row r="287" spans="1:11" ht="29" x14ac:dyDescent="0.35">
      <c r="A287" s="31" t="s">
        <v>4432</v>
      </c>
      <c r="B287" s="31" t="s">
        <v>4433</v>
      </c>
      <c r="C287" s="31" t="s">
        <v>14028</v>
      </c>
      <c r="D287" s="31">
        <v>286</v>
      </c>
      <c r="E287" s="31" t="str">
        <f t="shared" si="20"/>
        <v>E2_2_1_1</v>
      </c>
      <c r="F287" s="31" t="s">
        <v>9265</v>
      </c>
      <c r="G287" s="31" t="str">
        <f t="shared" si="21"/>
        <v>C12214 * C00117</v>
      </c>
      <c r="H287" s="31" t="s">
        <v>9266</v>
      </c>
      <c r="I287" s="31" t="str">
        <f t="shared" si="22"/>
        <v> C12215 * C05382</v>
      </c>
      <c r="J287" s="31" t="str">
        <f t="shared" si="23"/>
        <v>(${Variables: E2_2_1_1_Kcat } * E2_2_1_1 * C12214 * C00117) /(${Variables:E2_2_1_1_Km} + (E2_2_1_1 * C12214 * C00117))</v>
      </c>
      <c r="K287" s="32" t="str">
        <f t="shared" si="24"/>
        <v>r286: C12214 + C00117 -&gt;  C12215 + C05382 | (${Variables: E2_2_1_1_Kcat } * E2_2_1_1 * C12214 * C00117) /(${Variables:E2_2_1_1_Km} + (E2_2_1_1 * C12214 * C00117))</v>
      </c>
    </row>
    <row r="288" spans="1:11" ht="29" x14ac:dyDescent="0.35">
      <c r="A288" s="31" t="s">
        <v>4432</v>
      </c>
      <c r="B288" s="31" t="s">
        <v>4433</v>
      </c>
      <c r="C288" s="31" t="s">
        <v>14028</v>
      </c>
      <c r="D288" s="31">
        <v>287</v>
      </c>
      <c r="E288" s="31" t="str">
        <f t="shared" si="20"/>
        <v>E2_2_1_1</v>
      </c>
      <c r="F288" s="31" t="s">
        <v>9268</v>
      </c>
      <c r="G288" s="31" t="str">
        <f t="shared" si="21"/>
        <v>C00231 * C00068 </v>
      </c>
      <c r="H288" s="31" t="s">
        <v>9269</v>
      </c>
      <c r="I288" s="31" t="str">
        <f t="shared" si="22"/>
        <v> C13378 * C00118</v>
      </c>
      <c r="J288" s="31" t="str">
        <f t="shared" si="23"/>
        <v>(${Variables: E2_2_1_1_Kcat } * E2_2_1_1 * C00231 * C00068 ) /(${Variables:E2_2_1_1_Km} + (E2_2_1_1 * C00231 * C00068 ))</v>
      </c>
      <c r="K288" s="32" t="str">
        <f t="shared" si="24"/>
        <v>r287: C00231 + C00068  -&gt;  C13378 + C00118 | (${Variables: E2_2_1_1_Kcat } * E2_2_1_1 * C00231 * C00068 ) /(${Variables:E2_2_1_1_Km} + (E2_2_1_1 * C00231 * C00068 ))</v>
      </c>
    </row>
    <row r="289" spans="1:11" ht="29" x14ac:dyDescent="0.35">
      <c r="A289" s="31" t="s">
        <v>4432</v>
      </c>
      <c r="B289" s="31" t="s">
        <v>4433</v>
      </c>
      <c r="C289" s="31" t="s">
        <v>14028</v>
      </c>
      <c r="D289" s="31">
        <v>288</v>
      </c>
      <c r="E289" s="31" t="str">
        <f t="shared" si="20"/>
        <v>E2_2_1_1</v>
      </c>
      <c r="F289" s="31" t="s">
        <v>9271</v>
      </c>
      <c r="G289" s="31" t="str">
        <f t="shared" si="21"/>
        <v>C05382 * C00068</v>
      </c>
      <c r="H289" s="31" t="s">
        <v>9272</v>
      </c>
      <c r="I289" s="31" t="str">
        <f t="shared" si="22"/>
        <v>C13378 * C00117</v>
      </c>
      <c r="J289" s="31" t="str">
        <f t="shared" si="23"/>
        <v>(${Variables: E2_2_1_1_Kcat } * E2_2_1_1 * C05382 * C00068) /(${Variables:E2_2_1_1_Km} + (E2_2_1_1 * C05382 * C00068))</v>
      </c>
      <c r="K289" s="32" t="str">
        <f t="shared" si="24"/>
        <v>r288: C05382 + C00068 -&gt; C13378 + C00117 | (${Variables: E2_2_1_1_Kcat } * E2_2_1_1 * C05382 * C00068) /(${Variables:E2_2_1_1_Km} + (E2_2_1_1 * C05382 * C00068))</v>
      </c>
    </row>
    <row r="290" spans="1:11" ht="29" x14ac:dyDescent="0.35">
      <c r="A290" s="31" t="s">
        <v>4436</v>
      </c>
      <c r="B290" s="31" t="s">
        <v>4437</v>
      </c>
      <c r="C290" s="31" t="s">
        <v>14029</v>
      </c>
      <c r="D290" s="31">
        <v>289</v>
      </c>
      <c r="E290" s="31" t="str">
        <f t="shared" si="20"/>
        <v>E2_2_1_2</v>
      </c>
      <c r="F290" s="31" t="s">
        <v>9275</v>
      </c>
      <c r="G290" s="31" t="str">
        <f t="shared" si="21"/>
        <v>C05382 * C00118</v>
      </c>
      <c r="H290" s="31" t="s">
        <v>9276</v>
      </c>
      <c r="I290" s="31" t="str">
        <f t="shared" si="22"/>
        <v> C00279 * C00085</v>
      </c>
      <c r="J290" s="31" t="str">
        <f t="shared" si="23"/>
        <v>(${Variables: E2_2_1_2_Kcat } * E2_2_1_2 * C05382 * C00118) /(${Variables:E2_2_1_2_Km} + (E2_2_1_2 * C05382 * C00118))</v>
      </c>
      <c r="K290" s="32" t="str">
        <f t="shared" si="24"/>
        <v>r289: C05382 + C00118 -&gt;  C00279 + C00085 | (${Variables: E2_2_1_2_Kcat } * E2_2_1_2 * C05382 * C00118) /(${Variables:E2_2_1_2_Km} + (E2_2_1_2 * C05382 * C00118))</v>
      </c>
    </row>
    <row r="291" spans="1:11" ht="29" x14ac:dyDescent="0.35">
      <c r="A291" s="31" t="s">
        <v>4436</v>
      </c>
      <c r="B291" s="31" t="s">
        <v>4437</v>
      </c>
      <c r="C291" s="31" t="s">
        <v>14029</v>
      </c>
      <c r="D291" s="31">
        <v>290</v>
      </c>
      <c r="E291" s="31" t="str">
        <f t="shared" si="20"/>
        <v>E2_2_1_2</v>
      </c>
      <c r="F291" s="31" t="s">
        <v>9257</v>
      </c>
      <c r="G291" s="31" t="str">
        <f t="shared" si="21"/>
        <v>C05382 * C00118 </v>
      </c>
      <c r="H291" s="31" t="s">
        <v>9278</v>
      </c>
      <c r="I291" s="31" t="str">
        <f t="shared" si="22"/>
        <v> C00279 * C05345</v>
      </c>
      <c r="J291" s="31" t="str">
        <f t="shared" si="23"/>
        <v>(${Variables: E2_2_1_2_Kcat } * E2_2_1_2 * C05382 * C00118 ) /(${Variables:E2_2_1_2_Km} + (E2_2_1_2 * C05382 * C00118 ))</v>
      </c>
      <c r="K291" s="32" t="str">
        <f t="shared" si="24"/>
        <v>r290: C05382 + C00118  -&gt;  C00279 + C05345 | (${Variables: E2_2_1_2_Kcat } * E2_2_1_2 * C05382 * C00118 ) /(${Variables:E2_2_1_2_Km} + (E2_2_1_2 * C05382 * C00118 ))</v>
      </c>
    </row>
    <row r="292" spans="1:11" ht="29" x14ac:dyDescent="0.35">
      <c r="A292" s="31" t="s">
        <v>3615</v>
      </c>
      <c r="B292" s="31" t="s">
        <v>3616</v>
      </c>
      <c r="C292" s="31" t="s">
        <v>14030</v>
      </c>
      <c r="D292" s="31">
        <v>291</v>
      </c>
      <c r="E292" s="31" t="str">
        <f t="shared" si="20"/>
        <v>E2_2_1_6</v>
      </c>
      <c r="F292" s="31" t="s">
        <v>9281</v>
      </c>
      <c r="G292" s="31" t="str">
        <f t="shared" si="21"/>
        <v>C00900 * C00011</v>
      </c>
      <c r="H292" s="31" t="s">
        <v>14434</v>
      </c>
      <c r="I292" s="31" t="str">
        <f t="shared" si="22"/>
        <v> C00022</v>
      </c>
      <c r="J292" s="31" t="str">
        <f t="shared" si="23"/>
        <v>(${Variables: E2_2_1_6_Kcat } * E2_2_1_6 * C00900 * C00011) /(${Variables:E2_2_1_6_Km} + (E2_2_1_6 * C00900 * C00011))</v>
      </c>
      <c r="K292" s="32" t="str">
        <f t="shared" si="24"/>
        <v>r291: C00900 + C00011 -&gt;  C00022 | (${Variables: E2_2_1_6_Kcat } * E2_2_1_6 * C00900 * C00011) /(${Variables:E2_2_1_6_Km} + (E2_2_1_6 * C00900 * C00011))</v>
      </c>
    </row>
    <row r="293" spans="1:11" ht="58" x14ac:dyDescent="0.35">
      <c r="A293" s="31" t="s">
        <v>3615</v>
      </c>
      <c r="B293" s="31" t="s">
        <v>3616</v>
      </c>
      <c r="C293" s="31" t="s">
        <v>14030</v>
      </c>
      <c r="D293" s="31">
        <v>292</v>
      </c>
      <c r="E293" s="31" t="str">
        <f t="shared" si="20"/>
        <v>E2_2_1_6</v>
      </c>
      <c r="F293" s="31" t="s">
        <v>9283</v>
      </c>
      <c r="G293" s="31" t="str">
        <f t="shared" si="21"/>
        <v xml:space="preserve">	
C06010 * C00011</v>
      </c>
      <c r="H293" s="31" t="s">
        <v>14434</v>
      </c>
      <c r="I293" s="31" t="str">
        <f t="shared" si="22"/>
        <v> C00022</v>
      </c>
      <c r="J293" s="31" t="str">
        <f t="shared" si="23"/>
        <v>(${Variables: E2_2_1_6_Kcat } * E2_2_1_6 * 	
C06010 * C00011) /(${Variables:E2_2_1_6_Km} + (E2_2_1_6 * 	
C06010 * C00011))</v>
      </c>
      <c r="K293" s="32" t="str">
        <f t="shared" si="24"/>
        <v>r292: 	
C06010 + C00011 -&gt;  C00022 | (${Variables: E2_2_1_6_Kcat } * E2_2_1_6 * 	
C06010 * C00011) /(${Variables:E2_2_1_6_Km} + (E2_2_1_6 * 	
C06010 * C00011))</v>
      </c>
    </row>
    <row r="294" spans="1:11" ht="29" x14ac:dyDescent="0.35">
      <c r="A294" s="31" t="s">
        <v>3615</v>
      </c>
      <c r="B294" s="31" t="s">
        <v>3616</v>
      </c>
      <c r="C294" s="31" t="s">
        <v>14030</v>
      </c>
      <c r="D294" s="31">
        <v>293</v>
      </c>
      <c r="E294" s="31" t="str">
        <f t="shared" si="20"/>
        <v>E2_2_1_6</v>
      </c>
      <c r="F294" s="31" t="s">
        <v>9285</v>
      </c>
      <c r="G294" s="31" t="str">
        <f t="shared" si="21"/>
        <v>C00022 * C00068</v>
      </c>
      <c r="H294" s="31" t="s">
        <v>9286</v>
      </c>
      <c r="I294" s="31" t="str">
        <f t="shared" si="22"/>
        <v>C05125 * C00011</v>
      </c>
      <c r="J294" s="31" t="str">
        <f t="shared" si="23"/>
        <v>(${Variables: E2_2_1_6_Kcat } * E2_2_1_6 * C00022 * C00068) /(${Variables:E2_2_1_6_Km} + (E2_2_1_6 * C00022 * C00068))</v>
      </c>
      <c r="K294" s="32" t="str">
        <f t="shared" si="24"/>
        <v>r293: C00022 + C00068 -&gt; C05125 + C00011 | (${Variables: E2_2_1_6_Kcat } * E2_2_1_6 * C00022 * C00068) /(${Variables:E2_2_1_6_Km} + (E2_2_1_6 * C00022 * C00068))</v>
      </c>
    </row>
    <row r="295" spans="1:11" ht="58" x14ac:dyDescent="0.35">
      <c r="A295" s="31" t="s">
        <v>3615</v>
      </c>
      <c r="B295" s="31" t="s">
        <v>3616</v>
      </c>
      <c r="C295" s="31" t="s">
        <v>14030</v>
      </c>
      <c r="D295" s="31">
        <v>294</v>
      </c>
      <c r="E295" s="31" t="str">
        <f t="shared" si="20"/>
        <v>E2_2_1_6</v>
      </c>
      <c r="F295" s="31" t="s">
        <v>9288</v>
      </c>
      <c r="G295" s="31" t="str">
        <f t="shared" si="21"/>
        <v xml:space="preserve">	
C00900 * C00068 </v>
      </c>
      <c r="H295" s="31" t="s">
        <v>9289</v>
      </c>
      <c r="I295" s="31" t="str">
        <f t="shared" si="22"/>
        <v>C05125 * C00022</v>
      </c>
      <c r="J295" s="31" t="str">
        <f t="shared" si="23"/>
        <v>(${Variables: E2_2_1_6_Kcat } * E2_2_1_6 * 	
C00900 * C00068 ) /(${Variables:E2_2_1_6_Km} + (E2_2_1_6 * 	
C00900 * C00068 ))</v>
      </c>
      <c r="K295" s="32" t="str">
        <f t="shared" si="24"/>
        <v>r294: 	
C00900 + C00068  -&gt; C05125 + C00022 | (${Variables: E2_2_1_6_Kcat } * E2_2_1_6 * 	
C00900 * C00068 ) /(${Variables:E2_2_1_6_Km} + (E2_2_1_6 * 	
C00900 * C00068 ))</v>
      </c>
    </row>
    <row r="296" spans="1:11" ht="58" x14ac:dyDescent="0.35">
      <c r="A296" s="31" t="s">
        <v>3615</v>
      </c>
      <c r="B296" s="31" t="s">
        <v>3616</v>
      </c>
      <c r="C296" s="31" t="s">
        <v>14030</v>
      </c>
      <c r="D296" s="31">
        <v>295</v>
      </c>
      <c r="E296" s="31" t="str">
        <f t="shared" si="20"/>
        <v>E2_2_1_6</v>
      </c>
      <c r="F296" s="31" t="s">
        <v>9291</v>
      </c>
      <c r="G296" s="31" t="str">
        <f t="shared" si="21"/>
        <v xml:space="preserve">	
C06010 * C00068</v>
      </c>
      <c r="H296" s="31" t="s">
        <v>9292</v>
      </c>
      <c r="I296" s="31" t="str">
        <f t="shared" si="22"/>
        <v> C05125 * C00022</v>
      </c>
      <c r="J296" s="31" t="str">
        <f t="shared" si="23"/>
        <v>(${Variables: E2_2_1_6_Kcat } * E2_2_1_6 * 	
C06010 * C00068) /(${Variables:E2_2_1_6_Km} + (E2_2_1_6 * 	
C06010 * C00068))</v>
      </c>
      <c r="K296" s="32" t="str">
        <f t="shared" si="24"/>
        <v>r295: 	
C06010 + C00068 -&gt;  C05125 + C00022 | (${Variables: E2_2_1_6_Kcat } * E2_2_1_6 * 	
C06010 * C00068) /(${Variables:E2_2_1_6_Km} + (E2_2_1_6 * 	
C06010 * C00068))</v>
      </c>
    </row>
    <row r="297" spans="1:11" ht="58" x14ac:dyDescent="0.35">
      <c r="A297" s="31" t="s">
        <v>3615</v>
      </c>
      <c r="B297" s="31" t="s">
        <v>3616</v>
      </c>
      <c r="C297" s="31" t="s">
        <v>14030</v>
      </c>
      <c r="D297" s="31">
        <v>296</v>
      </c>
      <c r="E297" s="31" t="str">
        <f t="shared" si="20"/>
        <v>E2_2_1_6</v>
      </c>
      <c r="F297" s="31" t="s">
        <v>9294</v>
      </c>
      <c r="G297" s="31" t="str">
        <f t="shared" si="21"/>
        <v xml:space="preserve">	
C00109 * C05125 </v>
      </c>
      <c r="H297" s="31" t="s">
        <v>9295</v>
      </c>
      <c r="I297" s="31" t="str">
        <f t="shared" si="22"/>
        <v> C06006 * C00068</v>
      </c>
      <c r="J297" s="31" t="str">
        <f t="shared" si="23"/>
        <v>(${Variables: E2_2_1_6_Kcat } * E2_2_1_6 * 	
C00109 * C05125 ) /(${Variables:E2_2_1_6_Km} + (E2_2_1_6 * 	
C00109 * C05125 ))</v>
      </c>
      <c r="K297" s="32" t="str">
        <f t="shared" si="24"/>
        <v>r296: 	
C00109 + C05125  -&gt;  C06006 + C00068 | (${Variables: E2_2_1_6_Kcat } * E2_2_1_6 * 	
C00109 * C05125 ) /(${Variables:E2_2_1_6_Km} + (E2_2_1_6 * 	
C00109 * C05125 ))</v>
      </c>
    </row>
    <row r="298" spans="1:11" ht="29" x14ac:dyDescent="0.35">
      <c r="A298" s="31" t="s">
        <v>3615</v>
      </c>
      <c r="B298" s="31" t="s">
        <v>3616</v>
      </c>
      <c r="C298" s="31" t="s">
        <v>14030</v>
      </c>
      <c r="D298" s="31">
        <v>297</v>
      </c>
      <c r="E298" s="31" t="str">
        <f t="shared" si="20"/>
        <v>E2_2_1_6</v>
      </c>
      <c r="F298" s="31" t="s">
        <v>9297</v>
      </c>
      <c r="G298" s="31" t="str">
        <f t="shared" si="21"/>
        <v>C00022 * C00109 </v>
      </c>
      <c r="H298" s="31" t="s">
        <v>9298</v>
      </c>
      <c r="I298" s="31" t="str">
        <f t="shared" si="22"/>
        <v>C06006 * C00011</v>
      </c>
      <c r="J298" s="31" t="str">
        <f t="shared" si="23"/>
        <v>(${Variables: E2_2_1_6_Kcat } * E2_2_1_6 * C00022 * C00109 ) /(${Variables:E2_2_1_6_Km} + (E2_2_1_6 * C00022 * C00109 ))</v>
      </c>
      <c r="K298" s="32" t="str">
        <f t="shared" si="24"/>
        <v>r297: C00022 + C00109  -&gt; C06006 + C00011 | (${Variables: E2_2_1_6_Kcat } * E2_2_1_6 * C00022 * C00109 ) /(${Variables:E2_2_1_6_Km} + (E2_2_1_6 * C00022 * C00109 ))</v>
      </c>
    </row>
    <row r="299" spans="1:11" ht="29" x14ac:dyDescent="0.35">
      <c r="A299" s="31" t="s">
        <v>5224</v>
      </c>
      <c r="B299" s="31" t="s">
        <v>5225</v>
      </c>
      <c r="C299" s="31" t="s">
        <v>14031</v>
      </c>
      <c r="D299" s="31">
        <v>298</v>
      </c>
      <c r="E299" s="31" t="str">
        <f t="shared" si="20"/>
        <v>E2_2_1_7</v>
      </c>
      <c r="F299" s="31" t="s">
        <v>9301</v>
      </c>
      <c r="G299" s="31" t="str">
        <f t="shared" si="21"/>
        <v>C00022 * C00118</v>
      </c>
      <c r="H299" s="31" t="s">
        <v>9302</v>
      </c>
      <c r="I299" s="31" t="str">
        <f t="shared" si="22"/>
        <v>C11437 * C00011</v>
      </c>
      <c r="J299" s="31" t="str">
        <f t="shared" si="23"/>
        <v>(${Variables: E2_2_1_7_Kcat } * E2_2_1_7 * C00022 * C00118) /(${Variables:E2_2_1_7_Km} + (E2_2_1_7 * C00022 * C00118))</v>
      </c>
      <c r="K299" s="32" t="str">
        <f t="shared" si="24"/>
        <v>r298: C00022 + C00118 -&gt; C11437 + C00011 | (${Variables: E2_2_1_7_Kcat } * E2_2_1_7 * C00022 * C00118) /(${Variables:E2_2_1_7_Km} + (E2_2_1_7 * C00022 * C00118))</v>
      </c>
    </row>
    <row r="300" spans="1:11" ht="29" x14ac:dyDescent="0.35">
      <c r="A300" s="31" t="s">
        <v>1358</v>
      </c>
      <c r="B300" s="31" t="s">
        <v>1359</v>
      </c>
      <c r="C300" s="31" t="s">
        <v>14032</v>
      </c>
      <c r="D300" s="31">
        <v>299</v>
      </c>
      <c r="E300" s="31" t="str">
        <f t="shared" si="20"/>
        <v>E2_2_1_9</v>
      </c>
      <c r="F300" s="31" t="s">
        <v>9305</v>
      </c>
      <c r="G300" s="31" t="str">
        <f t="shared" si="21"/>
        <v>C00885 * C00026</v>
      </c>
      <c r="H300" s="31" t="s">
        <v>9306</v>
      </c>
      <c r="I300" s="31" t="str">
        <f t="shared" si="22"/>
        <v> C16519 * C00011</v>
      </c>
      <c r="J300" s="31" t="str">
        <f t="shared" si="23"/>
        <v>(${Variables: E2_2_1_9_Kcat } * E2_2_1_9 * C00885 * C00026) /(${Variables:E2_2_1_9_Km} + (E2_2_1_9 * C00885 * C00026))</v>
      </c>
      <c r="K300" s="31" t="str">
        <f t="shared" si="24"/>
        <v>r299: C00885 + C00026 -&gt;  C16519 + C00011 | (${Variables: E2_2_1_9_Kcat } * E2_2_1_9 * C00885 * C00026) /(${Variables:E2_2_1_9_Km} + (E2_2_1_9 * C00885 * C00026))</v>
      </c>
    </row>
    <row r="301" spans="1:11" ht="29" x14ac:dyDescent="0.35">
      <c r="A301" s="31" t="s">
        <v>7519</v>
      </c>
      <c r="B301" s="31" t="s">
        <v>7520</v>
      </c>
      <c r="C301" s="31" t="s">
        <v>14033</v>
      </c>
      <c r="D301" s="31">
        <v>300</v>
      </c>
      <c r="E301" s="31" t="str">
        <f t="shared" si="20"/>
        <v>E2_3_1_1</v>
      </c>
      <c r="F301" s="31" t="s">
        <v>9309</v>
      </c>
      <c r="G301" s="31" t="str">
        <f t="shared" si="21"/>
        <v>C00024 * C00025</v>
      </c>
      <c r="H301" s="31" t="s">
        <v>9310</v>
      </c>
      <c r="I301" s="31" t="str">
        <f t="shared" si="22"/>
        <v>C00010 * C00624</v>
      </c>
      <c r="J301" s="31" t="str">
        <f t="shared" si="23"/>
        <v>(${Variables: E2_3_1_1_Kcat } * E2_3_1_1 * C00024 * C00025) /(${Variables:E2_3_1_1_Km} + (E2_3_1_1 * C00024 * C00025))</v>
      </c>
      <c r="K301" s="32" t="str">
        <f t="shared" si="24"/>
        <v>r300: C00024 + C00025 -&gt; C00010 + C00624 | (${Variables: E2_3_1_1_Kcat } * E2_3_1_1 * C00024 * C00025) /(${Variables:E2_3_1_1_Km} + (E2_3_1_1 * C00024 * C00025))</v>
      </c>
    </row>
    <row r="302" spans="1:11" ht="29" x14ac:dyDescent="0.35">
      <c r="A302" s="31" t="s">
        <v>3935</v>
      </c>
      <c r="B302" s="31" t="s">
        <v>3936</v>
      </c>
      <c r="C302" s="31" t="s">
        <v>14034</v>
      </c>
      <c r="D302" s="31">
        <v>301</v>
      </c>
      <c r="E302" s="31" t="str">
        <f t="shared" si="20"/>
        <v xml:space="preserve">E2_3_1_1 </v>
      </c>
      <c r="F302" s="31" t="s">
        <v>9309</v>
      </c>
      <c r="G302" s="31" t="str">
        <f t="shared" si="21"/>
        <v>C00024 * C00025</v>
      </c>
      <c r="H302" s="31" t="s">
        <v>9310</v>
      </c>
      <c r="I302" s="31" t="str">
        <f t="shared" si="22"/>
        <v>C00010 * C00624</v>
      </c>
      <c r="J302" s="31" t="str">
        <f t="shared" si="23"/>
        <v>(${Variables: E2_3_1_1 _Kcat } * E2_3_1_1  * C00024 * C00025) /(${Variables:E2_3_1_1 _Km} + (E2_3_1_1  * C00024 * C00025))</v>
      </c>
      <c r="K302" s="32" t="str">
        <f t="shared" si="24"/>
        <v>r301: C00024 + C00025 -&gt; C00010 + C00624 | (${Variables: E2_3_1_1 _Kcat } * E2_3_1_1  * C00024 * C00025) /(${Variables:E2_3_1_1 _Km} + (E2_3_1_1  * C00024 * C00025))</v>
      </c>
    </row>
    <row r="303" spans="1:11" ht="29" x14ac:dyDescent="0.35">
      <c r="A303" s="31" t="s">
        <v>3935</v>
      </c>
      <c r="B303" s="31" t="s">
        <v>3936</v>
      </c>
      <c r="C303" s="31" t="s">
        <v>14035</v>
      </c>
      <c r="D303" s="31">
        <v>302</v>
      </c>
      <c r="E303" s="31" t="str">
        <f t="shared" si="20"/>
        <v>E2_3_1_35</v>
      </c>
      <c r="F303" s="31" t="s">
        <v>9315</v>
      </c>
      <c r="G303" s="31" t="str">
        <f t="shared" si="21"/>
        <v>C00437 * C00025</v>
      </c>
      <c r="H303" s="31" t="s">
        <v>9316</v>
      </c>
      <c r="I303" s="31" t="str">
        <f t="shared" si="22"/>
        <v>C00077 * C00624</v>
      </c>
      <c r="J303" s="31" t="str">
        <f t="shared" si="23"/>
        <v>(${Variables: E2_3_1_35_Kcat } * E2_3_1_35 * C00437 * C00025) /(${Variables:E2_3_1_35_Km} + (E2_3_1_35 * C00437 * C00025))</v>
      </c>
      <c r="K303" s="32" t="str">
        <f t="shared" si="24"/>
        <v>r302: C00437 + C00025 -&gt; C00077 + C00624 | (${Variables: E2_3_1_35_Kcat } * E2_3_1_35 * C00437 * C00025) /(${Variables:E2_3_1_35_Km} + (E2_3_1_35 * C00437 * C00025))</v>
      </c>
    </row>
    <row r="304" spans="1:11" ht="29" x14ac:dyDescent="0.35">
      <c r="A304" s="31" t="s">
        <v>3154</v>
      </c>
      <c r="B304" s="31" t="s">
        <v>3155</v>
      </c>
      <c r="C304" s="31" t="s">
        <v>14036</v>
      </c>
      <c r="D304" s="31">
        <v>303</v>
      </c>
      <c r="E304" s="31" t="str">
        <f t="shared" si="20"/>
        <v>E2_3_1_117</v>
      </c>
      <c r="F304" s="31" t="s">
        <v>9319</v>
      </c>
      <c r="G304" s="31" t="str">
        <f t="shared" si="21"/>
        <v>C00091 * C03972 * C00001</v>
      </c>
      <c r="H304" s="31" t="s">
        <v>9320</v>
      </c>
      <c r="I304" s="31" t="str">
        <f t="shared" si="22"/>
        <v>C00010 * C04462</v>
      </c>
      <c r="J304" s="31" t="str">
        <f t="shared" si="23"/>
        <v>(${Variables: E2_3_1_117_Kcat } * E2_3_1_117 * C00091 * C03972 * C00001) /(${Variables:E2_3_1_117_Km} + (E2_3_1_117 * C00091 * C03972 * C00001))</v>
      </c>
      <c r="K304" s="31" t="str">
        <f t="shared" si="24"/>
        <v>r303: C00091 + C03972 + C00001 -&gt; C00010 + C04462 | (${Variables: E2_3_1_117_Kcat } * E2_3_1_117 * C00091 * C03972 * C00001) /(${Variables:E2_3_1_117_Km} + (E2_3_1_117 * C00091 * C03972 * C00001))</v>
      </c>
    </row>
    <row r="305" spans="1:11" ht="29" x14ac:dyDescent="0.35">
      <c r="A305" s="31" t="s">
        <v>6098</v>
      </c>
      <c r="B305" s="31" t="s">
        <v>6099</v>
      </c>
      <c r="C305" s="31" t="s">
        <v>14037</v>
      </c>
      <c r="D305" s="31">
        <v>304</v>
      </c>
      <c r="E305" s="31" t="str">
        <f t="shared" si="20"/>
        <v>E2_3_1_181</v>
      </c>
      <c r="F305" s="31" t="s">
        <v>9323</v>
      </c>
      <c r="G305" s="31" t="str">
        <f t="shared" si="21"/>
        <v>C05752 * C16240 </v>
      </c>
      <c r="H305" s="31" t="s">
        <v>9324</v>
      </c>
      <c r="I305" s="31" t="str">
        <f t="shared" si="22"/>
        <v>C16236 * C00229</v>
      </c>
      <c r="J305" s="31" t="str">
        <f t="shared" si="23"/>
        <v>(${Variables: E2_3_1_181_Kcat } * E2_3_1_181 * C05752 * C16240 ) /(${Variables:E2_3_1_181_Km} + (E2_3_1_181 * C05752 * C16240 ))</v>
      </c>
      <c r="K305" s="31" t="str">
        <f t="shared" si="24"/>
        <v>r304: C05752 + C16240  -&gt; C16236 + C00229 | (${Variables: E2_3_1_181_Kcat } * E2_3_1_181 * C05752 * C16240 ) /(${Variables:E2_3_1_181_Km} + (E2_3_1_181 * C05752 * C16240 ))</v>
      </c>
    </row>
    <row r="306" spans="1:11" ht="29" x14ac:dyDescent="0.35">
      <c r="A306" s="31" t="s">
        <v>6098</v>
      </c>
      <c r="B306" s="31" t="s">
        <v>6099</v>
      </c>
      <c r="C306" s="31" t="s">
        <v>14037</v>
      </c>
      <c r="D306" s="31">
        <v>305</v>
      </c>
      <c r="E306" s="31" t="str">
        <f t="shared" si="20"/>
        <v>E2_3_1_181</v>
      </c>
      <c r="F306" s="31" t="s">
        <v>9326</v>
      </c>
      <c r="G306" s="31" t="str">
        <f t="shared" si="21"/>
        <v>C05752 * C22158 </v>
      </c>
      <c r="H306" s="31" t="s">
        <v>9327</v>
      </c>
      <c r="I306" s="31" t="str">
        <f t="shared" si="22"/>
        <v>C22160 * C00229</v>
      </c>
      <c r="J306" s="31" t="str">
        <f t="shared" si="23"/>
        <v>(${Variables: E2_3_1_181_Kcat } * E2_3_1_181 * C05752 * C22158 ) /(${Variables:E2_3_1_181_Km} + (E2_3_1_181 * C05752 * C22158 ))</v>
      </c>
      <c r="K306" s="31" t="str">
        <f t="shared" si="24"/>
        <v>r305: C05752 + C22158  -&gt; C22160 + C00229 | (${Variables: E2_3_1_181_Kcat } * E2_3_1_181 * C05752 * C22158 ) /(${Variables:E2_3_1_181_Km} + (E2_3_1_181 * C05752 * C22158 ))</v>
      </c>
    </row>
    <row r="307" spans="1:11" ht="29" x14ac:dyDescent="0.35">
      <c r="A307" s="31" t="s">
        <v>6098</v>
      </c>
      <c r="B307" s="31" t="s">
        <v>6099</v>
      </c>
      <c r="C307" s="31" t="s">
        <v>14037</v>
      </c>
      <c r="D307" s="31">
        <v>306</v>
      </c>
      <c r="E307" s="31" t="str">
        <f t="shared" si="20"/>
        <v>E2_3_1_181</v>
      </c>
      <c r="F307" s="31" t="s">
        <v>9329</v>
      </c>
      <c r="G307" s="31" t="str">
        <f t="shared" si="21"/>
        <v>C05752 * C22157 </v>
      </c>
      <c r="H307" s="31" t="s">
        <v>9330</v>
      </c>
      <c r="I307" s="31" t="str">
        <f t="shared" si="22"/>
        <v> C22159 * C00229</v>
      </c>
      <c r="J307" s="31" t="str">
        <f t="shared" si="23"/>
        <v>(${Variables: E2_3_1_181_Kcat } * E2_3_1_181 * C05752 * C22157 ) /(${Variables:E2_3_1_181_Km} + (E2_3_1_181 * C05752 * C22157 ))</v>
      </c>
      <c r="K307" s="31" t="str">
        <f t="shared" si="24"/>
        <v>r306: C05752 + C22157  -&gt;  C22159 + C00229 | (${Variables: E2_3_1_181_Kcat } * E2_3_1_181 * C05752 * C22157 ) /(${Variables:E2_3_1_181_Km} + (E2_3_1_181 * C05752 * C22157 ))</v>
      </c>
    </row>
    <row r="308" spans="1:11" ht="29" x14ac:dyDescent="0.35">
      <c r="A308" s="31" t="s">
        <v>6098</v>
      </c>
      <c r="B308" s="31" t="s">
        <v>6099</v>
      </c>
      <c r="C308" s="31" t="s">
        <v>14037</v>
      </c>
      <c r="D308" s="31">
        <v>307</v>
      </c>
      <c r="E308" s="31" t="str">
        <f t="shared" si="20"/>
        <v>E2_3_1_181</v>
      </c>
      <c r="F308" s="31" t="s">
        <v>9332</v>
      </c>
      <c r="G308" s="31" t="str">
        <f t="shared" si="21"/>
        <v>C16239 * C16240</v>
      </c>
      <c r="H308" s="31" t="s">
        <v>9333</v>
      </c>
      <c r="I308" s="31" t="str">
        <f t="shared" si="22"/>
        <v>C16237 * C00229</v>
      </c>
      <c r="J308" s="31" t="str">
        <f t="shared" si="23"/>
        <v>(${Variables: E2_3_1_181_Kcat } * E2_3_1_181 * C16239 * C16240) /(${Variables:E2_3_1_181_Km} + (E2_3_1_181 * C16239 * C16240))</v>
      </c>
      <c r="K308" s="31" t="str">
        <f t="shared" si="24"/>
        <v>r307: C16239 + C16240 -&gt; C16237 + C00229 | (${Variables: E2_3_1_181_Kcat } * E2_3_1_181 * C16239 * C16240) /(${Variables:E2_3_1_181_Km} + (E2_3_1_181 * C16239 * C16240))</v>
      </c>
    </row>
    <row r="309" spans="1:11" ht="29" x14ac:dyDescent="0.35">
      <c r="A309" s="31" t="s">
        <v>7092</v>
      </c>
      <c r="B309" s="31" t="s">
        <v>7093</v>
      </c>
      <c r="C309" s="31" t="s">
        <v>14038</v>
      </c>
      <c r="D309" s="31">
        <v>308</v>
      </c>
      <c r="E309" s="31" t="str">
        <f t="shared" si="20"/>
        <v>E2_3_1_189</v>
      </c>
      <c r="F309" s="31" t="s">
        <v>9336</v>
      </c>
      <c r="G309" s="31" t="str">
        <f t="shared" si="21"/>
        <v>C19703 * C00024</v>
      </c>
      <c r="H309" s="31" t="s">
        <v>9337</v>
      </c>
      <c r="I309" s="31" t="str">
        <f t="shared" si="22"/>
        <v> C06717 * C00010</v>
      </c>
      <c r="J309" s="31" t="str">
        <f t="shared" si="23"/>
        <v>(${Variables: E2_3_1_189_Kcat } * E2_3_1_189 * C19703 * C00024) /(${Variables:E2_3_1_189_Km} + (E2_3_1_189 * C19703 * C00024))</v>
      </c>
      <c r="K309" s="31" t="str">
        <f t="shared" si="24"/>
        <v>r308: C19703 + C00024 -&gt;  C06717 + C00010 | (${Variables: E2_3_1_189_Kcat } * E2_3_1_189 * C19703 * C00024) /(${Variables:E2_3_1_189_Km} + (E2_3_1_189 * C19703 * C00024))</v>
      </c>
    </row>
    <row r="310" spans="1:11" ht="29" x14ac:dyDescent="0.35">
      <c r="A310" s="31" t="s">
        <v>1735</v>
      </c>
      <c r="B310" s="31" t="s">
        <v>1736</v>
      </c>
      <c r="C310" s="31" t="s">
        <v>14039</v>
      </c>
      <c r="D310" s="31">
        <v>309</v>
      </c>
      <c r="E310" s="31" t="str">
        <f t="shared" si="20"/>
        <v>E2_3_1_234</v>
      </c>
      <c r="F310" s="31" t="s">
        <v>9340</v>
      </c>
      <c r="G310" s="31" t="str">
        <f t="shared" si="21"/>
        <v>C20641 * C17324 </v>
      </c>
      <c r="H310" s="31" t="s">
        <v>9341</v>
      </c>
      <c r="I310" s="31" t="str">
        <f t="shared" si="22"/>
        <v> C00020 * C20751</v>
      </c>
      <c r="J310" s="31" t="str">
        <f t="shared" si="23"/>
        <v>(${Variables: E2_3_1_234_Kcat } * E2_3_1_234 * C20641 * C17324 ) /(${Variables:E2_3_1_234_Km} + (E2_3_1_234 * C20641 * C17324 ))</v>
      </c>
      <c r="K310" s="31" t="str">
        <f t="shared" si="24"/>
        <v>r309: C20641 + C17324  -&gt;  C00020 + C20751 | (${Variables: E2_3_1_234_Kcat } * E2_3_1_234 * C20641 * C17324 ) /(${Variables:E2_3_1_234_Km} + (E2_3_1_234 * C20641 * C17324 ))</v>
      </c>
    </row>
    <row r="311" spans="1:11" ht="29" x14ac:dyDescent="0.35">
      <c r="A311" s="31" t="s">
        <v>1743</v>
      </c>
      <c r="B311" s="31" t="s">
        <v>1744</v>
      </c>
      <c r="C311" s="31" t="s">
        <v>14039</v>
      </c>
      <c r="D311" s="31">
        <v>310</v>
      </c>
      <c r="E311" s="31" t="str">
        <f t="shared" si="20"/>
        <v>E2_3_1_234</v>
      </c>
      <c r="F311" s="31" t="s">
        <v>9340</v>
      </c>
      <c r="G311" s="31" t="str">
        <f t="shared" si="21"/>
        <v>C20641 * C17324 </v>
      </c>
      <c r="H311" s="31" t="s">
        <v>9341</v>
      </c>
      <c r="I311" s="31" t="str">
        <f t="shared" si="22"/>
        <v> C00020 * C20751</v>
      </c>
      <c r="J311" s="31" t="str">
        <f t="shared" si="23"/>
        <v>(${Variables: E2_3_1_234_Kcat } * E2_3_1_234 * C20641 * C17324 ) /(${Variables:E2_3_1_234_Km} + (E2_3_1_234 * C20641 * C17324 ))</v>
      </c>
      <c r="K311" s="31" t="str">
        <f t="shared" si="24"/>
        <v>r310: C20641 + C17324  -&gt;  C00020 + C20751 | (${Variables: E2_3_1_234_Kcat } * E2_3_1_234 * C20641 * C17324 ) /(${Variables:E2_3_1_234_Km} + (E2_3_1_234 * C20641 * C17324 ))</v>
      </c>
    </row>
    <row r="312" spans="1:11" ht="29" x14ac:dyDescent="0.35">
      <c r="A312" s="31" t="s">
        <v>1739</v>
      </c>
      <c r="B312" s="31" t="s">
        <v>1740</v>
      </c>
      <c r="C312" s="31" t="s">
        <v>14040</v>
      </c>
      <c r="D312" s="31">
        <v>311</v>
      </c>
      <c r="E312" s="31" t="str">
        <f t="shared" si="20"/>
        <v>E2_3_1_266</v>
      </c>
      <c r="F312" s="31" t="s">
        <v>9344</v>
      </c>
      <c r="G312" s="31" t="str">
        <f t="shared" si="21"/>
        <v>C00024 * C03803</v>
      </c>
      <c r="H312" s="31" t="s">
        <v>9345</v>
      </c>
      <c r="I312" s="31" t="str">
        <f t="shared" si="22"/>
        <v>C00010 * C04341</v>
      </c>
      <c r="J312" s="31" t="str">
        <f t="shared" si="23"/>
        <v>(${Variables: E2_3_1_266_Kcat } * E2_3_1_266 * C00024 * C03803) /(${Variables:E2_3_1_266_Km} + (E2_3_1_266 * C00024 * C03803))</v>
      </c>
      <c r="K312" s="32" t="str">
        <f t="shared" si="24"/>
        <v>r311: C00024 + C03803 -&gt; C00010 + C04341 | (${Variables: E2_3_1_266_Kcat } * E2_3_1_266 * C00024 * C03803) /(${Variables:E2_3_1_266_Km} + (E2_3_1_266 * C00024 * C03803))</v>
      </c>
    </row>
    <row r="313" spans="1:11" ht="29" x14ac:dyDescent="0.35">
      <c r="A313" s="31" t="s">
        <v>276</v>
      </c>
      <c r="B313" s="31" t="s">
        <v>277</v>
      </c>
      <c r="C313" s="31" t="s">
        <v>14041</v>
      </c>
      <c r="D313" s="31">
        <v>312</v>
      </c>
      <c r="E313" s="31" t="str">
        <f t="shared" si="20"/>
        <v>E2_3_1_286</v>
      </c>
      <c r="F313" s="31" t="s">
        <v>9349</v>
      </c>
      <c r="G313" s="31" t="str">
        <f t="shared" si="21"/>
        <v>C00003 * C20743 * C00001 </v>
      </c>
      <c r="H313" s="31" t="s">
        <v>9350</v>
      </c>
      <c r="I313" s="31" t="str">
        <f t="shared" si="22"/>
        <v> C00153 * C02188 * C20658 * C00080</v>
      </c>
      <c r="J313" s="31" t="str">
        <f t="shared" si="23"/>
        <v>(${Variables: E2_3_1_286_Kcat } * E2_3_1_286 * C00003 * C20743 * C00001 ) /(${Variables:E2_3_1_286_Km} + (E2_3_1_286 * C00003 * C20743 * C00001 ))</v>
      </c>
      <c r="K313" s="31" t="str">
        <f t="shared" si="24"/>
        <v>r312: C00003 + C20743 + C00001  -&gt;  C00153 + C02188 + C20658 + C00080 | (${Variables: E2_3_1_286_Kcat } * E2_3_1_286 * C00003 * C20743 * C00001 ) /(${Variables:E2_3_1_286_Km} + (E2_3_1_286 * C00003 * C20743 * C00001 ))</v>
      </c>
    </row>
    <row r="314" spans="1:11" ht="29" x14ac:dyDescent="0.35">
      <c r="A314" s="31" t="s">
        <v>276</v>
      </c>
      <c r="B314" s="31" t="s">
        <v>277</v>
      </c>
      <c r="C314" s="31" t="s">
        <v>14041</v>
      </c>
      <c r="D314" s="31">
        <v>313</v>
      </c>
      <c r="E314" s="31" t="str">
        <f t="shared" si="20"/>
        <v>E2_3_1_286</v>
      </c>
      <c r="F314" s="31" t="s">
        <v>9352</v>
      </c>
      <c r="G314" s="31" t="str">
        <f t="shared" si="21"/>
        <v>C00003 * C01997 * C00001 </v>
      </c>
      <c r="H314" s="31" t="s">
        <v>9353</v>
      </c>
      <c r="I314" s="31" t="str">
        <f t="shared" si="22"/>
        <v> C00153 * C02415 * C20658 * C00080</v>
      </c>
      <c r="J314" s="31" t="str">
        <f t="shared" si="23"/>
        <v>(${Variables: E2_3_1_286_Kcat } * E2_3_1_286 * C00003 * C01997 * C00001 ) /(${Variables:E2_3_1_286_Km} + (E2_3_1_286 * C00003 * C01997 * C00001 ))</v>
      </c>
      <c r="K314" s="31" t="str">
        <f t="shared" si="24"/>
        <v>r313: C00003 + C01997 + C00001  -&gt;  C00153 + C02415 + C20658 + C00080 | (${Variables: E2_3_1_286_Kcat } * E2_3_1_286 * C00003 * C01997 * C00001 ) /(${Variables:E2_3_1_286_Km} + (E2_3_1_286 * C00003 * C01997 * C00001 ))</v>
      </c>
    </row>
    <row r="315" spans="1:11" ht="29" x14ac:dyDescent="0.35">
      <c r="A315" s="31" t="s">
        <v>1904</v>
      </c>
      <c r="B315" s="31" t="s">
        <v>1905</v>
      </c>
      <c r="C315" s="31" t="s">
        <v>14042</v>
      </c>
      <c r="D315" s="31">
        <v>314</v>
      </c>
      <c r="E315" s="31" t="str">
        <f t="shared" si="20"/>
        <v>E2_3_1_31</v>
      </c>
      <c r="F315" s="31" t="s">
        <v>9356</v>
      </c>
      <c r="G315" s="31" t="str">
        <f t="shared" si="21"/>
        <v>C00024 * C00263 </v>
      </c>
      <c r="H315" s="31" t="s">
        <v>9357</v>
      </c>
      <c r="I315" s="31" t="str">
        <f t="shared" si="22"/>
        <v>C00010 * C01077</v>
      </c>
      <c r="J315" s="31" t="str">
        <f t="shared" si="23"/>
        <v>(${Variables: E2_3_1_31_Kcat } * E2_3_1_31 * C00024 * C00263 ) /(${Variables:E2_3_1_31_Km} + (E2_3_1_31 * C00024 * C00263 ))</v>
      </c>
      <c r="K315" s="32" t="str">
        <f t="shared" si="24"/>
        <v>r314: C00024 + C00263  -&gt; C00010 + C01077 | (${Variables: E2_3_1_31_Kcat } * E2_3_1_31 * C00024 * C00263 ) /(${Variables:E2_3_1_31_Km} + (E2_3_1_31 * C00024 * C00263 ))</v>
      </c>
    </row>
    <row r="316" spans="1:11" ht="29" x14ac:dyDescent="0.35">
      <c r="A316" s="31" t="s">
        <v>7555</v>
      </c>
      <c r="B316" s="31" t="s">
        <v>7556</v>
      </c>
      <c r="C316" s="31" t="s">
        <v>14043</v>
      </c>
      <c r="D316" s="31">
        <v>315</v>
      </c>
      <c r="E316" s="31" t="str">
        <f t="shared" si="20"/>
        <v>E2_3_1_8</v>
      </c>
      <c r="F316" s="31" t="s">
        <v>9360</v>
      </c>
      <c r="G316" s="31" t="str">
        <f t="shared" si="21"/>
        <v>C00024 * C00009</v>
      </c>
      <c r="H316" s="31" t="s">
        <v>9361</v>
      </c>
      <c r="I316" s="31" t="str">
        <f t="shared" si="22"/>
        <v> C00010 * C00227</v>
      </c>
      <c r="J316" s="31" t="str">
        <f t="shared" si="23"/>
        <v>(${Variables: E2_3_1_8_Kcat } * E2_3_1_8 * C00024 * C00009) /(${Variables:E2_3_1_8_Km} + (E2_3_1_8 * C00024 * C00009))</v>
      </c>
      <c r="K316" s="32" t="str">
        <f t="shared" si="24"/>
        <v>r315: C00024 + C00009 -&gt;  C00010 + C00227 | (${Variables: E2_3_1_8_Kcat } * E2_3_1_8 * C00024 * C00009) /(${Variables:E2_3_1_8_Km} + (E2_3_1_8 * C00024 * C00009))</v>
      </c>
    </row>
    <row r="317" spans="1:11" ht="29" x14ac:dyDescent="0.35">
      <c r="A317" s="31" t="s">
        <v>7555</v>
      </c>
      <c r="B317" s="31" t="s">
        <v>7556</v>
      </c>
      <c r="C317" s="31" t="s">
        <v>14043</v>
      </c>
      <c r="D317" s="31">
        <v>316</v>
      </c>
      <c r="E317" s="31" t="str">
        <f t="shared" si="20"/>
        <v>E2_3_1_8</v>
      </c>
      <c r="F317" s="31" t="s">
        <v>9363</v>
      </c>
      <c r="G317" s="31" t="str">
        <f t="shared" si="21"/>
        <v>C00100 * C00009</v>
      </c>
      <c r="H317" s="31" t="s">
        <v>9364</v>
      </c>
      <c r="I317" s="31" t="str">
        <f t="shared" si="22"/>
        <v> C02876 * C00010</v>
      </c>
      <c r="J317" s="31" t="str">
        <f t="shared" si="23"/>
        <v>(${Variables: E2_3_1_8_Kcat } * E2_3_1_8 * C00100 * C00009) /(${Variables:E2_3_1_8_Km} + (E2_3_1_8 * C00100 * C00009))</v>
      </c>
      <c r="K317" s="32" t="str">
        <f t="shared" si="24"/>
        <v>r316: C00100 + C00009 -&gt;  C02876 + C00010 | (${Variables: E2_3_1_8_Kcat } * E2_3_1_8 * C00100 * C00009) /(${Variables:E2_3_1_8_Km} + (E2_3_1_8 * C00100 * C00009))</v>
      </c>
    </row>
    <row r="318" spans="1:11" ht="43.5" x14ac:dyDescent="0.35">
      <c r="A318" s="31" t="s">
        <v>2423</v>
      </c>
      <c r="B318" s="31" t="s">
        <v>2424</v>
      </c>
      <c r="C318" s="31" t="s">
        <v>14044</v>
      </c>
      <c r="D318" s="31">
        <v>317</v>
      </c>
      <c r="E318" s="31" t="str">
        <f t="shared" si="20"/>
        <v>E2_3_1_85</v>
      </c>
      <c r="F318" s="31" t="s">
        <v>14389</v>
      </c>
      <c r="G318" s="31" t="str">
        <f t="shared" si="21"/>
        <v>C00024 * C00083 *  C00005 *  C00080 </v>
      </c>
      <c r="H318" s="31" t="s">
        <v>14437</v>
      </c>
      <c r="I318" s="31" t="s">
        <v>14438</v>
      </c>
      <c r="J318" s="31" t="str">
        <f t="shared" si="23"/>
        <v>(${Variables: E2_3_1_85_Kcat } * E2_3_1_85 * C00024 * C00083 *  C00005 *  C00080 ) /(${Variables:E2_3_1_85_Km} + (E2_3_1_85 * C00024 * C00083 *  C00005 *  C00080 ))</v>
      </c>
      <c r="K318" s="31" t="str">
        <f t="shared" si="24"/>
        <v>r317: C00024 + C00083 +  C00005 +  C00080  -&gt; C00638 + C00011 + C00006 + C00010 + C00001 | (${Variables: E2_3_1_85_Kcat } * E2_3_1_85 * C00024 * C00083 *  C00005 *  C00080 ) /(${Variables:E2_3_1_85_Km} + (E2_3_1_85 * C00024 * C00083 *  C00005 *  C00080 ))</v>
      </c>
    </row>
    <row r="319" spans="1:11" ht="29" x14ac:dyDescent="0.35">
      <c r="A319" s="31" t="s">
        <v>2423</v>
      </c>
      <c r="B319" s="31" t="s">
        <v>2424</v>
      </c>
      <c r="C319" s="31" t="s">
        <v>14044</v>
      </c>
      <c r="D319" s="31">
        <v>318</v>
      </c>
      <c r="E319" s="31" t="str">
        <f t="shared" si="20"/>
        <v>E2_3_1_85</v>
      </c>
      <c r="F319" s="31" t="s">
        <v>9369</v>
      </c>
      <c r="G319" s="31" t="str">
        <f t="shared" si="21"/>
        <v>C00024 * C00229 </v>
      </c>
      <c r="H319" s="31" t="s">
        <v>9370</v>
      </c>
      <c r="I319" s="31" t="str">
        <f>SUBSTITUTE(H319,"+","*")</f>
        <v> C00010 * C03939</v>
      </c>
      <c r="J319" s="31" t="str">
        <f t="shared" si="23"/>
        <v>(${Variables: E2_3_1_85_Kcat } * E2_3_1_85 * C00024 * C00229 ) /(${Variables:E2_3_1_85_Km} + (E2_3_1_85 * C00024 * C00229 ))</v>
      </c>
      <c r="K319" s="31" t="str">
        <f t="shared" si="24"/>
        <v>r318: C00024 + C00229  -&gt;  C00010 + C03939 | (${Variables: E2_3_1_85_Kcat } * E2_3_1_85 * C00024 * C00229 ) /(${Variables:E2_3_1_85_Km} + (E2_3_1_85 * C00024 * C00229 ))</v>
      </c>
    </row>
    <row r="320" spans="1:11" ht="29" x14ac:dyDescent="0.35">
      <c r="A320" s="31" t="s">
        <v>2423</v>
      </c>
      <c r="B320" s="31" t="s">
        <v>2424</v>
      </c>
      <c r="C320" s="31" t="s">
        <v>14044</v>
      </c>
      <c r="D320" s="31">
        <v>319</v>
      </c>
      <c r="E320" s="31" t="str">
        <f t="shared" si="20"/>
        <v>E2_3_1_85</v>
      </c>
      <c r="F320" s="31" t="s">
        <v>9372</v>
      </c>
      <c r="G320" s="31" t="str">
        <f t="shared" si="21"/>
        <v>C00083 * C00229 </v>
      </c>
      <c r="H320" s="31" t="s">
        <v>9373</v>
      </c>
      <c r="I320" s="31" t="str">
        <f t="shared" ref="I320:I349" si="25">SUBSTITUTE(H320,"+","*")</f>
        <v>C00010 * C01209</v>
      </c>
      <c r="J320" s="31" t="str">
        <f t="shared" si="23"/>
        <v>(${Variables: E2_3_1_85_Kcat } * E2_3_1_85 * C00083 * C00229 ) /(${Variables:E2_3_1_85_Km} + (E2_3_1_85 * C00083 * C00229 ))</v>
      </c>
      <c r="K320" s="31" t="str">
        <f t="shared" si="24"/>
        <v>r319: C00083 + C00229  -&gt; C00010 + C01209 | (${Variables: E2_3_1_85_Kcat } * E2_3_1_85 * C00083 * C00229 ) /(${Variables:E2_3_1_85_Km} + (E2_3_1_85 * C00083 * C00229 ))</v>
      </c>
    </row>
    <row r="321" spans="1:11" ht="29" x14ac:dyDescent="0.35">
      <c r="A321" s="31" t="s">
        <v>2423</v>
      </c>
      <c r="B321" s="31" t="s">
        <v>2424</v>
      </c>
      <c r="C321" s="31" t="s">
        <v>14044</v>
      </c>
      <c r="D321" s="31">
        <v>320</v>
      </c>
      <c r="E321" s="31" t="str">
        <f t="shared" si="20"/>
        <v>E2_3_1_85</v>
      </c>
      <c r="F321" s="31" t="s">
        <v>9375</v>
      </c>
      <c r="G321" s="31" t="str">
        <f t="shared" si="21"/>
        <v>C05764 * C00001 </v>
      </c>
      <c r="H321" s="31" t="s">
        <v>9376</v>
      </c>
      <c r="I321" s="31" t="str">
        <f t="shared" si="25"/>
        <v>C00229 * C00249</v>
      </c>
      <c r="J321" s="31" t="str">
        <f t="shared" si="23"/>
        <v>(${Variables: E2_3_1_85_Kcat } * E2_3_1_85 * C05764 * C00001 ) /(${Variables:E2_3_1_85_Km} + (E2_3_1_85 * C05764 * C00001 ))</v>
      </c>
      <c r="K321" s="31" t="str">
        <f t="shared" si="24"/>
        <v>r320: C05764 + C00001  -&gt; C00229 + C00249 | (${Variables: E2_3_1_85_Kcat } * E2_3_1_85 * C05764 * C00001 ) /(${Variables:E2_3_1_85_Km} + (E2_3_1_85 * C05764 * C00001 ))</v>
      </c>
    </row>
    <row r="322" spans="1:11" ht="29" x14ac:dyDescent="0.35">
      <c r="A322" s="31" t="s">
        <v>2423</v>
      </c>
      <c r="B322" s="31" t="s">
        <v>2424</v>
      </c>
      <c r="C322" s="31" t="s">
        <v>14044</v>
      </c>
      <c r="D322" s="31">
        <v>321</v>
      </c>
      <c r="E322" s="31" t="str">
        <f t="shared" si="20"/>
        <v>E2_3_1_85</v>
      </c>
      <c r="F322" s="31" t="s">
        <v>9378</v>
      </c>
      <c r="G322" s="31" t="str">
        <f t="shared" si="21"/>
        <v>C03939 * C01209 </v>
      </c>
      <c r="H322" s="31" t="s">
        <v>9379</v>
      </c>
      <c r="I322" s="31" t="str">
        <f t="shared" si="25"/>
        <v> C05744 * C00011 * C00229</v>
      </c>
      <c r="J322" s="31" t="str">
        <f t="shared" si="23"/>
        <v>(${Variables: E2_3_1_85_Kcat } * E2_3_1_85 * C03939 * C01209 ) /(${Variables:E2_3_1_85_Km} + (E2_3_1_85 * C03939 * C01209 ))</v>
      </c>
      <c r="K322" s="31" t="str">
        <f t="shared" si="24"/>
        <v>r321: C03939 + C01209  -&gt;  C05744 + C00011 + C00229 | (${Variables: E2_3_1_85_Kcat } * E2_3_1_85 * C03939 * C01209 ) /(${Variables:E2_3_1_85_Km} + (E2_3_1_85 * C03939 * C01209 ))</v>
      </c>
    </row>
    <row r="323" spans="1:11" ht="58" x14ac:dyDescent="0.35">
      <c r="A323" s="31" t="s">
        <v>2423</v>
      </c>
      <c r="B323" s="31" t="s">
        <v>2424</v>
      </c>
      <c r="C323" s="31" t="s">
        <v>14044</v>
      </c>
      <c r="D323" s="31">
        <v>322</v>
      </c>
      <c r="E323" s="31" t="str">
        <f t="shared" ref="E323:E386" si="26">CONCATENATE("E",C323)</f>
        <v>E2_3_1_85</v>
      </c>
      <c r="F323" s="31" t="s">
        <v>9381</v>
      </c>
      <c r="G323" s="31" t="str">
        <f t="shared" ref="G323:G386" si="27">SUBSTITUTE(F323,"+","*")</f>
        <v xml:space="preserve">	
C04618 </v>
      </c>
      <c r="H323" s="31" t="s">
        <v>9382</v>
      </c>
      <c r="I323" s="31" t="str">
        <f t="shared" si="25"/>
        <v>C04246 * C00001</v>
      </c>
      <c r="J323" s="31" t="str">
        <f t="shared" ref="J323:J386" si="28">CONCATENATE("(${Variables: ",E323,"_Kcat ","} * ",E323," * ",G323,")"," /(${Variables:",E323,"_Km","} + (",E323," * ",G323,"))")</f>
        <v>(${Variables: E2_3_1_85_Kcat } * E2_3_1_85 * 	
C04618 ) /(${Variables:E2_3_1_85_Km} + (E2_3_1_85 * 	
C04618 ))</v>
      </c>
      <c r="K323" s="31" t="str">
        <f t="shared" ref="K323:K386" si="29">CONCATENATE("r",D323,": ",F323," -&gt; ",H323," | ",J323)</f>
        <v>r322: 	
C04618  -&gt; C04246 + C00001 | (${Variables: E2_3_1_85_Kcat } * E2_3_1_85 * 	
C04618 ) /(${Variables:E2_3_1_85_Km} + (E2_3_1_85 * 	
C04618 ))</v>
      </c>
    </row>
    <row r="324" spans="1:11" ht="29" x14ac:dyDescent="0.35">
      <c r="A324" s="31" t="s">
        <v>2423</v>
      </c>
      <c r="B324" s="31" t="s">
        <v>2424</v>
      </c>
      <c r="C324" s="31" t="s">
        <v>14044</v>
      </c>
      <c r="D324" s="31">
        <v>323</v>
      </c>
      <c r="E324" s="31" t="str">
        <f t="shared" si="26"/>
        <v>E2_3_1_85</v>
      </c>
      <c r="F324" s="31" t="s">
        <v>9384</v>
      </c>
      <c r="G324" s="31" t="str">
        <f t="shared" si="27"/>
        <v>C05745 * C00006</v>
      </c>
      <c r="H324" s="31" t="s">
        <v>9385</v>
      </c>
      <c r="I324" s="31" t="str">
        <f t="shared" si="25"/>
        <v>C04246 * C00005 * C00080</v>
      </c>
      <c r="J324" s="31" t="str">
        <f t="shared" si="28"/>
        <v>(${Variables: E2_3_1_85_Kcat } * E2_3_1_85 * C05745 * C00006) /(${Variables:E2_3_1_85_Km} + (E2_3_1_85 * C05745 * C00006))</v>
      </c>
      <c r="K324" s="31" t="str">
        <f t="shared" si="29"/>
        <v>r323: C05745 + C00006 -&gt; C04246 + C00005 + C00080 | (${Variables: E2_3_1_85_Kcat } * E2_3_1_85 * C05745 * C00006) /(${Variables:E2_3_1_85_Km} + (E2_3_1_85 * C05745 * C00006))</v>
      </c>
    </row>
    <row r="325" spans="1:11" ht="29" x14ac:dyDescent="0.35">
      <c r="A325" s="31" t="s">
        <v>2423</v>
      </c>
      <c r="B325" s="31" t="s">
        <v>2424</v>
      </c>
      <c r="C325" s="31" t="s">
        <v>14044</v>
      </c>
      <c r="D325" s="31">
        <v>324</v>
      </c>
      <c r="E325" s="31" t="str">
        <f t="shared" si="26"/>
        <v>E2_3_1_85</v>
      </c>
      <c r="F325" s="31" t="s">
        <v>8869</v>
      </c>
      <c r="G325" s="31" t="str">
        <f t="shared" si="27"/>
        <v>C04618 * C00006 </v>
      </c>
      <c r="H325" s="31" t="s">
        <v>9387</v>
      </c>
      <c r="I325" s="31" t="str">
        <f t="shared" si="25"/>
        <v> C05744 * C00005 * C00080</v>
      </c>
      <c r="J325" s="31" t="str">
        <f t="shared" si="28"/>
        <v>(${Variables: E2_3_1_85_Kcat } * E2_3_1_85 * C04618 * C00006 ) /(${Variables:E2_3_1_85_Km} + (E2_3_1_85 * C04618 * C00006 ))</v>
      </c>
      <c r="K325" s="31" t="str">
        <f t="shared" si="29"/>
        <v>r324: C04618 + C00006  -&gt;  C05744 + C00005 + C00080 | (${Variables: E2_3_1_85_Kcat } * E2_3_1_85 * C04618 * C00006 ) /(${Variables:E2_3_1_85_Km} + (E2_3_1_85 * C04618 * C00006 ))</v>
      </c>
    </row>
    <row r="326" spans="1:11" ht="58" x14ac:dyDescent="0.35">
      <c r="A326" s="31" t="s">
        <v>2423</v>
      </c>
      <c r="B326" s="31" t="s">
        <v>2424</v>
      </c>
      <c r="C326" s="31" t="s">
        <v>14044</v>
      </c>
      <c r="D326" s="31">
        <v>325</v>
      </c>
      <c r="E326" s="31" t="str">
        <f t="shared" si="26"/>
        <v>E2_3_1_85</v>
      </c>
      <c r="F326" s="31" t="s">
        <v>9389</v>
      </c>
      <c r="G326" s="31" t="str">
        <f t="shared" si="27"/>
        <v xml:space="preserve">	
C04619 * C00006 </v>
      </c>
      <c r="H326" s="31" t="s">
        <v>8870</v>
      </c>
      <c r="I326" s="31" t="str">
        <f t="shared" si="25"/>
        <v>C05753 * C00005</v>
      </c>
      <c r="J326" s="31" t="str">
        <f t="shared" si="28"/>
        <v>(${Variables: E2_3_1_85_Kcat } * E2_3_1_85 * 	
C04619 * C00006 ) /(${Variables:E2_3_1_85_Km} + (E2_3_1_85 * 	
C04619 * C00006 ))</v>
      </c>
      <c r="K326" s="31" t="str">
        <f t="shared" si="29"/>
        <v>r325: 	
C04619 + C00006  -&gt; C05753 + C00005 | (${Variables: E2_3_1_85_Kcat } * E2_3_1_85 * 	
C04619 * C00006 ) /(${Variables:E2_3_1_85_Km} + (E2_3_1_85 * 	
C04619 * C00006 ))</v>
      </c>
    </row>
    <row r="327" spans="1:11" ht="58" x14ac:dyDescent="0.35">
      <c r="A327" s="31" t="s">
        <v>2423</v>
      </c>
      <c r="B327" s="31" t="s">
        <v>2424</v>
      </c>
      <c r="C327" s="31" t="s">
        <v>14044</v>
      </c>
      <c r="D327" s="31">
        <v>326</v>
      </c>
      <c r="E327" s="31" t="str">
        <f t="shared" si="26"/>
        <v>E2_3_1_85</v>
      </c>
      <c r="F327" s="31" t="s">
        <v>9391</v>
      </c>
      <c r="G327" s="31" t="str">
        <f t="shared" si="27"/>
        <v xml:space="preserve">	
C04619 </v>
      </c>
      <c r="H327" s="31" t="s">
        <v>9392</v>
      </c>
      <c r="I327" s="31" t="str">
        <f t="shared" si="25"/>
        <v> C05754 * C00001</v>
      </c>
      <c r="J327" s="31" t="str">
        <f t="shared" si="28"/>
        <v>(${Variables: E2_3_1_85_Kcat } * E2_3_1_85 * 	
C04619 ) /(${Variables:E2_3_1_85_Km} + (E2_3_1_85 * 	
C04619 ))</v>
      </c>
      <c r="K327" s="31" t="str">
        <f t="shared" si="29"/>
        <v>r326: 	
C04619  -&gt;  C05754 + C00001 | (${Variables: E2_3_1_85_Kcat } * E2_3_1_85 * 	
C04619 ) /(${Variables:E2_3_1_85_Km} + (E2_3_1_85 * 	
C04619 ))</v>
      </c>
    </row>
    <row r="328" spans="1:11" ht="58" x14ac:dyDescent="0.35">
      <c r="A328" s="31" t="s">
        <v>2423</v>
      </c>
      <c r="B328" s="31" t="s">
        <v>2424</v>
      </c>
      <c r="C328" s="31" t="s">
        <v>14044</v>
      </c>
      <c r="D328" s="31">
        <v>327</v>
      </c>
      <c r="E328" s="31" t="str">
        <f t="shared" si="26"/>
        <v>E2_3_1_85</v>
      </c>
      <c r="F328" s="31" t="s">
        <v>9394</v>
      </c>
      <c r="G328" s="31" t="str">
        <f t="shared" si="27"/>
        <v xml:space="preserve">	
C04620 * C00006</v>
      </c>
      <c r="H328" s="31" t="s">
        <v>9395</v>
      </c>
      <c r="I328" s="31" t="str">
        <f t="shared" si="25"/>
        <v> C05750 * C00005 * C00080</v>
      </c>
      <c r="J328" s="31" t="str">
        <f t="shared" si="28"/>
        <v>(${Variables: E2_3_1_85_Kcat } * E2_3_1_85 * 	
C04620 * C00006) /(${Variables:E2_3_1_85_Km} + (E2_3_1_85 * 	
C04620 * C00006))</v>
      </c>
      <c r="K328" s="31" t="str">
        <f t="shared" si="29"/>
        <v>r327: 	
C04620 + C00006 -&gt;  C05750 + C00005 + C00080 | (${Variables: E2_3_1_85_Kcat } * E2_3_1_85 * 	
C04620 * C00006) /(${Variables:E2_3_1_85_Km} + (E2_3_1_85 * 	
C04620 * C00006))</v>
      </c>
    </row>
    <row r="329" spans="1:11" ht="58" x14ac:dyDescent="0.35">
      <c r="A329" s="31" t="s">
        <v>2423</v>
      </c>
      <c r="B329" s="31" t="s">
        <v>2424</v>
      </c>
      <c r="C329" s="31" t="s">
        <v>14044</v>
      </c>
      <c r="D329" s="31">
        <v>328</v>
      </c>
      <c r="E329" s="31" t="str">
        <f t="shared" si="26"/>
        <v>E2_3_1_85</v>
      </c>
      <c r="F329" s="31" t="s">
        <v>9397</v>
      </c>
      <c r="G329" s="31" t="str">
        <f t="shared" si="27"/>
        <v xml:space="preserve">	
C04620</v>
      </c>
      <c r="H329" s="31" t="s">
        <v>9398</v>
      </c>
      <c r="I329" s="31" t="str">
        <f t="shared" si="25"/>
        <v>C05751 * C00001</v>
      </c>
      <c r="J329" s="31" t="str">
        <f t="shared" si="28"/>
        <v>(${Variables: E2_3_1_85_Kcat } * E2_3_1_85 * 	
C04620) /(${Variables:E2_3_1_85_Km} + (E2_3_1_85 * 	
C04620))</v>
      </c>
      <c r="K329" s="31" t="str">
        <f t="shared" si="29"/>
        <v>r328: 	
C04620 -&gt; C05751 + C00001 | (${Variables: E2_3_1_85_Kcat } * E2_3_1_85 * 	
C04620) /(${Variables:E2_3_1_85_Km} + (E2_3_1_85 * 	
C04620))</v>
      </c>
    </row>
    <row r="330" spans="1:11" ht="29" x14ac:dyDescent="0.35">
      <c r="A330" s="31" t="s">
        <v>2423</v>
      </c>
      <c r="B330" s="31" t="s">
        <v>2424</v>
      </c>
      <c r="C330" s="31" t="s">
        <v>14044</v>
      </c>
      <c r="D330" s="31">
        <v>329</v>
      </c>
      <c r="E330" s="31" t="str">
        <f t="shared" si="26"/>
        <v>E2_3_1_85</v>
      </c>
      <c r="F330" s="31" t="s">
        <v>8872</v>
      </c>
      <c r="G330" s="31" t="str">
        <f t="shared" si="27"/>
        <v>C04633 * C00006 </v>
      </c>
      <c r="H330" s="31" t="s">
        <v>8873</v>
      </c>
      <c r="I330" s="31" t="str">
        <f t="shared" si="25"/>
        <v>C05762 * C00005 * C00080</v>
      </c>
      <c r="J330" s="31" t="str">
        <f t="shared" si="28"/>
        <v>(${Variables: E2_3_1_85_Kcat } * E2_3_1_85 * C04633 * C00006 ) /(${Variables:E2_3_1_85_Km} + (E2_3_1_85 * C04633 * C00006 ))</v>
      </c>
      <c r="K330" s="31" t="str">
        <f t="shared" si="29"/>
        <v>r329: C04633 + C00006  -&gt; C05762 + C00005 + C00080 | (${Variables: E2_3_1_85_Kcat } * E2_3_1_85 * C04633 * C00006 ) /(${Variables:E2_3_1_85_Km} + (E2_3_1_85 * C04633 * C00006 ))</v>
      </c>
    </row>
    <row r="331" spans="1:11" ht="29" x14ac:dyDescent="0.35">
      <c r="A331" s="31" t="s">
        <v>2423</v>
      </c>
      <c r="B331" s="31" t="s">
        <v>2424</v>
      </c>
      <c r="C331" s="31" t="s">
        <v>14044</v>
      </c>
      <c r="D331" s="31">
        <v>330</v>
      </c>
      <c r="E331" s="31" t="str">
        <f t="shared" si="26"/>
        <v>E2_3_1_85</v>
      </c>
      <c r="F331" s="31" t="s">
        <v>9401</v>
      </c>
      <c r="G331" s="31" t="str">
        <f t="shared" si="27"/>
        <v xml:space="preserve">C04633 </v>
      </c>
      <c r="H331" s="31" t="s">
        <v>9402</v>
      </c>
      <c r="I331" s="31" t="str">
        <f t="shared" si="25"/>
        <v> C05763 * C00001</v>
      </c>
      <c r="J331" s="31" t="str">
        <f t="shared" si="28"/>
        <v>(${Variables: E2_3_1_85_Kcat } * E2_3_1_85 * C04633 ) /(${Variables:E2_3_1_85_Km} + (E2_3_1_85 * C04633 ))</v>
      </c>
      <c r="K331" s="31" t="str">
        <f t="shared" si="29"/>
        <v>r330: C04633  -&gt;  C05763 + C00001 | (${Variables: E2_3_1_85_Kcat } * E2_3_1_85 * C04633 ) /(${Variables:E2_3_1_85_Km} + (E2_3_1_85 * C04633 ))</v>
      </c>
    </row>
    <row r="332" spans="1:11" ht="58" x14ac:dyDescent="0.35">
      <c r="A332" s="31" t="s">
        <v>2423</v>
      </c>
      <c r="B332" s="31" t="s">
        <v>2424</v>
      </c>
      <c r="C332" s="31" t="s">
        <v>14044</v>
      </c>
      <c r="D332" s="31">
        <v>331</v>
      </c>
      <c r="E332" s="31" t="str">
        <f t="shared" si="26"/>
        <v>E2_3_1_85</v>
      </c>
      <c r="F332" s="31" t="s">
        <v>9404</v>
      </c>
      <c r="G332" s="31" t="str">
        <f t="shared" si="27"/>
        <v xml:space="preserve">	
C04688 * C00006 </v>
      </c>
      <c r="H332" s="31" t="s">
        <v>9405</v>
      </c>
      <c r="I332" s="31" t="str">
        <f t="shared" si="25"/>
        <v>C05759 * C00005 * C00080</v>
      </c>
      <c r="J332" s="31" t="str">
        <f t="shared" si="28"/>
        <v>(${Variables: E2_3_1_85_Kcat } * E2_3_1_85 * 	
C04688 * C00006 ) /(${Variables:E2_3_1_85_Km} + (E2_3_1_85 * 	
C04688 * C00006 ))</v>
      </c>
      <c r="K332" s="31" t="str">
        <f t="shared" si="29"/>
        <v>r331: 	
C04688 + C00006  -&gt; C05759 + C00005 + C00080 | (${Variables: E2_3_1_85_Kcat } * E2_3_1_85 * 	
C04688 * C00006 ) /(${Variables:E2_3_1_85_Km} + (E2_3_1_85 * 	
C04688 * C00006 ))</v>
      </c>
    </row>
    <row r="333" spans="1:11" ht="29" x14ac:dyDescent="0.35">
      <c r="A333" s="31" t="s">
        <v>2423</v>
      </c>
      <c r="B333" s="31" t="s">
        <v>2424</v>
      </c>
      <c r="C333" s="31" t="s">
        <v>14044</v>
      </c>
      <c r="D333" s="31">
        <v>332</v>
      </c>
      <c r="E333" s="31" t="str">
        <f t="shared" si="26"/>
        <v>E2_3_1_85</v>
      </c>
      <c r="F333" s="31" t="s">
        <v>9407</v>
      </c>
      <c r="G333" s="31" t="str">
        <f t="shared" si="27"/>
        <v>C04688</v>
      </c>
      <c r="H333" s="31" t="s">
        <v>9408</v>
      </c>
      <c r="I333" s="31" t="str">
        <f t="shared" si="25"/>
        <v> C05760 * C00001</v>
      </c>
      <c r="J333" s="31" t="str">
        <f t="shared" si="28"/>
        <v>(${Variables: E2_3_1_85_Kcat } * E2_3_1_85 * C04688) /(${Variables:E2_3_1_85_Km} + (E2_3_1_85 * C04688))</v>
      </c>
      <c r="K333" s="31" t="str">
        <f t="shared" si="29"/>
        <v>r332: C04688 -&gt;  C05760 + C00001 | (${Variables: E2_3_1_85_Kcat } * E2_3_1_85 * C04688) /(${Variables:E2_3_1_85_Km} + (E2_3_1_85 * C04688))</v>
      </c>
    </row>
    <row r="334" spans="1:11" ht="29" x14ac:dyDescent="0.35">
      <c r="A334" s="31" t="s">
        <v>2423</v>
      </c>
      <c r="B334" s="31" t="s">
        <v>2424</v>
      </c>
      <c r="C334" s="31" t="s">
        <v>14044</v>
      </c>
      <c r="D334" s="31">
        <v>333</v>
      </c>
      <c r="E334" s="31" t="str">
        <f t="shared" si="26"/>
        <v>E2_3_1_85</v>
      </c>
      <c r="F334" s="31" t="s">
        <v>9410</v>
      </c>
      <c r="G334" s="31" t="str">
        <f t="shared" si="27"/>
        <v xml:space="preserve">C05223 * C00006 </v>
      </c>
      <c r="H334" s="31" t="s">
        <v>9411</v>
      </c>
      <c r="I334" s="31" t="str">
        <f t="shared" si="25"/>
        <v>C05758 * C00005 * C00080</v>
      </c>
      <c r="J334" s="31" t="str">
        <f t="shared" si="28"/>
        <v>(${Variables: E2_3_1_85_Kcat } * E2_3_1_85 * C05223 * C00006 ) /(${Variables:E2_3_1_85_Km} + (E2_3_1_85 * C05223 * C00006 ))</v>
      </c>
      <c r="K334" s="31" t="str">
        <f t="shared" si="29"/>
        <v>r333: C05223 + C00006  -&gt; C05758 + C00005 + C00080 | (${Variables: E2_3_1_85_Kcat } * E2_3_1_85 * C05223 * C00006 ) /(${Variables:E2_3_1_85_Km} + (E2_3_1_85 * C05223 * C00006 ))</v>
      </c>
    </row>
    <row r="335" spans="1:11" ht="58" x14ac:dyDescent="0.35">
      <c r="A335" s="31" t="s">
        <v>2423</v>
      </c>
      <c r="B335" s="31" t="s">
        <v>2424</v>
      </c>
      <c r="C335" s="31" t="s">
        <v>14044</v>
      </c>
      <c r="D335" s="31">
        <v>334</v>
      </c>
      <c r="E335" s="31" t="str">
        <f t="shared" si="26"/>
        <v>E2_3_1_85</v>
      </c>
      <c r="F335" s="31" t="s">
        <v>9413</v>
      </c>
      <c r="G335" s="31" t="str">
        <f t="shared" si="27"/>
        <v xml:space="preserve">	
C05223 * C01209 </v>
      </c>
      <c r="H335" s="31" t="s">
        <v>9414</v>
      </c>
      <c r="I335" s="31" t="str">
        <f t="shared" si="25"/>
        <v>C05759 * C00011 * C00229</v>
      </c>
      <c r="J335" s="31" t="str">
        <f t="shared" si="28"/>
        <v>(${Variables: E2_3_1_85_Kcat } * E2_3_1_85 * 	
C05223 * C01209 ) /(${Variables:E2_3_1_85_Km} + (E2_3_1_85 * 	
C05223 * C01209 ))</v>
      </c>
      <c r="K335" s="31" t="str">
        <f t="shared" si="29"/>
        <v>r334: 	
C05223 + C01209  -&gt; C05759 + C00011 + C00229 | (${Variables: E2_3_1_85_Kcat } * E2_3_1_85 * 	
C05223 * C01209 ) /(${Variables:E2_3_1_85_Km} + (E2_3_1_85 * 	
C05223 * C01209 ))</v>
      </c>
    </row>
    <row r="336" spans="1:11" ht="29" x14ac:dyDescent="0.35">
      <c r="A336" s="31" t="s">
        <v>2423</v>
      </c>
      <c r="B336" s="31" t="s">
        <v>2424</v>
      </c>
      <c r="C336" s="31" t="s">
        <v>14044</v>
      </c>
      <c r="D336" s="31">
        <v>335</v>
      </c>
      <c r="E336" s="31" t="str">
        <f t="shared" si="26"/>
        <v>E2_3_1_85</v>
      </c>
      <c r="F336" s="31" t="s">
        <v>9416</v>
      </c>
      <c r="G336" s="31" t="str">
        <f t="shared" si="27"/>
        <v xml:space="preserve">C05745 * C01209 </v>
      </c>
      <c r="H336" s="31" t="s">
        <v>9417</v>
      </c>
      <c r="I336" s="31" t="str">
        <f t="shared" si="25"/>
        <v> C05746 * C00011 * C00229</v>
      </c>
      <c r="J336" s="31" t="str">
        <f t="shared" si="28"/>
        <v>(${Variables: E2_3_1_85_Kcat } * E2_3_1_85 * C05745 * C01209 ) /(${Variables:E2_3_1_85_Km} + (E2_3_1_85 * C05745 * C01209 ))</v>
      </c>
      <c r="K336" s="31" t="str">
        <f t="shared" si="29"/>
        <v>r335: C05745 + C01209  -&gt;  C05746 + C00011 + C00229 | (${Variables: E2_3_1_85_Kcat } * E2_3_1_85 * C05745 * C01209 ) /(${Variables:E2_3_1_85_Km} + (E2_3_1_85 * C05745 * C01209 ))</v>
      </c>
    </row>
    <row r="337" spans="1:11" ht="58" x14ac:dyDescent="0.35">
      <c r="A337" s="31" t="s">
        <v>2423</v>
      </c>
      <c r="B337" s="31" t="s">
        <v>2424</v>
      </c>
      <c r="C337" s="31" t="s">
        <v>14044</v>
      </c>
      <c r="D337" s="31">
        <v>336</v>
      </c>
      <c r="E337" s="31" t="str">
        <f t="shared" si="26"/>
        <v>E2_3_1_85</v>
      </c>
      <c r="F337" s="31" t="s">
        <v>9419</v>
      </c>
      <c r="G337" s="31" t="str">
        <f t="shared" si="27"/>
        <v xml:space="preserve">	
C05747 * C00006</v>
      </c>
      <c r="H337" s="31" t="s">
        <v>8874</v>
      </c>
      <c r="I337" s="31" t="str">
        <f t="shared" si="25"/>
        <v>C05746 * C00005 * C00080</v>
      </c>
      <c r="J337" s="31" t="str">
        <f t="shared" si="28"/>
        <v>(${Variables: E2_3_1_85_Kcat } * E2_3_1_85 * 	
C05747 * C00006) /(${Variables:E2_3_1_85_Km} + (E2_3_1_85 * 	
C05747 * C00006))</v>
      </c>
      <c r="K337" s="31" t="str">
        <f t="shared" si="29"/>
        <v>r336: 	
C05747 + C00006 -&gt; C05746 + C00005 + C00080 | (${Variables: E2_3_1_85_Kcat } * E2_3_1_85 * 	
C05747 * C00006) /(${Variables:E2_3_1_85_Km} + (E2_3_1_85 * 	
C05747 * C00006))</v>
      </c>
    </row>
    <row r="338" spans="1:11" ht="29" x14ac:dyDescent="0.35">
      <c r="A338" s="31" t="s">
        <v>2423</v>
      </c>
      <c r="B338" s="31" t="s">
        <v>2424</v>
      </c>
      <c r="C338" s="31" t="s">
        <v>14044</v>
      </c>
      <c r="D338" s="31">
        <v>337</v>
      </c>
      <c r="E338" s="31" t="str">
        <f t="shared" si="26"/>
        <v>E2_3_1_85</v>
      </c>
      <c r="F338" s="31" t="s">
        <v>9421</v>
      </c>
      <c r="G338" s="31" t="str">
        <f t="shared" si="27"/>
        <v>C05747</v>
      </c>
      <c r="H338" s="31" t="s">
        <v>9422</v>
      </c>
      <c r="I338" s="31" t="str">
        <f t="shared" si="25"/>
        <v> C05748 * C00001</v>
      </c>
      <c r="J338" s="31" t="str">
        <f t="shared" si="28"/>
        <v>(${Variables: E2_3_1_85_Kcat } * E2_3_1_85 * C05747) /(${Variables:E2_3_1_85_Km} + (E2_3_1_85 * C05747))</v>
      </c>
      <c r="K338" s="31" t="str">
        <f t="shared" si="29"/>
        <v>r337: C05747 -&gt;  C05748 + C00001 | (${Variables: E2_3_1_85_Kcat } * E2_3_1_85 * C05747) /(${Variables:E2_3_1_85_Km} + (E2_3_1_85 * C05747))</v>
      </c>
    </row>
    <row r="339" spans="1:11" ht="29" x14ac:dyDescent="0.35">
      <c r="A339" s="31" t="s">
        <v>2423</v>
      </c>
      <c r="B339" s="31" t="s">
        <v>2424</v>
      </c>
      <c r="C339" s="31" t="s">
        <v>14044</v>
      </c>
      <c r="D339" s="31">
        <v>338</v>
      </c>
      <c r="E339" s="31" t="str">
        <f t="shared" si="26"/>
        <v>E2_3_1_85</v>
      </c>
      <c r="F339" s="31" t="s">
        <v>9424</v>
      </c>
      <c r="G339" s="31" t="str">
        <f t="shared" si="27"/>
        <v xml:space="preserve">C05749 * C00006 </v>
      </c>
      <c r="H339" s="31" t="s">
        <v>9425</v>
      </c>
      <c r="I339" s="31" t="str">
        <f t="shared" si="25"/>
        <v>C05748 * C00005 * C00080</v>
      </c>
      <c r="J339" s="31" t="str">
        <f t="shared" si="28"/>
        <v>(${Variables: E2_3_1_85_Kcat } * E2_3_1_85 * C05749 * C00006 ) /(${Variables:E2_3_1_85_Km} + (E2_3_1_85 * C05749 * C00006 ))</v>
      </c>
      <c r="K339" s="31" t="str">
        <f t="shared" si="29"/>
        <v>r338: C05749 + C00006  -&gt; C05748 + C00005 + C00080 | (${Variables: E2_3_1_85_Kcat } * E2_3_1_85 * C05749 * C00006 ) /(${Variables:E2_3_1_85_Km} + (E2_3_1_85 * C05749 * C00006 ))</v>
      </c>
    </row>
    <row r="340" spans="1:11" ht="29" x14ac:dyDescent="0.35">
      <c r="A340" s="31" t="s">
        <v>2423</v>
      </c>
      <c r="B340" s="31" t="s">
        <v>2424</v>
      </c>
      <c r="C340" s="31" t="s">
        <v>14044</v>
      </c>
      <c r="D340" s="31">
        <v>339</v>
      </c>
      <c r="E340" s="31" t="str">
        <f t="shared" si="26"/>
        <v>E2_3_1_85</v>
      </c>
      <c r="F340" s="31" t="s">
        <v>9427</v>
      </c>
      <c r="G340" s="31" t="str">
        <f t="shared" si="27"/>
        <v>C05749 * C01209 </v>
      </c>
      <c r="H340" s="31" t="s">
        <v>9428</v>
      </c>
      <c r="I340" s="31" t="str">
        <f t="shared" si="25"/>
        <v>C05750 * C00011 * C00229</v>
      </c>
      <c r="J340" s="31" t="str">
        <f t="shared" si="28"/>
        <v>(${Variables: E2_3_1_85_Kcat } * E2_3_1_85 * C05749 * C01209 ) /(${Variables:E2_3_1_85_Km} + (E2_3_1_85 * C05749 * C01209 ))</v>
      </c>
      <c r="K340" s="31" t="str">
        <f t="shared" si="29"/>
        <v>r339: C05749 + C01209  -&gt; C05750 + C00011 + C00229 | (${Variables: E2_3_1_85_Kcat } * E2_3_1_85 * C05749 * C01209 ) /(${Variables:E2_3_1_85_Km} + (E2_3_1_85 * C05749 * C01209 ))</v>
      </c>
    </row>
    <row r="341" spans="1:11" ht="29" x14ac:dyDescent="0.35">
      <c r="A341" s="31" t="s">
        <v>2423</v>
      </c>
      <c r="B341" s="31" t="s">
        <v>2424</v>
      </c>
      <c r="C341" s="31" t="s">
        <v>14044</v>
      </c>
      <c r="D341" s="31">
        <v>340</v>
      </c>
      <c r="E341" s="31" t="str">
        <f t="shared" si="26"/>
        <v>E2_3_1_85</v>
      </c>
      <c r="F341" s="31" t="s">
        <v>9430</v>
      </c>
      <c r="G341" s="31" t="str">
        <f t="shared" si="27"/>
        <v>C05752 * C00006</v>
      </c>
      <c r="H341" s="31" t="s">
        <v>9431</v>
      </c>
      <c r="I341" s="31" t="str">
        <f t="shared" si="25"/>
        <v>C05751 * C00005 * C00080</v>
      </c>
      <c r="J341" s="31" t="str">
        <f t="shared" si="28"/>
        <v>(${Variables: E2_3_1_85_Kcat } * E2_3_1_85 * C05752 * C00006) /(${Variables:E2_3_1_85_Km} + (E2_3_1_85 * C05752 * C00006))</v>
      </c>
      <c r="K341" s="31" t="str">
        <f t="shared" si="29"/>
        <v>r340: C05752 + C00006 -&gt; C05751 + C00005 + C00080 | (${Variables: E2_3_1_85_Kcat } * E2_3_1_85 * C05752 * C00006) /(${Variables:E2_3_1_85_Km} + (E2_3_1_85 * C05752 * C00006))</v>
      </c>
    </row>
    <row r="342" spans="1:11" ht="58" x14ac:dyDescent="0.35">
      <c r="A342" s="31" t="s">
        <v>2423</v>
      </c>
      <c r="B342" s="31" t="s">
        <v>2424</v>
      </c>
      <c r="C342" s="31" t="s">
        <v>14044</v>
      </c>
      <c r="D342" s="31">
        <v>341</v>
      </c>
      <c r="E342" s="31" t="str">
        <f t="shared" si="26"/>
        <v>E2_3_1_85</v>
      </c>
      <c r="F342" s="31" t="s">
        <v>9433</v>
      </c>
      <c r="G342" s="31" t="str">
        <f t="shared" si="27"/>
        <v xml:space="preserve">	
C05752 * C01209 </v>
      </c>
      <c r="H342" s="31" t="s">
        <v>9434</v>
      </c>
      <c r="I342" s="31" t="str">
        <f t="shared" si="25"/>
        <v>C05753 * C00011 * C00229</v>
      </c>
      <c r="J342" s="31" t="str">
        <f t="shared" si="28"/>
        <v>(${Variables: E2_3_1_85_Kcat } * E2_3_1_85 * 	
C05752 * C01209 ) /(${Variables:E2_3_1_85_Km} + (E2_3_1_85 * 	
C05752 * C01209 ))</v>
      </c>
      <c r="K342" s="31" t="str">
        <f t="shared" si="29"/>
        <v>r341: 	
C05752 + C01209  -&gt; C05753 + C00011 + C00229 | (${Variables: E2_3_1_85_Kcat } * E2_3_1_85 * 	
C05752 * C01209 ) /(${Variables:E2_3_1_85_Km} + (E2_3_1_85 * 	
C05752 * C01209 ))</v>
      </c>
    </row>
    <row r="343" spans="1:11" ht="58" x14ac:dyDescent="0.35">
      <c r="A343" s="31" t="s">
        <v>2423</v>
      </c>
      <c r="B343" s="31" t="s">
        <v>2424</v>
      </c>
      <c r="C343" s="31" t="s">
        <v>14044</v>
      </c>
      <c r="D343" s="31">
        <v>342</v>
      </c>
      <c r="E343" s="31" t="str">
        <f t="shared" si="26"/>
        <v>E2_3_1_85</v>
      </c>
      <c r="F343" s="31" t="s">
        <v>9436</v>
      </c>
      <c r="G343" s="31" t="str">
        <f t="shared" si="27"/>
        <v xml:space="preserve">	
C05755 * C00006 </v>
      </c>
      <c r="H343" s="31" t="s">
        <v>9437</v>
      </c>
      <c r="I343" s="31" t="str">
        <f t="shared" si="25"/>
        <v> C05754 * C00005 * C00080</v>
      </c>
      <c r="J343" s="31" t="str">
        <f t="shared" si="28"/>
        <v>(${Variables: E2_3_1_85_Kcat } * E2_3_1_85 * 	
C05755 * C00006 ) /(${Variables:E2_3_1_85_Km} + (E2_3_1_85 * 	
C05755 * C00006 ))</v>
      </c>
      <c r="K343" s="31" t="str">
        <f t="shared" si="29"/>
        <v>r342: 	
C05755 + C00006  -&gt;  C05754 + C00005 + C00080 | (${Variables: E2_3_1_85_Kcat } * E2_3_1_85 * 	
C05755 * C00006 ) /(${Variables:E2_3_1_85_Km} + (E2_3_1_85 * 	
C05755 * C00006 ))</v>
      </c>
    </row>
    <row r="344" spans="1:11" ht="29" x14ac:dyDescent="0.35">
      <c r="A344" s="31" t="s">
        <v>2423</v>
      </c>
      <c r="B344" s="31" t="s">
        <v>2424</v>
      </c>
      <c r="C344" s="31" t="s">
        <v>14044</v>
      </c>
      <c r="D344" s="31">
        <v>343</v>
      </c>
      <c r="E344" s="31" t="str">
        <f t="shared" si="26"/>
        <v>E2_3_1_85</v>
      </c>
      <c r="F344" s="31" t="s">
        <v>9439</v>
      </c>
      <c r="G344" s="31" t="str">
        <f t="shared" si="27"/>
        <v xml:space="preserve">C05755 * C01209 </v>
      </c>
      <c r="H344" s="31" t="s">
        <v>9440</v>
      </c>
      <c r="I344" s="31" t="str">
        <f t="shared" si="25"/>
        <v>C05756 * C00011 * C00229</v>
      </c>
      <c r="J344" s="31" t="str">
        <f t="shared" si="28"/>
        <v>(${Variables: E2_3_1_85_Kcat } * E2_3_1_85 * C05755 * C01209 ) /(${Variables:E2_3_1_85_Km} + (E2_3_1_85 * C05755 * C01209 ))</v>
      </c>
      <c r="K344" s="31" t="str">
        <f t="shared" si="29"/>
        <v>r343: C05755 + C01209  -&gt; C05756 + C00011 + C00229 | (${Variables: E2_3_1_85_Kcat } * E2_3_1_85 * C05755 * C01209 ) /(${Variables:E2_3_1_85_Km} + (E2_3_1_85 * C05755 * C01209 ))</v>
      </c>
    </row>
    <row r="345" spans="1:11" ht="29" x14ac:dyDescent="0.35">
      <c r="A345" s="31" t="s">
        <v>2423</v>
      </c>
      <c r="B345" s="31" t="s">
        <v>2424</v>
      </c>
      <c r="C345" s="31" t="s">
        <v>14044</v>
      </c>
      <c r="D345" s="31">
        <v>344</v>
      </c>
      <c r="E345" s="31" t="str">
        <f t="shared" si="26"/>
        <v>E2_3_1_85</v>
      </c>
      <c r="F345" s="31" t="s">
        <v>8875</v>
      </c>
      <c r="G345" s="31" t="str">
        <f t="shared" si="27"/>
        <v>C05757 * C00006</v>
      </c>
      <c r="H345" s="31" t="s">
        <v>9442</v>
      </c>
      <c r="I345" s="31" t="str">
        <f t="shared" si="25"/>
        <v>C05756 * C00005 * C00080</v>
      </c>
      <c r="J345" s="31" t="str">
        <f t="shared" si="28"/>
        <v>(${Variables: E2_3_1_85_Kcat } * E2_3_1_85 * C05757 * C00006) /(${Variables:E2_3_1_85_Km} + (E2_3_1_85 * C05757 * C00006))</v>
      </c>
      <c r="K345" s="31" t="str">
        <f t="shared" si="29"/>
        <v>r344: C05757 + C00006 -&gt; C05756 + C00005 + C00080 | (${Variables: E2_3_1_85_Kcat } * E2_3_1_85 * C05757 * C00006) /(${Variables:E2_3_1_85_Km} + (E2_3_1_85 * C05757 * C00006))</v>
      </c>
    </row>
    <row r="346" spans="1:11" ht="58" x14ac:dyDescent="0.35">
      <c r="A346" s="31" t="s">
        <v>2423</v>
      </c>
      <c r="B346" s="31" t="s">
        <v>2424</v>
      </c>
      <c r="C346" s="31" t="s">
        <v>14044</v>
      </c>
      <c r="D346" s="31">
        <v>345</v>
      </c>
      <c r="E346" s="31" t="str">
        <f t="shared" si="26"/>
        <v>E2_3_1_85</v>
      </c>
      <c r="F346" s="31" t="s">
        <v>9444</v>
      </c>
      <c r="G346" s="31" t="str">
        <f t="shared" si="27"/>
        <v xml:space="preserve">	
C05757 </v>
      </c>
      <c r="H346" s="31" t="s">
        <v>9445</v>
      </c>
      <c r="I346" s="31" t="str">
        <f t="shared" si="25"/>
        <v>C05758 * C00001</v>
      </c>
      <c r="J346" s="31" t="str">
        <f t="shared" si="28"/>
        <v>(${Variables: E2_3_1_85_Kcat } * E2_3_1_85 * 	
C05757 ) /(${Variables:E2_3_1_85_Km} + (E2_3_1_85 * 	
C05757 ))</v>
      </c>
      <c r="K346" s="31" t="str">
        <f t="shared" si="29"/>
        <v>r345: 	
C05757  -&gt; C05758 + C00001 | (${Variables: E2_3_1_85_Kcat } * E2_3_1_85 * 	
C05757 ) /(${Variables:E2_3_1_85_Km} + (E2_3_1_85 * 	
C05757 ))</v>
      </c>
    </row>
    <row r="347" spans="1:11" ht="58" x14ac:dyDescent="0.35">
      <c r="A347" s="31" t="s">
        <v>2423</v>
      </c>
      <c r="B347" s="31" t="s">
        <v>2424</v>
      </c>
      <c r="C347" s="31" t="s">
        <v>14044</v>
      </c>
      <c r="D347" s="31">
        <v>346</v>
      </c>
      <c r="E347" s="31" t="str">
        <f t="shared" si="26"/>
        <v>E2_3_1_85</v>
      </c>
      <c r="F347" s="31" t="s">
        <v>9447</v>
      </c>
      <c r="G347" s="31" t="str">
        <f t="shared" si="27"/>
        <v xml:space="preserve">	
C05761 * C00006</v>
      </c>
      <c r="H347" s="31" t="s">
        <v>9448</v>
      </c>
      <c r="I347" s="31" t="str">
        <f t="shared" si="25"/>
        <v>C05760 * C00005 * C00080</v>
      </c>
      <c r="J347" s="31" t="str">
        <f t="shared" si="28"/>
        <v>(${Variables: E2_3_1_85_Kcat } * E2_3_1_85 * 	
C05761 * C00006) /(${Variables:E2_3_1_85_Km} + (E2_3_1_85 * 	
C05761 * C00006))</v>
      </c>
      <c r="K347" s="31" t="str">
        <f t="shared" si="29"/>
        <v>r346: 	
C05761 + C00006 -&gt; C05760 + C00005 + C00080 | (${Variables: E2_3_1_85_Kcat } * E2_3_1_85 * 	
C05761 * C00006) /(${Variables:E2_3_1_85_Km} + (E2_3_1_85 * 	
C05761 * C00006))</v>
      </c>
    </row>
    <row r="348" spans="1:11" ht="29" x14ac:dyDescent="0.35">
      <c r="A348" s="31" t="s">
        <v>2423</v>
      </c>
      <c r="B348" s="31" t="s">
        <v>2424</v>
      </c>
      <c r="C348" s="31" t="s">
        <v>14044</v>
      </c>
      <c r="D348" s="31">
        <v>347</v>
      </c>
      <c r="E348" s="31" t="str">
        <f t="shared" si="26"/>
        <v>E2_3_1_85</v>
      </c>
      <c r="F348" s="31" t="s">
        <v>9450</v>
      </c>
      <c r="G348" s="31" t="str">
        <f t="shared" si="27"/>
        <v>C05761 * C01209</v>
      </c>
      <c r="H348" s="31" t="s">
        <v>9451</v>
      </c>
      <c r="I348" s="31" t="str">
        <f t="shared" si="25"/>
        <v>C05762 * C00011 * C00229</v>
      </c>
      <c r="J348" s="31" t="str">
        <f t="shared" si="28"/>
        <v>(${Variables: E2_3_1_85_Kcat } * E2_3_1_85 * C05761 * C01209) /(${Variables:E2_3_1_85_Km} + (E2_3_1_85 * C05761 * C01209))</v>
      </c>
      <c r="K348" s="31" t="str">
        <f t="shared" si="29"/>
        <v>r347: C05761 + C01209 -&gt; C05762 + C00011 + C00229 | (${Variables: E2_3_1_85_Kcat } * E2_3_1_85 * C05761 * C01209) /(${Variables:E2_3_1_85_Km} + (E2_3_1_85 * C05761 * C01209))</v>
      </c>
    </row>
    <row r="349" spans="1:11" ht="29" x14ac:dyDescent="0.35">
      <c r="A349" s="31" t="s">
        <v>2423</v>
      </c>
      <c r="B349" s="31" t="s">
        <v>2424</v>
      </c>
      <c r="C349" s="31" t="s">
        <v>14044</v>
      </c>
      <c r="D349" s="31">
        <v>348</v>
      </c>
      <c r="E349" s="31" t="str">
        <f t="shared" si="26"/>
        <v>E2_3_1_85</v>
      </c>
      <c r="F349" s="31" t="s">
        <v>9453</v>
      </c>
      <c r="G349" s="31" t="str">
        <f t="shared" si="27"/>
        <v>C05764 * C00006</v>
      </c>
      <c r="H349" s="31" t="s">
        <v>9454</v>
      </c>
      <c r="I349" s="31" t="str">
        <f t="shared" si="25"/>
        <v>C05763 * C00005 * C00080</v>
      </c>
      <c r="J349" s="31" t="str">
        <f t="shared" si="28"/>
        <v>(${Variables: E2_3_1_85_Kcat } * E2_3_1_85 * C05764 * C00006) /(${Variables:E2_3_1_85_Km} + (E2_3_1_85 * C05764 * C00006))</v>
      </c>
      <c r="K349" s="31" t="str">
        <f t="shared" si="29"/>
        <v>r348: C05764 + C00006 -&gt; C05763 + C00005 + C00080 | (${Variables: E2_3_1_85_Kcat } * E2_3_1_85 * C05764 * C00006) /(${Variables:E2_3_1_85_Km} + (E2_3_1_85 * C05764 * C00006))</v>
      </c>
    </row>
    <row r="350" spans="1:11" ht="43.5" x14ac:dyDescent="0.35">
      <c r="A350" s="31" t="s">
        <v>6857</v>
      </c>
      <c r="B350" s="31" t="s">
        <v>6858</v>
      </c>
      <c r="C350" s="31" t="s">
        <v>14044</v>
      </c>
      <c r="D350" s="31">
        <v>349</v>
      </c>
      <c r="E350" s="31" t="str">
        <f t="shared" si="26"/>
        <v>E2_3_1_85</v>
      </c>
      <c r="F350" s="31" t="s">
        <v>14390</v>
      </c>
      <c r="G350" s="31" t="str">
        <f t="shared" si="27"/>
        <v>C00024 *  C00083 *  C00005 *  C00080 </v>
      </c>
      <c r="H350" s="31" t="s">
        <v>14435</v>
      </c>
      <c r="I350" s="31" t="s">
        <v>14439</v>
      </c>
      <c r="J350" s="31" t="str">
        <f t="shared" si="28"/>
        <v>(${Variables: E2_3_1_85_Kcat } * E2_3_1_85 * C00024 *  C00083 *  C00005 *  C00080 ) /(${Variables:E2_3_1_85_Km} + (E2_3_1_85 * C00024 *  C00083 *  C00005 *  C00080 ))</v>
      </c>
      <c r="K350" s="31" t="str">
        <f t="shared" si="29"/>
        <v>r349: C00024 +  C00083 +  C00005 +  C00080  -&gt; C00638 + C00011 +  C00006 + C00010 + C00001 | (${Variables: E2_3_1_85_Kcat } * E2_3_1_85 * C00024 *  C00083 *  C00005 *  C00080 ) /(${Variables:E2_3_1_85_Km} + (E2_3_1_85 * C00024 *  C00083 *  C00005 *  C00080 ))</v>
      </c>
    </row>
    <row r="351" spans="1:11" ht="29" x14ac:dyDescent="0.35">
      <c r="A351" s="31" t="s">
        <v>6857</v>
      </c>
      <c r="B351" s="31" t="s">
        <v>6858</v>
      </c>
      <c r="C351" s="31" t="s">
        <v>14044</v>
      </c>
      <c r="D351" s="31">
        <v>350</v>
      </c>
      <c r="E351" s="31" t="str">
        <f t="shared" si="26"/>
        <v>E2_3_1_85</v>
      </c>
      <c r="F351" s="31" t="s">
        <v>9369</v>
      </c>
      <c r="G351" s="31" t="str">
        <f t="shared" si="27"/>
        <v>C00024 * C00229 </v>
      </c>
      <c r="H351" s="31" t="s">
        <v>9370</v>
      </c>
      <c r="I351" s="31" t="str">
        <f>SUBSTITUTE(H351,"+","*")</f>
        <v> C00010 * C03939</v>
      </c>
      <c r="J351" s="31" t="str">
        <f t="shared" si="28"/>
        <v>(${Variables: E2_3_1_85_Kcat } * E2_3_1_85 * C00024 * C00229 ) /(${Variables:E2_3_1_85_Km} + (E2_3_1_85 * C00024 * C00229 ))</v>
      </c>
      <c r="K351" s="31" t="str">
        <f t="shared" si="29"/>
        <v>r350: C00024 + C00229  -&gt;  C00010 + C03939 | (${Variables: E2_3_1_85_Kcat } * E2_3_1_85 * C00024 * C00229 ) /(${Variables:E2_3_1_85_Km} + (E2_3_1_85 * C00024 * C00229 ))</v>
      </c>
    </row>
    <row r="352" spans="1:11" ht="29" x14ac:dyDescent="0.35">
      <c r="A352" s="31" t="s">
        <v>6857</v>
      </c>
      <c r="B352" s="31" t="s">
        <v>6858</v>
      </c>
      <c r="C352" s="31" t="s">
        <v>14044</v>
      </c>
      <c r="D352" s="31">
        <v>351</v>
      </c>
      <c r="E352" s="31" t="str">
        <f t="shared" si="26"/>
        <v>E2_3_1_85</v>
      </c>
      <c r="F352" s="31" t="s">
        <v>9372</v>
      </c>
      <c r="G352" s="31" t="str">
        <f t="shared" si="27"/>
        <v>C00083 * C00229 </v>
      </c>
      <c r="H352" s="31" t="s">
        <v>9373</v>
      </c>
      <c r="I352" s="31" t="str">
        <f t="shared" ref="I352:I411" si="30">SUBSTITUTE(H352,"+","*")</f>
        <v>C00010 * C01209</v>
      </c>
      <c r="J352" s="31" t="str">
        <f t="shared" si="28"/>
        <v>(${Variables: E2_3_1_85_Kcat } * E2_3_1_85 * C00083 * C00229 ) /(${Variables:E2_3_1_85_Km} + (E2_3_1_85 * C00083 * C00229 ))</v>
      </c>
      <c r="K352" s="31" t="str">
        <f t="shared" si="29"/>
        <v>r351: C00083 + C00229  -&gt; C00010 + C01209 | (${Variables: E2_3_1_85_Kcat } * E2_3_1_85 * C00083 * C00229 ) /(${Variables:E2_3_1_85_Km} + (E2_3_1_85 * C00083 * C00229 ))</v>
      </c>
    </row>
    <row r="353" spans="1:11" ht="29" x14ac:dyDescent="0.35">
      <c r="A353" s="31" t="s">
        <v>6857</v>
      </c>
      <c r="B353" s="31" t="s">
        <v>6858</v>
      </c>
      <c r="C353" s="31" t="s">
        <v>14044</v>
      </c>
      <c r="D353" s="31">
        <v>352</v>
      </c>
      <c r="E353" s="31" t="str">
        <f t="shared" si="26"/>
        <v>E2_3_1_85</v>
      </c>
      <c r="F353" s="31" t="s">
        <v>9375</v>
      </c>
      <c r="G353" s="31" t="str">
        <f t="shared" si="27"/>
        <v>C05764 * C00001 </v>
      </c>
      <c r="H353" s="31" t="s">
        <v>9376</v>
      </c>
      <c r="I353" s="31" t="str">
        <f t="shared" si="30"/>
        <v>C00229 * C00249</v>
      </c>
      <c r="J353" s="31" t="str">
        <f t="shared" si="28"/>
        <v>(${Variables: E2_3_1_85_Kcat } * E2_3_1_85 * C05764 * C00001 ) /(${Variables:E2_3_1_85_Km} + (E2_3_1_85 * C05764 * C00001 ))</v>
      </c>
      <c r="K353" s="31" t="str">
        <f t="shared" si="29"/>
        <v>r352: C05764 + C00001  -&gt; C00229 + C00249 | (${Variables: E2_3_1_85_Kcat } * E2_3_1_85 * C05764 * C00001 ) /(${Variables:E2_3_1_85_Km} + (E2_3_1_85 * C05764 * C00001 ))</v>
      </c>
    </row>
    <row r="354" spans="1:11" ht="29" x14ac:dyDescent="0.35">
      <c r="A354" s="31" t="s">
        <v>6857</v>
      </c>
      <c r="B354" s="31" t="s">
        <v>6858</v>
      </c>
      <c r="C354" s="31" t="s">
        <v>14044</v>
      </c>
      <c r="D354" s="31">
        <v>353</v>
      </c>
      <c r="E354" s="31" t="str">
        <f t="shared" si="26"/>
        <v>E2_3_1_85</v>
      </c>
      <c r="F354" s="31" t="s">
        <v>9378</v>
      </c>
      <c r="G354" s="31" t="str">
        <f t="shared" si="27"/>
        <v>C03939 * C01209 </v>
      </c>
      <c r="H354" s="31" t="s">
        <v>9379</v>
      </c>
      <c r="I354" s="31" t="str">
        <f t="shared" si="30"/>
        <v> C05744 * C00011 * C00229</v>
      </c>
      <c r="J354" s="31" t="str">
        <f t="shared" si="28"/>
        <v>(${Variables: E2_3_1_85_Kcat } * E2_3_1_85 * C03939 * C01209 ) /(${Variables:E2_3_1_85_Km} + (E2_3_1_85 * C03939 * C01209 ))</v>
      </c>
      <c r="K354" s="31" t="str">
        <f t="shared" si="29"/>
        <v>r353: C03939 + C01209  -&gt;  C05744 + C00011 + C00229 | (${Variables: E2_3_1_85_Kcat } * E2_3_1_85 * C03939 * C01209 ) /(${Variables:E2_3_1_85_Km} + (E2_3_1_85 * C03939 * C01209 ))</v>
      </c>
    </row>
    <row r="355" spans="1:11" ht="58" x14ac:dyDescent="0.35">
      <c r="A355" s="31" t="s">
        <v>6857</v>
      </c>
      <c r="B355" s="31" t="s">
        <v>6858</v>
      </c>
      <c r="C355" s="31" t="s">
        <v>14044</v>
      </c>
      <c r="D355" s="31">
        <v>354</v>
      </c>
      <c r="E355" s="31" t="str">
        <f t="shared" si="26"/>
        <v>E2_3_1_85</v>
      </c>
      <c r="F355" s="31" t="s">
        <v>9381</v>
      </c>
      <c r="G355" s="31" t="str">
        <f t="shared" si="27"/>
        <v xml:space="preserve">	
C04618 </v>
      </c>
      <c r="H355" s="31" t="s">
        <v>9382</v>
      </c>
      <c r="I355" s="31" t="str">
        <f t="shared" si="30"/>
        <v>C04246 * C00001</v>
      </c>
      <c r="J355" s="31" t="str">
        <f t="shared" si="28"/>
        <v>(${Variables: E2_3_1_85_Kcat } * E2_3_1_85 * 	
C04618 ) /(${Variables:E2_3_1_85_Km} + (E2_3_1_85 * 	
C04618 ))</v>
      </c>
      <c r="K355" s="31" t="str">
        <f t="shared" si="29"/>
        <v>r354: 	
C04618  -&gt; C04246 + C00001 | (${Variables: E2_3_1_85_Kcat } * E2_3_1_85 * 	
C04618 ) /(${Variables:E2_3_1_85_Km} + (E2_3_1_85 * 	
C04618 ))</v>
      </c>
    </row>
    <row r="356" spans="1:11" ht="29" x14ac:dyDescent="0.35">
      <c r="A356" s="31" t="s">
        <v>6857</v>
      </c>
      <c r="B356" s="31" t="s">
        <v>6858</v>
      </c>
      <c r="C356" s="31" t="s">
        <v>14044</v>
      </c>
      <c r="D356" s="31">
        <v>355</v>
      </c>
      <c r="E356" s="31" t="str">
        <f t="shared" si="26"/>
        <v>E2_3_1_85</v>
      </c>
      <c r="F356" s="31" t="s">
        <v>9384</v>
      </c>
      <c r="G356" s="31" t="str">
        <f t="shared" si="27"/>
        <v>C05745 * C00006</v>
      </c>
      <c r="H356" s="31" t="s">
        <v>9385</v>
      </c>
      <c r="I356" s="31" t="str">
        <f t="shared" si="30"/>
        <v>C04246 * C00005 * C00080</v>
      </c>
      <c r="J356" s="31" t="str">
        <f t="shared" si="28"/>
        <v>(${Variables: E2_3_1_85_Kcat } * E2_3_1_85 * C05745 * C00006) /(${Variables:E2_3_1_85_Km} + (E2_3_1_85 * C05745 * C00006))</v>
      </c>
      <c r="K356" s="31" t="str">
        <f t="shared" si="29"/>
        <v>r355: C05745 + C00006 -&gt; C04246 + C00005 + C00080 | (${Variables: E2_3_1_85_Kcat } * E2_3_1_85 * C05745 * C00006) /(${Variables:E2_3_1_85_Km} + (E2_3_1_85 * C05745 * C00006))</v>
      </c>
    </row>
    <row r="357" spans="1:11" ht="29" x14ac:dyDescent="0.35">
      <c r="A357" s="31" t="s">
        <v>6857</v>
      </c>
      <c r="B357" s="31" t="s">
        <v>6858</v>
      </c>
      <c r="C357" s="31" t="s">
        <v>14044</v>
      </c>
      <c r="D357" s="31">
        <v>356</v>
      </c>
      <c r="E357" s="31" t="str">
        <f t="shared" si="26"/>
        <v>E2_3_1_85</v>
      </c>
      <c r="F357" s="31" t="s">
        <v>8869</v>
      </c>
      <c r="G357" s="31" t="str">
        <f t="shared" si="27"/>
        <v>C04618 * C00006 </v>
      </c>
      <c r="H357" s="31" t="s">
        <v>9387</v>
      </c>
      <c r="I357" s="31" t="str">
        <f t="shared" si="30"/>
        <v> C05744 * C00005 * C00080</v>
      </c>
      <c r="J357" s="31" t="str">
        <f t="shared" si="28"/>
        <v>(${Variables: E2_3_1_85_Kcat } * E2_3_1_85 * C04618 * C00006 ) /(${Variables:E2_3_1_85_Km} + (E2_3_1_85 * C04618 * C00006 ))</v>
      </c>
      <c r="K357" s="31" t="str">
        <f t="shared" si="29"/>
        <v>r356: C04618 + C00006  -&gt;  C05744 + C00005 + C00080 | (${Variables: E2_3_1_85_Kcat } * E2_3_1_85 * C04618 * C00006 ) /(${Variables:E2_3_1_85_Km} + (E2_3_1_85 * C04618 * C00006 ))</v>
      </c>
    </row>
    <row r="358" spans="1:11" ht="58" x14ac:dyDescent="0.35">
      <c r="A358" s="31" t="s">
        <v>6857</v>
      </c>
      <c r="B358" s="31" t="s">
        <v>6858</v>
      </c>
      <c r="C358" s="31" t="s">
        <v>14044</v>
      </c>
      <c r="D358" s="31">
        <v>357</v>
      </c>
      <c r="E358" s="31" t="str">
        <f t="shared" si="26"/>
        <v>E2_3_1_85</v>
      </c>
      <c r="F358" s="31" t="s">
        <v>9389</v>
      </c>
      <c r="G358" s="31" t="str">
        <f t="shared" si="27"/>
        <v xml:space="preserve">	
C04619 * C00006 </v>
      </c>
      <c r="H358" s="31" t="s">
        <v>8870</v>
      </c>
      <c r="I358" s="31" t="str">
        <f t="shared" si="30"/>
        <v>C05753 * C00005</v>
      </c>
      <c r="J358" s="31" t="str">
        <f t="shared" si="28"/>
        <v>(${Variables: E2_3_1_85_Kcat } * E2_3_1_85 * 	
C04619 * C00006 ) /(${Variables:E2_3_1_85_Km} + (E2_3_1_85 * 	
C04619 * C00006 ))</v>
      </c>
      <c r="K358" s="31" t="str">
        <f t="shared" si="29"/>
        <v>r357: 	
C04619 + C00006  -&gt; C05753 + C00005 | (${Variables: E2_3_1_85_Kcat } * E2_3_1_85 * 	
C04619 * C00006 ) /(${Variables:E2_3_1_85_Km} + (E2_3_1_85 * 	
C04619 * C00006 ))</v>
      </c>
    </row>
    <row r="359" spans="1:11" ht="58" x14ac:dyDescent="0.35">
      <c r="A359" s="31" t="s">
        <v>6857</v>
      </c>
      <c r="B359" s="31" t="s">
        <v>6858</v>
      </c>
      <c r="C359" s="31" t="s">
        <v>14044</v>
      </c>
      <c r="D359" s="31">
        <v>358</v>
      </c>
      <c r="E359" s="31" t="str">
        <f t="shared" si="26"/>
        <v>E2_3_1_85</v>
      </c>
      <c r="F359" s="31" t="s">
        <v>9391</v>
      </c>
      <c r="G359" s="31" t="str">
        <f t="shared" si="27"/>
        <v xml:space="preserve">	
C04619 </v>
      </c>
      <c r="H359" s="31" t="s">
        <v>9392</v>
      </c>
      <c r="I359" s="31" t="str">
        <f t="shared" si="30"/>
        <v> C05754 * C00001</v>
      </c>
      <c r="J359" s="31" t="str">
        <f t="shared" si="28"/>
        <v>(${Variables: E2_3_1_85_Kcat } * E2_3_1_85 * 	
C04619 ) /(${Variables:E2_3_1_85_Km} + (E2_3_1_85 * 	
C04619 ))</v>
      </c>
      <c r="K359" s="31" t="str">
        <f t="shared" si="29"/>
        <v>r358: 	
C04619  -&gt;  C05754 + C00001 | (${Variables: E2_3_1_85_Kcat } * E2_3_1_85 * 	
C04619 ) /(${Variables:E2_3_1_85_Km} + (E2_3_1_85 * 	
C04619 ))</v>
      </c>
    </row>
    <row r="360" spans="1:11" ht="58" x14ac:dyDescent="0.35">
      <c r="A360" s="31" t="s">
        <v>6857</v>
      </c>
      <c r="B360" s="31" t="s">
        <v>6858</v>
      </c>
      <c r="C360" s="31" t="s">
        <v>14044</v>
      </c>
      <c r="D360" s="31">
        <v>359</v>
      </c>
      <c r="E360" s="31" t="str">
        <f t="shared" si="26"/>
        <v>E2_3_1_85</v>
      </c>
      <c r="F360" s="31" t="s">
        <v>9394</v>
      </c>
      <c r="G360" s="31" t="str">
        <f t="shared" si="27"/>
        <v xml:space="preserve">	
C04620 * C00006</v>
      </c>
      <c r="H360" s="31" t="s">
        <v>9395</v>
      </c>
      <c r="I360" s="31" t="str">
        <f t="shared" si="30"/>
        <v> C05750 * C00005 * C00080</v>
      </c>
      <c r="J360" s="31" t="str">
        <f t="shared" si="28"/>
        <v>(${Variables: E2_3_1_85_Kcat } * E2_3_1_85 * 	
C04620 * C00006) /(${Variables:E2_3_1_85_Km} + (E2_3_1_85 * 	
C04620 * C00006))</v>
      </c>
      <c r="K360" s="31" t="str">
        <f t="shared" si="29"/>
        <v>r359: 	
C04620 + C00006 -&gt;  C05750 + C00005 + C00080 | (${Variables: E2_3_1_85_Kcat } * E2_3_1_85 * 	
C04620 * C00006) /(${Variables:E2_3_1_85_Km} + (E2_3_1_85 * 	
C04620 * C00006))</v>
      </c>
    </row>
    <row r="361" spans="1:11" ht="58" x14ac:dyDescent="0.35">
      <c r="A361" s="31" t="s">
        <v>6857</v>
      </c>
      <c r="B361" s="31" t="s">
        <v>6858</v>
      </c>
      <c r="C361" s="31" t="s">
        <v>14044</v>
      </c>
      <c r="D361" s="31">
        <v>360</v>
      </c>
      <c r="E361" s="31" t="str">
        <f t="shared" si="26"/>
        <v>E2_3_1_85</v>
      </c>
      <c r="F361" s="31" t="s">
        <v>9397</v>
      </c>
      <c r="G361" s="31" t="str">
        <f t="shared" si="27"/>
        <v xml:space="preserve">	
C04620</v>
      </c>
      <c r="H361" s="31" t="s">
        <v>9398</v>
      </c>
      <c r="I361" s="31" t="str">
        <f t="shared" si="30"/>
        <v>C05751 * C00001</v>
      </c>
      <c r="J361" s="31" t="str">
        <f t="shared" si="28"/>
        <v>(${Variables: E2_3_1_85_Kcat } * E2_3_1_85 * 	
C04620) /(${Variables:E2_3_1_85_Km} + (E2_3_1_85 * 	
C04620))</v>
      </c>
      <c r="K361" s="31" t="str">
        <f t="shared" si="29"/>
        <v>r360: 	
C04620 -&gt; C05751 + C00001 | (${Variables: E2_3_1_85_Kcat } * E2_3_1_85 * 	
C04620) /(${Variables:E2_3_1_85_Km} + (E2_3_1_85 * 	
C04620))</v>
      </c>
    </row>
    <row r="362" spans="1:11" ht="29" x14ac:dyDescent="0.35">
      <c r="A362" s="31" t="s">
        <v>6857</v>
      </c>
      <c r="B362" s="31" t="s">
        <v>6858</v>
      </c>
      <c r="C362" s="31" t="s">
        <v>14044</v>
      </c>
      <c r="D362" s="31">
        <v>361</v>
      </c>
      <c r="E362" s="31" t="str">
        <f t="shared" si="26"/>
        <v>E2_3_1_85</v>
      </c>
      <c r="F362" s="31" t="s">
        <v>8872</v>
      </c>
      <c r="G362" s="31" t="str">
        <f t="shared" si="27"/>
        <v>C04633 * C00006 </v>
      </c>
      <c r="H362" s="31" t="s">
        <v>8873</v>
      </c>
      <c r="I362" s="31" t="str">
        <f t="shared" si="30"/>
        <v>C05762 * C00005 * C00080</v>
      </c>
      <c r="J362" s="31" t="str">
        <f t="shared" si="28"/>
        <v>(${Variables: E2_3_1_85_Kcat } * E2_3_1_85 * C04633 * C00006 ) /(${Variables:E2_3_1_85_Km} + (E2_3_1_85 * C04633 * C00006 ))</v>
      </c>
      <c r="K362" s="31" t="str">
        <f t="shared" si="29"/>
        <v>r361: C04633 + C00006  -&gt; C05762 + C00005 + C00080 | (${Variables: E2_3_1_85_Kcat } * E2_3_1_85 * C04633 * C00006 ) /(${Variables:E2_3_1_85_Km} + (E2_3_1_85 * C04633 * C00006 ))</v>
      </c>
    </row>
    <row r="363" spans="1:11" ht="29" x14ac:dyDescent="0.35">
      <c r="A363" s="31" t="s">
        <v>6857</v>
      </c>
      <c r="B363" s="31" t="s">
        <v>6858</v>
      </c>
      <c r="C363" s="31" t="s">
        <v>14044</v>
      </c>
      <c r="D363" s="31">
        <v>362</v>
      </c>
      <c r="E363" s="31" t="str">
        <f t="shared" si="26"/>
        <v>E2_3_1_85</v>
      </c>
      <c r="F363" s="31" t="s">
        <v>9401</v>
      </c>
      <c r="G363" s="31" t="str">
        <f t="shared" si="27"/>
        <v xml:space="preserve">C04633 </v>
      </c>
      <c r="H363" s="31" t="s">
        <v>9402</v>
      </c>
      <c r="I363" s="31" t="str">
        <f t="shared" si="30"/>
        <v> C05763 * C00001</v>
      </c>
      <c r="J363" s="31" t="str">
        <f t="shared" si="28"/>
        <v>(${Variables: E2_3_1_85_Kcat } * E2_3_1_85 * C04633 ) /(${Variables:E2_3_1_85_Km} + (E2_3_1_85 * C04633 ))</v>
      </c>
      <c r="K363" s="31" t="str">
        <f t="shared" si="29"/>
        <v>r362: C04633  -&gt;  C05763 + C00001 | (${Variables: E2_3_1_85_Kcat } * E2_3_1_85 * C04633 ) /(${Variables:E2_3_1_85_Km} + (E2_3_1_85 * C04633 ))</v>
      </c>
    </row>
    <row r="364" spans="1:11" ht="58" x14ac:dyDescent="0.35">
      <c r="A364" s="31" t="s">
        <v>6857</v>
      </c>
      <c r="B364" s="31" t="s">
        <v>6858</v>
      </c>
      <c r="C364" s="31" t="s">
        <v>14044</v>
      </c>
      <c r="D364" s="31">
        <v>363</v>
      </c>
      <c r="E364" s="31" t="str">
        <f t="shared" si="26"/>
        <v>E2_3_1_85</v>
      </c>
      <c r="F364" s="31" t="s">
        <v>9404</v>
      </c>
      <c r="G364" s="31" t="str">
        <f t="shared" si="27"/>
        <v xml:space="preserve">	
C04688 * C00006 </v>
      </c>
      <c r="H364" s="31" t="s">
        <v>9405</v>
      </c>
      <c r="I364" s="31" t="str">
        <f t="shared" si="30"/>
        <v>C05759 * C00005 * C00080</v>
      </c>
      <c r="J364" s="31" t="str">
        <f t="shared" si="28"/>
        <v>(${Variables: E2_3_1_85_Kcat } * E2_3_1_85 * 	
C04688 * C00006 ) /(${Variables:E2_3_1_85_Km} + (E2_3_1_85 * 	
C04688 * C00006 ))</v>
      </c>
      <c r="K364" s="31" t="str">
        <f t="shared" si="29"/>
        <v>r363: 	
C04688 + C00006  -&gt; C05759 + C00005 + C00080 | (${Variables: E2_3_1_85_Kcat } * E2_3_1_85 * 	
C04688 * C00006 ) /(${Variables:E2_3_1_85_Km} + (E2_3_1_85 * 	
C04688 * C00006 ))</v>
      </c>
    </row>
    <row r="365" spans="1:11" ht="29" x14ac:dyDescent="0.35">
      <c r="A365" s="31" t="s">
        <v>6857</v>
      </c>
      <c r="B365" s="31" t="s">
        <v>6858</v>
      </c>
      <c r="C365" s="31" t="s">
        <v>14044</v>
      </c>
      <c r="D365" s="31">
        <v>364</v>
      </c>
      <c r="E365" s="31" t="str">
        <f t="shared" si="26"/>
        <v>E2_3_1_85</v>
      </c>
      <c r="F365" s="31" t="s">
        <v>9407</v>
      </c>
      <c r="G365" s="31" t="str">
        <f t="shared" si="27"/>
        <v>C04688</v>
      </c>
      <c r="H365" s="31" t="s">
        <v>9408</v>
      </c>
      <c r="I365" s="31" t="str">
        <f t="shared" si="30"/>
        <v> C05760 * C00001</v>
      </c>
      <c r="J365" s="31" t="str">
        <f t="shared" si="28"/>
        <v>(${Variables: E2_3_1_85_Kcat } * E2_3_1_85 * C04688) /(${Variables:E2_3_1_85_Km} + (E2_3_1_85 * C04688))</v>
      </c>
      <c r="K365" s="31" t="str">
        <f t="shared" si="29"/>
        <v>r364: C04688 -&gt;  C05760 + C00001 | (${Variables: E2_3_1_85_Kcat } * E2_3_1_85 * C04688) /(${Variables:E2_3_1_85_Km} + (E2_3_1_85 * C04688))</v>
      </c>
    </row>
    <row r="366" spans="1:11" ht="29" x14ac:dyDescent="0.35">
      <c r="A366" s="31" t="s">
        <v>6857</v>
      </c>
      <c r="B366" s="31" t="s">
        <v>6858</v>
      </c>
      <c r="C366" s="31" t="s">
        <v>14044</v>
      </c>
      <c r="D366" s="31">
        <v>365</v>
      </c>
      <c r="E366" s="31" t="str">
        <f t="shared" si="26"/>
        <v>E2_3_1_85</v>
      </c>
      <c r="F366" s="31" t="s">
        <v>9410</v>
      </c>
      <c r="G366" s="31" t="str">
        <f t="shared" si="27"/>
        <v xml:space="preserve">C05223 * C00006 </v>
      </c>
      <c r="H366" s="31" t="s">
        <v>9411</v>
      </c>
      <c r="I366" s="31" t="str">
        <f t="shared" si="30"/>
        <v>C05758 * C00005 * C00080</v>
      </c>
      <c r="J366" s="31" t="str">
        <f t="shared" si="28"/>
        <v>(${Variables: E2_3_1_85_Kcat } * E2_3_1_85 * C05223 * C00006 ) /(${Variables:E2_3_1_85_Km} + (E2_3_1_85 * C05223 * C00006 ))</v>
      </c>
      <c r="K366" s="31" t="str">
        <f t="shared" si="29"/>
        <v>r365: C05223 + C00006  -&gt; C05758 + C00005 + C00080 | (${Variables: E2_3_1_85_Kcat } * E2_3_1_85 * C05223 * C00006 ) /(${Variables:E2_3_1_85_Km} + (E2_3_1_85 * C05223 * C00006 ))</v>
      </c>
    </row>
    <row r="367" spans="1:11" ht="58" x14ac:dyDescent="0.35">
      <c r="A367" s="31" t="s">
        <v>6857</v>
      </c>
      <c r="B367" s="31" t="s">
        <v>6858</v>
      </c>
      <c r="C367" s="31" t="s">
        <v>14044</v>
      </c>
      <c r="D367" s="31">
        <v>366</v>
      </c>
      <c r="E367" s="31" t="str">
        <f t="shared" si="26"/>
        <v>E2_3_1_85</v>
      </c>
      <c r="F367" s="31" t="s">
        <v>9413</v>
      </c>
      <c r="G367" s="31" t="str">
        <f t="shared" si="27"/>
        <v xml:space="preserve">	
C05223 * C01209 </v>
      </c>
      <c r="H367" s="31" t="s">
        <v>9414</v>
      </c>
      <c r="I367" s="31" t="str">
        <f t="shared" si="30"/>
        <v>C05759 * C00011 * C00229</v>
      </c>
      <c r="J367" s="31" t="str">
        <f t="shared" si="28"/>
        <v>(${Variables: E2_3_1_85_Kcat } * E2_3_1_85 * 	
C05223 * C01209 ) /(${Variables:E2_3_1_85_Km} + (E2_3_1_85 * 	
C05223 * C01209 ))</v>
      </c>
      <c r="K367" s="31" t="str">
        <f t="shared" si="29"/>
        <v>r366: 	
C05223 + C01209  -&gt; C05759 + C00011 + C00229 | (${Variables: E2_3_1_85_Kcat } * E2_3_1_85 * 	
C05223 * C01209 ) /(${Variables:E2_3_1_85_Km} + (E2_3_1_85 * 	
C05223 * C01209 ))</v>
      </c>
    </row>
    <row r="368" spans="1:11" ht="29" x14ac:dyDescent="0.35">
      <c r="A368" s="31" t="s">
        <v>6857</v>
      </c>
      <c r="B368" s="31" t="s">
        <v>6858</v>
      </c>
      <c r="C368" s="31" t="s">
        <v>14044</v>
      </c>
      <c r="D368" s="31">
        <v>367</v>
      </c>
      <c r="E368" s="31" t="str">
        <f t="shared" si="26"/>
        <v>E2_3_1_85</v>
      </c>
      <c r="F368" s="31" t="s">
        <v>9416</v>
      </c>
      <c r="G368" s="31" t="str">
        <f t="shared" si="27"/>
        <v xml:space="preserve">C05745 * C01209 </v>
      </c>
      <c r="H368" s="31" t="s">
        <v>9417</v>
      </c>
      <c r="I368" s="31" t="str">
        <f t="shared" si="30"/>
        <v> C05746 * C00011 * C00229</v>
      </c>
      <c r="J368" s="31" t="str">
        <f t="shared" si="28"/>
        <v>(${Variables: E2_3_1_85_Kcat } * E2_3_1_85 * C05745 * C01209 ) /(${Variables:E2_3_1_85_Km} + (E2_3_1_85 * C05745 * C01209 ))</v>
      </c>
      <c r="K368" s="31" t="str">
        <f t="shared" si="29"/>
        <v>r367: C05745 + C01209  -&gt;  C05746 + C00011 + C00229 | (${Variables: E2_3_1_85_Kcat } * E2_3_1_85 * C05745 * C01209 ) /(${Variables:E2_3_1_85_Km} + (E2_3_1_85 * C05745 * C01209 ))</v>
      </c>
    </row>
    <row r="369" spans="1:11" ht="58" x14ac:dyDescent="0.35">
      <c r="A369" s="31" t="s">
        <v>6857</v>
      </c>
      <c r="B369" s="31" t="s">
        <v>6858</v>
      </c>
      <c r="C369" s="31" t="s">
        <v>14044</v>
      </c>
      <c r="D369" s="31">
        <v>368</v>
      </c>
      <c r="E369" s="31" t="str">
        <f t="shared" si="26"/>
        <v>E2_3_1_85</v>
      </c>
      <c r="F369" s="31" t="s">
        <v>9419</v>
      </c>
      <c r="G369" s="31" t="str">
        <f t="shared" si="27"/>
        <v xml:space="preserve">	
C05747 * C00006</v>
      </c>
      <c r="H369" s="31" t="s">
        <v>8874</v>
      </c>
      <c r="I369" s="31" t="str">
        <f t="shared" si="30"/>
        <v>C05746 * C00005 * C00080</v>
      </c>
      <c r="J369" s="31" t="str">
        <f t="shared" si="28"/>
        <v>(${Variables: E2_3_1_85_Kcat } * E2_3_1_85 * 	
C05747 * C00006) /(${Variables:E2_3_1_85_Km} + (E2_3_1_85 * 	
C05747 * C00006))</v>
      </c>
      <c r="K369" s="31" t="str">
        <f t="shared" si="29"/>
        <v>r368: 	
C05747 + C00006 -&gt; C05746 + C00005 + C00080 | (${Variables: E2_3_1_85_Kcat } * E2_3_1_85 * 	
C05747 * C00006) /(${Variables:E2_3_1_85_Km} + (E2_3_1_85 * 	
C05747 * C00006))</v>
      </c>
    </row>
    <row r="370" spans="1:11" ht="29" x14ac:dyDescent="0.35">
      <c r="A370" s="31" t="s">
        <v>6857</v>
      </c>
      <c r="B370" s="31" t="s">
        <v>6858</v>
      </c>
      <c r="C370" s="31" t="s">
        <v>14044</v>
      </c>
      <c r="D370" s="31">
        <v>369</v>
      </c>
      <c r="E370" s="31" t="str">
        <f t="shared" si="26"/>
        <v>E2_3_1_85</v>
      </c>
      <c r="F370" s="31" t="s">
        <v>9421</v>
      </c>
      <c r="G370" s="31" t="str">
        <f t="shared" si="27"/>
        <v>C05747</v>
      </c>
      <c r="H370" s="31" t="s">
        <v>9422</v>
      </c>
      <c r="I370" s="31" t="str">
        <f t="shared" si="30"/>
        <v> C05748 * C00001</v>
      </c>
      <c r="J370" s="31" t="str">
        <f t="shared" si="28"/>
        <v>(${Variables: E2_3_1_85_Kcat } * E2_3_1_85 * C05747) /(${Variables:E2_3_1_85_Km} + (E2_3_1_85 * C05747))</v>
      </c>
      <c r="K370" s="31" t="str">
        <f t="shared" si="29"/>
        <v>r369: C05747 -&gt;  C05748 + C00001 | (${Variables: E2_3_1_85_Kcat } * E2_3_1_85 * C05747) /(${Variables:E2_3_1_85_Km} + (E2_3_1_85 * C05747))</v>
      </c>
    </row>
    <row r="371" spans="1:11" ht="29" x14ac:dyDescent="0.35">
      <c r="A371" s="31" t="s">
        <v>6857</v>
      </c>
      <c r="B371" s="31" t="s">
        <v>6858</v>
      </c>
      <c r="C371" s="31" t="s">
        <v>14044</v>
      </c>
      <c r="D371" s="31">
        <v>370</v>
      </c>
      <c r="E371" s="31" t="str">
        <f t="shared" si="26"/>
        <v>E2_3_1_85</v>
      </c>
      <c r="F371" s="31" t="s">
        <v>9424</v>
      </c>
      <c r="G371" s="31" t="str">
        <f t="shared" si="27"/>
        <v xml:space="preserve">C05749 * C00006 </v>
      </c>
      <c r="H371" s="31" t="s">
        <v>9425</v>
      </c>
      <c r="I371" s="31" t="str">
        <f t="shared" si="30"/>
        <v>C05748 * C00005 * C00080</v>
      </c>
      <c r="J371" s="31" t="str">
        <f t="shared" si="28"/>
        <v>(${Variables: E2_3_1_85_Kcat } * E2_3_1_85 * C05749 * C00006 ) /(${Variables:E2_3_1_85_Km} + (E2_3_1_85 * C05749 * C00006 ))</v>
      </c>
      <c r="K371" s="31" t="str">
        <f t="shared" si="29"/>
        <v>r370: C05749 + C00006  -&gt; C05748 + C00005 + C00080 | (${Variables: E2_3_1_85_Kcat } * E2_3_1_85 * C05749 * C00006 ) /(${Variables:E2_3_1_85_Km} + (E2_3_1_85 * C05749 * C00006 ))</v>
      </c>
    </row>
    <row r="372" spans="1:11" ht="29" x14ac:dyDescent="0.35">
      <c r="A372" s="31" t="s">
        <v>6857</v>
      </c>
      <c r="B372" s="31" t="s">
        <v>6858</v>
      </c>
      <c r="C372" s="31" t="s">
        <v>14044</v>
      </c>
      <c r="D372" s="31">
        <v>371</v>
      </c>
      <c r="E372" s="31" t="str">
        <f t="shared" si="26"/>
        <v>E2_3_1_85</v>
      </c>
      <c r="F372" s="31" t="s">
        <v>9427</v>
      </c>
      <c r="G372" s="31" t="str">
        <f t="shared" si="27"/>
        <v>C05749 * C01209 </v>
      </c>
      <c r="H372" s="31" t="s">
        <v>9428</v>
      </c>
      <c r="I372" s="31" t="str">
        <f t="shared" si="30"/>
        <v>C05750 * C00011 * C00229</v>
      </c>
      <c r="J372" s="31" t="str">
        <f t="shared" si="28"/>
        <v>(${Variables: E2_3_1_85_Kcat } * E2_3_1_85 * C05749 * C01209 ) /(${Variables:E2_3_1_85_Km} + (E2_3_1_85 * C05749 * C01209 ))</v>
      </c>
      <c r="K372" s="31" t="str">
        <f t="shared" si="29"/>
        <v>r371: C05749 + C01209  -&gt; C05750 + C00011 + C00229 | (${Variables: E2_3_1_85_Kcat } * E2_3_1_85 * C05749 * C01209 ) /(${Variables:E2_3_1_85_Km} + (E2_3_1_85 * C05749 * C01209 ))</v>
      </c>
    </row>
    <row r="373" spans="1:11" ht="29" x14ac:dyDescent="0.35">
      <c r="A373" s="31" t="s">
        <v>6857</v>
      </c>
      <c r="B373" s="31" t="s">
        <v>6858</v>
      </c>
      <c r="C373" s="31" t="s">
        <v>14044</v>
      </c>
      <c r="D373" s="31">
        <v>372</v>
      </c>
      <c r="E373" s="31" t="str">
        <f t="shared" si="26"/>
        <v>E2_3_1_85</v>
      </c>
      <c r="F373" s="31" t="s">
        <v>9430</v>
      </c>
      <c r="G373" s="31" t="str">
        <f t="shared" si="27"/>
        <v>C05752 * C00006</v>
      </c>
      <c r="H373" s="31" t="s">
        <v>9431</v>
      </c>
      <c r="I373" s="31" t="str">
        <f t="shared" si="30"/>
        <v>C05751 * C00005 * C00080</v>
      </c>
      <c r="J373" s="31" t="str">
        <f t="shared" si="28"/>
        <v>(${Variables: E2_3_1_85_Kcat } * E2_3_1_85 * C05752 * C00006) /(${Variables:E2_3_1_85_Km} + (E2_3_1_85 * C05752 * C00006))</v>
      </c>
      <c r="K373" s="31" t="str">
        <f t="shared" si="29"/>
        <v>r372: C05752 + C00006 -&gt; C05751 + C00005 + C00080 | (${Variables: E2_3_1_85_Kcat } * E2_3_1_85 * C05752 * C00006) /(${Variables:E2_3_1_85_Km} + (E2_3_1_85 * C05752 * C00006))</v>
      </c>
    </row>
    <row r="374" spans="1:11" ht="58" x14ac:dyDescent="0.35">
      <c r="A374" s="31" t="s">
        <v>6857</v>
      </c>
      <c r="B374" s="31" t="s">
        <v>6858</v>
      </c>
      <c r="C374" s="31" t="s">
        <v>14044</v>
      </c>
      <c r="D374" s="31">
        <v>373</v>
      </c>
      <c r="E374" s="31" t="str">
        <f t="shared" si="26"/>
        <v>E2_3_1_85</v>
      </c>
      <c r="F374" s="31" t="s">
        <v>9433</v>
      </c>
      <c r="G374" s="31" t="str">
        <f t="shared" si="27"/>
        <v xml:space="preserve">	
C05752 * C01209 </v>
      </c>
      <c r="H374" s="31" t="s">
        <v>9434</v>
      </c>
      <c r="I374" s="31" t="str">
        <f t="shared" si="30"/>
        <v>C05753 * C00011 * C00229</v>
      </c>
      <c r="J374" s="31" t="str">
        <f t="shared" si="28"/>
        <v>(${Variables: E2_3_1_85_Kcat } * E2_3_1_85 * 	
C05752 * C01209 ) /(${Variables:E2_3_1_85_Km} + (E2_3_1_85 * 	
C05752 * C01209 ))</v>
      </c>
      <c r="K374" s="31" t="str">
        <f t="shared" si="29"/>
        <v>r373: 	
C05752 + C01209  -&gt; C05753 + C00011 + C00229 | (${Variables: E2_3_1_85_Kcat } * E2_3_1_85 * 	
C05752 * C01209 ) /(${Variables:E2_3_1_85_Km} + (E2_3_1_85 * 	
C05752 * C01209 ))</v>
      </c>
    </row>
    <row r="375" spans="1:11" ht="58" x14ac:dyDescent="0.35">
      <c r="A375" s="31" t="s">
        <v>6857</v>
      </c>
      <c r="B375" s="31" t="s">
        <v>6858</v>
      </c>
      <c r="C375" s="31" t="s">
        <v>14044</v>
      </c>
      <c r="D375" s="31">
        <v>374</v>
      </c>
      <c r="E375" s="31" t="str">
        <f t="shared" si="26"/>
        <v>E2_3_1_85</v>
      </c>
      <c r="F375" s="31" t="s">
        <v>9436</v>
      </c>
      <c r="G375" s="31" t="str">
        <f t="shared" si="27"/>
        <v xml:space="preserve">	
C05755 * C00006 </v>
      </c>
      <c r="H375" s="31" t="s">
        <v>9437</v>
      </c>
      <c r="I375" s="31" t="str">
        <f t="shared" si="30"/>
        <v> C05754 * C00005 * C00080</v>
      </c>
      <c r="J375" s="31" t="str">
        <f t="shared" si="28"/>
        <v>(${Variables: E2_3_1_85_Kcat } * E2_3_1_85 * 	
C05755 * C00006 ) /(${Variables:E2_3_1_85_Km} + (E2_3_1_85 * 	
C05755 * C00006 ))</v>
      </c>
      <c r="K375" s="31" t="str">
        <f t="shared" si="29"/>
        <v>r374: 	
C05755 + C00006  -&gt;  C05754 + C00005 + C00080 | (${Variables: E2_3_1_85_Kcat } * E2_3_1_85 * 	
C05755 * C00006 ) /(${Variables:E2_3_1_85_Km} + (E2_3_1_85 * 	
C05755 * C00006 ))</v>
      </c>
    </row>
    <row r="376" spans="1:11" ht="29" x14ac:dyDescent="0.35">
      <c r="A376" s="31" t="s">
        <v>6857</v>
      </c>
      <c r="B376" s="31" t="s">
        <v>6858</v>
      </c>
      <c r="C376" s="31" t="s">
        <v>14044</v>
      </c>
      <c r="D376" s="31">
        <v>375</v>
      </c>
      <c r="E376" s="31" t="str">
        <f t="shared" si="26"/>
        <v>E2_3_1_85</v>
      </c>
      <c r="F376" s="31" t="s">
        <v>9439</v>
      </c>
      <c r="G376" s="31" t="str">
        <f t="shared" si="27"/>
        <v xml:space="preserve">C05755 * C01209 </v>
      </c>
      <c r="H376" s="31" t="s">
        <v>9440</v>
      </c>
      <c r="I376" s="31" t="str">
        <f t="shared" si="30"/>
        <v>C05756 * C00011 * C00229</v>
      </c>
      <c r="J376" s="31" t="str">
        <f t="shared" si="28"/>
        <v>(${Variables: E2_3_1_85_Kcat } * E2_3_1_85 * C05755 * C01209 ) /(${Variables:E2_3_1_85_Km} + (E2_3_1_85 * C05755 * C01209 ))</v>
      </c>
      <c r="K376" s="31" t="str">
        <f t="shared" si="29"/>
        <v>r375: C05755 + C01209  -&gt; C05756 + C00011 + C00229 | (${Variables: E2_3_1_85_Kcat } * E2_3_1_85 * C05755 * C01209 ) /(${Variables:E2_3_1_85_Km} + (E2_3_1_85 * C05755 * C01209 ))</v>
      </c>
    </row>
    <row r="377" spans="1:11" ht="29" x14ac:dyDescent="0.35">
      <c r="A377" s="31" t="s">
        <v>6857</v>
      </c>
      <c r="B377" s="31" t="s">
        <v>6858</v>
      </c>
      <c r="C377" s="31" t="s">
        <v>14044</v>
      </c>
      <c r="D377" s="31">
        <v>376</v>
      </c>
      <c r="E377" s="31" t="str">
        <f t="shared" si="26"/>
        <v>E2_3_1_85</v>
      </c>
      <c r="F377" s="31" t="s">
        <v>8875</v>
      </c>
      <c r="G377" s="31" t="str">
        <f t="shared" si="27"/>
        <v>C05757 * C00006</v>
      </c>
      <c r="H377" s="31" t="s">
        <v>9442</v>
      </c>
      <c r="I377" s="31" t="str">
        <f t="shared" si="30"/>
        <v>C05756 * C00005 * C00080</v>
      </c>
      <c r="J377" s="31" t="str">
        <f t="shared" si="28"/>
        <v>(${Variables: E2_3_1_85_Kcat } * E2_3_1_85 * C05757 * C00006) /(${Variables:E2_3_1_85_Km} + (E2_3_1_85 * C05757 * C00006))</v>
      </c>
      <c r="K377" s="31" t="str">
        <f t="shared" si="29"/>
        <v>r376: C05757 + C00006 -&gt; C05756 + C00005 + C00080 | (${Variables: E2_3_1_85_Kcat } * E2_3_1_85 * C05757 * C00006) /(${Variables:E2_3_1_85_Km} + (E2_3_1_85 * C05757 * C00006))</v>
      </c>
    </row>
    <row r="378" spans="1:11" ht="58" x14ac:dyDescent="0.35">
      <c r="A378" s="31" t="s">
        <v>6857</v>
      </c>
      <c r="B378" s="31" t="s">
        <v>6858</v>
      </c>
      <c r="C378" s="31" t="s">
        <v>14044</v>
      </c>
      <c r="D378" s="31">
        <v>377</v>
      </c>
      <c r="E378" s="31" t="str">
        <f t="shared" si="26"/>
        <v>E2_3_1_85</v>
      </c>
      <c r="F378" s="31" t="s">
        <v>9444</v>
      </c>
      <c r="G378" s="31" t="str">
        <f t="shared" si="27"/>
        <v xml:space="preserve">	
C05757 </v>
      </c>
      <c r="H378" s="31" t="s">
        <v>9445</v>
      </c>
      <c r="I378" s="31" t="str">
        <f t="shared" si="30"/>
        <v>C05758 * C00001</v>
      </c>
      <c r="J378" s="31" t="str">
        <f t="shared" si="28"/>
        <v>(${Variables: E2_3_1_85_Kcat } * E2_3_1_85 * 	
C05757 ) /(${Variables:E2_3_1_85_Km} + (E2_3_1_85 * 	
C05757 ))</v>
      </c>
      <c r="K378" s="31" t="str">
        <f t="shared" si="29"/>
        <v>r377: 	
C05757  -&gt; C05758 + C00001 | (${Variables: E2_3_1_85_Kcat } * E2_3_1_85 * 	
C05757 ) /(${Variables:E2_3_1_85_Km} + (E2_3_1_85 * 	
C05757 ))</v>
      </c>
    </row>
    <row r="379" spans="1:11" ht="58" x14ac:dyDescent="0.35">
      <c r="A379" s="31" t="s">
        <v>6857</v>
      </c>
      <c r="B379" s="31" t="s">
        <v>6858</v>
      </c>
      <c r="C379" s="31" t="s">
        <v>14044</v>
      </c>
      <c r="D379" s="31">
        <v>378</v>
      </c>
      <c r="E379" s="31" t="str">
        <f t="shared" si="26"/>
        <v>E2_3_1_85</v>
      </c>
      <c r="F379" s="31" t="s">
        <v>9447</v>
      </c>
      <c r="G379" s="31" t="str">
        <f t="shared" si="27"/>
        <v xml:space="preserve">	
C05761 * C00006</v>
      </c>
      <c r="H379" s="31" t="s">
        <v>9448</v>
      </c>
      <c r="I379" s="31" t="str">
        <f t="shared" si="30"/>
        <v>C05760 * C00005 * C00080</v>
      </c>
      <c r="J379" s="31" t="str">
        <f t="shared" si="28"/>
        <v>(${Variables: E2_3_1_85_Kcat } * E2_3_1_85 * 	
C05761 * C00006) /(${Variables:E2_3_1_85_Km} + (E2_3_1_85 * 	
C05761 * C00006))</v>
      </c>
      <c r="K379" s="31" t="str">
        <f t="shared" si="29"/>
        <v>r378: 	
C05761 + C00006 -&gt; C05760 + C00005 + C00080 | (${Variables: E2_3_1_85_Kcat } * E2_3_1_85 * 	
C05761 * C00006) /(${Variables:E2_3_1_85_Km} + (E2_3_1_85 * 	
C05761 * C00006))</v>
      </c>
    </row>
    <row r="380" spans="1:11" ht="29" x14ac:dyDescent="0.35">
      <c r="A380" s="31" t="s">
        <v>6857</v>
      </c>
      <c r="B380" s="31" t="s">
        <v>6858</v>
      </c>
      <c r="C380" s="31" t="s">
        <v>14044</v>
      </c>
      <c r="D380" s="31">
        <v>379</v>
      </c>
      <c r="E380" s="31" t="str">
        <f t="shared" si="26"/>
        <v>E2_3_1_85</v>
      </c>
      <c r="F380" s="31" t="s">
        <v>9450</v>
      </c>
      <c r="G380" s="31" t="str">
        <f t="shared" si="27"/>
        <v>C05761 * C01209</v>
      </c>
      <c r="H380" s="31" t="s">
        <v>9451</v>
      </c>
      <c r="I380" s="31" t="str">
        <f t="shared" si="30"/>
        <v>C05762 * C00011 * C00229</v>
      </c>
      <c r="J380" s="31" t="str">
        <f t="shared" si="28"/>
        <v>(${Variables: E2_3_1_85_Kcat } * E2_3_1_85 * C05761 * C01209) /(${Variables:E2_3_1_85_Km} + (E2_3_1_85 * C05761 * C01209))</v>
      </c>
      <c r="K380" s="31" t="str">
        <f t="shared" si="29"/>
        <v>r379: C05761 + C01209 -&gt; C05762 + C00011 + C00229 | (${Variables: E2_3_1_85_Kcat } * E2_3_1_85 * C05761 * C01209) /(${Variables:E2_3_1_85_Km} + (E2_3_1_85 * C05761 * C01209))</v>
      </c>
    </row>
    <row r="381" spans="1:11" ht="29" x14ac:dyDescent="0.35">
      <c r="A381" s="31" t="s">
        <v>6857</v>
      </c>
      <c r="B381" s="31" t="s">
        <v>6858</v>
      </c>
      <c r="C381" s="31" t="s">
        <v>14044</v>
      </c>
      <c r="D381" s="31">
        <v>380</v>
      </c>
      <c r="E381" s="31" t="str">
        <f t="shared" si="26"/>
        <v>E2_3_1_85</v>
      </c>
      <c r="F381" s="31" t="s">
        <v>9453</v>
      </c>
      <c r="G381" s="31" t="str">
        <f t="shared" si="27"/>
        <v>C05764 * C00006</v>
      </c>
      <c r="H381" s="31" t="s">
        <v>9454</v>
      </c>
      <c r="I381" s="31" t="str">
        <f t="shared" si="30"/>
        <v>C05763 * C00005 * C00080</v>
      </c>
      <c r="J381" s="31" t="str">
        <f t="shared" si="28"/>
        <v>(${Variables: E2_3_1_85_Kcat } * E2_3_1_85 * C05764 * C00006) /(${Variables:E2_3_1_85_Km} + (E2_3_1_85 * C05764 * C00006))</v>
      </c>
      <c r="K381" s="31" t="str">
        <f t="shared" si="29"/>
        <v>r380: C05764 + C00006 -&gt; C05763 + C00005 + C00080 | (${Variables: E2_3_1_85_Kcat } * E2_3_1_85 * C05764 * C00006) /(${Variables:E2_3_1_85_Km} + (E2_3_1_85 * C05764 * C00006))</v>
      </c>
    </row>
    <row r="382" spans="1:11" ht="29" x14ac:dyDescent="0.35">
      <c r="A382" s="31" t="s">
        <v>6593</v>
      </c>
      <c r="B382" s="31" t="s">
        <v>6594</v>
      </c>
      <c r="C382" s="31" t="s">
        <v>14045</v>
      </c>
      <c r="D382" s="31">
        <v>381</v>
      </c>
      <c r="E382" s="31" t="str">
        <f t="shared" si="26"/>
        <v>E2_3_1_9</v>
      </c>
      <c r="F382" s="31" t="s">
        <v>14391</v>
      </c>
      <c r="G382" s="31" t="str">
        <f t="shared" si="27"/>
        <v> C00024</v>
      </c>
      <c r="H382" s="31" t="s">
        <v>9457</v>
      </c>
      <c r="I382" s="31" t="str">
        <f t="shared" si="30"/>
        <v>C00010 * C00332</v>
      </c>
      <c r="J382" s="31" t="str">
        <f t="shared" si="28"/>
        <v>(${Variables: E2_3_1_9_Kcat } * E2_3_1_9 *  C00024) /(${Variables:E2_3_1_9_Km} + (E2_3_1_9 *  C00024))</v>
      </c>
      <c r="K382" s="32" t="str">
        <f t="shared" si="29"/>
        <v>r381:  C00024 -&gt; C00010 + C00332 | (${Variables: E2_3_1_9_Kcat } * E2_3_1_9 *  C00024) /(${Variables:E2_3_1_9_Km} + (E2_3_1_9 *  C00024))</v>
      </c>
    </row>
    <row r="383" spans="1:11" ht="29" x14ac:dyDescent="0.35">
      <c r="A383" s="31" t="s">
        <v>6593</v>
      </c>
      <c r="B383" s="31" t="s">
        <v>6594</v>
      </c>
      <c r="C383" s="31" t="s">
        <v>14045</v>
      </c>
      <c r="D383" s="31">
        <v>382</v>
      </c>
      <c r="E383" s="31" t="str">
        <f t="shared" si="26"/>
        <v>E2_3_1_9</v>
      </c>
      <c r="F383" s="31" t="s">
        <v>9459</v>
      </c>
      <c r="G383" s="31" t="str">
        <f t="shared" si="27"/>
        <v>C00100 * C00024 </v>
      </c>
      <c r="H383" s="31" t="s">
        <v>9460</v>
      </c>
      <c r="I383" s="31" t="str">
        <f t="shared" si="30"/>
        <v> C00010 * C03344</v>
      </c>
      <c r="J383" s="31" t="str">
        <f t="shared" si="28"/>
        <v>(${Variables: E2_3_1_9_Kcat } * E2_3_1_9 * C00100 * C00024 ) /(${Variables:E2_3_1_9_Km} + (E2_3_1_9 * C00100 * C00024 ))</v>
      </c>
      <c r="K383" s="32" t="str">
        <f t="shared" si="29"/>
        <v>r382: C00100 + C00024  -&gt;  C00010 + C03344 | (${Variables: E2_3_1_9_Kcat } * E2_3_1_9 * C00100 * C00024 ) /(${Variables:E2_3_1_9_Km} + (E2_3_1_9 * C00100 * C00024 ))</v>
      </c>
    </row>
    <row r="384" spans="1:11" ht="58" x14ac:dyDescent="0.35">
      <c r="A384" s="31" t="s">
        <v>6593</v>
      </c>
      <c r="B384" s="31" t="s">
        <v>6594</v>
      </c>
      <c r="C384" s="31" t="s">
        <v>14045</v>
      </c>
      <c r="D384" s="31">
        <v>383</v>
      </c>
      <c r="E384" s="31" t="str">
        <f t="shared" si="26"/>
        <v>E2_3_1_9</v>
      </c>
      <c r="F384" s="31" t="s">
        <v>9462</v>
      </c>
      <c r="G384" s="31" t="str">
        <f t="shared" si="27"/>
        <v xml:space="preserve">	
C00024 * C00136 </v>
      </c>
      <c r="H384" s="31" t="s">
        <v>9463</v>
      </c>
      <c r="I384" s="31" t="str">
        <f t="shared" si="30"/>
        <v>C00010 * C05269</v>
      </c>
      <c r="J384" s="31" t="str">
        <f t="shared" si="28"/>
        <v>(${Variables: E2_3_1_9_Kcat } * E2_3_1_9 * 	
C00024 * C00136 ) /(${Variables:E2_3_1_9_Km} + (E2_3_1_9 * 	
C00024 * C00136 ))</v>
      </c>
      <c r="K384" s="32" t="str">
        <f t="shared" si="29"/>
        <v>r383: 	
C00024 + C00136  -&gt; C00010 + C05269 | (${Variables: E2_3_1_9_Kcat } * E2_3_1_9 * 	
C00024 * C00136 ) /(${Variables:E2_3_1_9_Km} + (E2_3_1_9 * 	
C00024 * C00136 ))</v>
      </c>
    </row>
    <row r="385" spans="1:11" ht="29" x14ac:dyDescent="0.35">
      <c r="A385" s="31" t="s">
        <v>2756</v>
      </c>
      <c r="B385" s="31" t="s">
        <v>2757</v>
      </c>
      <c r="C385" s="31" t="s">
        <v>14046</v>
      </c>
      <c r="D385" s="31">
        <v>384</v>
      </c>
      <c r="E385" s="31" t="str">
        <f t="shared" si="26"/>
        <v>E2_3_2_2</v>
      </c>
      <c r="F385" s="31" t="s">
        <v>9466</v>
      </c>
      <c r="G385" s="31" t="str">
        <f t="shared" si="27"/>
        <v>C03193 * C00045 </v>
      </c>
      <c r="H385" s="31" t="s">
        <v>9467</v>
      </c>
      <c r="I385" s="31" t="str">
        <f t="shared" si="30"/>
        <v>C00012 * C03363</v>
      </c>
      <c r="J385" s="31" t="str">
        <f t="shared" si="28"/>
        <v>(${Variables: E2_3_2_2_Kcat } * E2_3_2_2 * C03193 * C00045 ) /(${Variables:E2_3_2_2_Km} + (E2_3_2_2 * C03193 * C00045 ))</v>
      </c>
      <c r="K385" s="32" t="str">
        <f t="shared" si="29"/>
        <v>r384: C03193 + C00045  -&gt; C00012 + C03363 | (${Variables: E2_3_2_2_Kcat } * E2_3_2_2 * C03193 * C00045 ) /(${Variables:E2_3_2_2_Km} + (E2_3_2_2 * C03193 * C00045 ))</v>
      </c>
    </row>
    <row r="386" spans="1:11" ht="58" x14ac:dyDescent="0.35">
      <c r="A386" s="31" t="s">
        <v>2756</v>
      </c>
      <c r="B386" s="31" t="s">
        <v>2757</v>
      </c>
      <c r="C386" s="31" t="s">
        <v>14046</v>
      </c>
      <c r="D386" s="31">
        <v>385</v>
      </c>
      <c r="E386" s="31" t="str">
        <f t="shared" si="26"/>
        <v>E2_3_2_2</v>
      </c>
      <c r="F386" s="31" t="s">
        <v>9469</v>
      </c>
      <c r="G386" s="31" t="str">
        <f t="shared" si="27"/>
        <v xml:space="preserve">	
C00051 * C00151</v>
      </c>
      <c r="H386" s="31" t="s">
        <v>9470</v>
      </c>
      <c r="I386" s="31" t="str">
        <f t="shared" si="30"/>
        <v>C01419 * C03740</v>
      </c>
      <c r="J386" s="31" t="str">
        <f t="shared" si="28"/>
        <v>(${Variables: E2_3_2_2_Kcat } * E2_3_2_2 * 	
C00051 * C00151) /(${Variables:E2_3_2_2_Km} + (E2_3_2_2 * 	
C00051 * C00151))</v>
      </c>
      <c r="K386" s="32" t="str">
        <f t="shared" si="29"/>
        <v>r385: 	
C00051 + C00151 -&gt; C01419 + C03740 | (${Variables: E2_3_2_2_Kcat } * E2_3_2_2 * 	
C00051 * C00151) /(${Variables:E2_3_2_2_Km} + (E2_3_2_2 * 	
C00051 * C00151))</v>
      </c>
    </row>
    <row r="387" spans="1:11" ht="58" x14ac:dyDescent="0.35">
      <c r="A387" s="31" t="s">
        <v>2756</v>
      </c>
      <c r="B387" s="31" t="s">
        <v>2757</v>
      </c>
      <c r="C387" s="31" t="s">
        <v>14046</v>
      </c>
      <c r="D387" s="31">
        <v>386</v>
      </c>
      <c r="E387" s="31" t="str">
        <f t="shared" ref="E387:E449" si="31">CONCATENATE("E",C387)</f>
        <v>E2_3_2_2</v>
      </c>
      <c r="F387" s="31" t="s">
        <v>9472</v>
      </c>
      <c r="G387" s="31" t="str">
        <f t="shared" ref="G387:G449" si="32">SUBSTITUTE(F387,"+","*")</f>
        <v xml:space="preserve">	
C03193 * C00245 </v>
      </c>
      <c r="H387" s="31" t="s">
        <v>9473</v>
      </c>
      <c r="I387" s="31" t="str">
        <f t="shared" si="30"/>
        <v> C00012 * C05844</v>
      </c>
      <c r="J387" s="31" t="str">
        <f t="shared" ref="J387:J449" si="33">CONCATENATE("(${Variables: ",E387,"_Kcat ","} * ",E387," * ",G387,")"," /(${Variables:",E387,"_Km","} + (",E387," * ",G387,"))")</f>
        <v>(${Variables: E2_3_2_2_Kcat } * E2_3_2_2 * 	
C03193 * C00245 ) /(${Variables:E2_3_2_2_Km} + (E2_3_2_2 * 	
C03193 * C00245 ))</v>
      </c>
      <c r="K387" s="32" t="str">
        <f t="shared" ref="K387:K449" si="34">CONCATENATE("r",D387,": ",F387," -&gt; ",H387," | ",J387)</f>
        <v>r386: 	
C03193 + C00245  -&gt;  C00012 + C05844 | (${Variables: E2_3_2_2_Kcat } * E2_3_2_2 * 	
C03193 * C00245 ) /(${Variables:E2_3_2_2_Km} + (E2_3_2_2 * 	
C03193 * C00245 ))</v>
      </c>
    </row>
    <row r="388" spans="1:11" ht="29" x14ac:dyDescent="0.35">
      <c r="A388" s="31" t="s">
        <v>2756</v>
      </c>
      <c r="B388" s="31" t="s">
        <v>2757</v>
      </c>
      <c r="C388" s="31" t="s">
        <v>14046</v>
      </c>
      <c r="D388" s="31">
        <v>387</v>
      </c>
      <c r="E388" s="31" t="str">
        <f t="shared" si="31"/>
        <v>E2_3_2_2</v>
      </c>
      <c r="F388" s="31" t="s">
        <v>9475</v>
      </c>
      <c r="G388" s="31" t="str">
        <f t="shared" si="32"/>
        <v>C02166 * C00045</v>
      </c>
      <c r="H388" s="31" t="s">
        <v>9476</v>
      </c>
      <c r="I388" s="31" t="str">
        <f t="shared" si="30"/>
        <v> C05951 * C03363</v>
      </c>
      <c r="J388" s="31" t="str">
        <f t="shared" si="33"/>
        <v>(${Variables: E2_3_2_2_Kcat } * E2_3_2_2 * C02166 * C00045) /(${Variables:E2_3_2_2_Km} + (E2_3_2_2 * C02166 * C00045))</v>
      </c>
      <c r="K388" s="32" t="str">
        <f t="shared" si="34"/>
        <v>r387: C02166 + C00045 -&gt;  C05951 + C03363 | (${Variables: E2_3_2_2_Kcat } * E2_3_2_2 * C02166 * C00045) /(${Variables:E2_3_2_2_Km} + (E2_3_2_2 * C02166 * C00045))</v>
      </c>
    </row>
    <row r="389" spans="1:11" ht="58" x14ac:dyDescent="0.35">
      <c r="A389" s="31" t="s">
        <v>2756</v>
      </c>
      <c r="B389" s="31" t="s">
        <v>2757</v>
      </c>
      <c r="C389" s="31" t="s">
        <v>14046</v>
      </c>
      <c r="D389" s="31">
        <v>388</v>
      </c>
      <c r="E389" s="31" t="str">
        <f t="shared" si="31"/>
        <v>E2_3_2_2</v>
      </c>
      <c r="F389" s="31" t="s">
        <v>9478</v>
      </c>
      <c r="G389" s="31" t="str">
        <f t="shared" si="32"/>
        <v xml:space="preserve">	
C03193 * C05689</v>
      </c>
      <c r="H389" s="31" t="s">
        <v>9479</v>
      </c>
      <c r="I389" s="31" t="str">
        <f t="shared" si="30"/>
        <v> C00012 * C05695</v>
      </c>
      <c r="J389" s="31" t="str">
        <f t="shared" si="33"/>
        <v>(${Variables: E2_3_2_2_Kcat } * E2_3_2_2 * 	
C03193 * C05689) /(${Variables:E2_3_2_2_Km} + (E2_3_2_2 * 	
C03193 * C05689))</v>
      </c>
      <c r="K389" s="32" t="str">
        <f t="shared" si="34"/>
        <v>r388: 	
C03193 + C05689 -&gt;  C00012 + C05695 | (${Variables: E2_3_2_2_Kcat } * E2_3_2_2 * 	
C03193 * C05689) /(${Variables:E2_3_2_2_Km} + (E2_3_2_2 * 	
C03193 * C05689))</v>
      </c>
    </row>
    <row r="390" spans="1:11" ht="58" x14ac:dyDescent="0.35">
      <c r="A390" s="31" t="s">
        <v>2756</v>
      </c>
      <c r="B390" s="31" t="s">
        <v>2757</v>
      </c>
      <c r="C390" s="31" t="s">
        <v>14046</v>
      </c>
      <c r="D390" s="31">
        <v>389</v>
      </c>
      <c r="E390" s="31" t="str">
        <f t="shared" si="31"/>
        <v>E2_3_2_2</v>
      </c>
      <c r="F390" s="31" t="s">
        <v>9481</v>
      </c>
      <c r="G390" s="31" t="str">
        <f t="shared" si="32"/>
        <v xml:space="preserve">	
C02320 * C00001</v>
      </c>
      <c r="H390" s="31" t="s">
        <v>9482</v>
      </c>
      <c r="I390" s="31" t="str">
        <f t="shared" si="30"/>
        <v>C05729 * C00025</v>
      </c>
      <c r="J390" s="31" t="str">
        <f t="shared" si="33"/>
        <v>(${Variables: E2_3_2_2_Kcat } * E2_3_2_2 * 	
C02320 * C00001) /(${Variables:E2_3_2_2_Km} + (E2_3_2_2 * 	
C02320 * C00001))</v>
      </c>
      <c r="K390" s="32" t="str">
        <f t="shared" si="34"/>
        <v>r389: 	
C02320 + C00001 -&gt; C05729 + C00025 | (${Variables: E2_3_2_2_Kcat } * E2_3_2_2 * 	
C02320 * C00001) /(${Variables:E2_3_2_2_Km} + (E2_3_2_2 * 	
C02320 * C00001))</v>
      </c>
    </row>
    <row r="391" spans="1:11" ht="58" x14ac:dyDescent="0.35">
      <c r="A391" s="31" t="s">
        <v>2756</v>
      </c>
      <c r="B391" s="31" t="s">
        <v>2757</v>
      </c>
      <c r="C391" s="31" t="s">
        <v>14046</v>
      </c>
      <c r="D391" s="31">
        <v>390</v>
      </c>
      <c r="E391" s="31" t="str">
        <f t="shared" si="31"/>
        <v>E2_3_2_2</v>
      </c>
      <c r="F391" s="31" t="s">
        <v>9484</v>
      </c>
      <c r="G391" s="31" t="str">
        <f t="shared" si="32"/>
        <v xml:space="preserve">	
C02512 * C00025</v>
      </c>
      <c r="H391" s="31" t="s">
        <v>9485</v>
      </c>
      <c r="I391" s="31" t="str">
        <f t="shared" si="30"/>
        <v>C05711 * C00001</v>
      </c>
      <c r="J391" s="31" t="str">
        <f t="shared" si="33"/>
        <v>(${Variables: E2_3_2_2_Kcat } * E2_3_2_2 * 	
C02512 * C00025) /(${Variables:E2_3_2_2_Km} + (E2_3_2_2 * 	
C02512 * C00025))</v>
      </c>
      <c r="K391" s="32" t="str">
        <f t="shared" si="34"/>
        <v>r390: 	
C02512 + C00025 -&gt; C05711 + C00001 | (${Variables: E2_3_2_2_Kcat } * E2_3_2_2 * 	
C02512 * C00025) /(${Variables:E2_3_2_2_Km} + (E2_3_2_2 * 	
C02512 * C00025))</v>
      </c>
    </row>
    <row r="392" spans="1:11" ht="58" x14ac:dyDescent="0.35">
      <c r="A392" s="31" t="s">
        <v>2756</v>
      </c>
      <c r="B392" s="31" t="s">
        <v>2757</v>
      </c>
      <c r="C392" s="31" t="s">
        <v>14046</v>
      </c>
      <c r="D392" s="31">
        <v>391</v>
      </c>
      <c r="E392" s="31" t="str">
        <f t="shared" si="31"/>
        <v>E2_3_2_2</v>
      </c>
      <c r="F392" s="31" t="s">
        <v>9487</v>
      </c>
      <c r="G392" s="31" t="str">
        <f t="shared" si="32"/>
        <v xml:space="preserve">	
C05670 * C00025 </v>
      </c>
      <c r="H392" s="31" t="s">
        <v>9488</v>
      </c>
      <c r="I392" s="31" t="str">
        <f t="shared" si="30"/>
        <v>C06114 * C00001</v>
      </c>
      <c r="J392" s="31" t="str">
        <f t="shared" si="33"/>
        <v>(${Variables: E2_3_2_2_Kcat } * E2_3_2_2 * 	
C05670 * C00025 ) /(${Variables:E2_3_2_2_Km} + (E2_3_2_2 * 	
C05670 * C00025 ))</v>
      </c>
      <c r="K392" s="32" t="str">
        <f t="shared" si="34"/>
        <v>r391: 	
C05670 + C00025  -&gt; C06114 + C00001 | (${Variables: E2_3_2_2_Kcat } * E2_3_2_2 * 	
C05670 * C00025 ) /(${Variables:E2_3_2_2_Km} + (E2_3_2_2 * 	
C05670 * C00025 ))</v>
      </c>
    </row>
    <row r="393" spans="1:11" ht="29" x14ac:dyDescent="0.35">
      <c r="A393" s="31" t="s">
        <v>767</v>
      </c>
      <c r="B393" s="31" t="s">
        <v>768</v>
      </c>
      <c r="C393" s="31" t="s">
        <v>14047</v>
      </c>
      <c r="D393" s="31">
        <v>392</v>
      </c>
      <c r="E393" s="31" t="str">
        <f t="shared" si="31"/>
        <v>E2_3_3_13</v>
      </c>
      <c r="F393" s="31" t="s">
        <v>9491</v>
      </c>
      <c r="G393" s="31" t="str">
        <f t="shared" si="32"/>
        <v>C02504 * C00010</v>
      </c>
      <c r="H393" s="31" t="s">
        <v>9492</v>
      </c>
      <c r="I393" s="31" t="str">
        <f t="shared" si="30"/>
        <v>C00024 * C00141 * C00001</v>
      </c>
      <c r="J393" s="31" t="str">
        <f t="shared" si="33"/>
        <v>(${Variables: E2_3_3_13_Kcat } * E2_3_3_13 * C02504 * C00010) /(${Variables:E2_3_3_13_Km} + (E2_3_3_13 * C02504 * C00010))</v>
      </c>
      <c r="K393" s="32" t="str">
        <f t="shared" si="34"/>
        <v>r392: C02504 + C00010 -&gt; C00024 + C00141 + C00001 | (${Variables: E2_3_3_13_Kcat } * E2_3_3_13 * C02504 * C00010) /(${Variables:E2_3_3_13_Km} + (E2_3_3_13 * C02504 * C00010))</v>
      </c>
    </row>
    <row r="394" spans="1:11" ht="58" x14ac:dyDescent="0.35">
      <c r="A394" s="31" t="s">
        <v>2402</v>
      </c>
      <c r="B394" s="31" t="s">
        <v>2403</v>
      </c>
      <c r="C394" s="31" t="s">
        <v>14048</v>
      </c>
      <c r="D394" s="31">
        <v>393</v>
      </c>
      <c r="E394" s="31" t="str">
        <f t="shared" si="31"/>
        <v>E2_3_3_16</v>
      </c>
      <c r="F394" s="31" t="s">
        <v>9495</v>
      </c>
      <c r="G394" s="31" t="str">
        <f t="shared" si="32"/>
        <v xml:space="preserve">	
C00158 * C00010 </v>
      </c>
      <c r="H394" s="31" t="s">
        <v>9496</v>
      </c>
      <c r="I394" s="31" t="str">
        <f t="shared" si="30"/>
        <v>C00024 * C00001 * C00036</v>
      </c>
      <c r="J394" s="31" t="str">
        <f t="shared" si="33"/>
        <v>(${Variables: E2_3_3_16_Kcat } * E2_3_3_16 * 	
C00158 * C00010 ) /(${Variables:E2_3_3_16_Km} + (E2_3_3_16 * 	
C00158 * C00010 ))</v>
      </c>
      <c r="K394" s="31" t="str">
        <f t="shared" si="34"/>
        <v>r393: 	
C00158 + C00010  -&gt; C00024 + C00001 + C00036 | (${Variables: E2_3_3_16_Kcat } * E2_3_3_16 * 	
C00158 * C00010 ) /(${Variables:E2_3_3_16_Km} + (E2_3_3_16 * 	
C00158 * C00010 ))</v>
      </c>
    </row>
    <row r="395" spans="1:11" ht="58" x14ac:dyDescent="0.35">
      <c r="A395" s="31" t="s">
        <v>1922</v>
      </c>
      <c r="B395" s="31" t="s">
        <v>1923</v>
      </c>
      <c r="C395" s="31" t="s">
        <v>14049</v>
      </c>
      <c r="D395" s="31">
        <v>394</v>
      </c>
      <c r="E395" s="31" t="str">
        <f t="shared" si="31"/>
        <v xml:space="preserve">E2_3_3_16 </v>
      </c>
      <c r="F395" s="31" t="s">
        <v>9495</v>
      </c>
      <c r="G395" s="31" t="str">
        <f t="shared" si="32"/>
        <v xml:space="preserve">	
C00158 * C00010 </v>
      </c>
      <c r="H395" s="31" t="s">
        <v>9496</v>
      </c>
      <c r="I395" s="31" t="str">
        <f t="shared" si="30"/>
        <v>C00024 * C00001 * C00036</v>
      </c>
      <c r="J395" s="31" t="str">
        <f t="shared" si="33"/>
        <v>(${Variables: E2_3_3_16 _Kcat } * E2_3_3_16  * 	
C00158 * C00010 ) /(${Variables:E2_3_3_16 _Km} + (E2_3_3_16  * 	
C00158 * C00010 ))</v>
      </c>
      <c r="K395" s="31" t="str">
        <f t="shared" si="34"/>
        <v>r394: 	
C00158 + C00010  -&gt; C00024 + C00001 + C00036 | (${Variables: E2_3_3_16 _Kcat } * E2_3_3_16  * 	
C00158 * C00010 ) /(${Variables:E2_3_3_16 _Km} + (E2_3_3_16  * 	
C00158 * C00010 ))</v>
      </c>
    </row>
    <row r="396" spans="1:11" ht="58" x14ac:dyDescent="0.35">
      <c r="A396" s="31" t="s">
        <v>1922</v>
      </c>
      <c r="B396" s="31" t="s">
        <v>1923</v>
      </c>
      <c r="C396" s="31" t="s">
        <v>14050</v>
      </c>
      <c r="D396" s="31">
        <v>395</v>
      </c>
      <c r="E396" s="31" t="str">
        <f t="shared" si="31"/>
        <v>E2_3_3_5</v>
      </c>
      <c r="F396" s="31" t="s">
        <v>9501</v>
      </c>
      <c r="G396" s="31" t="str">
        <f t="shared" si="32"/>
        <v xml:space="preserve">	
C02225 * C00010</v>
      </c>
      <c r="H396" s="31" t="s">
        <v>9502</v>
      </c>
      <c r="I396" s="31" t="str">
        <f t="shared" si="30"/>
        <v> C00100 * C00036 * C00001</v>
      </c>
      <c r="J396" s="31" t="str">
        <f t="shared" si="33"/>
        <v>(${Variables: E2_3_3_5_Kcat } * E2_3_3_5 * 	
C02225 * C00010) /(${Variables:E2_3_3_5_Km} + (E2_3_3_5 * 	
C02225 * C00010))</v>
      </c>
      <c r="K396" s="31" t="str">
        <f t="shared" si="34"/>
        <v>r395: 	
C02225 + C00010 -&gt;  C00100 + C00036 + C00001 | (${Variables: E2_3_3_5_Kcat } * E2_3_3_5 * 	
C02225 * C00010) /(${Variables:E2_3_3_5_Km} + (E2_3_3_5 * 	
C02225 * C00010))</v>
      </c>
    </row>
    <row r="397" spans="1:11" ht="29" x14ac:dyDescent="0.35">
      <c r="A397" s="31" t="s">
        <v>1922</v>
      </c>
      <c r="B397" s="31" t="s">
        <v>1923</v>
      </c>
      <c r="C397" s="31" t="s">
        <v>14050</v>
      </c>
      <c r="D397" s="31">
        <v>396</v>
      </c>
      <c r="E397" s="31" t="str">
        <f t="shared" si="31"/>
        <v>E2_3_3_5</v>
      </c>
      <c r="F397" s="31" t="s">
        <v>9503</v>
      </c>
      <c r="G397" s="31" t="str">
        <f t="shared" si="32"/>
        <v>C00158 * C00010 </v>
      </c>
      <c r="H397" s="31" t="s">
        <v>9504</v>
      </c>
      <c r="I397" s="31" t="str">
        <f t="shared" si="30"/>
        <v> C00024 * C00001 * C00036</v>
      </c>
      <c r="J397" s="31" t="str">
        <f t="shared" si="33"/>
        <v>(${Variables: E2_3_3_5_Kcat } * E2_3_3_5 * C00158 * C00010 ) /(${Variables:E2_3_3_5_Km} + (E2_3_3_5 * C00158 * C00010 ))</v>
      </c>
      <c r="K397" s="31" t="str">
        <f t="shared" si="34"/>
        <v>r396: C00158 + C00010  -&gt;  C00024 + C00001 + C00036 | (${Variables: E2_3_3_5_Kcat } * E2_3_3_5 * C00158 * C00010 ) /(${Variables:E2_3_3_5_Km} + (E2_3_3_5 * C00158 * C00010 ))</v>
      </c>
    </row>
    <row r="398" spans="1:11" ht="58" x14ac:dyDescent="0.35">
      <c r="A398" s="31" t="s">
        <v>2016</v>
      </c>
      <c r="B398" s="31" t="s">
        <v>2017</v>
      </c>
      <c r="C398" s="31" t="s">
        <v>14049</v>
      </c>
      <c r="D398" s="31">
        <v>397</v>
      </c>
      <c r="E398" s="31" t="str">
        <f t="shared" si="31"/>
        <v xml:space="preserve">E2_3_3_16 </v>
      </c>
      <c r="F398" s="31" t="s">
        <v>9495</v>
      </c>
      <c r="G398" s="31" t="str">
        <f t="shared" si="32"/>
        <v xml:space="preserve">	
C00158 * C00010 </v>
      </c>
      <c r="H398" s="31" t="s">
        <v>9496</v>
      </c>
      <c r="I398" s="31" t="str">
        <f t="shared" si="30"/>
        <v>C00024 * C00001 * C00036</v>
      </c>
      <c r="J398" s="31" t="str">
        <f t="shared" si="33"/>
        <v>(${Variables: E2_3_3_16 _Kcat } * E2_3_3_16  * 	
C00158 * C00010 ) /(${Variables:E2_3_3_16 _Km} + (E2_3_3_16  * 	
C00158 * C00010 ))</v>
      </c>
      <c r="K398" s="31" t="str">
        <f t="shared" si="34"/>
        <v>r397: 	
C00158 + C00010  -&gt; C00024 + C00001 + C00036 | (${Variables: E2_3_3_16 _Kcat } * E2_3_3_16  * 	
C00158 * C00010 ) /(${Variables:E2_3_3_16 _Km} + (E2_3_3_16  * 	
C00158 * C00010 ))</v>
      </c>
    </row>
    <row r="399" spans="1:11" ht="58" x14ac:dyDescent="0.35">
      <c r="A399" s="31" t="s">
        <v>2016</v>
      </c>
      <c r="B399" s="31" t="s">
        <v>2017</v>
      </c>
      <c r="C399" s="31" t="s">
        <v>14050</v>
      </c>
      <c r="D399" s="31">
        <v>398</v>
      </c>
      <c r="E399" s="31" t="str">
        <f t="shared" si="31"/>
        <v>E2_3_3_5</v>
      </c>
      <c r="F399" s="31" t="s">
        <v>9501</v>
      </c>
      <c r="G399" s="31" t="str">
        <f t="shared" si="32"/>
        <v xml:space="preserve">	
C02225 * C00010</v>
      </c>
      <c r="H399" s="31" t="s">
        <v>9502</v>
      </c>
      <c r="I399" s="31" t="str">
        <f t="shared" si="30"/>
        <v> C00100 * C00036 * C00001</v>
      </c>
      <c r="J399" s="31" t="str">
        <f t="shared" si="33"/>
        <v>(${Variables: E2_3_3_5_Kcat } * E2_3_3_5 * 	
C02225 * C00010) /(${Variables:E2_3_3_5_Km} + (E2_3_3_5 * 	
C02225 * C00010))</v>
      </c>
      <c r="K399" s="31" t="str">
        <f t="shared" si="34"/>
        <v>r398: 	
C02225 + C00010 -&gt;  C00100 + C00036 + C00001 | (${Variables: E2_3_3_5_Kcat } * E2_3_3_5 * 	
C02225 * C00010) /(${Variables:E2_3_3_5_Km} + (E2_3_3_5 * 	
C02225 * C00010))</v>
      </c>
    </row>
    <row r="400" spans="1:11" ht="29" x14ac:dyDescent="0.35">
      <c r="A400" s="31" t="s">
        <v>2016</v>
      </c>
      <c r="B400" s="31" t="s">
        <v>2017</v>
      </c>
      <c r="C400" s="31" t="s">
        <v>14050</v>
      </c>
      <c r="D400" s="31">
        <v>399</v>
      </c>
      <c r="E400" s="31" t="str">
        <f t="shared" si="31"/>
        <v>E2_3_3_5</v>
      </c>
      <c r="F400" s="31" t="s">
        <v>9503</v>
      </c>
      <c r="G400" s="31" t="str">
        <f t="shared" si="32"/>
        <v>C00158 * C00010 </v>
      </c>
      <c r="H400" s="31" t="s">
        <v>9504</v>
      </c>
      <c r="I400" s="31" t="str">
        <f t="shared" si="30"/>
        <v> C00024 * C00001 * C00036</v>
      </c>
      <c r="J400" s="31" t="str">
        <f t="shared" si="33"/>
        <v>(${Variables: E2_3_3_5_Kcat } * E2_3_3_5 * C00158 * C00010 ) /(${Variables:E2_3_3_5_Km} + (E2_3_3_5 * C00158 * C00010 ))</v>
      </c>
      <c r="K400" s="31" t="str">
        <f t="shared" si="34"/>
        <v>r399: C00158 + C00010  -&gt;  C00024 + C00001 + C00036 | (${Variables: E2_3_3_5_Kcat } * E2_3_3_5 * C00158 * C00010 ) /(${Variables:E2_3_3_5_Km} + (E2_3_3_5 * C00158 * C00010 ))</v>
      </c>
    </row>
    <row r="401" spans="1:11" ht="58" x14ac:dyDescent="0.35">
      <c r="A401" s="31" t="s">
        <v>6417</v>
      </c>
      <c r="B401" s="31" t="s">
        <v>6418</v>
      </c>
      <c r="C401" s="31" t="s">
        <v>14051</v>
      </c>
      <c r="D401" s="31">
        <v>400</v>
      </c>
      <c r="E401" s="31" t="str">
        <f t="shared" si="31"/>
        <v>E2_3_3_9</v>
      </c>
      <c r="F401" s="31" t="s">
        <v>9507</v>
      </c>
      <c r="G401" s="31" t="str">
        <f t="shared" si="32"/>
        <v xml:space="preserve">	
C00149 * C00010 </v>
      </c>
      <c r="H401" s="31" t="s">
        <v>9508</v>
      </c>
      <c r="I401" s="31" t="str">
        <f t="shared" si="30"/>
        <v> C00024 * C00001 * C00048</v>
      </c>
      <c r="J401" s="31" t="str">
        <f t="shared" si="33"/>
        <v>(${Variables: E2_3_3_9_Kcat } * E2_3_3_9 * 	
C00149 * C00010 ) /(${Variables:E2_3_3_9_Km} + (E2_3_3_9 * 	
C00149 * C00010 ))</v>
      </c>
      <c r="K401" s="32" t="str">
        <f t="shared" si="34"/>
        <v>r400: 	
C00149 + C00010  -&gt;  C00024 + C00001 + C00048 | (${Variables: E2_3_3_9_Kcat } * E2_3_3_9 * 	
C00149 * C00010 ) /(${Variables:E2_3_3_9_Km} + (E2_3_3_9 * 	
C00149 * C00010 ))</v>
      </c>
    </row>
    <row r="402" spans="1:11" ht="29" x14ac:dyDescent="0.35">
      <c r="A402" s="31" t="s">
        <v>2578</v>
      </c>
      <c r="B402" s="31" t="s">
        <v>2579</v>
      </c>
      <c r="C402" s="31" t="s">
        <v>14052</v>
      </c>
      <c r="D402" s="31">
        <v>401</v>
      </c>
      <c r="E402" s="31" t="str">
        <f t="shared" si="31"/>
        <v>E2_4_1_109</v>
      </c>
      <c r="F402" s="31" t="s">
        <v>9510</v>
      </c>
      <c r="G402" s="31" t="str">
        <f t="shared" si="32"/>
        <v>C03862 * C02189 </v>
      </c>
      <c r="H402" s="31" t="s">
        <v>9511</v>
      </c>
      <c r="I402" s="31" t="str">
        <f t="shared" si="30"/>
        <v> C00110 * C02863</v>
      </c>
      <c r="J402" s="31" t="str">
        <f t="shared" si="33"/>
        <v>(${Variables: E2_4_1_109_Kcat } * E2_4_1_109 * C03862 * C02189 ) /(${Variables:E2_4_1_109_Km} + (E2_4_1_109 * C03862 * C02189 ))</v>
      </c>
      <c r="K402" s="31" t="str">
        <f t="shared" si="34"/>
        <v>r401: C03862 + C02189  -&gt;  C00110 + C02863 | (${Variables: E2_4_1_109_Kcat } * E2_4_1_109 * C03862 * C02189 ) /(${Variables:E2_4_1_109_Km} + (E2_4_1_109 * C03862 * C02189 ))</v>
      </c>
    </row>
    <row r="403" spans="1:11" ht="58" x14ac:dyDescent="0.35">
      <c r="A403" s="31" t="s">
        <v>2578</v>
      </c>
      <c r="B403" s="31" t="s">
        <v>2579</v>
      </c>
      <c r="C403" s="31" t="s">
        <v>14052</v>
      </c>
      <c r="D403" s="31">
        <v>402</v>
      </c>
      <c r="E403" s="31" t="str">
        <f t="shared" si="31"/>
        <v>E2_4_1_109</v>
      </c>
      <c r="F403" s="31" t="s">
        <v>9514</v>
      </c>
      <c r="G403" s="31" t="str">
        <f t="shared" si="32"/>
        <v xml:space="preserve">	
C03862 * C19803 </v>
      </c>
      <c r="H403" s="31" t="s">
        <v>9515</v>
      </c>
      <c r="I403" s="31" t="str">
        <f t="shared" si="30"/>
        <v>C00110 * C20722</v>
      </c>
      <c r="J403" s="31" t="str">
        <f t="shared" si="33"/>
        <v>(${Variables: E2_4_1_109_Kcat } * E2_4_1_109 * 	
C03862 * C19803 ) /(${Variables:E2_4_1_109_Km} + (E2_4_1_109 * 	
C03862 * C19803 ))</v>
      </c>
      <c r="K403" s="31" t="str">
        <f t="shared" si="34"/>
        <v>r402: 	
C03862 + C19803  -&gt; C00110 + C20722 | (${Variables: E2_4_1_109_Kcat } * E2_4_1_109 * 	
C03862 * C19803 ) /(${Variables:E2_4_1_109_Km} + (E2_4_1_109 * 	
C03862 * C19803 ))</v>
      </c>
    </row>
    <row r="404" spans="1:11" ht="29" x14ac:dyDescent="0.35">
      <c r="A404" s="31" t="s">
        <v>2578</v>
      </c>
      <c r="B404" s="31" t="s">
        <v>2579</v>
      </c>
      <c r="C404" s="31" t="s">
        <v>14052</v>
      </c>
      <c r="D404" s="31">
        <v>403</v>
      </c>
      <c r="E404" s="31" t="str">
        <f t="shared" si="31"/>
        <v>E2_4_1_109</v>
      </c>
      <c r="F404" s="31" t="s">
        <v>9532</v>
      </c>
      <c r="G404" s="31" t="str">
        <f t="shared" si="32"/>
        <v>G10617 * C02189 </v>
      </c>
      <c r="H404" s="31" t="s">
        <v>9533</v>
      </c>
      <c r="I404" s="31" t="str">
        <f t="shared" si="30"/>
        <v> G10622 * G13027</v>
      </c>
      <c r="J404" s="31" t="str">
        <f t="shared" si="33"/>
        <v>(${Variables: E2_4_1_109_Kcat } * E2_4_1_109 * G10617 * C02189 ) /(${Variables:E2_4_1_109_Km} + (E2_4_1_109 * G10617 * C02189 ))</v>
      </c>
      <c r="K404" s="31" t="str">
        <f t="shared" si="34"/>
        <v>r403: G10617 + C02189  -&gt;  G10622 + G13027 | (${Variables: E2_4_1_109_Kcat } * E2_4_1_109 * G10617 * C02189 ) /(${Variables:E2_4_1_109_Km} + (E2_4_1_109 * G10617 * C02189 ))</v>
      </c>
    </row>
    <row r="405" spans="1:11" ht="58" x14ac:dyDescent="0.35">
      <c r="A405" s="31" t="s">
        <v>7226</v>
      </c>
      <c r="B405" s="31" t="s">
        <v>7227</v>
      </c>
      <c r="C405" s="31" t="s">
        <v>14053</v>
      </c>
      <c r="D405" s="31">
        <v>404</v>
      </c>
      <c r="E405" s="31" t="str">
        <f t="shared" si="31"/>
        <v>E2_4_1_15</v>
      </c>
      <c r="F405" s="31" t="s">
        <v>9517</v>
      </c>
      <c r="G405" s="31" t="str">
        <f t="shared" si="32"/>
        <v xml:space="preserve">	
C00029 * C00092 </v>
      </c>
      <c r="H405" s="31" t="s">
        <v>9518</v>
      </c>
      <c r="I405" s="31" t="str">
        <f t="shared" si="30"/>
        <v> C00015 * C00689</v>
      </c>
      <c r="J405" s="31" t="str">
        <f t="shared" si="33"/>
        <v>(${Variables: E2_4_1_15_Kcat } * E2_4_1_15 * 	
C00029 * C00092 ) /(${Variables:E2_4_1_15_Km} + (E2_4_1_15 * 	
C00029 * C00092 ))</v>
      </c>
      <c r="K405" s="31" t="str">
        <f t="shared" si="34"/>
        <v>r404: 	
C00029 + C00092  -&gt;  C00015 + C00689 | (${Variables: E2_4_1_15_Kcat } * E2_4_1_15 * 	
C00029 * C00092 ) /(${Variables:E2_4_1_15_Km} + (E2_4_1_15 * 	
C00029 * C00092 ))</v>
      </c>
    </row>
    <row r="406" spans="1:11" ht="58" x14ac:dyDescent="0.35">
      <c r="A406" s="31" t="s">
        <v>7226</v>
      </c>
      <c r="B406" s="31" t="s">
        <v>7227</v>
      </c>
      <c r="C406" s="31" t="s">
        <v>14053</v>
      </c>
      <c r="D406" s="31">
        <v>405</v>
      </c>
      <c r="E406" s="31" t="str">
        <f t="shared" si="31"/>
        <v>E2_4_1_15</v>
      </c>
      <c r="F406" s="31" t="s">
        <v>9535</v>
      </c>
      <c r="G406" s="31" t="str">
        <f t="shared" si="32"/>
        <v xml:space="preserve">	
G10608 * C00092</v>
      </c>
      <c r="H406" s="31" t="s">
        <v>9536</v>
      </c>
      <c r="I406" s="31" t="str">
        <f t="shared" si="30"/>
        <v> G10619 * G09795</v>
      </c>
      <c r="J406" s="31" t="str">
        <f t="shared" si="33"/>
        <v>(${Variables: E2_4_1_15_Kcat } * E2_4_1_15 * 	
G10608 * C00092) /(${Variables:E2_4_1_15_Km} + (E2_4_1_15 * 	
G10608 * C00092))</v>
      </c>
      <c r="K406" s="31" t="str">
        <f t="shared" si="34"/>
        <v>r405: 	
G10608 + C00092 -&gt;  G10619 + G09795 | (${Variables: E2_4_1_15_Kcat } * E2_4_1_15 * 	
G10608 * C00092) /(${Variables:E2_4_1_15_Km} + (E2_4_1_15 * 	
G10608 * C00092))</v>
      </c>
    </row>
    <row r="407" spans="1:11" ht="58" x14ac:dyDescent="0.35">
      <c r="A407" s="31" t="s">
        <v>7226</v>
      </c>
      <c r="B407" s="31" t="s">
        <v>7227</v>
      </c>
      <c r="C407" s="31" t="s">
        <v>14053</v>
      </c>
      <c r="D407" s="31">
        <v>406</v>
      </c>
      <c r="E407" s="31" t="str">
        <f t="shared" si="31"/>
        <v>E2_4_1_15</v>
      </c>
      <c r="F407" s="31" t="s">
        <v>9521</v>
      </c>
      <c r="G407" s="31" t="str">
        <f t="shared" si="32"/>
        <v xml:space="preserve">	
C00029 * C00668</v>
      </c>
      <c r="H407" s="31" t="s">
        <v>9522</v>
      </c>
      <c r="I407" s="31" t="str">
        <f t="shared" si="30"/>
        <v>C00015 * C00689</v>
      </c>
      <c r="J407" s="31" t="str">
        <f t="shared" si="33"/>
        <v>(${Variables: E2_4_1_15_Kcat } * E2_4_1_15 * 	
C00029 * C00668) /(${Variables:E2_4_1_15_Km} + (E2_4_1_15 * 	
C00029 * C00668))</v>
      </c>
      <c r="K407" s="31" t="str">
        <f t="shared" si="34"/>
        <v>r406: 	
C00029 + C00668 -&gt; C00015 + C00689 | (${Variables: E2_4_1_15_Kcat } * E2_4_1_15 * 	
C00029 * C00668) /(${Variables:E2_4_1_15_Km} + (E2_4_1_15 * 	
C00029 * C00668))</v>
      </c>
    </row>
    <row r="408" spans="1:11" ht="29" x14ac:dyDescent="0.35">
      <c r="A408" s="31" t="s">
        <v>7226</v>
      </c>
      <c r="B408" s="31" t="s">
        <v>7227</v>
      </c>
      <c r="C408" s="31" t="s">
        <v>14053</v>
      </c>
      <c r="D408" s="31">
        <v>407</v>
      </c>
      <c r="E408" s="31" t="str">
        <f t="shared" si="31"/>
        <v>E2_4_1_15</v>
      </c>
      <c r="F408" s="31" t="s">
        <v>9538</v>
      </c>
      <c r="G408" s="31" t="str">
        <f t="shared" si="32"/>
        <v>G10608 * C00668</v>
      </c>
      <c r="H408" s="31" t="s">
        <v>9539</v>
      </c>
      <c r="I408" s="31" t="str">
        <f t="shared" si="30"/>
        <v>G10619 * G09795</v>
      </c>
      <c r="J408" s="31" t="str">
        <f t="shared" si="33"/>
        <v>(${Variables: E2_4_1_15_Kcat } * E2_4_1_15 * G10608 * C00668) /(${Variables:E2_4_1_15_Km} + (E2_4_1_15 * G10608 * C00668))</v>
      </c>
      <c r="K408" s="31" t="str">
        <f t="shared" si="34"/>
        <v>r407: G10608 + C00668 -&gt; G10619 + G09795 | (${Variables: E2_4_1_15_Kcat } * E2_4_1_15 * G10608 * C00668) /(${Variables:E2_4_1_15_Km} + (E2_4_1_15 * G10608 * C00668))</v>
      </c>
    </row>
    <row r="409" spans="1:11" ht="58" x14ac:dyDescent="0.35">
      <c r="A409" s="31" t="s">
        <v>3488</v>
      </c>
      <c r="B409" s="31" t="s">
        <v>3489</v>
      </c>
      <c r="C409" s="31" t="s">
        <v>14054</v>
      </c>
      <c r="D409" s="31">
        <v>408</v>
      </c>
      <c r="E409" s="31" t="str">
        <f t="shared" si="31"/>
        <v>E2_4_1_18</v>
      </c>
      <c r="F409" s="31" t="s">
        <v>9525</v>
      </c>
      <c r="G409" s="31" t="str">
        <f t="shared" si="32"/>
        <v xml:space="preserve">	
C00718 </v>
      </c>
      <c r="H409" s="31" t="s">
        <v>9526</v>
      </c>
      <c r="I409" s="31" t="str">
        <f t="shared" si="30"/>
        <v>C00369</v>
      </c>
      <c r="J409" s="31" t="str">
        <f t="shared" si="33"/>
        <v>(${Variables: E2_4_1_18_Kcat } * E2_4_1_18 * 	
C00718 ) /(${Variables:E2_4_1_18_Km} + (E2_4_1_18 * 	
C00718 ))</v>
      </c>
      <c r="K409" s="32" t="str">
        <f t="shared" si="34"/>
        <v>r408: 	
C00718  -&gt; C00369 | (${Variables: E2_4_1_18_Kcat } * E2_4_1_18 * 	
C00718 ) /(${Variables:E2_4_1_18_Km} + (E2_4_1_18 * 	
C00718 ))</v>
      </c>
    </row>
    <row r="410" spans="1:11" ht="58" x14ac:dyDescent="0.35">
      <c r="A410" s="31" t="s">
        <v>3488</v>
      </c>
      <c r="B410" s="31" t="s">
        <v>3489</v>
      </c>
      <c r="C410" s="31" t="s">
        <v>14054</v>
      </c>
      <c r="D410" s="31">
        <v>409</v>
      </c>
      <c r="E410" s="31" t="str">
        <f t="shared" si="31"/>
        <v>E2_4_1_18</v>
      </c>
      <c r="F410" s="31" t="s">
        <v>9541</v>
      </c>
      <c r="G410" s="31" t="str">
        <f t="shared" si="32"/>
        <v xml:space="preserve">	
G10495</v>
      </c>
      <c r="H410" s="31" t="s">
        <v>9542</v>
      </c>
      <c r="I410" s="31" t="str">
        <f t="shared" si="30"/>
        <v>G10545</v>
      </c>
      <c r="J410" s="31" t="str">
        <f t="shared" si="33"/>
        <v>(${Variables: E2_4_1_18_Kcat } * E2_4_1_18 * 	
G10495) /(${Variables:E2_4_1_18_Km} + (E2_4_1_18 * 	
G10495))</v>
      </c>
      <c r="K410" s="32" t="str">
        <f t="shared" si="34"/>
        <v>r409: 	
G10495 -&gt; G10545 | (${Variables: E2_4_1_18_Kcat } * E2_4_1_18 * 	
G10495) /(${Variables:E2_4_1_18_Km} + (E2_4_1_18 * 	
G10495))</v>
      </c>
    </row>
    <row r="411" spans="1:11" ht="58" x14ac:dyDescent="0.35">
      <c r="A411" s="31" t="s">
        <v>3190</v>
      </c>
      <c r="B411" s="31" t="s">
        <v>3191</v>
      </c>
      <c r="C411" s="31" t="s">
        <v>14055</v>
      </c>
      <c r="D411" s="31">
        <v>410</v>
      </c>
      <c r="E411" s="31" t="str">
        <f t="shared" si="31"/>
        <v>E2_4_1_21</v>
      </c>
      <c r="F411" s="31" t="s">
        <v>9529</v>
      </c>
      <c r="G411" s="31" t="str">
        <f t="shared" si="32"/>
        <v xml:space="preserve">	
C00498 * C00718</v>
      </c>
      <c r="H411" s="31" t="s">
        <v>9530</v>
      </c>
      <c r="I411" s="31" t="str">
        <f t="shared" si="30"/>
        <v> C00008 * C00718</v>
      </c>
      <c r="J411" s="31" t="str">
        <f t="shared" si="33"/>
        <v>(${Variables: E2_4_1_21_Kcat } * E2_4_1_21 * 	
C00498 * C00718) /(${Variables:E2_4_1_21_Km} + (E2_4_1_21 * 	
C00498 * C00718))</v>
      </c>
      <c r="K411" s="32" t="str">
        <f t="shared" si="34"/>
        <v>r410: 	
C00498 + C00718 -&gt;  C00008 + C00718 | (${Variables: E2_4_1_21_Kcat } * E2_4_1_21 * 	
C00498 * C00718) /(${Variables:E2_4_1_21_Km} + (E2_4_1_21 * 	
C00498 * C00718))</v>
      </c>
    </row>
    <row r="412" spans="1:11" ht="58" x14ac:dyDescent="0.35">
      <c r="A412" s="31" t="s">
        <v>3190</v>
      </c>
      <c r="B412" s="31" t="s">
        <v>3191</v>
      </c>
      <c r="C412" s="31" t="s">
        <v>14055</v>
      </c>
      <c r="D412" s="31">
        <v>411</v>
      </c>
      <c r="E412" s="31" t="str">
        <f t="shared" si="31"/>
        <v>E2_4_1_21</v>
      </c>
      <c r="F412" s="31" t="s">
        <v>13893</v>
      </c>
      <c r="G412" s="31" t="str">
        <f t="shared" si="32"/>
        <v xml:space="preserve">	
G10495 * G11109 </v>
      </c>
      <c r="H412" s="31" t="s">
        <v>14436</v>
      </c>
      <c r="I412" s="31" t="s">
        <v>14440</v>
      </c>
      <c r="J412" s="31" t="str">
        <f t="shared" si="33"/>
        <v>(${Variables: E2_4_1_21_Kcat } * E2_4_1_21 * 	
G10495 * G11109 ) /(${Variables:E2_4_1_21_Km} + (E2_4_1_21 * 	
G10495 * G11109 ))</v>
      </c>
      <c r="K412" s="32" t="str">
        <f t="shared" si="34"/>
        <v>r411: 	
G10495 + G11109  -&gt; G10495 + G11113 | (${Variables: E2_4_1_21_Kcat } * E2_4_1_21 * 	
G10495 * G11109 ) /(${Variables:E2_4_1_21_Km} + (E2_4_1_21 * 	
G10495 * G11109 ))</v>
      </c>
    </row>
    <row r="413" spans="1:11" ht="58" x14ac:dyDescent="0.35">
      <c r="A413" s="31" t="s">
        <v>5950</v>
      </c>
      <c r="B413" s="31" t="s">
        <v>5951</v>
      </c>
      <c r="C413" s="31" t="s">
        <v>14056</v>
      </c>
      <c r="D413" s="31">
        <v>412</v>
      </c>
      <c r="E413" s="31" t="str">
        <f t="shared" si="31"/>
        <v>E2_4_1_227</v>
      </c>
      <c r="F413" s="31" t="s">
        <v>9547</v>
      </c>
      <c r="G413" s="31" t="str">
        <f t="shared" si="32"/>
        <v xml:space="preserve">	
C04851 * C00043 </v>
      </c>
      <c r="H413" s="31" t="s">
        <v>9548</v>
      </c>
      <c r="I413" s="31" t="str">
        <f>SUBSTITUTE(H413,"+","*")</f>
        <v> C05893 * C00015</v>
      </c>
      <c r="J413" s="31" t="str">
        <f t="shared" si="33"/>
        <v>(${Variables: E2_4_1_227_Kcat } * E2_4_1_227 * 	
C04851 * C00043 ) /(${Variables:E2_4_1_227_Km} + (E2_4_1_227 * 	
C04851 * C00043 ))</v>
      </c>
      <c r="K413" s="32" t="str">
        <f t="shared" si="34"/>
        <v>r412: 	
C04851 + C00043  -&gt;  C05893 + C00015 | (${Variables: E2_4_1_227_Kcat } * E2_4_1_227 * 	
C04851 * C00043 ) /(${Variables:E2_4_1_227_Km} + (E2_4_1_227 * 	
C04851 * C00043 ))</v>
      </c>
    </row>
    <row r="414" spans="1:11" ht="29" x14ac:dyDescent="0.35">
      <c r="A414" s="31" t="s">
        <v>5950</v>
      </c>
      <c r="B414" s="31" t="s">
        <v>5951</v>
      </c>
      <c r="C414" s="31" t="s">
        <v>14056</v>
      </c>
      <c r="D414" s="31">
        <v>413</v>
      </c>
      <c r="E414" s="31" t="str">
        <f t="shared" si="31"/>
        <v>E2_4_1_227</v>
      </c>
      <c r="F414" s="31" t="s">
        <v>9550</v>
      </c>
      <c r="G414" s="31" t="str">
        <f t="shared" si="32"/>
        <v>G10552 * G10610</v>
      </c>
      <c r="H414" s="31" t="s">
        <v>9551</v>
      </c>
      <c r="I414" s="31" t="str">
        <f t="shared" ref="I414:I445" si="35">SUBSTITUTE(H414,"+","*")</f>
        <v>G10553 * G10619</v>
      </c>
      <c r="J414" s="31" t="str">
        <f t="shared" si="33"/>
        <v>(${Variables: E2_4_1_227_Kcat } * E2_4_1_227 * G10552 * G10610) /(${Variables:E2_4_1_227_Km} + (E2_4_1_227 * G10552 * G10610))</v>
      </c>
      <c r="K414" s="32" t="str">
        <f t="shared" si="34"/>
        <v>r413: G10552 + G10610 -&gt; G10553 + G10619 | (${Variables: E2_4_1_227_Kcat } * E2_4_1_227 * G10552 * G10610) /(${Variables:E2_4_1_227_Km} + (E2_4_1_227 * G10552 * G10610))</v>
      </c>
    </row>
    <row r="415" spans="1:11" ht="58" x14ac:dyDescent="0.35">
      <c r="A415" s="31" t="s">
        <v>5950</v>
      </c>
      <c r="B415" s="31" t="s">
        <v>5951</v>
      </c>
      <c r="C415" s="31" t="s">
        <v>14056</v>
      </c>
      <c r="D415" s="31">
        <v>414</v>
      </c>
      <c r="E415" s="31" t="str">
        <f t="shared" si="31"/>
        <v>E2_4_1_227</v>
      </c>
      <c r="F415" s="31" t="s">
        <v>9553</v>
      </c>
      <c r="G415" s="31" t="str">
        <f t="shared" si="32"/>
        <v xml:space="preserve">	
C05897 * C00043</v>
      </c>
      <c r="H415" s="31" t="s">
        <v>9554</v>
      </c>
      <c r="I415" s="31" t="str">
        <f t="shared" si="35"/>
        <v>C05898 * C00015</v>
      </c>
      <c r="J415" s="31" t="str">
        <f t="shared" si="33"/>
        <v>(${Variables: E2_4_1_227_Kcat } * E2_4_1_227 * 	
C05897 * C00043) /(${Variables:E2_4_1_227_Km} + (E2_4_1_227 * 	
C05897 * C00043))</v>
      </c>
      <c r="K415" s="32" t="str">
        <f t="shared" si="34"/>
        <v>r414: 	
C05897 + C00043 -&gt; C05898 + C00015 | (${Variables: E2_4_1_227_Kcat } * E2_4_1_227 * 	
C05897 * C00043) /(${Variables:E2_4_1_227_Km} + (E2_4_1_227 * 	
C05897 * C00043))</v>
      </c>
    </row>
    <row r="416" spans="1:11" ht="58" x14ac:dyDescent="0.35">
      <c r="A416" s="31" t="s">
        <v>5950</v>
      </c>
      <c r="B416" s="31" t="s">
        <v>5951</v>
      </c>
      <c r="C416" s="31" t="s">
        <v>14056</v>
      </c>
      <c r="D416" s="31">
        <v>415</v>
      </c>
      <c r="E416" s="31" t="str">
        <f t="shared" si="31"/>
        <v>E2_4_1_227</v>
      </c>
      <c r="F416" s="31" t="s">
        <v>9556</v>
      </c>
      <c r="G416" s="31" t="str">
        <f t="shared" si="32"/>
        <v xml:space="preserve">	
G10551 * G10610</v>
      </c>
      <c r="H416" s="31" t="s">
        <v>9557</v>
      </c>
      <c r="I416" s="31" t="str">
        <f t="shared" si="35"/>
        <v>G10550 * G10619</v>
      </c>
      <c r="J416" s="31" t="str">
        <f t="shared" si="33"/>
        <v>(${Variables: E2_4_1_227_Kcat } * E2_4_1_227 * 	
G10551 * G10610) /(${Variables:E2_4_1_227_Km} + (E2_4_1_227 * 	
G10551 * G10610))</v>
      </c>
      <c r="K416" s="32" t="str">
        <f t="shared" si="34"/>
        <v>r415: 	
G10551 + G10610 -&gt; G10550 + G10619 | (${Variables: E2_4_1_227_Kcat } * E2_4_1_227 * 	
G10551 * G10610) /(${Variables:E2_4_1_227_Km} + (E2_4_1_227 * 	
G10551 * G10610))</v>
      </c>
    </row>
    <row r="417" spans="1:11" ht="29" x14ac:dyDescent="0.35">
      <c r="A417" s="31" t="s">
        <v>5950</v>
      </c>
      <c r="B417" s="31" t="s">
        <v>5951</v>
      </c>
      <c r="C417" s="31" t="s">
        <v>14056</v>
      </c>
      <c r="D417" s="31">
        <v>416</v>
      </c>
      <c r="E417" s="31" t="str">
        <f t="shared" si="31"/>
        <v>E2_4_1_227</v>
      </c>
      <c r="F417" s="31" t="s">
        <v>9559</v>
      </c>
      <c r="G417" s="31" t="str">
        <f t="shared" si="32"/>
        <v>G10556 * G10610</v>
      </c>
      <c r="H417" s="31" t="s">
        <v>9560</v>
      </c>
      <c r="I417" s="31" t="str">
        <f t="shared" si="35"/>
        <v xml:space="preserve"> G10555 * G10619</v>
      </c>
      <c r="J417" s="31" t="str">
        <f t="shared" si="33"/>
        <v>(${Variables: E2_4_1_227_Kcat } * E2_4_1_227 * G10556 * G10610) /(${Variables:E2_4_1_227_Km} + (E2_4_1_227 * G10556 * G10610))</v>
      </c>
      <c r="K417" s="32" t="str">
        <f t="shared" si="34"/>
        <v>r416: G10556 + G10610 -&gt;  G10555 + G10619 | (${Variables: E2_4_1_227_Kcat } * E2_4_1_227 * G10556 * G10610) /(${Variables:E2_4_1_227_Km} + (E2_4_1_227 * G10556 * G10610))</v>
      </c>
    </row>
    <row r="418" spans="1:11" ht="58" x14ac:dyDescent="0.35">
      <c r="A418" s="31" t="s">
        <v>6331</v>
      </c>
      <c r="B418" s="31" t="s">
        <v>6332</v>
      </c>
      <c r="C418" s="31" t="s">
        <v>14057</v>
      </c>
      <c r="D418" s="31">
        <v>417</v>
      </c>
      <c r="E418" s="31" t="str">
        <f t="shared" si="31"/>
        <v>E2_4_1_25</v>
      </c>
      <c r="F418" s="31" t="s">
        <v>14392</v>
      </c>
      <c r="G418" s="31" t="str">
        <f t="shared" si="32"/>
        <v xml:space="preserve">	
C00718 * C00031</v>
      </c>
      <c r="H418" s="31" t="s">
        <v>12506</v>
      </c>
      <c r="I418" s="31" t="str">
        <f t="shared" si="35"/>
        <v> C00208</v>
      </c>
      <c r="J418" s="31" t="str">
        <f t="shared" si="33"/>
        <v>(${Variables: E2_4_1_25_Kcat } * E2_4_1_25 * 	
C00718 * C00031) /(${Variables:E2_4_1_25_Km} + (E2_4_1_25 * 	
C00718 * C00031))</v>
      </c>
      <c r="K418" s="32" t="str">
        <f t="shared" si="34"/>
        <v>r417: 	
C00718 + C00031 -&gt;  C00208 | (${Variables: E2_4_1_25_Kcat } * E2_4_1_25 * 	
C00718 * C00031) /(${Variables:E2_4_1_25_Km} + (E2_4_1_25 * 	
C00718 * C00031))</v>
      </c>
    </row>
    <row r="419" spans="1:11" ht="29" x14ac:dyDescent="0.35">
      <c r="A419" s="31" t="s">
        <v>6331</v>
      </c>
      <c r="B419" s="31" t="s">
        <v>6332</v>
      </c>
      <c r="C419" s="31" t="s">
        <v>14057</v>
      </c>
      <c r="D419" s="31">
        <v>418</v>
      </c>
      <c r="E419" s="31" t="str">
        <f t="shared" si="31"/>
        <v>E2_4_1_25</v>
      </c>
      <c r="F419" s="31" t="s">
        <v>14393</v>
      </c>
      <c r="G419" s="31" t="str">
        <f t="shared" si="32"/>
        <v>G10495 *  C00031</v>
      </c>
      <c r="H419" s="31" t="s">
        <v>12836</v>
      </c>
      <c r="I419" s="31" t="str">
        <f t="shared" si="35"/>
        <v>G00275</v>
      </c>
      <c r="J419" s="31" t="str">
        <f t="shared" si="33"/>
        <v>(${Variables: E2_4_1_25_Kcat } * E2_4_1_25 * G10495 *  C00031) /(${Variables:E2_4_1_25_Km} + (E2_4_1_25 * G10495 *  C00031))</v>
      </c>
      <c r="K419" s="32" t="str">
        <f t="shared" si="34"/>
        <v>r418: G10495 +  C00031 -&gt; G00275 | (${Variables: E2_4_1_25_Kcat } * E2_4_1_25 * G10495 *  C00031) /(${Variables:E2_4_1_25_Km} + (E2_4_1_25 * G10495 *  C00031))</v>
      </c>
    </row>
    <row r="420" spans="1:11" ht="58" x14ac:dyDescent="0.35">
      <c r="A420" s="31" t="s">
        <v>1184</v>
      </c>
      <c r="B420" s="31" t="s">
        <v>1185</v>
      </c>
      <c r="C420" s="31" t="s">
        <v>14058</v>
      </c>
      <c r="D420" s="31">
        <v>419</v>
      </c>
      <c r="E420" s="31" t="str">
        <f t="shared" si="31"/>
        <v>E2_4_1_250</v>
      </c>
      <c r="F420" s="31" t="s">
        <v>9568</v>
      </c>
      <c r="G420" s="31" t="str">
        <f t="shared" si="32"/>
        <v xml:space="preserve">	
C00043 * C04006</v>
      </c>
      <c r="H420" s="31" t="s">
        <v>9569</v>
      </c>
      <c r="I420" s="31" t="str">
        <f t="shared" si="35"/>
        <v> C19761 * C00015</v>
      </c>
      <c r="J420" s="31" t="str">
        <f t="shared" si="33"/>
        <v>(${Variables: E2_4_1_250_Kcat } * E2_4_1_250 * 	
C00043 * C04006) /(${Variables:E2_4_1_250_Km} + (E2_4_1_250 * 	
C00043 * C04006))</v>
      </c>
      <c r="K420" s="31" t="str">
        <f t="shared" si="34"/>
        <v>r419: 	
C00043 + C04006 -&gt;  C19761 + C00015 | (${Variables: E2_4_1_250_Kcat } * E2_4_1_250 * 	
C00043 * C04006) /(${Variables:E2_4_1_250_Km} + (E2_4_1_250 * 	
C00043 * C04006))</v>
      </c>
    </row>
    <row r="421" spans="1:11" ht="58" x14ac:dyDescent="0.35">
      <c r="A421" s="31" t="s">
        <v>3175</v>
      </c>
      <c r="B421" s="31" t="s">
        <v>3176</v>
      </c>
      <c r="C421" s="31" t="s">
        <v>14059</v>
      </c>
      <c r="D421" s="31">
        <v>420</v>
      </c>
      <c r="E421" s="31" t="str">
        <f t="shared" si="31"/>
        <v>E2_4_1_266</v>
      </c>
      <c r="F421" s="31" t="s">
        <v>9572</v>
      </c>
      <c r="G421" s="31" t="str">
        <f t="shared" si="32"/>
        <v xml:space="preserve">	
C15541 * C00197 </v>
      </c>
      <c r="H421" s="31" t="s">
        <v>9573</v>
      </c>
      <c r="I421" s="31" t="str">
        <f t="shared" si="35"/>
        <v> C00454 * C19791</v>
      </c>
      <c r="J421" s="31" t="str">
        <f t="shared" si="33"/>
        <v>(${Variables: E2_4_1_266_Kcat } * E2_4_1_266 * 	
C15541 * C00197 ) /(${Variables:E2_4_1_266_Km} + (E2_4_1_266 * 	
C15541 * C00197 ))</v>
      </c>
      <c r="K421" s="31" t="str">
        <f t="shared" si="34"/>
        <v>r420: 	
C15541 + C00197  -&gt;  C00454 + C19791 | (${Variables: E2_4_1_266_Kcat } * E2_4_1_266 * 	
C15541 * C00197 ) /(${Variables:E2_4_1_266_Km} + (E2_4_1_266 * 	
C15541 * C00197 ))</v>
      </c>
    </row>
    <row r="422" spans="1:11" ht="58" x14ac:dyDescent="0.35">
      <c r="A422" s="31" t="s">
        <v>604</v>
      </c>
      <c r="B422" s="31" t="s">
        <v>605</v>
      </c>
      <c r="C422" s="31" t="s">
        <v>14060</v>
      </c>
      <c r="D422" s="31">
        <v>421</v>
      </c>
      <c r="E422" s="31" t="str">
        <f t="shared" si="31"/>
        <v>E2_4_1_287</v>
      </c>
      <c r="F422" s="31" t="s">
        <v>9576</v>
      </c>
      <c r="G422" s="31" t="str">
        <f t="shared" si="32"/>
        <v xml:space="preserve">	
G13125 * G13119 </v>
      </c>
      <c r="H422" s="31" t="s">
        <v>9577</v>
      </c>
      <c r="I422" s="31" t="str">
        <f t="shared" si="35"/>
        <v>G10619 * G13120</v>
      </c>
      <c r="J422" s="31" t="str">
        <f t="shared" si="33"/>
        <v>(${Variables: E2_4_1_287_Kcat } * E2_4_1_287 * 	
G13125 * G13119 ) /(${Variables:E2_4_1_287_Km} + (E2_4_1_287 * 	
G13125 * G13119 ))</v>
      </c>
      <c r="K422" s="31" t="str">
        <f t="shared" si="34"/>
        <v>r421: 	
G13125 + G13119  -&gt; G10619 + G13120 | (${Variables: E2_4_1_287_Kcat } * E2_4_1_287 * 	
G13125 * G13119 ) /(${Variables:E2_4_1_287_Km} + (E2_4_1_287 * 	
G13125 * G13119 ))</v>
      </c>
    </row>
    <row r="423" spans="1:11" ht="58" x14ac:dyDescent="0.35">
      <c r="A423" s="31" t="s">
        <v>604</v>
      </c>
      <c r="B423" s="31" t="s">
        <v>605</v>
      </c>
      <c r="C423" s="31" t="s">
        <v>14060</v>
      </c>
      <c r="D423" s="31">
        <v>422</v>
      </c>
      <c r="E423" s="31" t="str">
        <f t="shared" si="31"/>
        <v>E2_4_1_287</v>
      </c>
      <c r="F423" s="31" t="s">
        <v>9579</v>
      </c>
      <c r="G423" s="31" t="str">
        <f t="shared" si="32"/>
        <v xml:space="preserve">	
G13125 * G13120</v>
      </c>
      <c r="H423" s="31" t="s">
        <v>9580</v>
      </c>
      <c r="I423" s="31" t="str">
        <f t="shared" si="35"/>
        <v> G10619 * G13121</v>
      </c>
      <c r="J423" s="31" t="str">
        <f t="shared" si="33"/>
        <v>(${Variables: E2_4_1_287_Kcat } * E2_4_1_287 * 	
G13125 * G13120) /(${Variables:E2_4_1_287_Km} + (E2_4_1_287 * 	
G13125 * G13120))</v>
      </c>
      <c r="K423" s="31" t="str">
        <f t="shared" si="34"/>
        <v>r422: 	
G13125 + G13120 -&gt;  G10619 + G13121 | (${Variables: E2_4_1_287_Kcat } * E2_4_1_287 * 	
G13125 * G13120) /(${Variables:E2_4_1_287_Km} + (E2_4_1_287 * 	
G13125 * G13120))</v>
      </c>
    </row>
    <row r="424" spans="1:11" ht="58" x14ac:dyDescent="0.35">
      <c r="A424" s="31" t="s">
        <v>6036</v>
      </c>
      <c r="B424" s="31" t="s">
        <v>6037</v>
      </c>
      <c r="C424" s="31" t="s">
        <v>14061</v>
      </c>
      <c r="D424" s="31">
        <v>423</v>
      </c>
      <c r="E424" s="31" t="str">
        <f t="shared" si="31"/>
        <v>E2_4_1_346</v>
      </c>
      <c r="F424" s="31" t="s">
        <v>9583</v>
      </c>
      <c r="G424" s="31" t="str">
        <f t="shared" si="32"/>
        <v xml:space="preserve">	
C00096 * C21606 </v>
      </c>
      <c r="H424" s="31" t="s">
        <v>9584</v>
      </c>
      <c r="I424" s="31" t="str">
        <f t="shared" si="35"/>
        <v> C00035 * C21607</v>
      </c>
      <c r="J424" s="31" t="str">
        <f t="shared" si="33"/>
        <v>(${Variables: E2_4_1_346_Kcat } * E2_4_1_346 * 	
C00096 * C21606 ) /(${Variables:E2_4_1_346_Km} + (E2_4_1_346 * 	
C00096 * C21606 ))</v>
      </c>
      <c r="K424" s="31" t="str">
        <f t="shared" si="34"/>
        <v>r423: 	
C00096 + C21606  -&gt;  C00035 + C21607 | (${Variables: E2_4_1_346_Kcat } * E2_4_1_346 * 	
C00096 * C21606 ) /(${Variables:E2_4_1_346_Km} + (E2_4_1_346 * 	
C00096 * C21606 ))</v>
      </c>
    </row>
    <row r="425" spans="1:11" ht="29" x14ac:dyDescent="0.35">
      <c r="A425" s="31" t="s">
        <v>6036</v>
      </c>
      <c r="B425" s="31" t="s">
        <v>6037</v>
      </c>
      <c r="C425" s="31" t="s">
        <v>14061</v>
      </c>
      <c r="D425" s="31">
        <v>424</v>
      </c>
      <c r="E425" s="31" t="str">
        <f t="shared" si="31"/>
        <v>E2_4_1_346</v>
      </c>
      <c r="F425" s="31" t="s">
        <v>9586</v>
      </c>
      <c r="G425" s="31" t="str">
        <f t="shared" si="32"/>
        <v>C00096 * C21609 </v>
      </c>
      <c r="H425" s="31" t="s">
        <v>9587</v>
      </c>
      <c r="I425" s="31" t="str">
        <f t="shared" si="35"/>
        <v> C00035 * C21608</v>
      </c>
      <c r="J425" s="31" t="str">
        <f t="shared" si="33"/>
        <v>(${Variables: E2_4_1_346_Kcat } * E2_4_1_346 * C00096 * C21609 ) /(${Variables:E2_4_1_346_Km} + (E2_4_1_346 * C00096 * C21609 ))</v>
      </c>
      <c r="K425" s="31" t="str">
        <f t="shared" si="34"/>
        <v>r424: C00096 + C21609  -&gt;  C00035 + C21608 | (${Variables: E2_4_1_346_Kcat } * E2_4_1_346 * C00096 * C21609 ) /(${Variables:E2_4_1_346_Km} + (E2_4_1_346 * C00096 * C21609 ))</v>
      </c>
    </row>
    <row r="426" spans="1:11" ht="58" x14ac:dyDescent="0.35">
      <c r="A426" s="31" t="s">
        <v>6036</v>
      </c>
      <c r="B426" s="31" t="s">
        <v>6037</v>
      </c>
      <c r="C426" s="31" t="s">
        <v>14061</v>
      </c>
      <c r="D426" s="31">
        <v>425</v>
      </c>
      <c r="E426" s="31" t="str">
        <f t="shared" si="31"/>
        <v>E2_4_1_346</v>
      </c>
      <c r="F426" s="31" t="s">
        <v>9589</v>
      </c>
      <c r="G426" s="31" t="str">
        <f t="shared" si="32"/>
        <v xml:space="preserve">	
G10614 * G11291 </v>
      </c>
      <c r="H426" s="31" t="s">
        <v>9590</v>
      </c>
      <c r="I426" s="31" t="str">
        <f t="shared" si="35"/>
        <v>G10620 * G13102</v>
      </c>
      <c r="J426" s="31" t="str">
        <f t="shared" si="33"/>
        <v>(${Variables: E2_4_1_346_Kcat } * E2_4_1_346 * 	
G10614 * G11291 ) /(${Variables:E2_4_1_346_Km} + (E2_4_1_346 * 	
G10614 * G11291 ))</v>
      </c>
      <c r="K426" s="31" t="str">
        <f t="shared" si="34"/>
        <v>r425: 	
G10614 + G11291  -&gt; G10620 + G13102 | (${Variables: E2_4_1_346_Kcat } * E2_4_1_346 * 	
G10614 * G11291 ) /(${Variables:E2_4_1_346_Km} + (E2_4_1_346 * 	
G10614 * G11291 ))</v>
      </c>
    </row>
    <row r="427" spans="1:11" ht="58" x14ac:dyDescent="0.35">
      <c r="A427" s="31" t="s">
        <v>6036</v>
      </c>
      <c r="B427" s="31" t="s">
        <v>6037</v>
      </c>
      <c r="C427" s="31" t="s">
        <v>14061</v>
      </c>
      <c r="D427" s="31">
        <v>426</v>
      </c>
      <c r="E427" s="31" t="str">
        <f t="shared" si="31"/>
        <v>E2_4_1_346</v>
      </c>
      <c r="F427" s="31" t="s">
        <v>9592</v>
      </c>
      <c r="G427" s="31" t="str">
        <f t="shared" si="32"/>
        <v xml:space="preserve">	
G10614 * G13107</v>
      </c>
      <c r="H427" s="31" t="s">
        <v>9593</v>
      </c>
      <c r="I427" s="31" t="str">
        <f t="shared" si="35"/>
        <v> G10620 * G13108</v>
      </c>
      <c r="J427" s="31" t="str">
        <f t="shared" si="33"/>
        <v>(${Variables: E2_4_1_346_Kcat } * E2_4_1_346 * 	
G10614 * G13107) /(${Variables:E2_4_1_346_Km} + (E2_4_1_346 * 	
G10614 * G13107))</v>
      </c>
      <c r="K427" s="31" t="str">
        <f t="shared" si="34"/>
        <v>r426: 	
G10614 + G13107 -&gt;  G10620 + G13108 | (${Variables: E2_4_1_346_Kcat } * E2_4_1_346 * 	
G10614 * G13107) /(${Variables:E2_4_1_346_Km} + (E2_4_1_346 * 	
G10614 * G13107))</v>
      </c>
    </row>
    <row r="428" spans="1:11" ht="58" x14ac:dyDescent="0.35">
      <c r="A428" s="31" t="s">
        <v>7601</v>
      </c>
      <c r="B428" s="31" t="s">
        <v>7602</v>
      </c>
      <c r="C428" s="31" t="s">
        <v>14062</v>
      </c>
      <c r="D428" s="31">
        <v>427</v>
      </c>
      <c r="E428" s="31" t="str">
        <f t="shared" si="31"/>
        <v>E2_4_2_10</v>
      </c>
      <c r="F428" s="31" t="s">
        <v>9596</v>
      </c>
      <c r="G428" s="31" t="str">
        <f t="shared" si="32"/>
        <v xml:space="preserve">	
C01103 * C00013 </v>
      </c>
      <c r="H428" s="31" t="s">
        <v>9597</v>
      </c>
      <c r="I428" s="31" t="str">
        <f t="shared" si="35"/>
        <v>C00295 * C00119</v>
      </c>
      <c r="J428" s="31" t="str">
        <f t="shared" si="33"/>
        <v>(${Variables: E2_4_2_10_Kcat } * E2_4_2_10 * 	
C01103 * C00013 ) /(${Variables:E2_4_2_10_Km} + (E2_4_2_10 * 	
C01103 * C00013 ))</v>
      </c>
      <c r="K428" s="32" t="str">
        <f>CONCATENATE("r",D428,": ",F428," -&gt; ",H428," | ",J428)</f>
        <v>r427: 	
C01103 + C00013  -&gt; C00295 + C00119 | (${Variables: E2_4_2_10_Kcat } * E2_4_2_10 * 	
C01103 * C00013 ) /(${Variables:E2_4_2_10_Km} + (E2_4_2_10 * 	
C01103 * C00013 ))</v>
      </c>
    </row>
    <row r="429" spans="1:11" ht="29" x14ac:dyDescent="0.35">
      <c r="A429" s="31" t="s">
        <v>7601</v>
      </c>
      <c r="B429" s="31" t="s">
        <v>7602</v>
      </c>
      <c r="C429" s="31" t="s">
        <v>14062</v>
      </c>
      <c r="D429" s="31">
        <v>428</v>
      </c>
      <c r="E429" s="31" t="str">
        <f t="shared" si="31"/>
        <v>E2_4_2_10</v>
      </c>
      <c r="F429" s="31" t="s">
        <v>9599</v>
      </c>
      <c r="G429" s="31" t="str">
        <f t="shared" si="32"/>
        <v>C07649 * C00119</v>
      </c>
      <c r="H429" s="31" t="s">
        <v>9600</v>
      </c>
      <c r="I429" s="31" t="str">
        <f t="shared" si="35"/>
        <v>C16634 * C00013</v>
      </c>
      <c r="J429" s="31" t="str">
        <f t="shared" si="33"/>
        <v>(${Variables: E2_4_2_10_Kcat } * E2_4_2_10 * C07649 * C00119) /(${Variables:E2_4_2_10_Km} + (E2_4_2_10 * C07649 * C00119))</v>
      </c>
      <c r="K429" s="32" t="str">
        <f t="shared" si="34"/>
        <v>r428: C07649 + C00119 -&gt; C16634 + C00013 | (${Variables: E2_4_2_10_Kcat } * E2_4_2_10 * C07649 * C00119) /(${Variables:E2_4_2_10_Km} + (E2_4_2_10 * C07649 * C00119))</v>
      </c>
    </row>
    <row r="430" spans="1:11" ht="58" x14ac:dyDescent="0.35">
      <c r="A430" s="31" t="s">
        <v>7117</v>
      </c>
      <c r="B430" s="31" t="s">
        <v>7118</v>
      </c>
      <c r="C430" s="31" t="s">
        <v>14063</v>
      </c>
      <c r="D430" s="31">
        <v>429</v>
      </c>
      <c r="E430" s="31" t="str">
        <f t="shared" si="31"/>
        <v>E2_4_2_14</v>
      </c>
      <c r="F430" s="31" t="s">
        <v>9603</v>
      </c>
      <c r="G430" s="31" t="str">
        <f t="shared" si="32"/>
        <v xml:space="preserve">	
C03090 * C00013 * C00025</v>
      </c>
      <c r="H430" s="31" t="s">
        <v>9604</v>
      </c>
      <c r="I430" s="31" t="str">
        <f t="shared" si="35"/>
        <v>C00064 * C00119 * C00001</v>
      </c>
      <c r="J430" s="31" t="str">
        <f t="shared" si="33"/>
        <v>(${Variables: E2_4_2_14_Kcat } * E2_4_2_14 * 	
C03090 * C00013 * C00025) /(${Variables:E2_4_2_14_Km} + (E2_4_2_14 * 	
C03090 * C00013 * C00025))</v>
      </c>
      <c r="K430" s="32" t="str">
        <f t="shared" si="34"/>
        <v>r429: 	
C03090 + C00013 + C00025 -&gt; C00064 + C00119 + C00001 | (${Variables: E2_4_2_14_Kcat } * E2_4_2_14 * 	
C03090 * C00013 * C00025) /(${Variables:E2_4_2_14_Km} + (E2_4_2_14 * 	
C03090 * C00013 * C00025))</v>
      </c>
    </row>
    <row r="431" spans="1:11" ht="58" x14ac:dyDescent="0.35">
      <c r="A431" s="31" t="s">
        <v>4243</v>
      </c>
      <c r="B431" s="31" t="s">
        <v>4244</v>
      </c>
      <c r="C431" s="31" t="s">
        <v>14064</v>
      </c>
      <c r="D431" s="31">
        <v>430</v>
      </c>
      <c r="E431" s="31" t="str">
        <f t="shared" si="31"/>
        <v>E2_4_2_17</v>
      </c>
      <c r="F431" s="31" t="s">
        <v>9607</v>
      </c>
      <c r="G431" s="31" t="str">
        <f t="shared" si="32"/>
        <v xml:space="preserve">	
C02739 * C00013</v>
      </c>
      <c r="H431" s="31" t="s">
        <v>9608</v>
      </c>
      <c r="I431" s="31" t="str">
        <f t="shared" si="35"/>
        <v> C00002 * C00119</v>
      </c>
      <c r="J431" s="31" t="str">
        <f t="shared" si="33"/>
        <v>(${Variables: E2_4_2_17_Kcat } * E2_4_2_17 * 	
C02739 * C00013) /(${Variables:E2_4_2_17_Km} + (E2_4_2_17 * 	
C02739 * C00013))</v>
      </c>
      <c r="K431" s="32" t="str">
        <f t="shared" si="34"/>
        <v>r430: 	
C02739 + C00013 -&gt;  C00002 + C00119 | (${Variables: E2_4_2_17_Kcat } * E2_4_2_17 * 	
C02739 * C00013) /(${Variables:E2_4_2_17_Km} + (E2_4_2_17 * 	
C02739 * C00013))</v>
      </c>
    </row>
    <row r="432" spans="1:11" ht="29" x14ac:dyDescent="0.35">
      <c r="A432" s="31" t="s">
        <v>8240</v>
      </c>
      <c r="B432" s="31" t="s">
        <v>8241</v>
      </c>
      <c r="C432" s="31" t="s">
        <v>14065</v>
      </c>
      <c r="D432" s="31">
        <v>431</v>
      </c>
      <c r="E432" s="31" t="str">
        <f t="shared" si="31"/>
        <v>E2_4_2_18</v>
      </c>
      <c r="F432" s="31" t="s">
        <v>9611</v>
      </c>
      <c r="G432" s="31" t="str">
        <f t="shared" si="32"/>
        <v>C04302 * C00013</v>
      </c>
      <c r="H432" s="31" t="s">
        <v>9612</v>
      </c>
      <c r="I432" s="31" t="str">
        <f t="shared" si="35"/>
        <v>C00108 * C00119</v>
      </c>
      <c r="J432" s="31" t="str">
        <f t="shared" si="33"/>
        <v>(${Variables: E2_4_2_18_Kcat } * E2_4_2_18 * C04302 * C00013) /(${Variables:E2_4_2_18_Km} + (E2_4_2_18 * C04302 * C00013))</v>
      </c>
      <c r="K432" s="32" t="str">
        <f t="shared" si="34"/>
        <v>r431: C04302 + C00013 -&gt; C00108 + C00119 | (${Variables: E2_4_2_18_Kcat } * E2_4_2_18 * C04302 * C00013) /(${Variables:E2_4_2_18_Km} + (E2_4_2_18 * C04302 * C00013))</v>
      </c>
    </row>
    <row r="433" spans="1:11" ht="58" x14ac:dyDescent="0.35">
      <c r="A433" s="31" t="s">
        <v>3046</v>
      </c>
      <c r="B433" s="31" t="s">
        <v>3047</v>
      </c>
      <c r="C433" s="31" t="s">
        <v>14066</v>
      </c>
      <c r="D433" s="31">
        <v>432</v>
      </c>
      <c r="E433" s="31" t="str">
        <f t="shared" si="31"/>
        <v>E2_4_2_19</v>
      </c>
      <c r="F433" s="31" t="s">
        <v>9615</v>
      </c>
      <c r="G433" s="31" t="str">
        <f t="shared" si="32"/>
        <v xml:space="preserve">	
C01185 * C00013 * C00011</v>
      </c>
      <c r="H433" s="31" t="s">
        <v>9616</v>
      </c>
      <c r="I433" s="31" t="str">
        <f t="shared" si="35"/>
        <v>C03722 * C00119</v>
      </c>
      <c r="J433" s="31" t="str">
        <f t="shared" si="33"/>
        <v>(${Variables: E2_4_2_19_Kcat } * E2_4_2_19 * 	
C01185 * C00013 * C00011) /(${Variables:E2_4_2_19_Km} + (E2_4_2_19 * 	
C01185 * C00013 * C00011))</v>
      </c>
      <c r="K433" s="32" t="str">
        <f t="shared" si="34"/>
        <v>r432: 	
C01185 + C00013 + C00011 -&gt; C03722 + C00119 | (${Variables: E2_4_2_19_Kcat } * E2_4_2_19 * 	
C01185 * C00013 * C00011) /(${Variables:E2_4_2_19_Km} + (E2_4_2_19 * 	
C01185 * C00013 * C00011))</v>
      </c>
    </row>
    <row r="434" spans="1:11" ht="29" x14ac:dyDescent="0.35">
      <c r="A434" s="31" t="s">
        <v>6077</v>
      </c>
      <c r="B434" s="31" t="s">
        <v>6078</v>
      </c>
      <c r="C434" s="31" t="s">
        <v>14067</v>
      </c>
      <c r="D434" s="31">
        <v>433</v>
      </c>
      <c r="E434" s="31" t="str">
        <f t="shared" si="31"/>
        <v>E2_4_2_21</v>
      </c>
      <c r="F434" s="31" t="s">
        <v>9619</v>
      </c>
      <c r="G434" s="31" t="str">
        <f t="shared" si="32"/>
        <v xml:space="preserve">C01185 * C03114 </v>
      </c>
      <c r="H434" s="31" t="s">
        <v>9620</v>
      </c>
      <c r="I434" s="31" t="str">
        <f t="shared" si="35"/>
        <v>C00253 * C04778 * C00080</v>
      </c>
      <c r="J434" s="31" t="str">
        <f t="shared" si="33"/>
        <v>(${Variables: E2_4_2_21_Kcat } * E2_4_2_21 * C01185 * C03114 ) /(${Variables:E2_4_2_21_Km} + (E2_4_2_21 * C01185 * C03114 ))</v>
      </c>
      <c r="K434" s="32" t="str">
        <f t="shared" si="34"/>
        <v>r433: C01185 + C03114  -&gt; C00253 + C04778 + C00080 | (${Variables: E2_4_2_21_Kcat } * E2_4_2_21 * C01185 * C03114 ) /(${Variables:E2_4_2_21_Km} + (E2_4_2_21 * C01185 * C03114 ))</v>
      </c>
    </row>
    <row r="435" spans="1:11" ht="58" x14ac:dyDescent="0.35">
      <c r="A435" s="31" t="s">
        <v>713</v>
      </c>
      <c r="B435" s="31" t="s">
        <v>714</v>
      </c>
      <c r="C435" s="31" t="s">
        <v>14068</v>
      </c>
      <c r="D435" s="31">
        <v>434</v>
      </c>
      <c r="E435" s="31" t="str">
        <f t="shared" si="31"/>
        <v>E2_4_2_29</v>
      </c>
      <c r="F435" s="31" t="s">
        <v>9623</v>
      </c>
      <c r="G435" s="31" t="str">
        <f t="shared" si="32"/>
        <v xml:space="preserve">	
C01977 * C16675</v>
      </c>
      <c r="H435" s="31" t="s">
        <v>9624</v>
      </c>
      <c r="I435" s="31" t="str">
        <f t="shared" si="35"/>
        <v>C20446 * C00242</v>
      </c>
      <c r="J435" s="31" t="str">
        <f t="shared" si="33"/>
        <v>(${Variables: E2_4_2_29_Kcat } * E2_4_2_29 * 	
C01977 * C16675) /(${Variables:E2_4_2_29_Km} + (E2_4_2_29 * 	
C01977 * C16675))</v>
      </c>
      <c r="K435" s="32" t="str">
        <f t="shared" si="34"/>
        <v>r434: 	
C01977 + C16675 -&gt; C20446 + C00242 | (${Variables: E2_4_2_29_Kcat } * E2_4_2_29 * 	
C01977 * C16675) /(${Variables:E2_4_2_29_Km} + (E2_4_2_29 * 	
C01977 * C16675))</v>
      </c>
    </row>
    <row r="436" spans="1:11" ht="29" x14ac:dyDescent="0.35">
      <c r="A436" s="31" t="s">
        <v>7862</v>
      </c>
      <c r="B436" s="31" t="s">
        <v>7863</v>
      </c>
      <c r="C436" s="31" t="s">
        <v>14069</v>
      </c>
      <c r="D436" s="31">
        <v>435</v>
      </c>
      <c r="E436" s="31" t="str">
        <f t="shared" si="31"/>
        <v>E2_4_2_45</v>
      </c>
      <c r="F436" s="31" t="s">
        <v>9627</v>
      </c>
      <c r="G436" s="31" t="str">
        <f t="shared" si="32"/>
        <v>C02970 * C00119</v>
      </c>
      <c r="H436" s="31" t="s">
        <v>9628</v>
      </c>
      <c r="I436" s="31" t="str">
        <f t="shared" si="35"/>
        <v> C20352 * C00013</v>
      </c>
      <c r="J436" s="31" t="str">
        <f t="shared" si="33"/>
        <v>(${Variables: E2_4_2_45_Kcat } * E2_4_2_45 * C02970 * C00119) /(${Variables:E2_4_2_45_Km} + (E2_4_2_45 * C02970 * C00119))</v>
      </c>
      <c r="K436" s="31" t="str">
        <f t="shared" si="34"/>
        <v>r435: C02970 + C00119 -&gt;  C20352 + C00013 | (${Variables: E2_4_2_45_Kcat } * E2_4_2_45 * C02970 * C00119) /(${Variables:E2_4_2_45_Km} + (E2_4_2_45 * C02970 * C00119))</v>
      </c>
    </row>
    <row r="437" spans="1:11" ht="58" x14ac:dyDescent="0.35">
      <c r="A437" s="31" t="s">
        <v>4679</v>
      </c>
      <c r="B437" s="31" t="s">
        <v>4680</v>
      </c>
      <c r="C437" s="31" t="s">
        <v>14070</v>
      </c>
      <c r="D437" s="31">
        <v>436</v>
      </c>
      <c r="E437" s="31" t="str">
        <f t="shared" si="31"/>
        <v>E2_4_2_7</v>
      </c>
      <c r="F437" s="31" t="s">
        <v>9632</v>
      </c>
      <c r="G437" s="31" t="str">
        <f t="shared" si="32"/>
        <v xml:space="preserve">	
C00020 * C00013</v>
      </c>
      <c r="H437" s="31" t="s">
        <v>9633</v>
      </c>
      <c r="I437" s="31" t="str">
        <f t="shared" si="35"/>
        <v>C00147 * C00119</v>
      </c>
      <c r="J437" s="31" t="str">
        <f t="shared" si="33"/>
        <v>(${Variables: E2_4_2_7_Kcat } * E2_4_2_7 * 	
C00020 * C00013) /(${Variables:E2_4_2_7_Km} + (E2_4_2_7 * 	
C00020 * C00013))</v>
      </c>
      <c r="K437" s="32" t="str">
        <f t="shared" si="34"/>
        <v>r436: 	
C00020 + C00013 -&gt; C00147 + C00119 | (${Variables: E2_4_2_7_Kcat } * E2_4_2_7 * 	
C00020 * C00013) /(${Variables:E2_4_2_7_Km} + (E2_4_2_7 * 	
C00020 * C00013))</v>
      </c>
    </row>
    <row r="438" spans="1:11" ht="58" x14ac:dyDescent="0.35">
      <c r="A438" s="31" t="s">
        <v>4679</v>
      </c>
      <c r="B438" s="31" t="s">
        <v>4680</v>
      </c>
      <c r="C438" s="31" t="s">
        <v>14070</v>
      </c>
      <c r="D438" s="31">
        <v>437</v>
      </c>
      <c r="E438" s="31" t="str">
        <f t="shared" si="31"/>
        <v>E2_4_2_7</v>
      </c>
      <c r="F438" s="31" t="s">
        <v>9635</v>
      </c>
      <c r="G438" s="31" t="str">
        <f t="shared" si="32"/>
        <v xml:space="preserve">	
C04677 * C00013</v>
      </c>
      <c r="H438" s="31" t="s">
        <v>9636</v>
      </c>
      <c r="I438" s="31" t="str">
        <f t="shared" si="35"/>
        <v> C04051 * C00119</v>
      </c>
      <c r="J438" s="31" t="str">
        <f t="shared" si="33"/>
        <v>(${Variables: E2_4_2_7_Kcat } * E2_4_2_7 * 	
C04677 * C00013) /(${Variables:E2_4_2_7_Km} + (E2_4_2_7 * 	
C04677 * C00013))</v>
      </c>
      <c r="K438" s="32" t="str">
        <f t="shared" si="34"/>
        <v>r437: 	
C04677 + C00013 -&gt;  C04051 + C00119 | (${Variables: E2_4_2_7_Kcat } * E2_4_2_7 * 	
C04677 * C00013) /(${Variables:E2_4_2_7_Km} + (E2_4_2_7 * 	
C04677 * C00013))</v>
      </c>
    </row>
    <row r="439" spans="1:11" ht="29" x14ac:dyDescent="0.35">
      <c r="A439" s="31" t="s">
        <v>7410</v>
      </c>
      <c r="B439" s="31" t="s">
        <v>7411</v>
      </c>
      <c r="C439" s="31" t="s">
        <v>14071</v>
      </c>
      <c r="D439" s="31">
        <v>438</v>
      </c>
      <c r="E439" s="31" t="str">
        <f t="shared" si="31"/>
        <v>E2_4_2_8</v>
      </c>
      <c r="F439" s="31" t="s">
        <v>9639</v>
      </c>
      <c r="G439" s="31" t="str">
        <f t="shared" si="32"/>
        <v>C00130 * C00013</v>
      </c>
      <c r="H439" s="31" t="s">
        <v>9640</v>
      </c>
      <c r="I439" s="31" t="str">
        <f t="shared" si="35"/>
        <v>C00262 * C00119</v>
      </c>
      <c r="J439" s="31" t="str">
        <f t="shared" si="33"/>
        <v>(${Variables: E2_4_2_8_Kcat } * E2_4_2_8 * C00130 * C00013) /(${Variables:E2_4_2_8_Km} + (E2_4_2_8 * C00130 * C00013))</v>
      </c>
      <c r="K439" s="32" t="str">
        <f t="shared" si="34"/>
        <v>r438: C00130 + C00013 -&gt; C00262 + C00119 | (${Variables: E2_4_2_8_Kcat } * E2_4_2_8 * C00130 * C00013) /(${Variables:E2_4_2_8_Km} + (E2_4_2_8 * C00130 * C00013))</v>
      </c>
    </row>
    <row r="440" spans="1:11" ht="58" x14ac:dyDescent="0.35">
      <c r="A440" s="31" t="s">
        <v>7410</v>
      </c>
      <c r="B440" s="31" t="s">
        <v>7411</v>
      </c>
      <c r="C440" s="31" t="s">
        <v>14071</v>
      </c>
      <c r="D440" s="31">
        <v>439</v>
      </c>
      <c r="E440" s="31" t="str">
        <f t="shared" si="31"/>
        <v>E2_4_2_8</v>
      </c>
      <c r="F440" s="31" t="s">
        <v>9642</v>
      </c>
      <c r="G440" s="31" t="str">
        <f t="shared" si="32"/>
        <v xml:space="preserve">	
C00144 * C00013 </v>
      </c>
      <c r="H440" s="31" t="s">
        <v>9643</v>
      </c>
      <c r="I440" s="31" t="str">
        <f t="shared" si="35"/>
        <v> C00242 * C00119</v>
      </c>
      <c r="J440" s="31" t="str">
        <f t="shared" si="33"/>
        <v>(${Variables: E2_4_2_8_Kcat } * E2_4_2_8 * 	
C00144 * C00013 ) /(${Variables:E2_4_2_8_Km} + (E2_4_2_8 * 	
C00144 * C00013 ))</v>
      </c>
      <c r="K440" s="32" t="str">
        <f t="shared" si="34"/>
        <v>r439: 	
C00144 + C00013  -&gt;  C00242 + C00119 | (${Variables: E2_4_2_8_Kcat } * E2_4_2_8 * 	
C00144 * C00013 ) /(${Variables:E2_4_2_8_Km} + (E2_4_2_8 * 	
C00144 * C00013 ))</v>
      </c>
    </row>
    <row r="441" spans="1:11" ht="58" x14ac:dyDescent="0.35">
      <c r="A441" s="31" t="s">
        <v>7410</v>
      </c>
      <c r="B441" s="31" t="s">
        <v>7411</v>
      </c>
      <c r="C441" s="31" t="s">
        <v>14071</v>
      </c>
      <c r="D441" s="31">
        <v>440</v>
      </c>
      <c r="E441" s="31" t="str">
        <f t="shared" si="31"/>
        <v>E2_4_2_8</v>
      </c>
      <c r="F441" s="31" t="s">
        <v>9645</v>
      </c>
      <c r="G441" s="31" t="str">
        <f t="shared" si="32"/>
        <v xml:space="preserve">	
C00655 * C00013 </v>
      </c>
      <c r="H441" s="31" t="s">
        <v>9646</v>
      </c>
      <c r="I441" s="31" t="str">
        <f t="shared" si="35"/>
        <v>C00385 * C00119</v>
      </c>
      <c r="J441" s="31" t="str">
        <f t="shared" si="33"/>
        <v>(${Variables: E2_4_2_8_Kcat } * E2_4_2_8 * 	
C00655 * C00013 ) /(${Variables:E2_4_2_8_Km} + (E2_4_2_8 * 	
C00655 * C00013 ))</v>
      </c>
      <c r="K441" s="32" t="str">
        <f t="shared" si="34"/>
        <v>r440: 	
C00655 + C00013  -&gt; C00385 + C00119 | (${Variables: E2_4_2_8_Kcat } * E2_4_2_8 * 	
C00655 * C00013 ) /(${Variables:E2_4_2_8_Km} + (E2_4_2_8 * 	
C00655 * C00013 ))</v>
      </c>
    </row>
    <row r="442" spans="1:11" ht="29" x14ac:dyDescent="0.35">
      <c r="A442" s="31" t="s">
        <v>7410</v>
      </c>
      <c r="B442" s="31" t="s">
        <v>7411</v>
      </c>
      <c r="C442" s="31" t="s">
        <v>14071</v>
      </c>
      <c r="D442" s="31">
        <v>441</v>
      </c>
      <c r="E442" s="31" t="str">
        <f t="shared" si="31"/>
        <v>E2_4_2_8</v>
      </c>
      <c r="F442" s="31" t="s">
        <v>9648</v>
      </c>
      <c r="G442" s="31" t="str">
        <f t="shared" si="32"/>
        <v>C02380 * C00119 </v>
      </c>
      <c r="H442" s="31" t="s">
        <v>9649</v>
      </c>
      <c r="I442" s="31" t="str">
        <f t="shared" si="35"/>
        <v> C04646 * C00013</v>
      </c>
      <c r="J442" s="31" t="str">
        <f t="shared" si="33"/>
        <v>(${Variables: E2_4_2_8_Kcat } * E2_4_2_8 * C02380 * C00119 ) /(${Variables:E2_4_2_8_Km} + (E2_4_2_8 * C02380 * C00119 ))</v>
      </c>
      <c r="K442" s="32" t="str">
        <f t="shared" si="34"/>
        <v>r441: C02380 + C00119  -&gt;  C04646 + C00013 | (${Variables: E2_4_2_8_Kcat } * E2_4_2_8 * C02380 * C00119 ) /(${Variables:E2_4_2_8_Km} + (E2_4_2_8 * C02380 * C00119 ))</v>
      </c>
    </row>
    <row r="443" spans="1:11" ht="29" x14ac:dyDescent="0.35">
      <c r="A443" s="31" t="s">
        <v>7410</v>
      </c>
      <c r="B443" s="31" t="s">
        <v>7411</v>
      </c>
      <c r="C443" s="31" t="s">
        <v>14071</v>
      </c>
      <c r="D443" s="31">
        <v>442</v>
      </c>
      <c r="E443" s="31" t="str">
        <f t="shared" si="31"/>
        <v>E2_4_2_8</v>
      </c>
      <c r="F443" s="31" t="s">
        <v>9651</v>
      </c>
      <c r="G443" s="31" t="str">
        <f t="shared" si="32"/>
        <v>C16614 * C00119 </v>
      </c>
      <c r="H443" s="31" t="s">
        <v>9652</v>
      </c>
      <c r="I443" s="31" t="str">
        <f t="shared" si="35"/>
        <v> C16615 * C00013</v>
      </c>
      <c r="J443" s="31" t="str">
        <f t="shared" si="33"/>
        <v>(${Variables: E2_4_2_8_Kcat } * E2_4_2_8 * C16614 * C00119 ) /(${Variables:E2_4_2_8_Km} + (E2_4_2_8 * C16614 * C00119 ))</v>
      </c>
      <c r="K443" s="32" t="str">
        <f t="shared" si="34"/>
        <v>r442: C16614 + C00119  -&gt;  C16615 + C00013 | (${Variables: E2_4_2_8_Kcat } * E2_4_2_8 * C16614 * C00119 ) /(${Variables:E2_4_2_8_Km} + (E2_4_2_8 * C16614 * C00119 ))</v>
      </c>
    </row>
    <row r="444" spans="1:11" ht="58" x14ac:dyDescent="0.35">
      <c r="A444" s="31" t="s">
        <v>7410</v>
      </c>
      <c r="B444" s="31" t="s">
        <v>7411</v>
      </c>
      <c r="C444" s="31" t="s">
        <v>14071</v>
      </c>
      <c r="D444" s="31">
        <v>443</v>
      </c>
      <c r="E444" s="31" t="str">
        <f t="shared" si="31"/>
        <v>E2_4_2_8</v>
      </c>
      <c r="F444" s="31" t="s">
        <v>9654</v>
      </c>
      <c r="G444" s="31" t="str">
        <f t="shared" si="32"/>
        <v xml:space="preserve">	
C07648 * C00119</v>
      </c>
      <c r="H444" s="31" t="s">
        <v>9655</v>
      </c>
      <c r="I444" s="31" t="str">
        <f t="shared" si="35"/>
        <v>C16619 * C00013</v>
      </c>
      <c r="J444" s="31" t="str">
        <f t="shared" si="33"/>
        <v>(${Variables: E2_4_2_8_Kcat } * E2_4_2_8 * 	
C07648 * C00119) /(${Variables:E2_4_2_8_Km} + (E2_4_2_8 * 	
C07648 * C00119))</v>
      </c>
      <c r="K444" s="32" t="str">
        <f t="shared" si="34"/>
        <v>r443: 	
C07648 + C00119 -&gt; C16619 + C00013 | (${Variables: E2_4_2_8_Kcat } * E2_4_2_8 * 	
C07648 * C00119) /(${Variables:E2_4_2_8_Km} + (E2_4_2_8 * 	
C07648 * C00119))</v>
      </c>
    </row>
    <row r="445" spans="1:11" ht="58" x14ac:dyDescent="0.35">
      <c r="A445" s="31" t="s">
        <v>1985</v>
      </c>
      <c r="B445" s="31" t="s">
        <v>1986</v>
      </c>
      <c r="C445" s="31" t="s">
        <v>14072</v>
      </c>
      <c r="D445" s="31">
        <v>444</v>
      </c>
      <c r="E445" s="31" t="str">
        <f t="shared" si="31"/>
        <v>E2_4_2_9</v>
      </c>
      <c r="F445" s="31" t="s">
        <v>9658</v>
      </c>
      <c r="G445" s="31" t="str">
        <f t="shared" si="32"/>
        <v xml:space="preserve">	
C00105 * C00013</v>
      </c>
      <c r="H445" s="31" t="s">
        <v>9659</v>
      </c>
      <c r="I445" s="31" t="str">
        <f t="shared" si="35"/>
        <v>C00106 * C00119</v>
      </c>
      <c r="J445" s="31" t="str">
        <f t="shared" si="33"/>
        <v>(${Variables: E2_4_2_9_Kcat } * E2_4_2_9 * 	
C00105 * C00013) /(${Variables:E2_4_2_9_Km} + (E2_4_2_9 * 	
C00105 * C00013))</v>
      </c>
      <c r="K445" s="32" t="str">
        <f t="shared" si="34"/>
        <v>r444: 	
C00105 + C00013 -&gt; C00106 + C00119 | (${Variables: E2_4_2_9_Kcat } * E2_4_2_9 * 	
C00105 * C00013) /(${Variables:E2_4_2_9_Km} + (E2_4_2_9 * 	
C00105 * C00013))</v>
      </c>
    </row>
    <row r="446" spans="1:11" ht="58" x14ac:dyDescent="0.35">
      <c r="A446" s="31" t="s">
        <v>4570</v>
      </c>
      <c r="B446" s="31" t="s">
        <v>4571</v>
      </c>
      <c r="C446" s="31" t="s">
        <v>14072</v>
      </c>
      <c r="D446" s="31">
        <v>445</v>
      </c>
      <c r="E446" s="31" t="str">
        <f t="shared" si="31"/>
        <v>E2_4_2_9</v>
      </c>
      <c r="F446" s="31" t="s">
        <v>9658</v>
      </c>
      <c r="G446" s="31" t="str">
        <f t="shared" si="32"/>
        <v xml:space="preserve">	
C00105 * C00013</v>
      </c>
      <c r="H446" s="31" t="s">
        <v>9659</v>
      </c>
      <c r="I446" s="31" t="s">
        <v>14442</v>
      </c>
      <c r="J446" s="31" t="str">
        <f t="shared" si="33"/>
        <v>(${Variables: E2_4_2_9_Kcat } * E2_4_2_9 * 	
C00105 * C00013) /(${Variables:E2_4_2_9_Km} + (E2_4_2_9 * 	
C00105 * C00013))</v>
      </c>
      <c r="K446" s="32" t="str">
        <f t="shared" si="34"/>
        <v>r445: 	
C00105 + C00013 -&gt; C00106 + C00119 | (${Variables: E2_4_2_9_Kcat } * E2_4_2_9 * 	
C00105 * C00013) /(${Variables:E2_4_2_9_Km} + (E2_4_2_9 * 	
C00105 * C00013))</v>
      </c>
    </row>
    <row r="447" spans="1:11" ht="58" x14ac:dyDescent="0.35">
      <c r="A447" s="31" t="s">
        <v>3491</v>
      </c>
      <c r="B447" s="31" t="s">
        <v>3492</v>
      </c>
      <c r="C447" s="31" t="s">
        <v>14073</v>
      </c>
      <c r="D447" s="31">
        <v>446</v>
      </c>
      <c r="E447" s="31" t="str">
        <f t="shared" si="31"/>
        <v>E2_4_99_16</v>
      </c>
      <c r="F447" s="31" t="s">
        <v>13896</v>
      </c>
      <c r="G447" s="31" t="str">
        <f t="shared" si="32"/>
        <v xml:space="preserve">	
C20237 * C00718</v>
      </c>
      <c r="H447" s="31" t="s">
        <v>14441</v>
      </c>
      <c r="I447" s="31" t="str">
        <f>SUBSTITUTE(H447,"+","*")</f>
        <v> C00009 * C00718</v>
      </c>
      <c r="J447" s="31" t="str">
        <f t="shared" si="33"/>
        <v>(${Variables: E2_4_99_16_Kcat } * E2_4_99_16 * 	
C20237 * C00718) /(${Variables:E2_4_99_16_Km} + (E2_4_99_16 * 	
C20237 * C00718))</v>
      </c>
      <c r="K447" s="31" t="str">
        <f t="shared" si="34"/>
        <v>r446: 	
C20237 + C00718 -&gt;  C00009 + C00718 | (${Variables: E2_4_99_16_Kcat } * E2_4_99_16 * 	
C20237 * C00718) /(${Variables:E2_4_99_16_Km} + (E2_4_99_16 * 	
C20237 * C00718))</v>
      </c>
    </row>
    <row r="448" spans="1:11" ht="58" x14ac:dyDescent="0.35">
      <c r="A448" s="31" t="s">
        <v>168</v>
      </c>
      <c r="B448" s="31" t="s">
        <v>169</v>
      </c>
      <c r="C448" s="31" t="s">
        <v>14074</v>
      </c>
      <c r="D448" s="31">
        <v>447</v>
      </c>
      <c r="E448" s="31" t="str">
        <f t="shared" si="31"/>
        <v>E2_4_99_28</v>
      </c>
      <c r="F448" s="31" t="s">
        <v>9665</v>
      </c>
      <c r="G448" s="31" t="str">
        <f t="shared" si="32"/>
        <v xml:space="preserve">	
C05893 * C11826</v>
      </c>
      <c r="H448" s="31" t="s">
        <v>9666</v>
      </c>
      <c r="I448" s="31" t="s">
        <v>14443</v>
      </c>
      <c r="J448" s="31" t="str">
        <f t="shared" si="33"/>
        <v>(${Variables: E2_4_99_28_Kcat } * E2_4_99_28 * 	
C05893 * C11826) /(${Variables:E2_4_99_28_Km} + (E2_4_99_28 * 	
C05893 * C11826))</v>
      </c>
      <c r="K448" s="32" t="str">
        <f t="shared" si="34"/>
        <v>r447: 	
C05893 + C11826 -&gt; C04574 + C11826 | (${Variables: E2_4_99_28_Kcat } * E2_4_99_28 * 	
C05893 * C11826) /(${Variables:E2_4_99_28_Km} + (E2_4_99_28 * 	
C05893 * C11826))</v>
      </c>
    </row>
    <row r="449" spans="1:11" ht="29" x14ac:dyDescent="0.35">
      <c r="A449" s="31" t="s">
        <v>168</v>
      </c>
      <c r="B449" s="31" t="s">
        <v>169</v>
      </c>
      <c r="C449" s="31" t="s">
        <v>14074</v>
      </c>
      <c r="D449" s="31">
        <v>448</v>
      </c>
      <c r="E449" s="31" t="str">
        <f t="shared" si="31"/>
        <v>E2_4_99_28</v>
      </c>
      <c r="F449" s="31" t="s">
        <v>13897</v>
      </c>
      <c r="G449" s="31" t="str">
        <f t="shared" si="32"/>
        <v>G10553 * G10554</v>
      </c>
      <c r="H449" s="31" t="s">
        <v>14444</v>
      </c>
      <c r="I449" s="31" t="s">
        <v>14445</v>
      </c>
      <c r="J449" s="31" t="str">
        <f t="shared" si="33"/>
        <v>(${Variables: E2_4_99_28_Kcat } * E2_4_99_28 * G10553 * G10554) /(${Variables:E2_4_99_28_Km} + (E2_4_99_28 * G10553 * G10554))</v>
      </c>
      <c r="K449" s="32" t="str">
        <f t="shared" si="34"/>
        <v>r448: G10553 + G10554 -&gt; C04574 + G10554 | (${Variables: E2_4_99_28_Kcat } * E2_4_99_28 * G10553 * G10554) /(${Variables:E2_4_99_28_Km} + (E2_4_99_28 * G10553 * G10554))</v>
      </c>
    </row>
    <row r="450" spans="1:11" ht="58" x14ac:dyDescent="0.35">
      <c r="A450" s="31" t="s">
        <v>168</v>
      </c>
      <c r="B450" s="31" t="s">
        <v>169</v>
      </c>
      <c r="C450" s="31" t="s">
        <v>14074</v>
      </c>
      <c r="D450" s="31">
        <v>449</v>
      </c>
      <c r="E450" s="31" t="str">
        <f t="shared" ref="E450:E513" si="36">CONCATENATE("E",C450)</f>
        <v>E2_4_99_28</v>
      </c>
      <c r="F450" s="31" t="s">
        <v>9670</v>
      </c>
      <c r="G450" s="31" t="str">
        <f t="shared" ref="G450:G513" si="37">SUBSTITUTE(F450,"+","*")</f>
        <v xml:space="preserve">	
C05898 * C11827</v>
      </c>
      <c r="H450" s="31" t="s">
        <v>9671</v>
      </c>
      <c r="I450" s="31" t="s">
        <v>14446</v>
      </c>
      <c r="J450" s="31" t="str">
        <f t="shared" ref="J450:J513" si="38">CONCATENATE("(${Variables: ",E450,"_Kcat ","} * ",E450," * ",G450,")"," /(${Variables:",E450,"_Km","} + (",E450," * ",G450,"))")</f>
        <v>(${Variables: E2_4_99_28_Kcat } * E2_4_99_28 * 	
C05898 * C11827) /(${Variables:E2_4_99_28_Km} + (E2_4_99_28 * 	
C05898 * C11827))</v>
      </c>
      <c r="K450" s="32" t="str">
        <f t="shared" ref="K450:K513" si="39">CONCATENATE("r",D450,": ",F450," -&gt; ",H450," | ",J450)</f>
        <v>r449: 	
C05898 + C11827 -&gt;  C04574 + C11827 | (${Variables: E2_4_99_28_Kcat } * E2_4_99_28 * 	
C05898 * C11827) /(${Variables:E2_4_99_28_Km} + (E2_4_99_28 * 	
C05898 * C11827))</v>
      </c>
    </row>
    <row r="451" spans="1:11" ht="58" x14ac:dyDescent="0.35">
      <c r="A451" s="31" t="s">
        <v>168</v>
      </c>
      <c r="B451" s="31" t="s">
        <v>169</v>
      </c>
      <c r="C451" s="31" t="s">
        <v>14074</v>
      </c>
      <c r="D451" s="31">
        <v>450</v>
      </c>
      <c r="E451" s="31" t="str">
        <f t="shared" si="36"/>
        <v>E2_4_99_28</v>
      </c>
      <c r="F451" s="31" t="s">
        <v>13898</v>
      </c>
      <c r="G451" s="31" t="str">
        <f t="shared" si="37"/>
        <v xml:space="preserve">	
G10555 * G10557</v>
      </c>
      <c r="H451" s="31" t="s">
        <v>14447</v>
      </c>
      <c r="I451" s="31" t="str">
        <f>SUBSTITUTE(H451,"+","*")</f>
        <v>C04574 * G10557</v>
      </c>
      <c r="J451" s="31" t="str">
        <f t="shared" si="38"/>
        <v>(${Variables: E2_4_99_28_Kcat } * E2_4_99_28 * 	
G10555 * G10557) /(${Variables:E2_4_99_28_Km} + (E2_4_99_28 * 	
G10555 * G10557))</v>
      </c>
      <c r="K451" s="32" t="str">
        <f t="shared" si="39"/>
        <v>r450: 	
G10555 + G10557 -&gt; C04574 + G10557 | (${Variables: E2_4_99_28_Kcat } * E2_4_99_28 * 	
G10555 * G10557) /(${Variables:E2_4_99_28_Km} + (E2_4_99_28 * 	
G10555 * G10557))</v>
      </c>
    </row>
    <row r="452" spans="1:11" ht="58" x14ac:dyDescent="0.35">
      <c r="A452" s="31" t="s">
        <v>4428</v>
      </c>
      <c r="B452" s="31" t="s">
        <v>4429</v>
      </c>
      <c r="C452" s="31" t="s">
        <v>14075</v>
      </c>
      <c r="D452" s="31">
        <v>451</v>
      </c>
      <c r="E452" s="31" t="str">
        <f t="shared" si="36"/>
        <v>E2_5_1_141</v>
      </c>
      <c r="F452" s="31" t="s">
        <v>9676</v>
      </c>
      <c r="G452" s="31" t="str">
        <f t="shared" si="37"/>
        <v xml:space="preserve">	
C00032 * C00001 * C00448</v>
      </c>
      <c r="H452" s="31" t="s">
        <v>9677</v>
      </c>
      <c r="I452" s="31" t="str">
        <f t="shared" ref="I452:I515" si="40">SUBSTITUTE(H452,"+","*")</f>
        <v>C15672 * C00013</v>
      </c>
      <c r="J452" s="31" t="str">
        <f t="shared" si="38"/>
        <v>(${Variables: E2_5_1_141_Kcat } * E2_5_1_141 * 	
C00032 * C00001 * C00448) /(${Variables:E2_5_1_141_Km} + (E2_5_1_141 * 	
C00032 * C00001 * C00448))</v>
      </c>
      <c r="K452" s="31" t="str">
        <f t="shared" si="39"/>
        <v>r451: 	
C00032 + C00001 + C00448 -&gt; C15672 + C00013 | (${Variables: E2_5_1_141_Kcat } * E2_5_1_141 * 	
C00032 * C00001 * C00448) /(${Variables:E2_5_1_141_Km} + (E2_5_1_141 * 	
C00032 * C00001 * C00448))</v>
      </c>
    </row>
    <row r="453" spans="1:11" ht="58" x14ac:dyDescent="0.35">
      <c r="A453" s="31" t="s">
        <v>3172</v>
      </c>
      <c r="B453" s="31" t="s">
        <v>3173</v>
      </c>
      <c r="C453" s="31" t="s">
        <v>14076</v>
      </c>
      <c r="D453" s="31">
        <v>452</v>
      </c>
      <c r="E453" s="31" t="str">
        <f t="shared" si="36"/>
        <v>E2_5_1_15</v>
      </c>
      <c r="F453" s="31" t="s">
        <v>9682</v>
      </c>
      <c r="G453" s="31" t="str">
        <f t="shared" si="37"/>
        <v xml:space="preserve">	
C04807 * C00568 </v>
      </c>
      <c r="H453" s="31" t="s">
        <v>9683</v>
      </c>
      <c r="I453" s="31" t="str">
        <f t="shared" si="40"/>
        <v>C00013 * C00921</v>
      </c>
      <c r="J453" s="31" t="str">
        <f t="shared" si="38"/>
        <v>(${Variables: E2_5_1_15_Kcat } * E2_5_1_15 * 	
C04807 * C00568 ) /(${Variables:E2_5_1_15_Km} + (E2_5_1_15 * 	
C04807 * C00568 ))</v>
      </c>
      <c r="K453" s="32" t="str">
        <f t="shared" si="39"/>
        <v>r452: 	
C04807 + C00568  -&gt; C00013 + C00921 | (${Variables: E2_5_1_15_Kcat } * E2_5_1_15 * 	
C04807 * C00568 ) /(${Variables:E2_5_1_15_Km} + (E2_5_1_15 * 	
C04807 * C00568 ))</v>
      </c>
    </row>
    <row r="454" spans="1:11" ht="58" x14ac:dyDescent="0.35">
      <c r="A454" s="31" t="s">
        <v>3172</v>
      </c>
      <c r="B454" s="31" t="s">
        <v>3173</v>
      </c>
      <c r="C454" s="31" t="s">
        <v>14076</v>
      </c>
      <c r="D454" s="31">
        <v>453</v>
      </c>
      <c r="E454" s="31" t="str">
        <f t="shared" si="36"/>
        <v>E2_5_1_15</v>
      </c>
      <c r="F454" s="31" t="s">
        <v>9685</v>
      </c>
      <c r="G454" s="31" t="str">
        <f t="shared" si="37"/>
        <v xml:space="preserve">	
C01300 * C00568 </v>
      </c>
      <c r="H454" s="31" t="s">
        <v>9686</v>
      </c>
      <c r="I454" s="31" t="str">
        <f t="shared" si="40"/>
        <v> C00921 * C00001</v>
      </c>
      <c r="J454" s="31" t="str">
        <f t="shared" si="38"/>
        <v>(${Variables: E2_5_1_15_Kcat } * E2_5_1_15 * 	
C01300 * C00568 ) /(${Variables:E2_5_1_15_Km} + (E2_5_1_15 * 	
C01300 * C00568 ))</v>
      </c>
      <c r="K454" s="32" t="str">
        <f t="shared" si="39"/>
        <v>r453: 	
C01300 + C00568  -&gt;  C00921 + C00001 | (${Variables: E2_5_1_15_Kcat } * E2_5_1_15 * 	
C01300 * C00568 ) /(${Variables:E2_5_1_15_Km} + (E2_5_1_15 * 	
C01300 * C00568 ))</v>
      </c>
    </row>
    <row r="455" spans="1:11" ht="58" x14ac:dyDescent="0.35">
      <c r="A455" s="31" t="s">
        <v>7398</v>
      </c>
      <c r="B455" s="31" t="s">
        <v>7399</v>
      </c>
      <c r="C455" s="31" t="s">
        <v>14076</v>
      </c>
      <c r="D455" s="31">
        <v>454</v>
      </c>
      <c r="E455" s="31" t="str">
        <f t="shared" si="36"/>
        <v>E2_5_1_15</v>
      </c>
      <c r="F455" s="31" t="s">
        <v>9682</v>
      </c>
      <c r="G455" s="31" t="str">
        <f t="shared" si="37"/>
        <v xml:space="preserve">	
C04807 * C00568 </v>
      </c>
      <c r="H455" s="31" t="s">
        <v>9683</v>
      </c>
      <c r="I455" s="31" t="str">
        <f t="shared" si="40"/>
        <v>C00013 * C00921</v>
      </c>
      <c r="J455" s="31" t="str">
        <f t="shared" si="38"/>
        <v>(${Variables: E2_5_1_15_Kcat } * E2_5_1_15 * 	
C04807 * C00568 ) /(${Variables:E2_5_1_15_Km} + (E2_5_1_15 * 	
C04807 * C00568 ))</v>
      </c>
      <c r="K455" s="32" t="str">
        <f t="shared" si="39"/>
        <v>r454: 	
C04807 + C00568  -&gt; C00013 + C00921 | (${Variables: E2_5_1_15_Kcat } * E2_5_1_15 * 	
C04807 * C00568 ) /(${Variables:E2_5_1_15_Km} + (E2_5_1_15 * 	
C04807 * C00568 ))</v>
      </c>
    </row>
    <row r="456" spans="1:11" ht="58" x14ac:dyDescent="0.35">
      <c r="A456" s="31" t="s">
        <v>7398</v>
      </c>
      <c r="B456" s="31" t="s">
        <v>7399</v>
      </c>
      <c r="C456" s="31" t="s">
        <v>14076</v>
      </c>
      <c r="D456" s="31">
        <v>455</v>
      </c>
      <c r="E456" s="31" t="str">
        <f t="shared" si="36"/>
        <v>E2_5_1_15</v>
      </c>
      <c r="F456" s="31" t="s">
        <v>9685</v>
      </c>
      <c r="G456" s="31" t="str">
        <f t="shared" si="37"/>
        <v xml:space="preserve">	
C01300 * C00568 </v>
      </c>
      <c r="H456" s="31" t="s">
        <v>9686</v>
      </c>
      <c r="I456" s="31" t="str">
        <f t="shared" si="40"/>
        <v> C00921 * C00001</v>
      </c>
      <c r="J456" s="31" t="str">
        <f t="shared" si="38"/>
        <v>(${Variables: E2_5_1_15_Kcat } * E2_5_1_15 * 	
C01300 * C00568 ) /(${Variables:E2_5_1_15_Km} + (E2_5_1_15 * 	
C01300 * C00568 ))</v>
      </c>
      <c r="K456" s="32" t="str">
        <f t="shared" si="39"/>
        <v>r455: 	
C01300 + C00568  -&gt;  C00921 + C00001 | (${Variables: E2_5_1_15_Kcat } * E2_5_1_15 * 	
C01300 * C00568 ) /(${Variables:E2_5_1_15_Km} + (E2_5_1_15 * 	
C01300 * C00568 ))</v>
      </c>
    </row>
    <row r="457" spans="1:11" ht="58" x14ac:dyDescent="0.35">
      <c r="A457" s="31" t="s">
        <v>3518</v>
      </c>
      <c r="B457" s="31" t="s">
        <v>3519</v>
      </c>
      <c r="C457" s="31" t="s">
        <v>14077</v>
      </c>
      <c r="D457" s="31">
        <v>456</v>
      </c>
      <c r="E457" s="31" t="str">
        <f t="shared" si="36"/>
        <v>E2_5_1_16</v>
      </c>
      <c r="F457" s="31" t="s">
        <v>9689</v>
      </c>
      <c r="G457" s="31" t="str">
        <f t="shared" si="37"/>
        <v xml:space="preserve">	
C01137 * C00134 </v>
      </c>
      <c r="H457" s="31" t="s">
        <v>9690</v>
      </c>
      <c r="I457" s="31" t="str">
        <f t="shared" si="40"/>
        <v>C00170 * C00315</v>
      </c>
      <c r="J457" s="31" t="str">
        <f t="shared" si="38"/>
        <v>(${Variables: E2_5_1_16_Kcat } * E2_5_1_16 * 	
C01137 * C00134 ) /(${Variables:E2_5_1_16_Km} + (E2_5_1_16 * 	
C01137 * C00134 ))</v>
      </c>
      <c r="K457" s="32" t="str">
        <f t="shared" si="39"/>
        <v>r456: 	
C01137 + C00134  -&gt; C00170 + C00315 | (${Variables: E2_5_1_16_Kcat } * E2_5_1_16 * 	
C01137 * C00134 ) /(${Variables:E2_5_1_16_Km} + (E2_5_1_16 * 	
C01137 * C00134 ))</v>
      </c>
    </row>
    <row r="458" spans="1:11" ht="58" x14ac:dyDescent="0.35">
      <c r="A458" s="31" t="s">
        <v>3518</v>
      </c>
      <c r="B458" s="31" t="s">
        <v>3519</v>
      </c>
      <c r="C458" s="31" t="s">
        <v>14077</v>
      </c>
      <c r="D458" s="31">
        <v>457</v>
      </c>
      <c r="E458" s="31" t="str">
        <f t="shared" si="36"/>
        <v>E2_5_1_16</v>
      </c>
      <c r="F458" s="31" t="s">
        <v>9692</v>
      </c>
      <c r="G458" s="31" t="str">
        <f t="shared" si="37"/>
        <v xml:space="preserve">	
C01137 * C01672</v>
      </c>
      <c r="H458" s="31" t="s">
        <v>9693</v>
      </c>
      <c r="I458" s="31" t="str">
        <f t="shared" si="40"/>
        <v> C00170 * C16565</v>
      </c>
      <c r="J458" s="31" t="str">
        <f t="shared" si="38"/>
        <v>(${Variables: E2_5_1_16_Kcat } * E2_5_1_16 * 	
C01137 * C01672) /(${Variables:E2_5_1_16_Km} + (E2_5_1_16 * 	
C01137 * C01672))</v>
      </c>
      <c r="K458" s="32" t="str">
        <f t="shared" si="39"/>
        <v>r457: 	
C01137 + C01672 -&gt;  C00170 + C16565 | (${Variables: E2_5_1_16_Kcat } * E2_5_1_16 * 	
C01137 * C01672) /(${Variables:E2_5_1_16_Km} + (E2_5_1_16 * 	
C01137 * C01672))</v>
      </c>
    </row>
    <row r="459" spans="1:11" ht="58" x14ac:dyDescent="0.35">
      <c r="A459" s="31" t="s">
        <v>7424</v>
      </c>
      <c r="B459" s="31" t="s">
        <v>7425</v>
      </c>
      <c r="C459" s="31" t="s">
        <v>14077</v>
      </c>
      <c r="D459" s="31">
        <v>458</v>
      </c>
      <c r="E459" s="31" t="str">
        <f t="shared" si="36"/>
        <v>E2_5_1_16</v>
      </c>
      <c r="F459" s="31" t="s">
        <v>9689</v>
      </c>
      <c r="G459" s="31" t="str">
        <f t="shared" si="37"/>
        <v xml:space="preserve">	
C01137 * C00134 </v>
      </c>
      <c r="H459" s="31" t="s">
        <v>9690</v>
      </c>
      <c r="I459" s="31" t="str">
        <f t="shared" si="40"/>
        <v>C00170 * C00315</v>
      </c>
      <c r="J459" s="31" t="str">
        <f t="shared" si="38"/>
        <v>(${Variables: E2_5_1_16_Kcat } * E2_5_1_16 * 	
C01137 * C00134 ) /(${Variables:E2_5_1_16_Km} + (E2_5_1_16 * 	
C01137 * C00134 ))</v>
      </c>
      <c r="K459" s="32" t="str">
        <f t="shared" si="39"/>
        <v>r458: 	
C01137 + C00134  -&gt; C00170 + C00315 | (${Variables: E2_5_1_16_Kcat } * E2_5_1_16 * 	
C01137 * C00134 ) /(${Variables:E2_5_1_16_Km} + (E2_5_1_16 * 	
C01137 * C00134 ))</v>
      </c>
    </row>
    <row r="460" spans="1:11" ht="58" x14ac:dyDescent="0.35">
      <c r="A460" s="31" t="s">
        <v>7424</v>
      </c>
      <c r="B460" s="31" t="s">
        <v>7425</v>
      </c>
      <c r="C460" s="31" t="s">
        <v>14077</v>
      </c>
      <c r="D460" s="31">
        <v>459</v>
      </c>
      <c r="E460" s="31" t="str">
        <f t="shared" si="36"/>
        <v>E2_5_1_16</v>
      </c>
      <c r="F460" s="31" t="s">
        <v>9692</v>
      </c>
      <c r="G460" s="31" t="str">
        <f t="shared" si="37"/>
        <v xml:space="preserve">	
C01137 * C01672</v>
      </c>
      <c r="H460" s="31" t="s">
        <v>9693</v>
      </c>
      <c r="I460" s="31" t="str">
        <f t="shared" si="40"/>
        <v> C00170 * C16565</v>
      </c>
      <c r="J460" s="31" t="str">
        <f t="shared" si="38"/>
        <v>(${Variables: E2_5_1_16_Kcat } * E2_5_1_16 * 	
C01137 * C01672) /(${Variables:E2_5_1_16_Km} + (E2_5_1_16 * 	
C01137 * C01672))</v>
      </c>
      <c r="K460" s="32" t="str">
        <f t="shared" si="39"/>
        <v>r459: 	
C01137 + C01672 -&gt;  C00170 + C16565 | (${Variables: E2_5_1_16_Kcat } * E2_5_1_16 * 	
C01137 * C01672) /(${Variables:E2_5_1_16_Km} + (E2_5_1_16 * 	
C01137 * C01672))</v>
      </c>
    </row>
    <row r="461" spans="1:11" ht="58" x14ac:dyDescent="0.35">
      <c r="A461" s="31" t="s">
        <v>7027</v>
      </c>
      <c r="B461" s="31" t="s">
        <v>7028</v>
      </c>
      <c r="C461" s="31" t="s">
        <v>14078</v>
      </c>
      <c r="D461" s="31">
        <v>460</v>
      </c>
      <c r="E461" s="31" t="str">
        <f t="shared" si="36"/>
        <v>E2_5_1_17</v>
      </c>
      <c r="F461" s="31" t="s">
        <v>13899</v>
      </c>
      <c r="G461" s="31" t="str">
        <f t="shared" si="37"/>
        <v xml:space="preserve">	
C00002 * C00541 * C03024</v>
      </c>
      <c r="H461" s="31" t="s">
        <v>14448</v>
      </c>
      <c r="I461" s="31" t="str">
        <f t="shared" si="40"/>
        <v> C00536 * C00194 * C03161</v>
      </c>
      <c r="J461" s="31" t="str">
        <f t="shared" si="38"/>
        <v>(${Variables: E2_5_1_17_Kcat } * E2_5_1_17 * 	
C00002 * C00541 * C03024) /(${Variables:E2_5_1_17_Km} + (E2_5_1_17 * 	
C00002 * C00541 * C03024))</v>
      </c>
      <c r="K461" s="32" t="str">
        <f t="shared" si="39"/>
        <v>r460: 	
C00002 + C00541 + C03024 -&gt;  C00536 + C00194 + C03161 | (${Variables: E2_5_1_17_Kcat } * E2_5_1_17 * 	
C00002 * C00541 * C03024) /(${Variables:E2_5_1_17_Km} + (E2_5_1_17 * 	
C00002 * C00541 * C03024))</v>
      </c>
    </row>
    <row r="462" spans="1:11" ht="58" x14ac:dyDescent="0.35">
      <c r="A462" s="31" t="s">
        <v>7027</v>
      </c>
      <c r="B462" s="31" t="s">
        <v>7028</v>
      </c>
      <c r="C462" s="31" t="s">
        <v>14078</v>
      </c>
      <c r="D462" s="31">
        <v>461</v>
      </c>
      <c r="E462" s="31" t="str">
        <f t="shared" si="36"/>
        <v>E2_5_1_17</v>
      </c>
      <c r="F462" s="31" t="s">
        <v>13900</v>
      </c>
      <c r="G462" s="31" t="str">
        <f t="shared" si="37"/>
        <v xml:space="preserve">	
C00002 * C06504 * C03024</v>
      </c>
      <c r="H462" s="31" t="s">
        <v>14449</v>
      </c>
      <c r="I462" s="31" t="str">
        <f t="shared" si="40"/>
        <v> C00536 * C06506 * C03161</v>
      </c>
      <c r="J462" s="31" t="str">
        <f t="shared" si="38"/>
        <v>(${Variables: E2_5_1_17_Kcat } * E2_5_1_17 * 	
C00002 * C06504 * C03024) /(${Variables:E2_5_1_17_Km} + (E2_5_1_17 * 	
C00002 * C06504 * C03024))</v>
      </c>
      <c r="K462" s="32" t="str">
        <f t="shared" si="39"/>
        <v>r461: 	
C00002 + C06504 + C03024 -&gt;  C00536 + C06506 + C03161 | (${Variables: E2_5_1_17_Kcat } * E2_5_1_17 * 	
C00002 * C06504 * C03024) /(${Variables:E2_5_1_17_Km} + (E2_5_1_17 * 	
C00002 * C06504 * C03024))</v>
      </c>
    </row>
    <row r="463" spans="1:11" ht="58" x14ac:dyDescent="0.35">
      <c r="A463" s="31" t="s">
        <v>7027</v>
      </c>
      <c r="B463" s="31" t="s">
        <v>7028</v>
      </c>
      <c r="C463" s="31" t="s">
        <v>14078</v>
      </c>
      <c r="D463" s="31">
        <v>462</v>
      </c>
      <c r="E463" s="31" t="str">
        <f t="shared" si="36"/>
        <v>E2_5_1_17</v>
      </c>
      <c r="F463" s="31" t="s">
        <v>9700</v>
      </c>
      <c r="G463" s="31" t="str">
        <f t="shared" si="37"/>
        <v xml:space="preserve">	
C00002 * C00853 </v>
      </c>
      <c r="H463" s="31" t="s">
        <v>9701</v>
      </c>
      <c r="I463" s="31" t="str">
        <f t="shared" si="40"/>
        <v>C00536 * C00194</v>
      </c>
      <c r="J463" s="31" t="str">
        <f t="shared" si="38"/>
        <v>(${Variables: E2_5_1_17_Kcat } * E2_5_1_17 * 	
C00002 * C00853 ) /(${Variables:E2_5_1_17_Km} + (E2_5_1_17 * 	
C00002 * C00853 ))</v>
      </c>
      <c r="K463" s="32" t="str">
        <f t="shared" si="39"/>
        <v>r462: 	
C00002 + C00853  -&gt; C00536 + C00194 | (${Variables: E2_5_1_17_Kcat } * E2_5_1_17 * 	
C00002 * C00853 ) /(${Variables:E2_5_1_17_Km} + (E2_5_1_17 * 	
C00002 * C00853 ))</v>
      </c>
    </row>
    <row r="464" spans="1:11" ht="58" x14ac:dyDescent="0.35">
      <c r="A464" s="31" t="s">
        <v>7027</v>
      </c>
      <c r="B464" s="31" t="s">
        <v>7028</v>
      </c>
      <c r="C464" s="31" t="s">
        <v>14078</v>
      </c>
      <c r="D464" s="31">
        <v>463</v>
      </c>
      <c r="E464" s="31" t="str">
        <f t="shared" si="36"/>
        <v>E2_5_1_17</v>
      </c>
      <c r="F464" s="31" t="s">
        <v>9703</v>
      </c>
      <c r="G464" s="31" t="str">
        <f t="shared" si="37"/>
        <v xml:space="preserve">	
C06505 * C00002 </v>
      </c>
      <c r="H464" s="31" t="s">
        <v>9704</v>
      </c>
      <c r="I464" s="31" t="str">
        <f t="shared" si="40"/>
        <v>C06506 * C00536</v>
      </c>
      <c r="J464" s="31" t="str">
        <f t="shared" si="38"/>
        <v>(${Variables: E2_5_1_17_Kcat } * E2_5_1_17 * 	
C06505 * C00002 ) /(${Variables:E2_5_1_17_Km} + (E2_5_1_17 * 	
C06505 * C00002 ))</v>
      </c>
      <c r="K464" s="32" t="str">
        <f t="shared" si="39"/>
        <v>r463: 	
C06505 + C00002  -&gt; C06506 + C00536 | (${Variables: E2_5_1_17_Kcat } * E2_5_1_17 * 	
C06505 * C00002 ) /(${Variables:E2_5_1_17_Km} + (E2_5_1_17 * 	
C06505 * C00002 ))</v>
      </c>
    </row>
    <row r="465" spans="1:11" ht="58" x14ac:dyDescent="0.35">
      <c r="A465" s="31" t="s">
        <v>7027</v>
      </c>
      <c r="B465" s="31" t="s">
        <v>7028</v>
      </c>
      <c r="C465" s="31" t="s">
        <v>14078</v>
      </c>
      <c r="D465" s="31">
        <v>464</v>
      </c>
      <c r="E465" s="31" t="str">
        <f t="shared" si="36"/>
        <v>E2_5_1_17</v>
      </c>
      <c r="F465" s="31" t="s">
        <v>9706</v>
      </c>
      <c r="G465" s="31" t="str">
        <f t="shared" si="37"/>
        <v xml:space="preserve">	
C00002 * C05774 </v>
      </c>
      <c r="H465" s="31" t="s">
        <v>9707</v>
      </c>
      <c r="I465" s="31" t="str">
        <f t="shared" si="40"/>
        <v>C00536 * C06508</v>
      </c>
      <c r="J465" s="31" t="str">
        <f t="shared" si="38"/>
        <v>(${Variables: E2_5_1_17_Kcat } * E2_5_1_17 * 	
C00002 * C05774 ) /(${Variables:E2_5_1_17_Km} + (E2_5_1_17 * 	
C00002 * C05774 ))</v>
      </c>
      <c r="K465" s="32" t="str">
        <f t="shared" si="39"/>
        <v>r464: 	
C00002 + C05774  -&gt; C00536 + C06508 | (${Variables: E2_5_1_17_Kcat } * E2_5_1_17 * 	
C00002 * C05774 ) /(${Variables:E2_5_1_17_Km} + (E2_5_1_17 * 	
C00002 * C05774 ))</v>
      </c>
    </row>
    <row r="466" spans="1:11" ht="58" x14ac:dyDescent="0.35">
      <c r="A466" s="31" t="s">
        <v>2200</v>
      </c>
      <c r="B466" s="31" t="s">
        <v>2201</v>
      </c>
      <c r="C466" s="31" t="s">
        <v>14079</v>
      </c>
      <c r="D466" s="31">
        <v>465</v>
      </c>
      <c r="E466" s="31" t="str">
        <f t="shared" si="36"/>
        <v>E2_5_1_19</v>
      </c>
      <c r="F466" s="31" t="s">
        <v>9710</v>
      </c>
      <c r="G466" s="31" t="str">
        <f t="shared" si="37"/>
        <v xml:space="preserve">	
C00074 * C03175 </v>
      </c>
      <c r="H466" s="31" t="s">
        <v>9711</v>
      </c>
      <c r="I466" s="31" t="str">
        <f t="shared" si="40"/>
        <v>C00009 * C01269</v>
      </c>
      <c r="J466" s="31" t="str">
        <f t="shared" si="38"/>
        <v>(${Variables: E2_5_1_19_Kcat } * E2_5_1_19 * 	
C00074 * C03175 ) /(${Variables:E2_5_1_19_Km} + (E2_5_1_19 * 	
C00074 * C03175 ))</v>
      </c>
      <c r="K466" s="32" t="str">
        <f t="shared" si="39"/>
        <v>r465: 	
C00074 + C03175  -&gt; C00009 + C01269 | (${Variables: E2_5_1_19_Kcat } * E2_5_1_19 * 	
C00074 * C03175 ) /(${Variables:E2_5_1_19_Km} + (E2_5_1_19 * 	
C00074 * C03175 ))</v>
      </c>
    </row>
    <row r="467" spans="1:11" ht="58" x14ac:dyDescent="0.35">
      <c r="A467" s="31" t="s">
        <v>5621</v>
      </c>
      <c r="B467" s="31" t="s">
        <v>5622</v>
      </c>
      <c r="C467" s="31" t="s">
        <v>14080</v>
      </c>
      <c r="D467" s="31">
        <v>466</v>
      </c>
      <c r="E467" s="31" t="str">
        <f t="shared" si="36"/>
        <v>E2_5_1_3</v>
      </c>
      <c r="F467" s="31" t="s">
        <v>9714</v>
      </c>
      <c r="G467" s="31" t="str">
        <f t="shared" si="37"/>
        <v xml:space="preserve">	
C04752 * C04327</v>
      </c>
      <c r="H467" s="31" t="s">
        <v>9715</v>
      </c>
      <c r="I467" s="31" t="str">
        <f t="shared" si="40"/>
        <v>C00013 * C01081</v>
      </c>
      <c r="J467" s="31" t="str">
        <f t="shared" si="38"/>
        <v>(${Variables: E2_5_1_3_Kcat } * E2_5_1_3 * 	
C04752 * C04327) /(${Variables:E2_5_1_3_Km} + (E2_5_1_3 * 	
C04752 * C04327))</v>
      </c>
      <c r="K467" s="32" t="str">
        <f>CONCATENATE("r",D467,": ",F467," -&gt; ",H467," | ",J467)</f>
        <v>r466: 	
C04752 + C04327 -&gt; C00013 + C01081 | (${Variables: E2_5_1_3_Kcat } * E2_5_1_3 * 	
C04752 * C04327) /(${Variables:E2_5_1_3_Km} + (E2_5_1_3 * 	
C04752 * C04327))</v>
      </c>
    </row>
    <row r="468" spans="1:11" ht="29" x14ac:dyDescent="0.35">
      <c r="A468" s="31" t="s">
        <v>5621</v>
      </c>
      <c r="B468" s="31" t="s">
        <v>5622</v>
      </c>
      <c r="C468" s="31" t="s">
        <v>14080</v>
      </c>
      <c r="D468" s="31">
        <v>467</v>
      </c>
      <c r="E468" s="31" t="str">
        <f t="shared" si="36"/>
        <v>E2_5_1_3</v>
      </c>
      <c r="F468" s="31" t="s">
        <v>9717</v>
      </c>
      <c r="G468" s="31" t="str">
        <f t="shared" si="37"/>
        <v xml:space="preserve">C04752 * C20247 </v>
      </c>
      <c r="H468" s="31" t="s">
        <v>9718</v>
      </c>
      <c r="I468" s="31" t="str">
        <f t="shared" si="40"/>
        <v>C01081 * C00013 * C00011</v>
      </c>
      <c r="J468" s="31" t="str">
        <f t="shared" si="38"/>
        <v>(${Variables: E2_5_1_3_Kcat } * E2_5_1_3 * C04752 * C20247 ) /(${Variables:E2_5_1_3_Km} + (E2_5_1_3 * C04752 * C20247 ))</v>
      </c>
      <c r="K468" s="32" t="str">
        <f t="shared" si="39"/>
        <v>r467: C04752 + C20247  -&gt; C01081 + C00013 + C00011 | (${Variables: E2_5_1_3_Kcat } * E2_5_1_3 * C04752 * C20247 ) /(${Variables:E2_5_1_3_Km} + (E2_5_1_3 * C04752 * C20247 ))</v>
      </c>
    </row>
    <row r="469" spans="1:11" ht="29" x14ac:dyDescent="0.35">
      <c r="A469" s="31" t="s">
        <v>5621</v>
      </c>
      <c r="B469" s="31" t="s">
        <v>5622</v>
      </c>
      <c r="C469" s="31" t="s">
        <v>14080</v>
      </c>
      <c r="D469" s="31">
        <v>468</v>
      </c>
      <c r="E469" s="31" t="str">
        <f t="shared" si="36"/>
        <v>E2_5_1_3</v>
      </c>
      <c r="F469" s="31" t="s">
        <v>9720</v>
      </c>
      <c r="G469" s="31" t="str">
        <f t="shared" si="37"/>
        <v>C04752 * C20246</v>
      </c>
      <c r="H469" s="31" t="s">
        <v>9721</v>
      </c>
      <c r="I469" s="31" t="str">
        <f t="shared" si="40"/>
        <v>C00013 * C01081 * C00011</v>
      </c>
      <c r="J469" s="31" t="str">
        <f t="shared" si="38"/>
        <v>(${Variables: E2_5_1_3_Kcat } * E2_5_1_3 * C04752 * C20246) /(${Variables:E2_5_1_3_Km} + (E2_5_1_3 * C04752 * C20246))</v>
      </c>
      <c r="K469" s="32" t="str">
        <f t="shared" si="39"/>
        <v>r468: C04752 + C20246 -&gt; C00013 + C01081 + C00011 | (${Variables: E2_5_1_3_Kcat } * E2_5_1_3 * C04752 * C20246) /(${Variables:E2_5_1_3_Km} + (E2_5_1_3 * C04752 * C20246))</v>
      </c>
    </row>
    <row r="470" spans="1:11" ht="29" x14ac:dyDescent="0.35">
      <c r="A470" s="31" t="s">
        <v>1907</v>
      </c>
      <c r="B470" s="31" t="s">
        <v>1908</v>
      </c>
      <c r="C470" s="31" t="s">
        <v>14081</v>
      </c>
      <c r="D470" s="31">
        <v>469</v>
      </c>
      <c r="E470" s="31" t="str">
        <f t="shared" si="36"/>
        <v>E2_5_1_47</v>
      </c>
      <c r="F470" s="31" t="s">
        <v>9724</v>
      </c>
      <c r="G470" s="31" t="str">
        <f t="shared" si="37"/>
        <v>C00979 * C00283</v>
      </c>
      <c r="H470" s="31" t="s">
        <v>9725</v>
      </c>
      <c r="I470" s="31" t="str">
        <f t="shared" si="40"/>
        <v> C00097 * C00033</v>
      </c>
      <c r="J470" s="31" t="str">
        <f t="shared" si="38"/>
        <v>(${Variables: E2_5_1_47_Kcat } * E2_5_1_47 * C00979 * C00283) /(${Variables:E2_5_1_47_Km} + (E2_5_1_47 * C00979 * C00283))</v>
      </c>
      <c r="K470" s="32" t="str">
        <f t="shared" si="39"/>
        <v>r469: C00979 + C00283 -&gt;  C00097 + C00033 | (${Variables: E2_5_1_47_Kcat } * E2_5_1_47 * C00979 * C00283) /(${Variables:E2_5_1_47_Km} + (E2_5_1_47 * C00979 * C00283))</v>
      </c>
    </row>
    <row r="471" spans="1:11" ht="29" x14ac:dyDescent="0.35">
      <c r="A471" s="31" t="s">
        <v>1907</v>
      </c>
      <c r="B471" s="31" t="s">
        <v>1908</v>
      </c>
      <c r="C471" s="31" t="s">
        <v>14081</v>
      </c>
      <c r="D471" s="31">
        <v>470</v>
      </c>
      <c r="E471" s="31" t="str">
        <f t="shared" si="36"/>
        <v>E2_5_1_47</v>
      </c>
      <c r="F471" s="31" t="s">
        <v>9727</v>
      </c>
      <c r="G471" s="31" t="str">
        <f t="shared" si="37"/>
        <v>C00979 * C01528 </v>
      </c>
      <c r="H471" s="31" t="s">
        <v>9728</v>
      </c>
      <c r="I471" s="31" t="str">
        <f t="shared" si="40"/>
        <v> C05688 * C00033</v>
      </c>
      <c r="J471" s="31" t="str">
        <f t="shared" si="38"/>
        <v>(${Variables: E2_5_1_47_Kcat } * E2_5_1_47 * C00979 * C01528 ) /(${Variables:E2_5_1_47_Km} + (E2_5_1_47 * C00979 * C01528 ))</v>
      </c>
      <c r="K471" s="32" t="str">
        <f t="shared" si="39"/>
        <v>r470: C00979 + C01528  -&gt;  C05688 + C00033 | (${Variables: E2_5_1_47_Kcat } * E2_5_1_47 * C00979 * C01528 ) /(${Variables:E2_5_1_47_Km} + (E2_5_1_47 * C00979 * C01528 ))</v>
      </c>
    </row>
    <row r="472" spans="1:11" ht="29" x14ac:dyDescent="0.35">
      <c r="A472" s="31" t="s">
        <v>1907</v>
      </c>
      <c r="B472" s="31" t="s">
        <v>1908</v>
      </c>
      <c r="C472" s="31" t="s">
        <v>14081</v>
      </c>
      <c r="D472" s="31">
        <v>471</v>
      </c>
      <c r="E472" s="31" t="str">
        <f t="shared" si="36"/>
        <v>E2_5_1_47</v>
      </c>
      <c r="F472" s="31" t="s">
        <v>9730</v>
      </c>
      <c r="G472" s="31" t="str">
        <f t="shared" si="37"/>
        <v>C00979 * C00320 * C00342 * C00080 </v>
      </c>
      <c r="H472" s="31" t="s">
        <v>9731</v>
      </c>
      <c r="I472" s="31" t="str">
        <f t="shared" si="40"/>
        <v> C00097 * C00094 * C00343 * C00033</v>
      </c>
      <c r="J472" s="31" t="str">
        <f t="shared" si="38"/>
        <v>(${Variables: E2_5_1_47_Kcat } * E2_5_1_47 * C00979 * C00320 * C00342 * C00080 ) /(${Variables:E2_5_1_47_Km} + (E2_5_1_47 * C00979 * C00320 * C00342 * C00080 ))</v>
      </c>
      <c r="K472" s="32" t="str">
        <f t="shared" si="39"/>
        <v>r471: C00979 + C00320 + C00342 + C00080  -&gt;  C00097 + C00094 + C00343 + C00033 | (${Variables: E2_5_1_47_Kcat } * E2_5_1_47 * C00979 * C00320 * C00342 * C00080 ) /(${Variables:E2_5_1_47_Km} + (E2_5_1_47 * C00979 * C00320 * C00342 * C00080 ))</v>
      </c>
    </row>
    <row r="473" spans="1:11" ht="29" x14ac:dyDescent="0.35">
      <c r="A473" s="31" t="s">
        <v>1907</v>
      </c>
      <c r="B473" s="31" t="s">
        <v>1908</v>
      </c>
      <c r="C473" s="31" t="s">
        <v>14081</v>
      </c>
      <c r="D473" s="31">
        <v>472</v>
      </c>
      <c r="E473" s="31" t="str">
        <f t="shared" si="36"/>
        <v>E2_5_1_47</v>
      </c>
      <c r="F473" s="31" t="s">
        <v>9733</v>
      </c>
      <c r="G473" s="31" t="str">
        <f t="shared" si="37"/>
        <v>C01005 * C00283</v>
      </c>
      <c r="H473" s="31" t="s">
        <v>9734</v>
      </c>
      <c r="I473" s="31" t="str">
        <f t="shared" si="40"/>
        <v> C00097 * C00009</v>
      </c>
      <c r="J473" s="31" t="str">
        <f t="shared" si="38"/>
        <v>(${Variables: E2_5_1_47_Kcat } * E2_5_1_47 * C01005 * C00283) /(${Variables:E2_5_1_47_Km} + (E2_5_1_47 * C01005 * C00283))</v>
      </c>
      <c r="K473" s="32" t="str">
        <f t="shared" si="39"/>
        <v>r472: C01005 + C00283 -&gt;  C00097 + C00009 | (${Variables: E2_5_1_47_Kcat } * E2_5_1_47 * C01005 * C00283) /(${Variables:E2_5_1_47_Km} + (E2_5_1_47 * C01005 * C00283))</v>
      </c>
    </row>
    <row r="474" spans="1:11" ht="29" x14ac:dyDescent="0.35">
      <c r="A474" s="31" t="s">
        <v>7035</v>
      </c>
      <c r="B474" s="31" t="s">
        <v>7036</v>
      </c>
      <c r="C474" s="31" t="s">
        <v>14081</v>
      </c>
      <c r="D474" s="31">
        <v>473</v>
      </c>
      <c r="E474" s="31" t="str">
        <f t="shared" si="36"/>
        <v>E2_5_1_47</v>
      </c>
      <c r="F474" s="31" t="s">
        <v>9724</v>
      </c>
      <c r="G474" s="31" t="str">
        <f t="shared" si="37"/>
        <v>C00979 * C00283</v>
      </c>
      <c r="H474" s="31" t="s">
        <v>9725</v>
      </c>
      <c r="I474" s="31" t="str">
        <f t="shared" si="40"/>
        <v> C00097 * C00033</v>
      </c>
      <c r="J474" s="31" t="str">
        <f t="shared" si="38"/>
        <v>(${Variables: E2_5_1_47_Kcat } * E2_5_1_47 * C00979 * C00283) /(${Variables:E2_5_1_47_Km} + (E2_5_1_47 * C00979 * C00283))</v>
      </c>
      <c r="K474" s="32" t="str">
        <f t="shared" si="39"/>
        <v>r473: C00979 + C00283 -&gt;  C00097 + C00033 | (${Variables: E2_5_1_47_Kcat } * E2_5_1_47 * C00979 * C00283) /(${Variables:E2_5_1_47_Km} + (E2_5_1_47 * C00979 * C00283))</v>
      </c>
    </row>
    <row r="475" spans="1:11" ht="29" x14ac:dyDescent="0.35">
      <c r="A475" s="31" t="s">
        <v>7035</v>
      </c>
      <c r="B475" s="31" t="s">
        <v>7036</v>
      </c>
      <c r="C475" s="31" t="s">
        <v>14081</v>
      </c>
      <c r="D475" s="31">
        <v>474</v>
      </c>
      <c r="E475" s="31" t="str">
        <f t="shared" si="36"/>
        <v>E2_5_1_47</v>
      </c>
      <c r="F475" s="31" t="s">
        <v>9727</v>
      </c>
      <c r="G475" s="31" t="str">
        <f t="shared" si="37"/>
        <v>C00979 * C01528 </v>
      </c>
      <c r="H475" s="31" t="s">
        <v>9728</v>
      </c>
      <c r="I475" s="31" t="str">
        <f t="shared" si="40"/>
        <v> C05688 * C00033</v>
      </c>
      <c r="J475" s="31" t="str">
        <f t="shared" si="38"/>
        <v>(${Variables: E2_5_1_47_Kcat } * E2_5_1_47 * C00979 * C01528 ) /(${Variables:E2_5_1_47_Km} + (E2_5_1_47 * C00979 * C01528 ))</v>
      </c>
      <c r="K475" s="32" t="str">
        <f t="shared" si="39"/>
        <v>r474: C00979 + C01528  -&gt;  C05688 + C00033 | (${Variables: E2_5_1_47_Kcat } * E2_5_1_47 * C00979 * C01528 ) /(${Variables:E2_5_1_47_Km} + (E2_5_1_47 * C00979 * C01528 ))</v>
      </c>
    </row>
    <row r="476" spans="1:11" ht="29" x14ac:dyDescent="0.35">
      <c r="A476" s="31" t="s">
        <v>7035</v>
      </c>
      <c r="B476" s="31" t="s">
        <v>7036</v>
      </c>
      <c r="C476" s="31" t="s">
        <v>14081</v>
      </c>
      <c r="D476" s="31">
        <v>475</v>
      </c>
      <c r="E476" s="31" t="str">
        <f t="shared" si="36"/>
        <v>E2_5_1_47</v>
      </c>
      <c r="F476" s="31" t="s">
        <v>9730</v>
      </c>
      <c r="G476" s="31" t="str">
        <f t="shared" si="37"/>
        <v>C00979 * C00320 * C00342 * C00080 </v>
      </c>
      <c r="H476" s="31" t="s">
        <v>9731</v>
      </c>
      <c r="I476" s="31" t="str">
        <f t="shared" si="40"/>
        <v> C00097 * C00094 * C00343 * C00033</v>
      </c>
      <c r="J476" s="31" t="str">
        <f t="shared" si="38"/>
        <v>(${Variables: E2_5_1_47_Kcat } * E2_5_1_47 * C00979 * C00320 * C00342 * C00080 ) /(${Variables:E2_5_1_47_Km} + (E2_5_1_47 * C00979 * C00320 * C00342 * C00080 ))</v>
      </c>
      <c r="K476" s="32" t="str">
        <f t="shared" si="39"/>
        <v>r475: C00979 + C00320 + C00342 + C00080  -&gt;  C00097 + C00094 + C00343 + C00033 | (${Variables: E2_5_1_47_Kcat } * E2_5_1_47 * C00979 * C00320 * C00342 * C00080 ) /(${Variables:E2_5_1_47_Km} + (E2_5_1_47 * C00979 * C00320 * C00342 * C00080 ))</v>
      </c>
    </row>
    <row r="477" spans="1:11" ht="29" x14ac:dyDescent="0.35">
      <c r="A477" s="31" t="s">
        <v>7035</v>
      </c>
      <c r="B477" s="31" t="s">
        <v>7036</v>
      </c>
      <c r="C477" s="31" t="s">
        <v>14081</v>
      </c>
      <c r="D477" s="31">
        <v>476</v>
      </c>
      <c r="E477" s="31" t="str">
        <f t="shared" si="36"/>
        <v>E2_5_1_47</v>
      </c>
      <c r="F477" s="31" t="s">
        <v>9733</v>
      </c>
      <c r="G477" s="31" t="str">
        <f t="shared" si="37"/>
        <v>C01005 * C00283</v>
      </c>
      <c r="H477" s="31" t="s">
        <v>9734</v>
      </c>
      <c r="I477" s="31" t="str">
        <f t="shared" si="40"/>
        <v> C00097 * C00009</v>
      </c>
      <c r="J477" s="31" t="str">
        <f t="shared" si="38"/>
        <v>(${Variables: E2_5_1_47_Kcat } * E2_5_1_47 * C01005 * C00283) /(${Variables:E2_5_1_47_Km} + (E2_5_1_47 * C01005 * C00283))</v>
      </c>
      <c r="K477" s="32" t="str">
        <f t="shared" si="39"/>
        <v>r476: C01005 + C00283 -&gt;  C00097 + C00009 | (${Variables: E2_5_1_47_Kcat } * E2_5_1_47 * C01005 * C00283) /(${Variables:E2_5_1_47_Km} + (E2_5_1_47 * C01005 * C00283))</v>
      </c>
    </row>
    <row r="478" spans="1:11" ht="58" x14ac:dyDescent="0.35">
      <c r="A478" s="31" t="s">
        <v>6726</v>
      </c>
      <c r="B478" s="31" t="s">
        <v>6727</v>
      </c>
      <c r="C478" s="31" t="s">
        <v>14082</v>
      </c>
      <c r="D478" s="31">
        <v>477</v>
      </c>
      <c r="E478" s="31" t="str">
        <f t="shared" si="36"/>
        <v>E2_5_1_48</v>
      </c>
      <c r="F478" s="31" t="s">
        <v>9738</v>
      </c>
      <c r="G478" s="31" t="str">
        <f t="shared" si="37"/>
        <v xml:space="preserve">	
C01118 * C00097</v>
      </c>
      <c r="H478" s="31" t="s">
        <v>9739</v>
      </c>
      <c r="I478" s="31" t="str">
        <f t="shared" si="40"/>
        <v>C02291 * C00042</v>
      </c>
      <c r="J478" s="31" t="str">
        <f t="shared" si="38"/>
        <v>(${Variables: E2_5_1_48_Kcat } * E2_5_1_48 * 	
C01118 * C00097) /(${Variables:E2_5_1_48_Km} + (E2_5_1_48 * 	
C01118 * C00097))</v>
      </c>
      <c r="K478" s="32" t="str">
        <f t="shared" si="39"/>
        <v>r477: 	
C01118 + C00097 -&gt; C02291 + C00042 | (${Variables: E2_5_1_48_Kcat } * E2_5_1_48 * 	
C01118 * C00097) /(${Variables:E2_5_1_48_Km} + (E2_5_1_48 * 	
C01118 * C00097))</v>
      </c>
    </row>
    <row r="479" spans="1:11" ht="29" x14ac:dyDescent="0.35">
      <c r="A479" s="31" t="s">
        <v>6726</v>
      </c>
      <c r="B479" s="31" t="s">
        <v>6727</v>
      </c>
      <c r="C479" s="31" t="s">
        <v>14082</v>
      </c>
      <c r="D479" s="31">
        <v>478</v>
      </c>
      <c r="E479" s="31" t="str">
        <f t="shared" si="36"/>
        <v>E2_5_1_48</v>
      </c>
      <c r="F479" s="31" t="s">
        <v>9741</v>
      </c>
      <c r="G479" s="31" t="str">
        <f t="shared" si="37"/>
        <v>C01118 * C00001</v>
      </c>
      <c r="H479" s="31" t="s">
        <v>9742</v>
      </c>
      <c r="I479" s="31" t="str">
        <f t="shared" si="40"/>
        <v>C00109 * C00042 * C00014</v>
      </c>
      <c r="J479" s="31" t="str">
        <f t="shared" si="38"/>
        <v>(${Variables: E2_5_1_48_Kcat } * E2_5_1_48 * C01118 * C00001) /(${Variables:E2_5_1_48_Km} + (E2_5_1_48 * C01118 * C00001))</v>
      </c>
      <c r="K479" s="32" t="str">
        <f t="shared" si="39"/>
        <v>r478: C01118 + C00001 -&gt; C00109 + C00042 + C00014 | (${Variables: E2_5_1_48_Kcat } * E2_5_1_48 * C01118 * C00001) /(${Variables:E2_5_1_48_Km} + (E2_5_1_48 * C01118 * C00001))</v>
      </c>
    </row>
    <row r="480" spans="1:11" ht="58" x14ac:dyDescent="0.35">
      <c r="A480" s="31" t="s">
        <v>6726</v>
      </c>
      <c r="B480" s="31" t="s">
        <v>6727</v>
      </c>
      <c r="C480" s="31" t="s">
        <v>14082</v>
      </c>
      <c r="D480" s="31">
        <v>479</v>
      </c>
      <c r="E480" s="31" t="str">
        <f t="shared" si="36"/>
        <v>E2_5_1_48</v>
      </c>
      <c r="F480" s="31" t="s">
        <v>9744</v>
      </c>
      <c r="G480" s="31" t="str">
        <f t="shared" si="37"/>
        <v xml:space="preserve">	
C01118 * C00283</v>
      </c>
      <c r="H480" s="31" t="s">
        <v>9745</v>
      </c>
      <c r="I480" s="31" t="str">
        <f t="shared" si="40"/>
        <v>C00155 * C00042</v>
      </c>
      <c r="J480" s="31" t="str">
        <f t="shared" si="38"/>
        <v>(${Variables: E2_5_1_48_Kcat } * E2_5_1_48 * 	
C01118 * C00283) /(${Variables:E2_5_1_48_Km} + (E2_5_1_48 * 	
C01118 * C00283))</v>
      </c>
      <c r="K480" s="32" t="str">
        <f t="shared" si="39"/>
        <v>r479: 	
C01118 + C00283 -&gt; C00155 + C00042 | (${Variables: E2_5_1_48_Kcat } * E2_5_1_48 * 	
C01118 * C00283) /(${Variables:E2_5_1_48_Km} + (E2_5_1_48 * 	
C01118 * C00283))</v>
      </c>
    </row>
    <row r="481" spans="1:11" ht="29" x14ac:dyDescent="0.35">
      <c r="A481" s="31" t="s">
        <v>6726</v>
      </c>
      <c r="B481" s="31" t="s">
        <v>6727</v>
      </c>
      <c r="C481" s="31" t="s">
        <v>14082</v>
      </c>
      <c r="D481" s="31">
        <v>480</v>
      </c>
      <c r="E481" s="31" t="str">
        <f t="shared" si="36"/>
        <v>E2_5_1_48</v>
      </c>
      <c r="F481" s="31" t="s">
        <v>9747</v>
      </c>
      <c r="G481" s="31" t="str">
        <f t="shared" si="37"/>
        <v>C00542 * C00042</v>
      </c>
      <c r="H481" s="31" t="s">
        <v>9737</v>
      </c>
      <c r="I481" s="31" t="str">
        <f t="shared" si="40"/>
        <v>C01118 * C00097</v>
      </c>
      <c r="J481" s="31" t="str">
        <f t="shared" si="38"/>
        <v>(${Variables: E2_5_1_48_Kcat } * E2_5_1_48 * C00542 * C00042) /(${Variables:E2_5_1_48_Km} + (E2_5_1_48 * C00542 * C00042))</v>
      </c>
      <c r="K481" s="32" t="str">
        <f t="shared" si="39"/>
        <v>r480: C00542 + C00042 -&gt; C01118 + C00097 | (${Variables: E2_5_1_48_Kcat } * E2_5_1_48 * C00542 * C00042) /(${Variables:E2_5_1_48_Km} + (E2_5_1_48 * C00542 * C00042))</v>
      </c>
    </row>
    <row r="482" spans="1:11" ht="29" x14ac:dyDescent="0.35">
      <c r="A482" s="31" t="s">
        <v>6726</v>
      </c>
      <c r="B482" s="31" t="s">
        <v>6727</v>
      </c>
      <c r="C482" s="31" t="s">
        <v>14082</v>
      </c>
      <c r="D482" s="31">
        <v>481</v>
      </c>
      <c r="E482" s="31" t="str">
        <f t="shared" si="36"/>
        <v>E2_5_1_48</v>
      </c>
      <c r="F482" s="31" t="s">
        <v>9749</v>
      </c>
      <c r="G482" s="31" t="str">
        <f t="shared" si="37"/>
        <v>C01077 * C00097 </v>
      </c>
      <c r="H482" s="31" t="s">
        <v>9750</v>
      </c>
      <c r="I482" s="31" t="str">
        <f t="shared" si="40"/>
        <v>C02291 * C00033</v>
      </c>
      <c r="J482" s="31" t="str">
        <f t="shared" si="38"/>
        <v>(${Variables: E2_5_1_48_Kcat } * E2_5_1_48 * C01077 * C00097 ) /(${Variables:E2_5_1_48_Km} + (E2_5_1_48 * C01077 * C00097 ))</v>
      </c>
      <c r="K482" s="32" t="str">
        <f t="shared" si="39"/>
        <v>r481: C01077 + C00097  -&gt; C02291 + C00033 | (${Variables: E2_5_1_48_Kcat } * E2_5_1_48 * C01077 * C00097 ) /(${Variables:E2_5_1_48_Km} + (E2_5_1_48 * C01077 * C00097 ))</v>
      </c>
    </row>
    <row r="483" spans="1:11" ht="58" x14ac:dyDescent="0.35">
      <c r="A483" s="31" t="s">
        <v>6726</v>
      </c>
      <c r="B483" s="31" t="s">
        <v>6727</v>
      </c>
      <c r="C483" s="31" t="s">
        <v>14082</v>
      </c>
      <c r="D483" s="31">
        <v>482</v>
      </c>
      <c r="E483" s="31" t="str">
        <f t="shared" si="36"/>
        <v>E2_5_1_48</v>
      </c>
      <c r="F483" s="31" t="s">
        <v>9752</v>
      </c>
      <c r="G483" s="31" t="str">
        <f t="shared" si="37"/>
        <v xml:space="preserve">	
C05702 * C05688 </v>
      </c>
      <c r="H483" s="31" t="s">
        <v>9753</v>
      </c>
      <c r="I483" s="31" t="str">
        <f t="shared" si="40"/>
        <v> C05699 * C00009</v>
      </c>
      <c r="J483" s="31" t="str">
        <f t="shared" si="38"/>
        <v>(${Variables: E2_5_1_48_Kcat } * E2_5_1_48 * 	
C05702 * C05688 ) /(${Variables:E2_5_1_48_Km} + (E2_5_1_48 * 	
C05702 * C05688 ))</v>
      </c>
      <c r="K483" s="32" t="str">
        <f t="shared" si="39"/>
        <v>r482: 	
C05702 + C05688  -&gt;  C05699 + C00009 | (${Variables: E2_5_1_48_Kcat } * E2_5_1_48 * 	
C05702 * C05688 ) /(${Variables:E2_5_1_48_Km} + (E2_5_1_48 * 	
C05702 * C05688 ))</v>
      </c>
    </row>
    <row r="484" spans="1:11" ht="29" x14ac:dyDescent="0.35">
      <c r="A484" s="31" t="s">
        <v>6726</v>
      </c>
      <c r="B484" s="31" t="s">
        <v>6727</v>
      </c>
      <c r="C484" s="31" t="s">
        <v>14082</v>
      </c>
      <c r="D484" s="31">
        <v>483</v>
      </c>
      <c r="E484" s="31" t="str">
        <f t="shared" si="36"/>
        <v>E2_5_1_48</v>
      </c>
      <c r="F484" s="31" t="s">
        <v>9755</v>
      </c>
      <c r="G484" s="31" t="str">
        <f t="shared" si="37"/>
        <v>C01077 * C05688 </v>
      </c>
      <c r="H484" s="31" t="s">
        <v>9756</v>
      </c>
      <c r="I484" s="31" t="str">
        <f t="shared" si="40"/>
        <v>C05699 * C00033</v>
      </c>
      <c r="J484" s="31" t="str">
        <f t="shared" si="38"/>
        <v>(${Variables: E2_5_1_48_Kcat } * E2_5_1_48 * C01077 * C05688 ) /(${Variables:E2_5_1_48_Km} + (E2_5_1_48 * C01077 * C05688 ))</v>
      </c>
      <c r="K484" s="32" t="str">
        <f t="shared" si="39"/>
        <v>r483: C01077 + C05688  -&gt; C05699 + C00033 | (${Variables: E2_5_1_48_Kcat } * E2_5_1_48 * C01077 * C05688 ) /(${Variables:E2_5_1_48_Km} + (E2_5_1_48 * C01077 * C05688 ))</v>
      </c>
    </row>
    <row r="485" spans="1:11" ht="58" x14ac:dyDescent="0.35">
      <c r="A485" s="31" t="s">
        <v>6726</v>
      </c>
      <c r="B485" s="31" t="s">
        <v>6727</v>
      </c>
      <c r="C485" s="31" t="s">
        <v>14082</v>
      </c>
      <c r="D485" s="31">
        <v>484</v>
      </c>
      <c r="E485" s="31" t="str">
        <f t="shared" si="36"/>
        <v>E2_5_1_48</v>
      </c>
      <c r="F485" s="31" t="s">
        <v>9758</v>
      </c>
      <c r="G485" s="31" t="str">
        <f t="shared" si="37"/>
        <v xml:space="preserve">	
C01118 * C05688</v>
      </c>
      <c r="H485" s="31" t="s">
        <v>9759</v>
      </c>
      <c r="I485" s="31" t="str">
        <f t="shared" si="40"/>
        <v>C05699 * C00042</v>
      </c>
      <c r="J485" s="31" t="str">
        <f t="shared" si="38"/>
        <v>(${Variables: E2_5_1_48_Kcat } * E2_5_1_48 * 	
C01118 * C05688) /(${Variables:E2_5_1_48_Km} + (E2_5_1_48 * 	
C01118 * C05688))</v>
      </c>
      <c r="K485" s="32" t="str">
        <f t="shared" si="39"/>
        <v>r484: 	
C01118 + C05688 -&gt; C05699 + C00042 | (${Variables: E2_5_1_48_Kcat } * E2_5_1_48 * 	
C01118 * C05688) /(${Variables:E2_5_1_48_Km} + (E2_5_1_48 * 	
C01118 * C05688))</v>
      </c>
    </row>
    <row r="486" spans="1:11" ht="29" x14ac:dyDescent="0.35">
      <c r="A486" s="31" t="s">
        <v>2850</v>
      </c>
      <c r="B486" s="31" t="s">
        <v>2851</v>
      </c>
      <c r="C486" s="31" t="s">
        <v>14083</v>
      </c>
      <c r="D486" s="31">
        <v>485</v>
      </c>
      <c r="E486" s="31" t="str">
        <f t="shared" si="36"/>
        <v>E2_5_1_54</v>
      </c>
      <c r="F486" s="31" t="s">
        <v>9762</v>
      </c>
      <c r="G486" s="31" t="str">
        <f t="shared" si="37"/>
        <v>C00074 * C00279 * C00001 </v>
      </c>
      <c r="H486" s="31" t="s">
        <v>9763</v>
      </c>
      <c r="I486" s="31" t="str">
        <f t="shared" si="40"/>
        <v>C04691 * C00009</v>
      </c>
      <c r="J486" s="31" t="str">
        <f t="shared" si="38"/>
        <v>(${Variables: E2_5_1_54_Kcat } * E2_5_1_54 * C00074 * C00279 * C00001 ) /(${Variables:E2_5_1_54_Km} + (E2_5_1_54 * C00074 * C00279 * C00001 ))</v>
      </c>
      <c r="K486" s="32" t="str">
        <f t="shared" si="39"/>
        <v>r485: C00074 + C00279 + C00001  -&gt; C04691 + C00009 | (${Variables: E2_5_1_54_Kcat } * E2_5_1_54 * C00074 * C00279 * C00001 ) /(${Variables:E2_5_1_54_Km} + (E2_5_1_54 * C00074 * C00279 * C00001 ))</v>
      </c>
    </row>
    <row r="487" spans="1:11" ht="29" x14ac:dyDescent="0.35">
      <c r="A487" s="31" t="s">
        <v>6013</v>
      </c>
      <c r="B487" s="31" t="s">
        <v>6014</v>
      </c>
      <c r="C487" s="31" t="s">
        <v>14083</v>
      </c>
      <c r="D487" s="31">
        <v>486</v>
      </c>
      <c r="E487" s="31" t="str">
        <f t="shared" si="36"/>
        <v>E2_5_1_54</v>
      </c>
      <c r="F487" s="31" t="s">
        <v>9762</v>
      </c>
      <c r="G487" s="31" t="str">
        <f t="shared" si="37"/>
        <v>C00074 * C00279 * C00001 </v>
      </c>
      <c r="H487" s="31" t="s">
        <v>9763</v>
      </c>
      <c r="I487" s="31" t="str">
        <f t="shared" si="40"/>
        <v>C04691 * C00009</v>
      </c>
      <c r="J487" s="31" t="str">
        <f t="shared" si="38"/>
        <v>(${Variables: E2_5_1_54_Kcat } * E2_5_1_54 * C00074 * C00279 * C00001 ) /(${Variables:E2_5_1_54_Km} + (E2_5_1_54 * C00074 * C00279 * C00001 ))</v>
      </c>
      <c r="K487" s="32" t="str">
        <f t="shared" si="39"/>
        <v>r486: C00074 + C00279 + C00001  -&gt; C04691 + C00009 | (${Variables: E2_5_1_54_Kcat } * E2_5_1_54 * C00074 * C00279 * C00001 ) /(${Variables:E2_5_1_54_Km} + (E2_5_1_54 * C00074 * C00279 * C00001 ))</v>
      </c>
    </row>
    <row r="488" spans="1:11" ht="58" x14ac:dyDescent="0.35">
      <c r="A488" s="31" t="s">
        <v>4532</v>
      </c>
      <c r="B488" s="31" t="s">
        <v>4533</v>
      </c>
      <c r="C488" s="31" t="s">
        <v>14084</v>
      </c>
      <c r="D488" s="31">
        <v>487</v>
      </c>
      <c r="E488" s="31" t="str">
        <f t="shared" si="36"/>
        <v>E2_5_1_6</v>
      </c>
      <c r="F488" s="31" t="s">
        <v>9766</v>
      </c>
      <c r="G488" s="31" t="str">
        <f t="shared" si="37"/>
        <v xml:space="preserve">	
C00009 * C00013 * C00019</v>
      </c>
      <c r="H488" s="31" t="s">
        <v>9767</v>
      </c>
      <c r="I488" s="31" t="str">
        <f t="shared" si="40"/>
        <v>C00002 * C00073 * C00001</v>
      </c>
      <c r="J488" s="31" t="str">
        <f t="shared" si="38"/>
        <v>(${Variables: E2_5_1_6_Kcat } * E2_5_1_6 * 	
C00009 * C00013 * C00019) /(${Variables:E2_5_1_6_Km} + (E2_5_1_6 * 	
C00009 * C00013 * C00019))</v>
      </c>
      <c r="K488" s="32" t="str">
        <f t="shared" si="39"/>
        <v>r487: 	
C00009 + C00013 + C00019 -&gt; C00002 + C00073 + C00001 | (${Variables: E2_5_1_6_Kcat } * E2_5_1_6 * 	
C00009 * C00013 * C00019) /(${Variables:E2_5_1_6_Km} + (E2_5_1_6 * 	
C00009 * C00013 * C00019))</v>
      </c>
    </row>
    <row r="489" spans="1:11" ht="58" x14ac:dyDescent="0.35">
      <c r="A489" s="31" t="s">
        <v>4532</v>
      </c>
      <c r="B489" s="31" t="s">
        <v>4533</v>
      </c>
      <c r="C489" s="31" t="s">
        <v>14084</v>
      </c>
      <c r="D489" s="31">
        <v>488</v>
      </c>
      <c r="E489" s="31" t="str">
        <f t="shared" si="36"/>
        <v>E2_5_1_6</v>
      </c>
      <c r="F489" s="31" t="s">
        <v>9769</v>
      </c>
      <c r="G489" s="31" t="str">
        <f t="shared" si="37"/>
        <v xml:space="preserve">	
C00002 * C05335 * C00001 </v>
      </c>
      <c r="H489" s="31" t="s">
        <v>9770</v>
      </c>
      <c r="I489" s="31" t="str">
        <f t="shared" si="40"/>
        <v>C00009 * C00013 * C05691</v>
      </c>
      <c r="J489" s="31" t="str">
        <f t="shared" si="38"/>
        <v>(${Variables: E2_5_1_6_Kcat } * E2_5_1_6 * 	
C00002 * C05335 * C00001 ) /(${Variables:E2_5_1_6_Km} + (E2_5_1_6 * 	
C00002 * C05335 * C00001 ))</v>
      </c>
      <c r="K489" s="32" t="str">
        <f t="shared" si="39"/>
        <v>r488: 	
C00002 + C05335 + C00001  -&gt; C00009 + C00013 + C05691 | (${Variables: E2_5_1_6_Kcat } * E2_5_1_6 * 	
C00002 * C05335 * C00001 ) /(${Variables:E2_5_1_6_Km} + (E2_5_1_6 * 	
C00002 * C05335 * C00001 ))</v>
      </c>
    </row>
    <row r="490" spans="1:11" ht="29" x14ac:dyDescent="0.35">
      <c r="A490" s="31" t="s">
        <v>1224</v>
      </c>
      <c r="B490" s="31" t="s">
        <v>1225</v>
      </c>
      <c r="C490" s="31" t="s">
        <v>14085</v>
      </c>
      <c r="D490" s="31">
        <v>489</v>
      </c>
      <c r="E490" s="31" t="str">
        <f t="shared" si="36"/>
        <v>E2_5_1_61</v>
      </c>
      <c r="F490" s="31" t="s">
        <v>13901</v>
      </c>
      <c r="G490" s="31" t="str">
        <f t="shared" si="37"/>
        <v>C00931 * C00001</v>
      </c>
      <c r="H490" s="31" t="s">
        <v>14499</v>
      </c>
      <c r="I490" s="31" t="str">
        <f t="shared" si="40"/>
        <v> C01024 *  C00014</v>
      </c>
      <c r="J490" s="31" t="str">
        <f t="shared" si="38"/>
        <v>(${Variables: E2_5_1_61_Kcat } * E2_5_1_61 * C00931 * C00001) /(${Variables:E2_5_1_61_Km} + (E2_5_1_61 * C00931 * C00001))</v>
      </c>
      <c r="K490" s="32" t="str">
        <f t="shared" si="39"/>
        <v>r489: C00931 + C00001 -&gt;  C01024 +  C00014 | (${Variables: E2_5_1_61_Kcat } * E2_5_1_61 * C00931 * C00001) /(${Variables:E2_5_1_61_Km} + (E2_5_1_61 * C00931 * C00001))</v>
      </c>
    </row>
    <row r="491" spans="1:11" ht="58" x14ac:dyDescent="0.35">
      <c r="A491" s="31" t="s">
        <v>1053</v>
      </c>
      <c r="B491" s="31" t="s">
        <v>1054</v>
      </c>
      <c r="C491" s="31" t="s">
        <v>14086</v>
      </c>
      <c r="D491" s="31">
        <v>490</v>
      </c>
      <c r="E491" s="31" t="str">
        <f t="shared" si="36"/>
        <v>E2_5_1_7</v>
      </c>
      <c r="F491" s="31" t="s">
        <v>9777</v>
      </c>
      <c r="G491" s="31" t="str">
        <f t="shared" si="37"/>
        <v xml:space="preserve">	
C00074 * C00043</v>
      </c>
      <c r="H491" s="31" t="s">
        <v>9778</v>
      </c>
      <c r="I491" s="31" t="str">
        <f t="shared" si="40"/>
        <v>C04631 * C00009</v>
      </c>
      <c r="J491" s="31" t="str">
        <f t="shared" si="38"/>
        <v>(${Variables: E2_5_1_7_Kcat } * E2_5_1_7 * 	
C00074 * C00043) /(${Variables:E2_5_1_7_Km} + (E2_5_1_7 * 	
C00074 * C00043))</v>
      </c>
      <c r="K491" s="32" t="str">
        <f t="shared" si="39"/>
        <v>r490: 	
C00074 + C00043 -&gt; C04631 + C00009 | (${Variables: E2_5_1_7_Kcat } * E2_5_1_7 * 	
C00074 * C00043) /(${Variables:E2_5_1_7_Km} + (E2_5_1_7 * 	
C00074 * C00043))</v>
      </c>
    </row>
    <row r="492" spans="1:11" ht="29" x14ac:dyDescent="0.35">
      <c r="A492" s="31" t="s">
        <v>7024</v>
      </c>
      <c r="B492" s="31" t="s">
        <v>7025</v>
      </c>
      <c r="C492" s="31" t="s">
        <v>14086</v>
      </c>
      <c r="D492" s="31">
        <v>491</v>
      </c>
      <c r="E492" s="31" t="str">
        <f t="shared" si="36"/>
        <v>E2_5_1_7</v>
      </c>
      <c r="F492" s="31" t="s">
        <v>9776</v>
      </c>
      <c r="G492" s="31" t="str">
        <f t="shared" si="37"/>
        <v>C00074 * C00043</v>
      </c>
      <c r="H492" s="31" t="s">
        <v>9778</v>
      </c>
      <c r="I492" s="31" t="str">
        <f t="shared" si="40"/>
        <v>C04631 * C00009</v>
      </c>
      <c r="J492" s="31" t="str">
        <f t="shared" si="38"/>
        <v>(${Variables: E2_5_1_7_Kcat } * E2_5_1_7 * C00074 * C00043) /(${Variables:E2_5_1_7_Km} + (E2_5_1_7 * C00074 * C00043))</v>
      </c>
      <c r="K492" s="32" t="str">
        <f t="shared" si="39"/>
        <v>r491: C00074 + C00043 -&gt; C04631 + C00009 | (${Variables: E2_5_1_7_Kcat } * E2_5_1_7 * C00074 * C00043) /(${Variables:E2_5_1_7_Km} + (E2_5_1_7 * C00074 * C00043))</v>
      </c>
    </row>
    <row r="493" spans="1:11" ht="29" x14ac:dyDescent="0.35">
      <c r="A493" s="31" t="s">
        <v>3050</v>
      </c>
      <c r="B493" s="31" t="s">
        <v>3051</v>
      </c>
      <c r="C493" s="31" t="s">
        <v>14087</v>
      </c>
      <c r="D493" s="31">
        <v>492</v>
      </c>
      <c r="E493" s="31" t="str">
        <f t="shared" si="36"/>
        <v>E2_5_1_72</v>
      </c>
      <c r="F493" s="31" t="s">
        <v>14394</v>
      </c>
      <c r="G493" s="31" t="str">
        <f t="shared" si="37"/>
        <v>C03722 *  C00001 * C00009 </v>
      </c>
      <c r="H493" s="31" t="s">
        <v>9781</v>
      </c>
      <c r="I493" s="31" t="str">
        <f t="shared" si="40"/>
        <v>C05840 * C00111</v>
      </c>
      <c r="J493" s="31" t="str">
        <f t="shared" si="38"/>
        <v>(${Variables: E2_5_1_72_Kcat } * E2_5_1_72 * C03722 *  C00001 * C00009 ) /(${Variables:E2_5_1_72_Km} + (E2_5_1_72 * C03722 *  C00001 * C00009 ))</v>
      </c>
      <c r="K493" s="32" t="str">
        <f t="shared" si="39"/>
        <v>r492: C03722 +  C00001 + C00009  -&gt; C05840 + C00111 | (${Variables: E2_5_1_72_Kcat } * E2_5_1_72 * C03722 *  C00001 * C00009 ) /(${Variables:E2_5_1_72_Km} + (E2_5_1_72 * C03722 *  C00001 * C00009 ))</v>
      </c>
    </row>
    <row r="494" spans="1:11" ht="58" x14ac:dyDescent="0.35">
      <c r="A494" s="31" t="s">
        <v>1307</v>
      </c>
      <c r="B494" s="31" t="s">
        <v>1308</v>
      </c>
      <c r="C494" s="31" t="s">
        <v>14088</v>
      </c>
      <c r="D494" s="31">
        <v>493</v>
      </c>
      <c r="E494" s="31" t="str">
        <f t="shared" si="36"/>
        <v>E2_5_1_74</v>
      </c>
      <c r="F494" s="31" t="s">
        <v>9784</v>
      </c>
      <c r="G494" s="31" t="str">
        <f t="shared" si="37"/>
        <v xml:space="preserve">	
C05847 * C03657 </v>
      </c>
      <c r="H494" s="31" t="s">
        <v>9785</v>
      </c>
      <c r="I494" s="31" t="str">
        <f t="shared" si="40"/>
        <v>C19847 * C00013 * C00011</v>
      </c>
      <c r="J494" s="31" t="str">
        <f t="shared" si="38"/>
        <v>(${Variables: E2_5_1_74_Kcat } * E2_5_1_74 * 	
C05847 * C03657 ) /(${Variables:E2_5_1_74_Km} + (E2_5_1_74 * 	
C05847 * C03657 ))</v>
      </c>
      <c r="K494" s="31" t="str">
        <f t="shared" si="39"/>
        <v>r493: 	
C05847 + C03657  -&gt; C19847 + C00013 + C00011 | (${Variables: E2_5_1_74_Kcat } * E2_5_1_74 * 	
C05847 * C03657 ) /(${Variables:E2_5_1_74_Km} + (E2_5_1_74 * 	
C05847 * C03657 ))</v>
      </c>
    </row>
    <row r="495" spans="1:11" ht="58" x14ac:dyDescent="0.35">
      <c r="A495" s="31" t="s">
        <v>5348</v>
      </c>
      <c r="B495" s="31" t="s">
        <v>5349</v>
      </c>
      <c r="C495" s="31" t="s">
        <v>14089</v>
      </c>
      <c r="D495" s="31">
        <v>494</v>
      </c>
      <c r="E495" s="31" t="str">
        <f t="shared" si="36"/>
        <v>E2_5_1_75</v>
      </c>
      <c r="F495" s="31" t="s">
        <v>9788</v>
      </c>
      <c r="G495" s="31" t="str">
        <f t="shared" si="37"/>
        <v xml:space="preserve">	
C00235 * C17324 </v>
      </c>
      <c r="H495" s="31" t="s">
        <v>9789</v>
      </c>
      <c r="I495" s="31" t="str">
        <f t="shared" si="40"/>
        <v>C00013 * C04432</v>
      </c>
      <c r="J495" s="31" t="str">
        <f t="shared" si="38"/>
        <v>(${Variables: E2_5_1_75_Kcat } * E2_5_1_75 * 	
C00235 * C17324 ) /(${Variables:E2_5_1_75_Km} + (E2_5_1_75 * 	
C00235 * C17324 ))</v>
      </c>
      <c r="K495" s="32" t="str">
        <f t="shared" si="39"/>
        <v>r494: 	
C00235 + C17324  -&gt; C00013 + C04432 | (${Variables: E2_5_1_75_Kcat } * E2_5_1_75 * 	
C00235 * C17324 ) /(${Variables:E2_5_1_75_Km} + (E2_5_1_75 * 	
C00235 * C17324 ))</v>
      </c>
    </row>
    <row r="496" spans="1:11" ht="29" x14ac:dyDescent="0.35">
      <c r="A496" s="31" t="s">
        <v>4500</v>
      </c>
      <c r="B496" s="31" t="s">
        <v>4501</v>
      </c>
      <c r="C496" s="31" t="s">
        <v>14090</v>
      </c>
      <c r="D496" s="31">
        <v>495</v>
      </c>
      <c r="E496" s="31" t="str">
        <f t="shared" si="36"/>
        <v>E2_5_1_78</v>
      </c>
      <c r="F496" s="31" t="s">
        <v>9792</v>
      </c>
      <c r="G496" s="31" t="str">
        <f t="shared" si="37"/>
        <v>C04732 * C15556</v>
      </c>
      <c r="H496" s="31" t="s">
        <v>14450</v>
      </c>
      <c r="I496" s="31" t="str">
        <f t="shared" si="40"/>
        <v>C04332 * C00001 * C00009</v>
      </c>
      <c r="J496" s="31" t="str">
        <f t="shared" si="38"/>
        <v>(${Variables: E2_5_1_78_Kcat } * E2_5_1_78 * C04732 * C15556) /(${Variables:E2_5_1_78_Km} + (E2_5_1_78 * C04732 * C15556))</v>
      </c>
      <c r="K496" s="32" t="str">
        <f t="shared" si="39"/>
        <v>r495: C04732 + C15556 -&gt; C04332 + C00001 + C00009 | (${Variables: E2_5_1_78_Kcat } * E2_5_1_78 * C04732 * C15556) /(${Variables:E2_5_1_78_Km} + (E2_5_1_78 * C04732 * C15556))</v>
      </c>
    </row>
    <row r="497" spans="1:11" ht="58" x14ac:dyDescent="0.35">
      <c r="A497" s="31" t="s">
        <v>4506</v>
      </c>
      <c r="B497" s="31" t="s">
        <v>4507</v>
      </c>
      <c r="C497" s="31" t="s">
        <v>14091</v>
      </c>
      <c r="D497" s="31">
        <v>496</v>
      </c>
      <c r="E497" s="31" t="str">
        <f t="shared" si="36"/>
        <v>E2_5_1_9</v>
      </c>
      <c r="F497" s="31" t="s">
        <v>14395</v>
      </c>
      <c r="G497" s="31" t="str">
        <f t="shared" si="37"/>
        <v xml:space="preserve">	
 C04332</v>
      </c>
      <c r="H497" s="31" t="s">
        <v>9796</v>
      </c>
      <c r="I497" s="31" t="str">
        <f t="shared" si="40"/>
        <v>C00255 * C04732</v>
      </c>
      <c r="J497" s="31" t="str">
        <f t="shared" si="38"/>
        <v>(${Variables: E2_5_1_9_Kcat } * E2_5_1_9 * 	
 C04332) /(${Variables:E2_5_1_9_Km} + (E2_5_1_9 * 	
 C04332))</v>
      </c>
      <c r="K497" s="32" t="str">
        <f t="shared" si="39"/>
        <v>r496: 	
 C04332 -&gt; C00255 + C04732 | (${Variables: E2_5_1_9_Kcat } * E2_5_1_9 * 	
 C04332) /(${Variables:E2_5_1_9_Km} + (E2_5_1_9 * 	
 C04332))</v>
      </c>
    </row>
    <row r="498" spans="1:11" ht="29" x14ac:dyDescent="0.35">
      <c r="A498" s="31" t="s">
        <v>3942</v>
      </c>
      <c r="B498" s="31" t="s">
        <v>3943</v>
      </c>
      <c r="C498" s="31" t="s">
        <v>14092</v>
      </c>
      <c r="D498" s="31">
        <v>497</v>
      </c>
      <c r="E498" s="31" t="str">
        <f t="shared" si="36"/>
        <v>E2_6_1_11</v>
      </c>
      <c r="F498" s="31" t="s">
        <v>9799</v>
      </c>
      <c r="G498" s="31" t="str">
        <f t="shared" si="37"/>
        <v xml:space="preserve">C00437 * C00026 </v>
      </c>
      <c r="H498" s="31" t="s">
        <v>9800</v>
      </c>
      <c r="I498" s="31" t="str">
        <f t="shared" si="40"/>
        <v>C01250 * C00025</v>
      </c>
      <c r="J498" s="31" t="str">
        <f t="shared" si="38"/>
        <v>(${Variables: E2_6_1_11_Kcat } * E2_6_1_11 * C00437 * C00026 ) /(${Variables:E2_6_1_11_Km} + (E2_6_1_11 * C00437 * C00026 ))</v>
      </c>
      <c r="K498" s="32" t="str">
        <f t="shared" si="39"/>
        <v>r497: C00437 + C00026  -&gt; C01250 + C00025 | (${Variables: E2_6_1_11_Kcat } * E2_6_1_11 * C00437 * C00026 ) /(${Variables:E2_6_1_11_Km} + (E2_6_1_11 * C00437 * C00026 ))</v>
      </c>
    </row>
    <row r="499" spans="1:11" ht="58" x14ac:dyDescent="0.35">
      <c r="A499" s="31" t="s">
        <v>6260</v>
      </c>
      <c r="B499" s="31" t="s">
        <v>6261</v>
      </c>
      <c r="C499" s="31" t="s">
        <v>14093</v>
      </c>
      <c r="D499" s="31">
        <v>498</v>
      </c>
      <c r="E499" s="31" t="str">
        <f t="shared" si="36"/>
        <v>E2_6_1_16</v>
      </c>
      <c r="F499" s="31" t="s">
        <v>9803</v>
      </c>
      <c r="G499" s="31" t="str">
        <f t="shared" si="37"/>
        <v xml:space="preserve">	
C00064 * C00085 </v>
      </c>
      <c r="H499" s="31" t="s">
        <v>9804</v>
      </c>
      <c r="I499" s="31" t="str">
        <f t="shared" si="40"/>
        <v>C00025 * C00352</v>
      </c>
      <c r="J499" s="31" t="str">
        <f t="shared" si="38"/>
        <v>(${Variables: E2_6_1_16_Kcat } * E2_6_1_16 * 	
C00064 * C00085 ) /(${Variables:E2_6_1_16_Km} + (E2_6_1_16 * 	
C00064 * C00085 ))</v>
      </c>
      <c r="K499" s="32" t="str">
        <f t="shared" si="39"/>
        <v>r498: 	
C00064 + C00085  -&gt; C00025 + C00352 | (${Variables: E2_6_1_16_Kcat } * E2_6_1_16 * 	
C00064 * C00085 ) /(${Variables:E2_6_1_16_Km} + (E2_6_1_16 * 	
C00064 * C00085 ))</v>
      </c>
    </row>
    <row r="500" spans="1:11" ht="58" x14ac:dyDescent="0.35">
      <c r="A500" s="31" t="s">
        <v>3146</v>
      </c>
      <c r="B500" s="31" t="s">
        <v>3147</v>
      </c>
      <c r="C500" s="31" t="s">
        <v>14094</v>
      </c>
      <c r="D500" s="31">
        <v>499</v>
      </c>
      <c r="E500" s="31" t="str">
        <f t="shared" si="36"/>
        <v>E2_6_1_17</v>
      </c>
      <c r="F500" s="31" t="s">
        <v>9807</v>
      </c>
      <c r="G500" s="31" t="str">
        <f t="shared" si="37"/>
        <v xml:space="preserve">	
C04421 * C00026 </v>
      </c>
      <c r="H500" s="31" t="s">
        <v>9808</v>
      </c>
      <c r="I500" s="31" t="str">
        <f t="shared" si="40"/>
        <v> C04462 * C00025</v>
      </c>
      <c r="J500" s="31" t="str">
        <f t="shared" si="38"/>
        <v>(${Variables: E2_6_1_17_Kcat } * E2_6_1_17 * 	
C04421 * C00026 ) /(${Variables:E2_6_1_17_Km} + (E2_6_1_17 * 	
C04421 * C00026 ))</v>
      </c>
      <c r="K500" s="31" t="str">
        <f t="shared" si="39"/>
        <v>r499: 	
C04421 + C00026  -&gt;  C04462 + C00025 | (${Variables: E2_6_1_17_Kcat } * E2_6_1_17 * 	
C04421 * C00026 ) /(${Variables:E2_6_1_17_Km} + (E2_6_1_17 * 	
C04421 * C00026 ))</v>
      </c>
    </row>
    <row r="501" spans="1:11" ht="29" x14ac:dyDescent="0.35">
      <c r="A501" s="31" t="s">
        <v>1407</v>
      </c>
      <c r="B501" s="31" t="s">
        <v>1408</v>
      </c>
      <c r="C501" s="31" t="s">
        <v>14095</v>
      </c>
      <c r="D501" s="31">
        <v>500</v>
      </c>
      <c r="E501" s="31" t="str">
        <f t="shared" si="36"/>
        <v>E2_6_1_19</v>
      </c>
      <c r="F501" s="31" t="s">
        <v>9811</v>
      </c>
      <c r="G501" s="31" t="str">
        <f t="shared" si="37"/>
        <v xml:space="preserve">C00334 * C00026 </v>
      </c>
      <c r="H501" s="31" t="s">
        <v>9812</v>
      </c>
      <c r="I501" s="31" t="str">
        <f t="shared" si="40"/>
        <v>C00232 * C00025</v>
      </c>
      <c r="J501" s="31" t="str">
        <f t="shared" si="38"/>
        <v>(${Variables: E2_6_1_19_Kcat } * E2_6_1_19 * C00334 * C00026 ) /(${Variables:E2_6_1_19_Km} + (E2_6_1_19 * C00334 * C00026 ))</v>
      </c>
      <c r="K501" s="32" t="str">
        <f t="shared" si="39"/>
        <v>r500: C00334 + C00026  -&gt; C00232 + C00025 | (${Variables: E2_6_1_19_Kcat } * E2_6_1_19 * C00334 * C00026 ) /(${Variables:E2_6_1_19_Km} + (E2_6_1_19 * C00334 * C00026 ))</v>
      </c>
    </row>
    <row r="502" spans="1:11" ht="29" x14ac:dyDescent="0.35">
      <c r="A502" s="31" t="s">
        <v>1407</v>
      </c>
      <c r="B502" s="31" t="s">
        <v>1408</v>
      </c>
      <c r="C502" s="31" t="s">
        <v>14095</v>
      </c>
      <c r="D502" s="31">
        <v>501</v>
      </c>
      <c r="E502" s="31" t="str">
        <f t="shared" si="36"/>
        <v>E2_6_1_19</v>
      </c>
      <c r="F502" s="31" t="s">
        <v>9814</v>
      </c>
      <c r="G502" s="31" t="str">
        <f t="shared" si="37"/>
        <v>C00099 * C00026</v>
      </c>
      <c r="H502" s="31" t="s">
        <v>9815</v>
      </c>
      <c r="I502" s="31" t="str">
        <f t="shared" si="40"/>
        <v> C00222 * C00025</v>
      </c>
      <c r="J502" s="31" t="str">
        <f t="shared" si="38"/>
        <v>(${Variables: E2_6_1_19_Kcat } * E2_6_1_19 * C00099 * C00026) /(${Variables:E2_6_1_19_Km} + (E2_6_1_19 * C00099 * C00026))</v>
      </c>
      <c r="K502" s="32" t="str">
        <f t="shared" si="39"/>
        <v>r501: C00099 + C00026 -&gt;  C00222 + C00025 | (${Variables: E2_6_1_19_Kcat } * E2_6_1_19 * C00099 * C00026) /(${Variables:E2_6_1_19_Km} + (E2_6_1_19 * C00099 * C00026))</v>
      </c>
    </row>
    <row r="503" spans="1:11" ht="29" x14ac:dyDescent="0.35">
      <c r="A503" s="31" t="s">
        <v>6085</v>
      </c>
      <c r="B503" s="31" t="s">
        <v>6086</v>
      </c>
      <c r="C503" s="31" t="s">
        <v>14096</v>
      </c>
      <c r="D503" s="31">
        <v>502</v>
      </c>
      <c r="E503" s="31" t="str">
        <f t="shared" si="36"/>
        <v>E2_6_1_42</v>
      </c>
      <c r="F503" s="31" t="s">
        <v>9818</v>
      </c>
      <c r="G503" s="31" t="str">
        <f t="shared" si="37"/>
        <v>C00123 * C00026</v>
      </c>
      <c r="H503" s="31" t="s">
        <v>9819</v>
      </c>
      <c r="I503" s="31" t="str">
        <f t="shared" si="40"/>
        <v>C00233 * C00025</v>
      </c>
      <c r="J503" s="31" t="str">
        <f t="shared" si="38"/>
        <v>(${Variables: E2_6_1_42_Kcat } * E2_6_1_42 * C00123 * C00026) /(${Variables:E2_6_1_42_Km} + (E2_6_1_42 * C00123 * C00026))</v>
      </c>
      <c r="K503" s="32" t="str">
        <f t="shared" si="39"/>
        <v>r502: C00123 + C00026 -&gt; C00233 + C00025 | (${Variables: E2_6_1_42_Kcat } * E2_6_1_42 * C00123 * C00026) /(${Variables:E2_6_1_42_Km} + (E2_6_1_42 * C00123 * C00026))</v>
      </c>
    </row>
    <row r="504" spans="1:11" ht="29" x14ac:dyDescent="0.35">
      <c r="A504" s="31" t="s">
        <v>6085</v>
      </c>
      <c r="B504" s="31" t="s">
        <v>6086</v>
      </c>
      <c r="C504" s="31" t="s">
        <v>14096</v>
      </c>
      <c r="D504" s="31">
        <v>503</v>
      </c>
      <c r="E504" s="31" t="str">
        <f t="shared" si="36"/>
        <v>E2_6_1_42</v>
      </c>
      <c r="F504" s="31" t="s">
        <v>9821</v>
      </c>
      <c r="G504" s="31" t="str">
        <f t="shared" si="37"/>
        <v>C00183 * C00026 </v>
      </c>
      <c r="H504" s="31" t="s">
        <v>9822</v>
      </c>
      <c r="I504" s="31" t="str">
        <f t="shared" si="40"/>
        <v>C00141 * C00025</v>
      </c>
      <c r="J504" s="31" t="str">
        <f t="shared" si="38"/>
        <v>(${Variables: E2_6_1_42_Kcat } * E2_6_1_42 * C00183 * C00026 ) /(${Variables:E2_6_1_42_Km} + (E2_6_1_42 * C00183 * C00026 ))</v>
      </c>
      <c r="K504" s="32" t="str">
        <f t="shared" si="39"/>
        <v>r503: C00183 + C00026  -&gt; C00141 + C00025 | (${Variables: E2_6_1_42_Kcat } * E2_6_1_42 * C00183 * C00026 ) /(${Variables:E2_6_1_42_Km} + (E2_6_1_42 * C00183 * C00026 ))</v>
      </c>
    </row>
    <row r="505" spans="1:11" ht="58" x14ac:dyDescent="0.35">
      <c r="A505" s="31" t="s">
        <v>6085</v>
      </c>
      <c r="B505" s="31" t="s">
        <v>6086</v>
      </c>
      <c r="C505" s="31" t="s">
        <v>14096</v>
      </c>
      <c r="D505" s="31">
        <v>504</v>
      </c>
      <c r="E505" s="31" t="str">
        <f t="shared" si="36"/>
        <v>E2_6_1_42</v>
      </c>
      <c r="F505" s="31" t="s">
        <v>9824</v>
      </c>
      <c r="G505" s="31" t="str">
        <f t="shared" si="37"/>
        <v xml:space="preserve">	
C00407 * C00026 </v>
      </c>
      <c r="H505" s="31" t="s">
        <v>9825</v>
      </c>
      <c r="I505" s="31" t="str">
        <f t="shared" si="40"/>
        <v> C00671 * C00025</v>
      </c>
      <c r="J505" s="31" t="str">
        <f t="shared" si="38"/>
        <v>(${Variables: E2_6_1_42_Kcat } * E2_6_1_42 * 	
C00407 * C00026 ) /(${Variables:E2_6_1_42_Km} + (E2_6_1_42 * 	
C00407 * C00026 ))</v>
      </c>
      <c r="K505" s="32" t="str">
        <f t="shared" si="39"/>
        <v>r504: 	
C00407 + C00026  -&gt;  C00671 + C00025 | (${Variables: E2_6_1_42_Kcat } * E2_6_1_42 * 	
C00407 * C00026 ) /(${Variables:E2_6_1_42_Km} + (E2_6_1_42 * 	
C00407 * C00026 ))</v>
      </c>
    </row>
    <row r="506" spans="1:11" ht="58" x14ac:dyDescent="0.35">
      <c r="A506" s="31" t="s">
        <v>6085</v>
      </c>
      <c r="B506" s="31" t="s">
        <v>6086</v>
      </c>
      <c r="C506" s="31" t="s">
        <v>14096</v>
      </c>
      <c r="D506" s="31">
        <v>505</v>
      </c>
      <c r="E506" s="31" t="str">
        <f t="shared" si="36"/>
        <v>E2_6_1_42</v>
      </c>
      <c r="F506" s="31" t="s">
        <v>9827</v>
      </c>
      <c r="G506" s="31" t="str">
        <f t="shared" si="37"/>
        <v xml:space="preserve">	
C02356 * C00026 </v>
      </c>
      <c r="H506" s="31" t="s">
        <v>9828</v>
      </c>
      <c r="I506" s="31" t="str">
        <f t="shared" si="40"/>
        <v>C00109 * C00025</v>
      </c>
      <c r="J506" s="31" t="str">
        <f t="shared" si="38"/>
        <v>(${Variables: E2_6_1_42_Kcat } * E2_6_1_42 * 	
C02356 * C00026 ) /(${Variables:E2_6_1_42_Km} + (E2_6_1_42 * 	
C02356 * C00026 ))</v>
      </c>
      <c r="K506" s="32" t="str">
        <f t="shared" si="39"/>
        <v>r505: 	
C02356 + C00026  -&gt; C00109 + C00025 | (${Variables: E2_6_1_42_Kcat } * E2_6_1_42 * 	
C02356 * C00026 ) /(${Variables:E2_6_1_42_Km} + (E2_6_1_42 * 	
C02356 * C00026 ))</v>
      </c>
    </row>
    <row r="507" spans="1:11" ht="29" x14ac:dyDescent="0.35">
      <c r="A507" s="31" t="s">
        <v>2399</v>
      </c>
      <c r="B507" s="31" t="s">
        <v>2400</v>
      </c>
      <c r="C507" s="31" t="s">
        <v>14097</v>
      </c>
      <c r="D507" s="31">
        <v>506</v>
      </c>
      <c r="E507" s="31" t="str">
        <f t="shared" si="36"/>
        <v>E2_6_1_52</v>
      </c>
      <c r="F507" s="31" t="s">
        <v>9831</v>
      </c>
      <c r="G507" s="31" t="str">
        <f t="shared" si="37"/>
        <v xml:space="preserve">C01005 * C00026 </v>
      </c>
      <c r="H507" s="31" t="s">
        <v>9832</v>
      </c>
      <c r="I507" s="31" t="str">
        <f t="shared" si="40"/>
        <v>C03232 * C00025</v>
      </c>
      <c r="J507" s="31" t="str">
        <f t="shared" si="38"/>
        <v>(${Variables: E2_6_1_52_Kcat } * E2_6_1_52 * C01005 * C00026 ) /(${Variables:E2_6_1_52_Km} + (E2_6_1_52 * C01005 * C00026 ))</v>
      </c>
      <c r="K507" s="31" t="str">
        <f t="shared" si="39"/>
        <v>r506: C01005 + C00026  -&gt; C03232 + C00025 | (${Variables: E2_6_1_52_Kcat } * E2_6_1_52 * C01005 * C00026 ) /(${Variables:E2_6_1_52_Km} + (E2_6_1_52 * C01005 * C00026 ))</v>
      </c>
    </row>
    <row r="508" spans="1:11" ht="29" x14ac:dyDescent="0.35">
      <c r="A508" s="31" t="s">
        <v>2399</v>
      </c>
      <c r="B508" s="31" t="s">
        <v>2400</v>
      </c>
      <c r="C508" s="31" t="s">
        <v>14097</v>
      </c>
      <c r="D508" s="31">
        <v>507</v>
      </c>
      <c r="E508" s="31" t="str">
        <f t="shared" si="36"/>
        <v>E2_6_1_52</v>
      </c>
      <c r="F508" s="31" t="s">
        <v>9834</v>
      </c>
      <c r="G508" s="31" t="str">
        <f t="shared" si="37"/>
        <v>C06055 * C00026 </v>
      </c>
      <c r="H508" s="31" t="s">
        <v>9835</v>
      </c>
      <c r="I508" s="31" t="str">
        <f t="shared" si="40"/>
        <v> C06054 * C00025</v>
      </c>
      <c r="J508" s="31" t="str">
        <f t="shared" si="38"/>
        <v>(${Variables: E2_6_1_52_Kcat } * E2_6_1_52 * C06055 * C00026 ) /(${Variables:E2_6_1_52_Km} + (E2_6_1_52 * C06055 * C00026 ))</v>
      </c>
      <c r="K508" s="31" t="str">
        <f t="shared" si="39"/>
        <v>r507: C06055 + C00026  -&gt;  C06054 + C00025 | (${Variables: E2_6_1_52_Kcat } * E2_6_1_52 * C06055 * C00026 ) /(${Variables:E2_6_1_52_Km} + (E2_6_1_52 * C06055 * C00026 ))</v>
      </c>
    </row>
    <row r="509" spans="1:11" ht="58" x14ac:dyDescent="0.35">
      <c r="A509" s="31" t="s">
        <v>7174</v>
      </c>
      <c r="B509" s="31" t="s">
        <v>7175</v>
      </c>
      <c r="C509" s="31" t="s">
        <v>14098</v>
      </c>
      <c r="D509" s="31">
        <v>508</v>
      </c>
      <c r="E509" s="31" t="str">
        <f t="shared" si="36"/>
        <v>E2_6_1_62</v>
      </c>
      <c r="F509" s="31" t="s">
        <v>9838</v>
      </c>
      <c r="G509" s="31" t="str">
        <f t="shared" si="37"/>
        <v xml:space="preserve">	
C00019 * C01092 </v>
      </c>
      <c r="H509" s="31" t="s">
        <v>9839</v>
      </c>
      <c r="I509" s="31" t="str">
        <f t="shared" si="40"/>
        <v> C04425 * C01037</v>
      </c>
      <c r="J509" s="31" t="str">
        <f t="shared" si="38"/>
        <v>(${Variables: E2_6_1_62_Kcat } * E2_6_1_62 * 	
C00019 * C01092 ) /(${Variables:E2_6_1_62_Km} + (E2_6_1_62 * 	
C00019 * C01092 ))</v>
      </c>
      <c r="K509" s="31" t="str">
        <f t="shared" si="39"/>
        <v>r508: 	
C00019 + C01092  -&gt;  C04425 + C01037 | (${Variables: E2_6_1_62_Kcat } * E2_6_1_62 * 	
C00019 * C01092 ) /(${Variables:E2_6_1_62_Km} + (E2_6_1_62 * 	
C00019 * C01092 ))</v>
      </c>
    </row>
    <row r="510" spans="1:11" ht="58" x14ac:dyDescent="0.35">
      <c r="A510" s="31" t="s">
        <v>2868</v>
      </c>
      <c r="B510" s="31" t="s">
        <v>2869</v>
      </c>
      <c r="C510" s="31" t="s">
        <v>14099</v>
      </c>
      <c r="D510" s="31">
        <v>509</v>
      </c>
      <c r="E510" s="31" t="str">
        <f t="shared" si="36"/>
        <v>E2_6_1_85</v>
      </c>
      <c r="F510" s="31" t="s">
        <v>9841</v>
      </c>
      <c r="G510" s="31" t="str">
        <f t="shared" si="37"/>
        <v xml:space="preserve">	
C00064 * C00001</v>
      </c>
      <c r="H510" s="31" t="s">
        <v>9842</v>
      </c>
      <c r="I510" s="31" t="str">
        <f t="shared" si="40"/>
        <v> C00025 * C00014</v>
      </c>
      <c r="J510" s="31" t="str">
        <f t="shared" si="38"/>
        <v>(${Variables: E2_6_1_85_Kcat } * E2_6_1_85 * 	
C00064 * C00001) /(${Variables:E2_6_1_85_Km} + (E2_6_1_85 * 	
C00064 * C00001))</v>
      </c>
      <c r="K510" s="32" t="str">
        <f t="shared" si="39"/>
        <v>r509: 	
C00064 + C00001 -&gt;  C00025 + C00014 | (${Variables: E2_6_1_85_Kcat } * E2_6_1_85 * 	
C00064 * C00001) /(${Variables:E2_6_1_85_Km} + (E2_6_1_85 * 	
C00064 * C00001))</v>
      </c>
    </row>
    <row r="511" spans="1:11" ht="29" x14ac:dyDescent="0.35">
      <c r="A511" s="31" t="s">
        <v>2868</v>
      </c>
      <c r="B511" s="31" t="s">
        <v>2869</v>
      </c>
      <c r="C511" s="31" t="s">
        <v>14099</v>
      </c>
      <c r="D511" s="31">
        <v>510</v>
      </c>
      <c r="E511" s="31" t="str">
        <f t="shared" si="36"/>
        <v>E2_6_1_85</v>
      </c>
      <c r="F511" s="31" t="s">
        <v>9844</v>
      </c>
      <c r="G511" s="31" t="str">
        <f t="shared" si="37"/>
        <v>C00251 * C00064</v>
      </c>
      <c r="H511" s="31" t="s">
        <v>9845</v>
      </c>
      <c r="I511" s="31" t="str">
        <f t="shared" si="40"/>
        <v>C11355 * C00025</v>
      </c>
      <c r="J511" s="31" t="str">
        <f t="shared" si="38"/>
        <v>(${Variables: E2_6_1_85_Kcat } * E2_6_1_85 * C00251 * C00064) /(${Variables:E2_6_1_85_Km} + (E2_6_1_85 * C00251 * C00064))</v>
      </c>
      <c r="K511" s="32" t="str">
        <f t="shared" si="39"/>
        <v>r510: C00251 + C00064 -&gt; C11355 + C00025 | (${Variables: E2_6_1_85_Kcat } * E2_6_1_85 * C00251 * C00064) /(${Variables:E2_6_1_85_Km} + (E2_6_1_85 * C00251 * C00064))</v>
      </c>
    </row>
    <row r="512" spans="1:11" ht="58" x14ac:dyDescent="0.35">
      <c r="A512" s="31" t="s">
        <v>2868</v>
      </c>
      <c r="B512" s="31" t="s">
        <v>2869</v>
      </c>
      <c r="C512" s="31" t="s">
        <v>14099</v>
      </c>
      <c r="D512" s="31">
        <v>511</v>
      </c>
      <c r="E512" s="31" t="str">
        <f t="shared" si="36"/>
        <v>E2_6_1_85</v>
      </c>
      <c r="F512" s="31" t="s">
        <v>9847</v>
      </c>
      <c r="G512" s="31" t="str">
        <f t="shared" si="37"/>
        <v xml:space="preserve">	
C00251 * C00014 </v>
      </c>
      <c r="H512" s="31" t="s">
        <v>9848</v>
      </c>
      <c r="I512" s="31" t="str">
        <f t="shared" si="40"/>
        <v>C11355 * C00001</v>
      </c>
      <c r="J512" s="31" t="str">
        <f t="shared" si="38"/>
        <v>(${Variables: E2_6_1_85_Kcat } * E2_6_1_85 * 	
C00251 * C00014 ) /(${Variables:E2_6_1_85_Km} + (E2_6_1_85 * 	
C00251 * C00014 ))</v>
      </c>
      <c r="K512" s="32" t="str">
        <f t="shared" si="39"/>
        <v>r511: 	
C00251 + C00014  -&gt; C11355 + C00001 | (${Variables: E2_6_1_85_Kcat } * E2_6_1_85 * 	
C00251 * C00014 ) /(${Variables:E2_6_1_85_Km} + (E2_6_1_85 * 	
C00251 * C00014 ))</v>
      </c>
    </row>
    <row r="513" spans="1:11" ht="29" x14ac:dyDescent="0.35">
      <c r="A513" s="31" t="s">
        <v>666</v>
      </c>
      <c r="B513" s="31" t="s">
        <v>667</v>
      </c>
      <c r="C513" s="31" t="s">
        <v>14100</v>
      </c>
      <c r="D513" s="31">
        <v>512</v>
      </c>
      <c r="E513" s="31" t="str">
        <f t="shared" si="36"/>
        <v>E2_6_1_9</v>
      </c>
      <c r="F513" s="31" t="s">
        <v>9851</v>
      </c>
      <c r="G513" s="31" t="str">
        <f t="shared" si="37"/>
        <v>C01100 * C00026 </v>
      </c>
      <c r="H513" s="31" t="s">
        <v>9852</v>
      </c>
      <c r="I513" s="31" t="str">
        <f t="shared" si="40"/>
        <v>C01267 * C00025</v>
      </c>
      <c r="J513" s="31" t="str">
        <f t="shared" si="38"/>
        <v>(${Variables: E2_6_1_9_Kcat } * E2_6_1_9 * C01100 * C00026 ) /(${Variables:E2_6_1_9_Km} + (E2_6_1_9 * C01100 * C00026 ))</v>
      </c>
      <c r="K513" s="32" t="str">
        <f t="shared" si="39"/>
        <v>r512: C01100 + C00026  -&gt; C01267 + C00025 | (${Variables: E2_6_1_9_Kcat } * E2_6_1_9 * C01100 * C00026 ) /(${Variables:E2_6_1_9_Km} + (E2_6_1_9 * C01100 * C00026 ))</v>
      </c>
    </row>
    <row r="514" spans="1:11" ht="58" x14ac:dyDescent="0.35">
      <c r="A514" s="31" t="s">
        <v>666</v>
      </c>
      <c r="B514" s="31" t="s">
        <v>667</v>
      </c>
      <c r="C514" s="31" t="s">
        <v>14100</v>
      </c>
      <c r="D514" s="31">
        <v>513</v>
      </c>
      <c r="E514" s="31" t="str">
        <f t="shared" ref="E514:E577" si="41">CONCATENATE("E",C514)</f>
        <v>E2_6_1_9</v>
      </c>
      <c r="F514" s="31" t="s">
        <v>9854</v>
      </c>
      <c r="G514" s="31" t="str">
        <f t="shared" ref="G514:G577" si="42">SUBSTITUTE(F514,"+","*")</f>
        <v xml:space="preserve">	
C00079 * C00026 </v>
      </c>
      <c r="H514" s="31" t="s">
        <v>9855</v>
      </c>
      <c r="I514" s="31" t="str">
        <f t="shared" si="40"/>
        <v>C00166 * C00025</v>
      </c>
      <c r="J514" s="31" t="str">
        <f t="shared" ref="J514:J577" si="43">CONCATENATE("(${Variables: ",E514,"_Kcat ","} * ",E514," * ",G514,")"," /(${Variables:",E514,"_Km","} + (",E514," * ",G514,"))")</f>
        <v>(${Variables: E2_6_1_9_Kcat } * E2_6_1_9 * 	
C00079 * C00026 ) /(${Variables:E2_6_1_9_Km} + (E2_6_1_9 * 	
C00079 * C00026 ))</v>
      </c>
      <c r="K514" s="32" t="str">
        <f t="shared" ref="K514:K577" si="44">CONCATENATE("r",D514,": ",F514," -&gt; ",H514," | ",J514)</f>
        <v>r513: 	
C00079 + C00026  -&gt; C00166 + C00025 | (${Variables: E2_6_1_9_Kcat } * E2_6_1_9 * 	
C00079 * C00026 ) /(${Variables:E2_6_1_9_Km} + (E2_6_1_9 * 	
C00079 * C00026 ))</v>
      </c>
    </row>
    <row r="515" spans="1:11" ht="58" x14ac:dyDescent="0.35">
      <c r="A515" s="31" t="s">
        <v>666</v>
      </c>
      <c r="B515" s="31" t="s">
        <v>667</v>
      </c>
      <c r="C515" s="31" t="s">
        <v>14100</v>
      </c>
      <c r="D515" s="31">
        <v>514</v>
      </c>
      <c r="E515" s="31" t="str">
        <f t="shared" si="41"/>
        <v>E2_6_1_9</v>
      </c>
      <c r="F515" s="31" t="s">
        <v>9857</v>
      </c>
      <c r="G515" s="31" t="str">
        <f t="shared" si="42"/>
        <v xml:space="preserve">	
C00082 * C00026</v>
      </c>
      <c r="H515" s="31" t="s">
        <v>9858</v>
      </c>
      <c r="I515" s="31" t="str">
        <f t="shared" si="40"/>
        <v> C01179 * C00025</v>
      </c>
      <c r="J515" s="31" t="str">
        <f t="shared" si="43"/>
        <v>(${Variables: E2_6_1_9_Kcat } * E2_6_1_9 * 	
C00082 * C00026) /(${Variables:E2_6_1_9_Km} + (E2_6_1_9 * 	
C00082 * C00026))</v>
      </c>
      <c r="K515" s="32" t="str">
        <f t="shared" si="44"/>
        <v>r514: 	
C00082 + C00026 -&gt;  C01179 + C00025 | (${Variables: E2_6_1_9_Kcat } * E2_6_1_9 * 	
C00082 * C00026) /(${Variables:E2_6_1_9_Km} + (E2_6_1_9 * 	
C00082 * C00026))</v>
      </c>
    </row>
    <row r="516" spans="1:11" ht="29" x14ac:dyDescent="0.35">
      <c r="A516" s="31" t="s">
        <v>5795</v>
      </c>
      <c r="B516" s="31" t="s">
        <v>5796</v>
      </c>
      <c r="C516" s="31" t="s">
        <v>14100</v>
      </c>
      <c r="D516" s="31">
        <v>515</v>
      </c>
      <c r="E516" s="31" t="str">
        <f t="shared" si="41"/>
        <v>E2_6_1_9</v>
      </c>
      <c r="F516" s="31" t="s">
        <v>9851</v>
      </c>
      <c r="G516" s="31" t="str">
        <f t="shared" si="42"/>
        <v>C01100 * C00026 </v>
      </c>
      <c r="H516" s="31" t="s">
        <v>9852</v>
      </c>
      <c r="I516" s="31" t="str">
        <f t="shared" ref="I516:I579" si="45">SUBSTITUTE(H516,"+","*")</f>
        <v>C01267 * C00025</v>
      </c>
      <c r="J516" s="31" t="str">
        <f t="shared" si="43"/>
        <v>(${Variables: E2_6_1_9_Kcat } * E2_6_1_9 * C01100 * C00026 ) /(${Variables:E2_6_1_9_Km} + (E2_6_1_9 * C01100 * C00026 ))</v>
      </c>
      <c r="K516" s="32" t="str">
        <f t="shared" si="44"/>
        <v>r515: C01100 + C00026  -&gt; C01267 + C00025 | (${Variables: E2_6_1_9_Kcat } * E2_6_1_9 * C01100 * C00026 ) /(${Variables:E2_6_1_9_Km} + (E2_6_1_9 * C01100 * C00026 ))</v>
      </c>
    </row>
    <row r="517" spans="1:11" ht="58" x14ac:dyDescent="0.35">
      <c r="A517" s="31" t="s">
        <v>5795</v>
      </c>
      <c r="B517" s="31" t="s">
        <v>5796</v>
      </c>
      <c r="C517" s="31" t="s">
        <v>14100</v>
      </c>
      <c r="D517" s="31">
        <v>516</v>
      </c>
      <c r="E517" s="31" t="str">
        <f t="shared" si="41"/>
        <v>E2_6_1_9</v>
      </c>
      <c r="F517" s="31" t="s">
        <v>9854</v>
      </c>
      <c r="G517" s="31" t="str">
        <f t="shared" si="42"/>
        <v xml:space="preserve">	
C00079 * C00026 </v>
      </c>
      <c r="H517" s="31" t="s">
        <v>9855</v>
      </c>
      <c r="I517" s="31" t="str">
        <f t="shared" si="45"/>
        <v>C00166 * C00025</v>
      </c>
      <c r="J517" s="31" t="str">
        <f t="shared" si="43"/>
        <v>(${Variables: E2_6_1_9_Kcat } * E2_6_1_9 * 	
C00079 * C00026 ) /(${Variables:E2_6_1_9_Km} + (E2_6_1_9 * 	
C00079 * C00026 ))</v>
      </c>
      <c r="K517" s="32" t="str">
        <f t="shared" si="44"/>
        <v>r516: 	
C00079 + C00026  -&gt; C00166 + C00025 | (${Variables: E2_6_1_9_Kcat } * E2_6_1_9 * 	
C00079 * C00026 ) /(${Variables:E2_6_1_9_Km} + (E2_6_1_9 * 	
C00079 * C00026 ))</v>
      </c>
    </row>
    <row r="518" spans="1:11" ht="58" x14ac:dyDescent="0.35">
      <c r="A518" s="31" t="s">
        <v>5795</v>
      </c>
      <c r="B518" s="31" t="s">
        <v>5796</v>
      </c>
      <c r="C518" s="31" t="s">
        <v>14100</v>
      </c>
      <c r="D518" s="31">
        <v>517</v>
      </c>
      <c r="E518" s="31" t="str">
        <f t="shared" si="41"/>
        <v>E2_6_1_9</v>
      </c>
      <c r="F518" s="31" t="s">
        <v>9857</v>
      </c>
      <c r="G518" s="31" t="str">
        <f t="shared" si="42"/>
        <v xml:space="preserve">	
C00082 * C00026</v>
      </c>
      <c r="H518" s="31" t="s">
        <v>9858</v>
      </c>
      <c r="I518" s="31" t="str">
        <f t="shared" si="45"/>
        <v> C01179 * C00025</v>
      </c>
      <c r="J518" s="31" t="str">
        <f t="shared" si="43"/>
        <v>(${Variables: E2_6_1_9_Kcat } * E2_6_1_9 * 	
C00082 * C00026) /(${Variables:E2_6_1_9_Km} + (E2_6_1_9 * 	
C00082 * C00026))</v>
      </c>
      <c r="K518" s="32" t="str">
        <f t="shared" si="44"/>
        <v>r517: 	
C00082 + C00026 -&gt;  C01179 + C00025 | (${Variables: E2_6_1_9_Kcat } * E2_6_1_9 * 	
C00082 * C00026) /(${Variables:E2_6_1_9_Km} + (E2_6_1_9 * 	
C00082 * C00026))</v>
      </c>
    </row>
    <row r="519" spans="1:11" ht="29" x14ac:dyDescent="0.35">
      <c r="A519" s="31" t="s">
        <v>8177</v>
      </c>
      <c r="B519" s="31" t="s">
        <v>8178</v>
      </c>
      <c r="C519" s="31" t="s">
        <v>14101</v>
      </c>
      <c r="D519" s="31">
        <v>518</v>
      </c>
      <c r="E519" s="31" t="str">
        <f t="shared" si="41"/>
        <v>E2_7_1_12</v>
      </c>
      <c r="F519" s="31" t="s">
        <v>9861</v>
      </c>
      <c r="G519" s="31" t="str">
        <f t="shared" si="42"/>
        <v>C00002 * C00031 </v>
      </c>
      <c r="H519" s="31" t="s">
        <v>9862</v>
      </c>
      <c r="I519" s="31" t="str">
        <f t="shared" si="45"/>
        <v>C00008 * C00092</v>
      </c>
      <c r="J519" s="31" t="str">
        <f t="shared" si="43"/>
        <v>(${Variables: E2_7_1_12_Kcat } * E2_7_1_12 * C00002 * C00031 ) /(${Variables:E2_7_1_12_Km} + (E2_7_1_12 * C00002 * C00031 ))</v>
      </c>
      <c r="K519" s="31" t="str">
        <f t="shared" si="44"/>
        <v>r518: C00002 + C00031  -&gt; C00008 + C00092 | (${Variables: E2_7_1_12_Kcat } * E2_7_1_12 * C00002 * C00031 ) /(${Variables:E2_7_1_12_Km} + (E2_7_1_12 * C00002 * C00031 ))</v>
      </c>
    </row>
    <row r="520" spans="1:11" ht="58" x14ac:dyDescent="0.35">
      <c r="A520" s="31" t="s">
        <v>8177</v>
      </c>
      <c r="B520" s="31" t="s">
        <v>8178</v>
      </c>
      <c r="C520" s="31" t="s">
        <v>14101</v>
      </c>
      <c r="D520" s="31">
        <v>519</v>
      </c>
      <c r="E520" s="31" t="str">
        <f t="shared" si="41"/>
        <v>E2_7_1_12</v>
      </c>
      <c r="F520" s="31" t="s">
        <v>9864</v>
      </c>
      <c r="G520" s="31" t="str">
        <f t="shared" si="42"/>
        <v xml:space="preserve">	
C00002 * C00221</v>
      </c>
      <c r="H520" s="31" t="s">
        <v>9865</v>
      </c>
      <c r="I520" s="31" t="str">
        <f t="shared" si="45"/>
        <v> C00008 * C01172</v>
      </c>
      <c r="J520" s="31" t="str">
        <f t="shared" si="43"/>
        <v>(${Variables: E2_7_1_12_Kcat } * E2_7_1_12 * 	
C00002 * C00221) /(${Variables:E2_7_1_12_Km} + (E2_7_1_12 * 	
C00002 * C00221))</v>
      </c>
      <c r="K520" s="31" t="str">
        <f t="shared" si="44"/>
        <v>r519: 	
C00002 + C00221 -&gt;  C00008 + C01172 | (${Variables: E2_7_1_12_Kcat } * E2_7_1_12 * 	
C00002 * C00221) /(${Variables:E2_7_1_12_Km} + (E2_7_1_12 * 	
C00002 * C00221))</v>
      </c>
    </row>
    <row r="521" spans="1:11" ht="29" x14ac:dyDescent="0.35">
      <c r="A521" s="31" t="s">
        <v>8177</v>
      </c>
      <c r="B521" s="31" t="s">
        <v>8178</v>
      </c>
      <c r="C521" s="31" t="s">
        <v>14101</v>
      </c>
      <c r="D521" s="31">
        <v>520</v>
      </c>
      <c r="E521" s="31" t="str">
        <f t="shared" si="41"/>
        <v>E2_7_1_12</v>
      </c>
      <c r="F521" s="31" t="s">
        <v>9867</v>
      </c>
      <c r="G521" s="31" t="str">
        <f t="shared" si="42"/>
        <v>C00002 * C00267 </v>
      </c>
      <c r="H521" s="31" t="s">
        <v>9868</v>
      </c>
      <c r="I521" s="31" t="str">
        <f t="shared" si="45"/>
        <v>C00008 * C00668</v>
      </c>
      <c r="J521" s="31" t="str">
        <f t="shared" si="43"/>
        <v>(${Variables: E2_7_1_12_Kcat } * E2_7_1_12 * C00002 * C00267 ) /(${Variables:E2_7_1_12_Km} + (E2_7_1_12 * C00002 * C00267 ))</v>
      </c>
      <c r="K521" s="31" t="str">
        <f t="shared" si="44"/>
        <v>r520: C00002 + C00267  -&gt; C00008 + C00668 | (${Variables: E2_7_1_12_Kcat } * E2_7_1_12 * C00002 * C00267 ) /(${Variables:E2_7_1_12_Km} + (E2_7_1_12 * C00002 * C00267 ))</v>
      </c>
    </row>
    <row r="522" spans="1:11" ht="58" x14ac:dyDescent="0.35">
      <c r="A522" s="31" t="s">
        <v>2633</v>
      </c>
      <c r="B522" s="31" t="s">
        <v>2634</v>
      </c>
      <c r="C522" s="31" t="s">
        <v>14102</v>
      </c>
      <c r="D522" s="31">
        <v>521</v>
      </c>
      <c r="E522" s="31" t="str">
        <f t="shared" si="41"/>
        <v>E2_7_1_148</v>
      </c>
      <c r="F522" s="31" t="s">
        <v>9871</v>
      </c>
      <c r="G522" s="31" t="str">
        <f t="shared" si="42"/>
        <v xml:space="preserve">	
C11435 * C00002</v>
      </c>
      <c r="H522" s="31" t="s">
        <v>9872</v>
      </c>
      <c r="I522" s="31" t="str">
        <f t="shared" si="45"/>
        <v> C11436 * C00008</v>
      </c>
      <c r="J522" s="31" t="str">
        <f t="shared" si="43"/>
        <v>(${Variables: E2_7_1_148_Kcat } * E2_7_1_148 * 	
C11435 * C00002) /(${Variables:E2_7_1_148_Km} + (E2_7_1_148 * 	
C11435 * C00002))</v>
      </c>
      <c r="K522" s="32" t="str">
        <f t="shared" si="44"/>
        <v>r521: 	
C11435 + C00002 -&gt;  C11436 + C00008 | (${Variables: E2_7_1_148_Kcat } * E2_7_1_148 * 	
C11435 * C00002) /(${Variables:E2_7_1_148_Km} + (E2_7_1_148 * 	
C11435 * C00002))</v>
      </c>
    </row>
    <row r="523" spans="1:11" ht="29" x14ac:dyDescent="0.35">
      <c r="A523" s="31" t="s">
        <v>6073</v>
      </c>
      <c r="B523" s="31" t="s">
        <v>6074</v>
      </c>
      <c r="C523" s="31" t="s">
        <v>14103</v>
      </c>
      <c r="D523" s="31">
        <v>522</v>
      </c>
      <c r="E523" s="31" t="str">
        <f t="shared" si="41"/>
        <v xml:space="preserve">E2_7_1_156 </v>
      </c>
      <c r="F523" s="31" t="s">
        <v>9876</v>
      </c>
      <c r="G523" s="31" t="str">
        <f t="shared" si="42"/>
        <v>C06508 * C00002</v>
      </c>
      <c r="H523" s="31" t="s">
        <v>9877</v>
      </c>
      <c r="I523" s="31" t="str">
        <f t="shared" si="45"/>
        <v>C06509 * C00008</v>
      </c>
      <c r="J523" s="31" t="str">
        <f t="shared" si="43"/>
        <v>(${Variables: E2_7_1_156 _Kcat } * E2_7_1_156  * C06508 * C00002) /(${Variables:E2_7_1_156 _Km} + (E2_7_1_156  * C06508 * C00002))</v>
      </c>
      <c r="K523" s="31" t="str">
        <f t="shared" si="44"/>
        <v>r522: C06508 + C00002 -&gt; C06509 + C00008 | (${Variables: E2_7_1_156 _Kcat } * E2_7_1_156  * C06508 * C00002) /(${Variables:E2_7_1_156 _Km} + (E2_7_1_156  * C06508 * C00002))</v>
      </c>
    </row>
    <row r="524" spans="1:11" ht="58" x14ac:dyDescent="0.35">
      <c r="A524" s="31" t="s">
        <v>6073</v>
      </c>
      <c r="B524" s="31" t="s">
        <v>6074</v>
      </c>
      <c r="C524" s="31" t="s">
        <v>14104</v>
      </c>
      <c r="D524" s="31">
        <v>523</v>
      </c>
      <c r="E524" s="31" t="str">
        <f t="shared" si="41"/>
        <v>E2_7_1_156</v>
      </c>
      <c r="F524" s="31" t="s">
        <v>9879</v>
      </c>
      <c r="G524" s="31" t="str">
        <f t="shared" si="42"/>
        <v xml:space="preserve">	
C06508 * C00044 </v>
      </c>
      <c r="H524" s="31" t="s">
        <v>9880</v>
      </c>
      <c r="I524" s="31" t="str">
        <f t="shared" si="45"/>
        <v>C06509 * C00035</v>
      </c>
      <c r="J524" s="31" t="str">
        <f t="shared" si="43"/>
        <v>(${Variables: E2_7_1_156_Kcat } * E2_7_1_156 * 	
C06508 * C00044 ) /(${Variables:E2_7_1_156_Km} + (E2_7_1_156 * 	
C06508 * C00044 ))</v>
      </c>
      <c r="K524" s="31" t="str">
        <f t="shared" si="44"/>
        <v>r523: 	
C06508 + C00044  -&gt; C06509 + C00035 | (${Variables: E2_7_1_156_Kcat } * E2_7_1_156 * 	
C06508 * C00044 ) /(${Variables:E2_7_1_156_Km} + (E2_7_1_156 * 	
C06508 * C00044 ))</v>
      </c>
    </row>
    <row r="525" spans="1:11" ht="29" x14ac:dyDescent="0.35">
      <c r="A525" s="31" t="s">
        <v>6073</v>
      </c>
      <c r="B525" s="31" t="s">
        <v>6074</v>
      </c>
      <c r="C525" s="31" t="s">
        <v>14105</v>
      </c>
      <c r="D525" s="31">
        <v>524</v>
      </c>
      <c r="E525" s="31" t="str">
        <f t="shared" si="41"/>
        <v>E2_7_7_62</v>
      </c>
      <c r="F525" s="31" t="s">
        <v>9885</v>
      </c>
      <c r="G525" s="31" t="str">
        <f t="shared" si="42"/>
        <v>C06509 * C00044 </v>
      </c>
      <c r="H525" s="31" t="s">
        <v>9886</v>
      </c>
      <c r="I525" s="31" t="str">
        <f t="shared" si="45"/>
        <v>C06510 * C00013</v>
      </c>
      <c r="J525" s="31" t="str">
        <f t="shared" si="43"/>
        <v>(${Variables: E2_7_7_62_Kcat } * E2_7_7_62 * C06509 * C00044 ) /(${Variables:E2_7_7_62_Km} + (E2_7_7_62 * C06509 * C00044 ))</v>
      </c>
      <c r="K525" s="32" t="str">
        <f t="shared" si="44"/>
        <v>r524: C06509 + C00044  -&gt; C06510 + C00013 | (${Variables: E2_7_7_62_Kcat } * E2_7_7_62 * C06509 * C00044 ) /(${Variables:E2_7_7_62_Km} + (E2_7_7_62 * C06509 * C00044 ))</v>
      </c>
    </row>
    <row r="526" spans="1:11" ht="29" x14ac:dyDescent="0.35">
      <c r="A526" s="31" t="s">
        <v>372</v>
      </c>
      <c r="B526" s="31" t="s">
        <v>373</v>
      </c>
      <c r="C526" s="31" t="s">
        <v>14106</v>
      </c>
      <c r="D526" s="31">
        <v>525</v>
      </c>
      <c r="E526" s="31" t="str">
        <f t="shared" si="41"/>
        <v>E2_7_1_17</v>
      </c>
      <c r="F526" s="31" t="s">
        <v>9889</v>
      </c>
      <c r="G526" s="31" t="str">
        <f t="shared" si="42"/>
        <v>C00002 * C00310 </v>
      </c>
      <c r="H526" s="31" t="s">
        <v>9890</v>
      </c>
      <c r="I526" s="31" t="str">
        <f t="shared" si="45"/>
        <v> C00008 * C00231</v>
      </c>
      <c r="J526" s="31" t="str">
        <f t="shared" si="43"/>
        <v>(${Variables: E2_7_1_17_Kcat } * E2_7_1_17 * C00002 * C00310 ) /(${Variables:E2_7_1_17_Km} + (E2_7_1_17 * C00002 * C00310 ))</v>
      </c>
      <c r="K526" s="31" t="str">
        <f t="shared" si="44"/>
        <v>r525: C00002 + C00310  -&gt;  C00008 + C00231 | (${Variables: E2_7_1_17_Kcat } * E2_7_1_17 * C00002 * C00310 ) /(${Variables:E2_7_1_17_Km} + (E2_7_1_17 * C00002 * C00310 ))</v>
      </c>
    </row>
    <row r="527" spans="1:11" ht="29" x14ac:dyDescent="0.35">
      <c r="A527" s="31" t="s">
        <v>6032</v>
      </c>
      <c r="B527" s="31" t="s">
        <v>6033</v>
      </c>
      <c r="C527" s="31" t="s">
        <v>14107</v>
      </c>
      <c r="D527" s="31">
        <v>526</v>
      </c>
      <c r="E527" s="31" t="str">
        <f t="shared" si="41"/>
        <v>E2_7_1_2</v>
      </c>
      <c r="F527" s="31" t="s">
        <v>9861</v>
      </c>
      <c r="G527" s="31" t="str">
        <f t="shared" si="42"/>
        <v>C00002 * C00031 </v>
      </c>
      <c r="H527" s="31" t="s">
        <v>9891</v>
      </c>
      <c r="I527" s="31" t="str">
        <f t="shared" si="45"/>
        <v> C00008 * C00092</v>
      </c>
      <c r="J527" s="31" t="str">
        <f t="shared" si="43"/>
        <v>(${Variables: E2_7_1_2_Kcat } * E2_7_1_2 * C00002 * C00031 ) /(${Variables:E2_7_1_2_Km} + (E2_7_1_2 * C00002 * C00031 ))</v>
      </c>
      <c r="K527" s="32" t="str">
        <f t="shared" si="44"/>
        <v>r526: C00002 + C00031  -&gt;  C00008 + C00092 | (${Variables: E2_7_1_2_Kcat } * E2_7_1_2 * C00002 * C00031 ) /(${Variables:E2_7_1_2_Km} + (E2_7_1_2 * C00002 * C00031 ))</v>
      </c>
    </row>
    <row r="528" spans="1:11" ht="29" x14ac:dyDescent="0.35">
      <c r="A528" s="31" t="s">
        <v>6032</v>
      </c>
      <c r="B528" s="31" t="s">
        <v>6033</v>
      </c>
      <c r="C528" s="31" t="s">
        <v>14107</v>
      </c>
      <c r="D528" s="31">
        <v>527</v>
      </c>
      <c r="E528" s="31" t="str">
        <f t="shared" si="41"/>
        <v>E2_7_1_2</v>
      </c>
      <c r="F528" s="31" t="s">
        <v>9892</v>
      </c>
      <c r="G528" s="31" t="str">
        <f t="shared" si="42"/>
        <v>C00002 * C00221 </v>
      </c>
      <c r="H528" s="31" t="s">
        <v>9865</v>
      </c>
      <c r="I528" s="31" t="str">
        <f t="shared" si="45"/>
        <v> C00008 * C01172</v>
      </c>
      <c r="J528" s="31" t="str">
        <f t="shared" si="43"/>
        <v>(${Variables: E2_7_1_2_Kcat } * E2_7_1_2 * C00002 * C00221 ) /(${Variables:E2_7_1_2_Km} + (E2_7_1_2 * C00002 * C00221 ))</v>
      </c>
      <c r="K528" s="32" t="str">
        <f t="shared" si="44"/>
        <v>r527: C00002 + C00221  -&gt;  C00008 + C01172 | (${Variables: E2_7_1_2_Kcat } * E2_7_1_2 * C00002 * C00221 ) /(${Variables:E2_7_1_2_Km} + (E2_7_1_2 * C00002 * C00221 ))</v>
      </c>
    </row>
    <row r="529" spans="1:11" ht="58" x14ac:dyDescent="0.35">
      <c r="A529" s="31" t="s">
        <v>6032</v>
      </c>
      <c r="B529" s="31" t="s">
        <v>6033</v>
      </c>
      <c r="C529" s="31" t="s">
        <v>14107</v>
      </c>
      <c r="D529" s="31">
        <v>528</v>
      </c>
      <c r="E529" s="31" t="str">
        <f t="shared" si="41"/>
        <v>E2_7_1_2</v>
      </c>
      <c r="F529" s="31" t="s">
        <v>9893</v>
      </c>
      <c r="G529" s="31" t="str">
        <f t="shared" si="42"/>
        <v xml:space="preserve">	
C00002 * C00267 </v>
      </c>
      <c r="H529" s="31" t="s">
        <v>9868</v>
      </c>
      <c r="I529" s="31" t="str">
        <f t="shared" si="45"/>
        <v>C00008 * C00668</v>
      </c>
      <c r="J529" s="31" t="str">
        <f t="shared" si="43"/>
        <v>(${Variables: E2_7_1_2_Kcat } * E2_7_1_2 * 	
C00002 * C00267 ) /(${Variables:E2_7_1_2_Km} + (E2_7_1_2 * 	
C00002 * C00267 ))</v>
      </c>
      <c r="K529" s="32" t="str">
        <f t="shared" si="44"/>
        <v>r528: 	
C00002 + C00267  -&gt; C00008 + C00668 | (${Variables: E2_7_1_2_Kcat } * E2_7_1_2 * 	
C00002 * C00267 ) /(${Variables:E2_7_1_2_Km} + (E2_7_1_2 * 	
C00002 * C00267 ))</v>
      </c>
    </row>
    <row r="530" spans="1:11" ht="58" x14ac:dyDescent="0.35">
      <c r="A530" s="31" t="s">
        <v>7265</v>
      </c>
      <c r="B530" s="31" t="s">
        <v>7266</v>
      </c>
      <c r="C530" s="31" t="s">
        <v>14108</v>
      </c>
      <c r="D530" s="31">
        <v>529</v>
      </c>
      <c r="E530" s="31" t="str">
        <f t="shared" si="41"/>
        <v>E2_7_1_211</v>
      </c>
      <c r="F530" s="31" t="s">
        <v>9896</v>
      </c>
      <c r="G530" s="31" t="str">
        <f t="shared" si="42"/>
        <v xml:space="preserve">	
C00089 * C04261</v>
      </c>
      <c r="H530" s="31" t="s">
        <v>9897</v>
      </c>
      <c r="I530" s="31" t="str">
        <f t="shared" si="45"/>
        <v>C16688 * C00615</v>
      </c>
      <c r="J530" s="31" t="str">
        <f t="shared" si="43"/>
        <v>(${Variables: E2_7_1_211_Kcat } * E2_7_1_211 * 	
C00089 * C04261) /(${Variables:E2_7_1_211_Km} + (E2_7_1_211 * 	
C00089 * C04261))</v>
      </c>
      <c r="K530" s="31" t="str">
        <f t="shared" si="44"/>
        <v>r529: 	
C00089 + C04261 -&gt; C16688 + C00615 | (${Variables: E2_7_1_211_Kcat } * E2_7_1_211 * 	
C00089 * C04261) /(${Variables:E2_7_1_211_Km} + (E2_7_1_211 * 	
C00089 * C04261))</v>
      </c>
    </row>
    <row r="531" spans="1:11" ht="58" x14ac:dyDescent="0.35">
      <c r="A531" s="31" t="s">
        <v>3987</v>
      </c>
      <c r="B531" s="31" t="s">
        <v>3988</v>
      </c>
      <c r="C531" s="31" t="s">
        <v>14109</v>
      </c>
      <c r="D531" s="31">
        <v>530</v>
      </c>
      <c r="E531" s="31" t="str">
        <f t="shared" si="41"/>
        <v>E2_7_1_23</v>
      </c>
      <c r="F531" s="31" t="s">
        <v>9900</v>
      </c>
      <c r="G531" s="31" t="str">
        <f t="shared" si="42"/>
        <v xml:space="preserve">	
C00002 * C00003 </v>
      </c>
      <c r="H531" s="31" t="s">
        <v>9901</v>
      </c>
      <c r="I531" s="31" t="str">
        <f t="shared" si="45"/>
        <v> C00008 * C00006</v>
      </c>
      <c r="J531" s="31" t="str">
        <f t="shared" si="43"/>
        <v>(${Variables: E2_7_1_23_Kcat } * E2_7_1_23 * 	
C00002 * C00003 ) /(${Variables:E2_7_1_23_Km} + (E2_7_1_23 * 	
C00002 * C00003 ))</v>
      </c>
      <c r="K531" s="31" t="str">
        <f t="shared" si="44"/>
        <v>r530: 	
C00002 + C00003  -&gt;  C00008 + C00006 | (${Variables: E2_7_1_23_Kcat } * E2_7_1_23 * 	
C00002 * C00003 ) /(${Variables:E2_7_1_23_Km} + (E2_7_1_23 * 	
C00002 * C00003 ))</v>
      </c>
    </row>
    <row r="532" spans="1:11" ht="58" x14ac:dyDescent="0.35">
      <c r="A532" s="31" t="s">
        <v>3837</v>
      </c>
      <c r="B532" s="31" t="s">
        <v>3838</v>
      </c>
      <c r="C532" s="31" t="s">
        <v>14110</v>
      </c>
      <c r="D532" s="31">
        <v>531</v>
      </c>
      <c r="E532" s="31" t="str">
        <f t="shared" si="41"/>
        <v>E2_7_1_24</v>
      </c>
      <c r="F532" s="31" t="s">
        <v>9904</v>
      </c>
      <c r="G532" s="31" t="str">
        <f t="shared" si="42"/>
        <v xml:space="preserve">	
C00002 * C00882</v>
      </c>
      <c r="H532" s="31" t="s">
        <v>9905</v>
      </c>
      <c r="I532" s="31" t="str">
        <f t="shared" si="45"/>
        <v> C00008 * C00010</v>
      </c>
      <c r="J532" s="31" t="str">
        <f t="shared" si="43"/>
        <v>(${Variables: E2_7_1_24_Kcat } * E2_7_1_24 * 	
C00002 * C00882) /(${Variables:E2_7_1_24_Km} + (E2_7_1_24 * 	
C00002 * C00882))</v>
      </c>
      <c r="K532" s="32" t="str">
        <f t="shared" si="44"/>
        <v>r531: 	
C00002 + C00882 -&gt;  C00008 + C00010 | (${Variables: E2_7_1_24_Kcat } * E2_7_1_24 * 	
C00002 * C00882) /(${Variables:E2_7_1_24_Km} + (E2_7_1_24 * 	
C00002 * C00882))</v>
      </c>
    </row>
    <row r="533" spans="1:11" ht="58" x14ac:dyDescent="0.35">
      <c r="A533" s="31" t="s">
        <v>5450</v>
      </c>
      <c r="B533" s="31" t="s">
        <v>5451</v>
      </c>
      <c r="C533" s="31" t="s">
        <v>14111</v>
      </c>
      <c r="D533" s="31">
        <v>532</v>
      </c>
      <c r="E533" s="31" t="str">
        <f t="shared" si="41"/>
        <v xml:space="preserve">E2_7_1_26 </v>
      </c>
      <c r="F533" s="31" t="s">
        <v>9908</v>
      </c>
      <c r="G533" s="31" t="str">
        <f t="shared" si="42"/>
        <v xml:space="preserve">	
C00002 * C00255 </v>
      </c>
      <c r="H533" s="31" t="s">
        <v>9909</v>
      </c>
      <c r="I533" s="31" t="str">
        <f t="shared" si="45"/>
        <v>C00008 * C00061</v>
      </c>
      <c r="J533" s="31" t="str">
        <f t="shared" si="43"/>
        <v>(${Variables: E2_7_1_26 _Kcat } * E2_7_1_26  * 	
C00002 * C00255 ) /(${Variables:E2_7_1_26 _Km} + (E2_7_1_26  * 	
C00002 * C00255 ))</v>
      </c>
      <c r="K533" s="32" t="str">
        <f t="shared" si="44"/>
        <v>r532: 	
C00002 + C00255  -&gt; C00008 + C00061 | (${Variables: E2_7_1_26 _Kcat } * E2_7_1_26  * 	
C00002 * C00255 ) /(${Variables:E2_7_1_26 _Km} + (E2_7_1_26  * 	
C00002 * C00255 ))</v>
      </c>
    </row>
    <row r="534" spans="1:11" ht="58" x14ac:dyDescent="0.35">
      <c r="A534" s="31" t="s">
        <v>5450</v>
      </c>
      <c r="B534" s="31" t="s">
        <v>5451</v>
      </c>
      <c r="C534" s="31" t="s">
        <v>14112</v>
      </c>
      <c r="D534" s="31">
        <v>533</v>
      </c>
      <c r="E534" s="31" t="str">
        <f t="shared" si="41"/>
        <v>E2_7_7_2</v>
      </c>
      <c r="F534" s="31" t="s">
        <v>9914</v>
      </c>
      <c r="G534" s="31" t="str">
        <f t="shared" si="42"/>
        <v xml:space="preserve">	
C00002 * C00061 </v>
      </c>
      <c r="H534" s="31" t="s">
        <v>9915</v>
      </c>
      <c r="I534" s="31" t="str">
        <f t="shared" si="45"/>
        <v> C00013 * C00016</v>
      </c>
      <c r="J534" s="31" t="str">
        <f t="shared" si="43"/>
        <v>(${Variables: E2_7_7_2_Kcat } * E2_7_7_2 * 	
C00002 * C00061 ) /(${Variables:E2_7_7_2_Km} + (E2_7_7_2 * 	
C00002 * C00061 ))</v>
      </c>
      <c r="K534" s="31" t="str">
        <f t="shared" si="44"/>
        <v>r533: 	
C00002 + C00061  -&gt;  C00013 + C00016 | (${Variables: E2_7_7_2_Kcat } * E2_7_7_2 * 	
C00002 * C00061 ) /(${Variables:E2_7_7_2_Km} + (E2_7_7_2 * 	
C00002 * C00061 ))</v>
      </c>
    </row>
    <row r="535" spans="1:11" ht="29" x14ac:dyDescent="0.35">
      <c r="A535" s="31" t="s">
        <v>7886</v>
      </c>
      <c r="B535" s="31" t="s">
        <v>7887</v>
      </c>
      <c r="C535" s="31" t="s">
        <v>14113</v>
      </c>
      <c r="D535" s="31">
        <v>534</v>
      </c>
      <c r="E535" s="31" t="str">
        <f t="shared" si="41"/>
        <v>E2_7_1_30</v>
      </c>
      <c r="F535" s="31" t="s">
        <v>9918</v>
      </c>
      <c r="G535" s="31" t="str">
        <f t="shared" si="42"/>
        <v>C00002 * C00116</v>
      </c>
      <c r="H535" s="31" t="s">
        <v>9919</v>
      </c>
      <c r="I535" s="31" t="str">
        <f t="shared" si="45"/>
        <v>C00008 * C00093</v>
      </c>
      <c r="J535" s="31" t="str">
        <f t="shared" si="43"/>
        <v>(${Variables: E2_7_1_30_Kcat } * E2_7_1_30 * C00002 * C00116) /(${Variables:E2_7_1_30_Km} + (E2_7_1_30 * C00002 * C00116))</v>
      </c>
      <c r="K535" s="32" t="str">
        <f t="shared" si="44"/>
        <v>r534: C00002 + C00116 -&gt; C00008 + C00093 | (${Variables: E2_7_1_30_Kcat } * E2_7_1_30 * C00002 * C00116) /(${Variables:E2_7_1_30_Km} + (E2_7_1_30 * C00002 * C00116))</v>
      </c>
    </row>
    <row r="536" spans="1:11" ht="58" x14ac:dyDescent="0.35">
      <c r="A536" s="31" t="s">
        <v>5734</v>
      </c>
      <c r="B536" s="31" t="s">
        <v>5735</v>
      </c>
      <c r="C536" s="31" t="s">
        <v>14114</v>
      </c>
      <c r="D536" s="31">
        <v>535</v>
      </c>
      <c r="E536" s="31" t="str">
        <f t="shared" si="41"/>
        <v>E2_7_1_31</v>
      </c>
      <c r="F536" s="31" t="s">
        <v>9922</v>
      </c>
      <c r="G536" s="31" t="str">
        <f t="shared" si="42"/>
        <v xml:space="preserve">	
C00002 * C00258</v>
      </c>
      <c r="H536" s="31" t="s">
        <v>9923</v>
      </c>
      <c r="I536" s="31" t="str">
        <f t="shared" si="45"/>
        <v> C00008 * C00197</v>
      </c>
      <c r="J536" s="31" t="str">
        <f t="shared" si="43"/>
        <v>(${Variables: E2_7_1_31_Kcat } * E2_7_1_31 * 	
C00002 * C00258) /(${Variables:E2_7_1_31_Km} + (E2_7_1_31 * 	
C00002 * C00258))</v>
      </c>
      <c r="K536" s="31" t="str">
        <f t="shared" si="44"/>
        <v>r535: 	
C00002 + C00258 -&gt;  C00008 + C00197 | (${Variables: E2_7_1_31_Kcat } * E2_7_1_31 * 	
C00002 * C00258) /(${Variables:E2_7_1_31_Km} + (E2_7_1_31 * 	
C00002 * C00258))</v>
      </c>
    </row>
    <row r="537" spans="1:11" ht="58" x14ac:dyDescent="0.35">
      <c r="A537" s="31" t="s">
        <v>2860</v>
      </c>
      <c r="B537" s="31" t="s">
        <v>2861</v>
      </c>
      <c r="C537" s="31" t="s">
        <v>14115</v>
      </c>
      <c r="D537" s="31">
        <v>536</v>
      </c>
      <c r="E537" s="31" t="str">
        <f t="shared" si="41"/>
        <v>E2_7_1_33</v>
      </c>
      <c r="F537" s="31" t="s">
        <v>9926</v>
      </c>
      <c r="G537" s="31" t="str">
        <f t="shared" si="42"/>
        <v xml:space="preserve">	
C00002 * C00864</v>
      </c>
      <c r="H537" s="31" t="s">
        <v>9927</v>
      </c>
      <c r="I537" s="31" t="str">
        <f t="shared" si="45"/>
        <v>C00008 * C03492</v>
      </c>
      <c r="J537" s="31" t="str">
        <f t="shared" si="43"/>
        <v>(${Variables: E2_7_1_33_Kcat } * E2_7_1_33 * 	
C00002 * C00864) /(${Variables:E2_7_1_33_Km} + (E2_7_1_33 * 	
C00002 * C00864))</v>
      </c>
      <c r="K537" s="32" t="str">
        <f t="shared" si="44"/>
        <v>r536: 	
C00002 + C00864 -&gt; C00008 + C03492 | (${Variables: E2_7_1_33_Kcat } * E2_7_1_33 * 	
C00002 * C00864) /(${Variables:E2_7_1_33_Km} + (E2_7_1_33 * 	
C00002 * C00864))</v>
      </c>
    </row>
    <row r="538" spans="1:11" ht="58" x14ac:dyDescent="0.35">
      <c r="A538" s="31" t="s">
        <v>2860</v>
      </c>
      <c r="B538" s="31" t="s">
        <v>2861</v>
      </c>
      <c r="C538" s="31" t="s">
        <v>14115</v>
      </c>
      <c r="D538" s="31">
        <v>537</v>
      </c>
      <c r="E538" s="31" t="str">
        <f t="shared" si="41"/>
        <v>E2_7_1_33</v>
      </c>
      <c r="F538" s="31" t="s">
        <v>9929</v>
      </c>
      <c r="G538" s="31" t="str">
        <f t="shared" si="42"/>
        <v xml:space="preserve">	
C00002 * C00831</v>
      </c>
      <c r="H538" s="31" t="s">
        <v>9930</v>
      </c>
      <c r="I538" s="31" t="str">
        <f t="shared" si="45"/>
        <v> C00008 * C01134</v>
      </c>
      <c r="J538" s="31" t="str">
        <f t="shared" si="43"/>
        <v>(${Variables: E2_7_1_33_Kcat } * E2_7_1_33 * 	
C00002 * C00831) /(${Variables:E2_7_1_33_Km} + (E2_7_1_33 * 	
C00002 * C00831))</v>
      </c>
      <c r="K538" s="32" t="str">
        <f t="shared" si="44"/>
        <v>r537: 	
C00002 + C00831 -&gt;  C00008 + C01134 | (${Variables: E2_7_1_33_Kcat } * E2_7_1_33 * 	
C00002 * C00831) /(${Variables:E2_7_1_33_Km} + (E2_7_1_33 * 	
C00002 * C00831))</v>
      </c>
    </row>
    <row r="539" spans="1:11" ht="58" x14ac:dyDescent="0.35">
      <c r="A539" s="31" t="s">
        <v>2860</v>
      </c>
      <c r="B539" s="31" t="s">
        <v>2861</v>
      </c>
      <c r="C539" s="31" t="s">
        <v>14115</v>
      </c>
      <c r="D539" s="31">
        <v>538</v>
      </c>
      <c r="E539" s="31" t="str">
        <f t="shared" si="41"/>
        <v>E2_7_1_33</v>
      </c>
      <c r="F539" s="31" t="s">
        <v>9932</v>
      </c>
      <c r="G539" s="31" t="str">
        <f t="shared" si="42"/>
        <v xml:space="preserve">	
C00002 * C04079</v>
      </c>
      <c r="H539" s="31" t="s">
        <v>9933</v>
      </c>
      <c r="I539" s="31" t="str">
        <f t="shared" si="45"/>
        <v>C00008 * C04352</v>
      </c>
      <c r="J539" s="31" t="str">
        <f t="shared" si="43"/>
        <v>(${Variables: E2_7_1_33_Kcat } * E2_7_1_33 * 	
C00002 * C04079) /(${Variables:E2_7_1_33_Km} + (E2_7_1_33 * 	
C00002 * C04079))</v>
      </c>
      <c r="K539" s="32" t="str">
        <f t="shared" si="44"/>
        <v>r538: 	
C00002 + C04079 -&gt; C00008 + C04352 | (${Variables: E2_7_1_33_Kcat } * E2_7_1_33 * 	
C00002 * C04079) /(${Variables:E2_7_1_33_Km} + (E2_7_1_33 * 	
C00002 * C04079))</v>
      </c>
    </row>
    <row r="540" spans="1:11" ht="58" x14ac:dyDescent="0.35">
      <c r="A540" s="31" t="s">
        <v>2639</v>
      </c>
      <c r="B540" s="31" t="s">
        <v>2640</v>
      </c>
      <c r="C540" s="31" t="s">
        <v>14116</v>
      </c>
      <c r="D540" s="31">
        <v>539</v>
      </c>
      <c r="E540" s="31" t="str">
        <f t="shared" si="41"/>
        <v>E2_7_1_35</v>
      </c>
      <c r="F540" s="31" t="s">
        <v>9936</v>
      </c>
      <c r="G540" s="31" t="str">
        <f t="shared" si="42"/>
        <v xml:space="preserve">	
C00002 * C00250 </v>
      </c>
      <c r="H540" s="31" t="s">
        <v>9937</v>
      </c>
      <c r="I540" s="31" t="str">
        <f t="shared" si="45"/>
        <v xml:space="preserve"> C00008 * C00018</v>
      </c>
      <c r="J540" s="31" t="str">
        <f t="shared" si="43"/>
        <v>(${Variables: E2_7_1_35_Kcat } * E2_7_1_35 * 	
C00002 * C00250 ) /(${Variables:E2_7_1_35_Km} + (E2_7_1_35 * 	
C00002 * C00250 ))</v>
      </c>
      <c r="K540" s="31" t="str">
        <f t="shared" si="44"/>
        <v>r539: 	
C00002 + C00250  -&gt;  C00008 + C00018 | (${Variables: E2_7_1_35_Kcat } * E2_7_1_35 * 	
C00002 * C00250 ) /(${Variables:E2_7_1_35_Km} + (E2_7_1_35 * 	
C00002 * C00250 ))</v>
      </c>
    </row>
    <row r="541" spans="1:11" ht="29" x14ac:dyDescent="0.35">
      <c r="A541" s="31" t="s">
        <v>2639</v>
      </c>
      <c r="B541" s="31" t="s">
        <v>2640</v>
      </c>
      <c r="C541" s="31" t="s">
        <v>14116</v>
      </c>
      <c r="D541" s="31">
        <v>540</v>
      </c>
      <c r="E541" s="31" t="str">
        <f t="shared" si="41"/>
        <v>E2_7_1_35</v>
      </c>
      <c r="F541" s="31" t="s">
        <v>9939</v>
      </c>
      <c r="G541" s="31" t="str">
        <f t="shared" si="42"/>
        <v>C00002 * C00314</v>
      </c>
      <c r="H541" s="31" t="s">
        <v>9940</v>
      </c>
      <c r="I541" s="31" t="str">
        <f t="shared" si="45"/>
        <v> C00008 * C00627</v>
      </c>
      <c r="J541" s="31" t="str">
        <f t="shared" si="43"/>
        <v>(${Variables: E2_7_1_35_Kcat } * E2_7_1_35 * C00002 * C00314) /(${Variables:E2_7_1_35_Km} + (E2_7_1_35 * C00002 * C00314))</v>
      </c>
      <c r="K541" s="31" t="str">
        <f t="shared" si="44"/>
        <v>r540: C00002 + C00314 -&gt;  C00008 + C00627 | (${Variables: E2_7_1_35_Kcat } * E2_7_1_35 * C00002 * C00314) /(${Variables:E2_7_1_35_Km} + (E2_7_1_35 * C00002 * C00314))</v>
      </c>
    </row>
    <row r="542" spans="1:11" ht="29" x14ac:dyDescent="0.35">
      <c r="A542" s="31" t="s">
        <v>2639</v>
      </c>
      <c r="B542" s="31" t="s">
        <v>2640</v>
      </c>
      <c r="C542" s="31" t="s">
        <v>14116</v>
      </c>
      <c r="D542" s="31">
        <v>541</v>
      </c>
      <c r="E542" s="31" t="str">
        <f t="shared" si="41"/>
        <v>E2_7_1_35</v>
      </c>
      <c r="F542" s="31" t="s">
        <v>9942</v>
      </c>
      <c r="G542" s="31" t="str">
        <f t="shared" si="42"/>
        <v>C00002 * C00534</v>
      </c>
      <c r="H542" s="31" t="s">
        <v>9943</v>
      </c>
      <c r="I542" s="31" t="str">
        <f t="shared" si="45"/>
        <v>C00008 * C00647</v>
      </c>
      <c r="J542" s="31" t="str">
        <f t="shared" si="43"/>
        <v>(${Variables: E2_7_1_35_Kcat } * E2_7_1_35 * C00002 * C00534) /(${Variables:E2_7_1_35_Km} + (E2_7_1_35 * C00002 * C00534))</v>
      </c>
      <c r="K542" s="31" t="str">
        <f t="shared" si="44"/>
        <v>r541: C00002 + C00534 -&gt; C00008 + C00647 | (${Variables: E2_7_1_35_Kcat } * E2_7_1_35 * C00002 * C00534) /(${Variables:E2_7_1_35_Km} + (E2_7_1_35 * C00002 * C00534))</v>
      </c>
    </row>
    <row r="543" spans="1:11" ht="58" x14ac:dyDescent="0.35">
      <c r="A543" s="31" t="s">
        <v>3366</v>
      </c>
      <c r="B543" s="31" t="s">
        <v>3367</v>
      </c>
      <c r="C543" s="31" t="s">
        <v>14117</v>
      </c>
      <c r="D543" s="31">
        <v>542</v>
      </c>
      <c r="E543" s="31" t="str">
        <f t="shared" si="41"/>
        <v>E2_7_1_39</v>
      </c>
      <c r="F543" s="31" t="s">
        <v>9946</v>
      </c>
      <c r="G543" s="31" t="str">
        <f t="shared" si="42"/>
        <v xml:space="preserve">	
C00002 * C00263</v>
      </c>
      <c r="H543" s="31" t="s">
        <v>9947</v>
      </c>
      <c r="I543" s="31" t="str">
        <f t="shared" si="45"/>
        <v> C00008 * C01102</v>
      </c>
      <c r="J543" s="31" t="str">
        <f t="shared" si="43"/>
        <v>(${Variables: E2_7_1_39_Kcat } * E2_7_1_39 * 	
C00002 * C00263) /(${Variables:E2_7_1_39_Km} + (E2_7_1_39 * 	
C00002 * C00263))</v>
      </c>
      <c r="K543" s="32" t="str">
        <f t="shared" si="44"/>
        <v>r542: 	
C00002 + C00263 -&gt;  C00008 + C01102 | (${Variables: E2_7_1_39_Kcat } * E2_7_1_39 * 	
C00002 * C00263) /(${Variables:E2_7_1_39_Km} + (E2_7_1_39 * 	
C00002 * C00263))</v>
      </c>
    </row>
    <row r="544" spans="1:11" ht="58" x14ac:dyDescent="0.35">
      <c r="A544" s="31" t="s">
        <v>5756</v>
      </c>
      <c r="B544" s="31" t="s">
        <v>5757</v>
      </c>
      <c r="C544" s="31" t="s">
        <v>14118</v>
      </c>
      <c r="D544" s="31">
        <v>543</v>
      </c>
      <c r="E544" s="31" t="str">
        <f t="shared" si="41"/>
        <v>E2_7_1_40</v>
      </c>
      <c r="F544" s="31" t="s">
        <v>9950</v>
      </c>
      <c r="G544" s="31" t="str">
        <f t="shared" si="42"/>
        <v xml:space="preserve">	
C00002 * C00022</v>
      </c>
      <c r="H544" s="31" t="s">
        <v>9951</v>
      </c>
      <c r="I544" s="31" t="str">
        <f t="shared" si="45"/>
        <v>C00008 * C00074</v>
      </c>
      <c r="J544" s="31" t="str">
        <f t="shared" si="43"/>
        <v>(${Variables: E2_7_1_40_Kcat } * E2_7_1_40 * 	
C00002 * C00022) /(${Variables:E2_7_1_40_Km} + (E2_7_1_40 * 	
C00002 * C00022))</v>
      </c>
      <c r="K544" s="32" t="str">
        <f t="shared" si="44"/>
        <v>r543: 	
C00002 + C00022 -&gt; C00008 + C00074 | (${Variables: E2_7_1_40_Kcat } * E2_7_1_40 * 	
C00002 * C00022) /(${Variables:E2_7_1_40_Km} + (E2_7_1_40 * 	
C00002 * C00022))</v>
      </c>
    </row>
    <row r="545" spans="1:11" ht="29" x14ac:dyDescent="0.35">
      <c r="A545" s="31" t="s">
        <v>5756</v>
      </c>
      <c r="B545" s="31" t="s">
        <v>5757</v>
      </c>
      <c r="C545" s="31" t="s">
        <v>14118</v>
      </c>
      <c r="D545" s="31">
        <v>544</v>
      </c>
      <c r="E545" s="31" t="str">
        <f t="shared" si="41"/>
        <v>E2_7_1_40</v>
      </c>
      <c r="F545" s="31" t="s">
        <v>9953</v>
      </c>
      <c r="G545" s="31" t="str">
        <f t="shared" si="42"/>
        <v>C00044 * C00022</v>
      </c>
      <c r="H545" s="31" t="s">
        <v>9954</v>
      </c>
      <c r="I545" s="31" t="str">
        <f t="shared" si="45"/>
        <v>C00035 * C00074</v>
      </c>
      <c r="J545" s="31" t="str">
        <f t="shared" si="43"/>
        <v>(${Variables: E2_7_1_40_Kcat } * E2_7_1_40 * C00044 * C00022) /(${Variables:E2_7_1_40_Km} + (E2_7_1_40 * C00044 * C00022))</v>
      </c>
      <c r="K545" s="32" t="str">
        <f t="shared" si="44"/>
        <v>r544: C00044 + C00022 -&gt; C00035 + C00074 | (${Variables: E2_7_1_40_Kcat } * E2_7_1_40 * C00044 * C00022) /(${Variables:E2_7_1_40_Km} + (E2_7_1_40 * C00044 * C00022))</v>
      </c>
    </row>
    <row r="546" spans="1:11" ht="58" x14ac:dyDescent="0.35">
      <c r="A546" s="31" t="s">
        <v>5756</v>
      </c>
      <c r="B546" s="31" t="s">
        <v>5757</v>
      </c>
      <c r="C546" s="31" t="s">
        <v>14118</v>
      </c>
      <c r="D546" s="31">
        <v>545</v>
      </c>
      <c r="E546" s="31" t="str">
        <f t="shared" si="41"/>
        <v>E2_7_1_40</v>
      </c>
      <c r="F546" s="31" t="s">
        <v>9956</v>
      </c>
      <c r="G546" s="31" t="str">
        <f t="shared" si="42"/>
        <v xml:space="preserve">	
C00063 * C00022</v>
      </c>
      <c r="H546" s="31" t="s">
        <v>9957</v>
      </c>
      <c r="I546" s="31" t="str">
        <f t="shared" si="45"/>
        <v>C00112 * C00074</v>
      </c>
      <c r="J546" s="31" t="str">
        <f t="shared" si="43"/>
        <v>(${Variables: E2_7_1_40_Kcat } * E2_7_1_40 * 	
C00063 * C00022) /(${Variables:E2_7_1_40_Km} + (E2_7_1_40 * 	
C00063 * C00022))</v>
      </c>
      <c r="K546" s="32" t="str">
        <f t="shared" si="44"/>
        <v>r545: 	
C00063 + C00022 -&gt; C00112 + C00074 | (${Variables: E2_7_1_40_Kcat } * E2_7_1_40 * 	
C00063 * C00022) /(${Variables:E2_7_1_40_Km} + (E2_7_1_40 * 	
C00063 * C00022))</v>
      </c>
    </row>
    <row r="547" spans="1:11" ht="29" x14ac:dyDescent="0.35">
      <c r="A547" s="31" t="s">
        <v>5756</v>
      </c>
      <c r="B547" s="31" t="s">
        <v>5757</v>
      </c>
      <c r="C547" s="31" t="s">
        <v>14118</v>
      </c>
      <c r="D547" s="31">
        <v>546</v>
      </c>
      <c r="E547" s="31" t="str">
        <f t="shared" si="41"/>
        <v>E2_7_1_40</v>
      </c>
      <c r="F547" s="31" t="s">
        <v>9959</v>
      </c>
      <c r="G547" s="31" t="str">
        <f t="shared" si="42"/>
        <v>C00075 * C00022</v>
      </c>
      <c r="H547" s="31" t="s">
        <v>9960</v>
      </c>
      <c r="I547" s="31" t="str">
        <f t="shared" si="45"/>
        <v> C00015 * C00074</v>
      </c>
      <c r="J547" s="31" t="str">
        <f t="shared" si="43"/>
        <v>(${Variables: E2_7_1_40_Kcat } * E2_7_1_40 * C00075 * C00022) /(${Variables:E2_7_1_40_Km} + (E2_7_1_40 * C00075 * C00022))</v>
      </c>
      <c r="K547" s="32" t="str">
        <f t="shared" si="44"/>
        <v>r546: C00075 + C00022 -&gt;  C00015 + C00074 | (${Variables: E2_7_1_40_Kcat } * E2_7_1_40 * C00075 * C00022) /(${Variables:E2_7_1_40_Km} + (E2_7_1_40 * C00075 * C00022))</v>
      </c>
    </row>
    <row r="548" spans="1:11" ht="58" x14ac:dyDescent="0.35">
      <c r="A548" s="31" t="s">
        <v>5756</v>
      </c>
      <c r="B548" s="31" t="s">
        <v>5757</v>
      </c>
      <c r="C548" s="31" t="s">
        <v>14118</v>
      </c>
      <c r="D548" s="31">
        <v>547</v>
      </c>
      <c r="E548" s="31" t="str">
        <f t="shared" si="41"/>
        <v>E2_7_1_40</v>
      </c>
      <c r="F548" s="31" t="s">
        <v>9962</v>
      </c>
      <c r="G548" s="31" t="str">
        <f t="shared" si="42"/>
        <v xml:space="preserve">	
C00081 * C00022 </v>
      </c>
      <c r="H548" s="31" t="s">
        <v>9963</v>
      </c>
      <c r="I548" s="31" t="str">
        <f t="shared" si="45"/>
        <v>C00104 * C00074</v>
      </c>
      <c r="J548" s="31" t="str">
        <f t="shared" si="43"/>
        <v>(${Variables: E2_7_1_40_Kcat } * E2_7_1_40 * 	
C00081 * C00022 ) /(${Variables:E2_7_1_40_Km} + (E2_7_1_40 * 	
C00081 * C00022 ))</v>
      </c>
      <c r="K548" s="32" t="str">
        <f t="shared" si="44"/>
        <v>r547: 	
C00081 + C00022  -&gt; C00104 + C00074 | (${Variables: E2_7_1_40_Kcat } * E2_7_1_40 * 	
C00081 * C00022 ) /(${Variables:E2_7_1_40_Km} + (E2_7_1_40 * 	
C00081 * C00022 ))</v>
      </c>
    </row>
    <row r="549" spans="1:11" ht="58" x14ac:dyDescent="0.35">
      <c r="A549" s="31" t="s">
        <v>5756</v>
      </c>
      <c r="B549" s="31" t="s">
        <v>5757</v>
      </c>
      <c r="C549" s="31" t="s">
        <v>14118</v>
      </c>
      <c r="D549" s="31">
        <v>548</v>
      </c>
      <c r="E549" s="31" t="str">
        <f t="shared" si="41"/>
        <v>E2_7_1_40</v>
      </c>
      <c r="F549" s="31" t="s">
        <v>9965</v>
      </c>
      <c r="G549" s="31" t="str">
        <f t="shared" si="42"/>
        <v xml:space="preserve">	
C00131 * C00022</v>
      </c>
      <c r="H549" s="31" t="s">
        <v>9966</v>
      </c>
      <c r="I549" s="31" t="str">
        <f t="shared" si="45"/>
        <v>C00206 * C00074</v>
      </c>
      <c r="J549" s="31" t="str">
        <f t="shared" si="43"/>
        <v>(${Variables: E2_7_1_40_Kcat } * E2_7_1_40 * 	
C00131 * C00022) /(${Variables:E2_7_1_40_Km} + (E2_7_1_40 * 	
C00131 * C00022))</v>
      </c>
      <c r="K549" s="32" t="str">
        <f t="shared" si="44"/>
        <v>r548: 	
C00131 + C00022 -&gt; C00206 + C00074 | (${Variables: E2_7_1_40_Kcat } * E2_7_1_40 * 	
C00131 * C00022) /(${Variables:E2_7_1_40_Km} + (E2_7_1_40 * 	
C00131 * C00022))</v>
      </c>
    </row>
    <row r="550" spans="1:11" ht="58" x14ac:dyDescent="0.35">
      <c r="A550" s="31" t="s">
        <v>5756</v>
      </c>
      <c r="B550" s="31" t="s">
        <v>5757</v>
      </c>
      <c r="C550" s="31" t="s">
        <v>14118</v>
      </c>
      <c r="D550" s="31">
        <v>549</v>
      </c>
      <c r="E550" s="31" t="str">
        <f t="shared" si="41"/>
        <v>E2_7_1_40</v>
      </c>
      <c r="F550" s="31" t="s">
        <v>9968</v>
      </c>
      <c r="G550" s="31" t="str">
        <f t="shared" si="42"/>
        <v xml:space="preserve">	
C00286 * C00022</v>
      </c>
      <c r="H550" s="31" t="s">
        <v>9969</v>
      </c>
      <c r="I550" s="31" t="str">
        <f t="shared" si="45"/>
        <v>C00361 * C00074</v>
      </c>
      <c r="J550" s="31" t="str">
        <f t="shared" si="43"/>
        <v>(${Variables: E2_7_1_40_Kcat } * E2_7_1_40 * 	
C00286 * C00022) /(${Variables:E2_7_1_40_Km} + (E2_7_1_40 * 	
C00286 * C00022))</v>
      </c>
      <c r="K550" s="32" t="str">
        <f t="shared" si="44"/>
        <v>r549: 	
C00286 + C00022 -&gt; C00361 + C00074 | (${Variables: E2_7_1_40_Kcat } * E2_7_1_40 * 	
C00286 * C00022) /(${Variables:E2_7_1_40_Km} + (E2_7_1_40 * 	
C00286 * C00022))</v>
      </c>
    </row>
    <row r="551" spans="1:11" ht="29" x14ac:dyDescent="0.35">
      <c r="A551" s="31" t="s">
        <v>5756</v>
      </c>
      <c r="B551" s="31" t="s">
        <v>5757</v>
      </c>
      <c r="C551" s="31" t="s">
        <v>14118</v>
      </c>
      <c r="D551" s="31">
        <v>550</v>
      </c>
      <c r="E551" s="31" t="str">
        <f t="shared" si="41"/>
        <v>E2_7_1_40</v>
      </c>
      <c r="F551" s="31" t="s">
        <v>9971</v>
      </c>
      <c r="G551" s="31" t="str">
        <f t="shared" si="42"/>
        <v>C00201 * C00022</v>
      </c>
      <c r="H551" s="31" t="s">
        <v>9972</v>
      </c>
      <c r="I551" s="31" t="str">
        <f t="shared" si="45"/>
        <v> C00454 * C00074</v>
      </c>
      <c r="J551" s="31" t="str">
        <f t="shared" si="43"/>
        <v>(${Variables: E2_7_1_40_Kcat } * E2_7_1_40 * C00201 * C00022) /(${Variables:E2_7_1_40_Km} + (E2_7_1_40 * C00201 * C00022))</v>
      </c>
      <c r="K551" s="32" t="str">
        <f t="shared" si="44"/>
        <v>r550: C00201 + C00022 -&gt;  C00454 + C00074 | (${Variables: E2_7_1_40_Kcat } * E2_7_1_40 * C00201 * C00022) /(${Variables:E2_7_1_40_Km} + (E2_7_1_40 * C00201 * C00022))</v>
      </c>
    </row>
    <row r="552" spans="1:11" ht="58" x14ac:dyDescent="0.35">
      <c r="A552" s="31" t="s">
        <v>4127</v>
      </c>
      <c r="B552" s="31" t="s">
        <v>4128</v>
      </c>
      <c r="C552" s="31" t="s">
        <v>14119</v>
      </c>
      <c r="D552" s="31">
        <v>551</v>
      </c>
      <c r="E552" s="31" t="str">
        <f t="shared" si="41"/>
        <v xml:space="preserve">E2_7_1_49 </v>
      </c>
      <c r="F552" s="31" t="s">
        <v>9977</v>
      </c>
      <c r="G552" s="31" t="str">
        <f t="shared" si="42"/>
        <v xml:space="preserve">	
C00002 * C01279</v>
      </c>
      <c r="H552" s="31" t="s">
        <v>9978</v>
      </c>
      <c r="I552" s="31" t="str">
        <f t="shared" si="45"/>
        <v> C00008 * C04556</v>
      </c>
      <c r="J552" s="31" t="str">
        <f t="shared" si="43"/>
        <v>(${Variables: E2_7_1_49 _Kcat } * E2_7_1_49  * 	
C00002 * C01279) /(${Variables:E2_7_1_49 _Km} + (E2_7_1_49  * 	
C00002 * C01279))</v>
      </c>
      <c r="K552" s="31" t="str">
        <f t="shared" si="44"/>
        <v>r551: 	
C00002 + C01279 -&gt;  C00008 + C04556 | (${Variables: E2_7_1_49 _Kcat } * E2_7_1_49  * 	
C00002 * C01279) /(${Variables:E2_7_1_49 _Km} + (E2_7_1_49  * 	
C00002 * C01279))</v>
      </c>
    </row>
    <row r="553" spans="1:11" ht="29" x14ac:dyDescent="0.35">
      <c r="A553" s="31" t="s">
        <v>4127</v>
      </c>
      <c r="B553" s="31" t="s">
        <v>4128</v>
      </c>
      <c r="C553" s="31" t="s">
        <v>14120</v>
      </c>
      <c r="D553" s="31">
        <v>552</v>
      </c>
      <c r="E553" s="31" t="str">
        <f t="shared" si="41"/>
        <v>E2_7_4_7</v>
      </c>
      <c r="F553" s="31" t="s">
        <v>9981</v>
      </c>
      <c r="G553" s="31" t="str">
        <f t="shared" si="42"/>
        <v xml:space="preserve">C00002 * C04556 </v>
      </c>
      <c r="H553" s="31" t="s">
        <v>9982</v>
      </c>
      <c r="I553" s="31" t="str">
        <f t="shared" si="45"/>
        <v> C00008 * C04752</v>
      </c>
      <c r="J553" s="31" t="str">
        <f t="shared" si="43"/>
        <v>(${Variables: E2_7_4_7_Kcat } * E2_7_4_7 * C00002 * C04556 ) /(${Variables:E2_7_4_7_Km} + (E2_7_4_7 * C00002 * C04556 ))</v>
      </c>
      <c r="K553" s="32" t="str">
        <f t="shared" si="44"/>
        <v>r552: C00002 + C04556  -&gt;  C00008 + C04752 | (${Variables: E2_7_4_7_Kcat } * E2_7_4_7 * C00002 * C04556 ) /(${Variables:E2_7_4_7_Km} + (E2_7_4_7 * C00002 * C04556 ))</v>
      </c>
    </row>
    <row r="554" spans="1:11" ht="58" x14ac:dyDescent="0.35">
      <c r="A554" s="31" t="s">
        <v>8354</v>
      </c>
      <c r="B554" s="31" t="s">
        <v>8355</v>
      </c>
      <c r="C554" s="31" t="s">
        <v>14119</v>
      </c>
      <c r="D554" s="31">
        <v>553</v>
      </c>
      <c r="E554" s="31" t="str">
        <f t="shared" si="41"/>
        <v xml:space="preserve">E2_7_1_49 </v>
      </c>
      <c r="F554" s="31" t="s">
        <v>9977</v>
      </c>
      <c r="G554" s="31" t="str">
        <f t="shared" si="42"/>
        <v xml:space="preserve">	
C00002 * C01279</v>
      </c>
      <c r="H554" s="31" t="s">
        <v>9978</v>
      </c>
      <c r="I554" s="31" t="str">
        <f t="shared" si="45"/>
        <v> C00008 * C04556</v>
      </c>
      <c r="J554" s="31" t="str">
        <f t="shared" si="43"/>
        <v>(${Variables: E2_7_1_49 _Kcat } * E2_7_1_49  * 	
C00002 * C01279) /(${Variables:E2_7_1_49 _Km} + (E2_7_1_49  * 	
C00002 * C01279))</v>
      </c>
      <c r="K554" s="31" t="str">
        <f t="shared" si="44"/>
        <v>r553: 	
C00002 + C01279 -&gt;  C00008 + C04556 | (${Variables: E2_7_1_49 _Kcat } * E2_7_1_49  * 	
C00002 * C01279) /(${Variables:E2_7_1_49 _Km} + (E2_7_1_49  * 	
C00002 * C01279))</v>
      </c>
    </row>
    <row r="555" spans="1:11" ht="29" x14ac:dyDescent="0.35">
      <c r="A555" s="31" t="s">
        <v>8354</v>
      </c>
      <c r="B555" s="31" t="s">
        <v>8355</v>
      </c>
      <c r="C555" s="31" t="s">
        <v>14120</v>
      </c>
      <c r="D555" s="31">
        <v>554</v>
      </c>
      <c r="E555" s="31" t="str">
        <f t="shared" si="41"/>
        <v>E2_7_4_7</v>
      </c>
      <c r="F555" s="31" t="s">
        <v>9981</v>
      </c>
      <c r="G555" s="31" t="str">
        <f t="shared" si="42"/>
        <v xml:space="preserve">C00002 * C04556 </v>
      </c>
      <c r="H555" s="31" t="s">
        <v>9982</v>
      </c>
      <c r="I555" s="31" t="str">
        <f t="shared" si="45"/>
        <v> C00008 * C04752</v>
      </c>
      <c r="J555" s="31" t="str">
        <f t="shared" si="43"/>
        <v>(${Variables: E2_7_4_7_Kcat } * E2_7_4_7 * C00002 * C04556 ) /(${Variables:E2_7_4_7_Km} + (E2_7_4_7 * C00002 * C04556 ))</v>
      </c>
      <c r="K555" s="32" t="str">
        <f t="shared" si="44"/>
        <v>r554: C00002 + C04556  -&gt;  C00008 + C04752 | (${Variables: E2_7_4_7_Kcat } * E2_7_4_7 * C00002 * C04556 ) /(${Variables:E2_7_4_7_Km} + (E2_7_4_7 * C00002 * C04556 ))</v>
      </c>
    </row>
    <row r="556" spans="1:11" ht="58" x14ac:dyDescent="0.35">
      <c r="A556" s="31" t="s">
        <v>4131</v>
      </c>
      <c r="B556" s="31" t="s">
        <v>4132</v>
      </c>
      <c r="C556" s="31" t="s">
        <v>14121</v>
      </c>
      <c r="D556" s="31">
        <v>555</v>
      </c>
      <c r="E556" s="31" t="str">
        <f t="shared" si="41"/>
        <v>E2_7_1_50</v>
      </c>
      <c r="F556" s="31" t="s">
        <v>9985</v>
      </c>
      <c r="G556" s="31" t="str">
        <f t="shared" si="42"/>
        <v xml:space="preserve">	
C00002 * C04294</v>
      </c>
      <c r="H556" s="31" t="s">
        <v>9986</v>
      </c>
      <c r="I556" s="31" t="str">
        <f t="shared" si="45"/>
        <v> C00008 * C04327</v>
      </c>
      <c r="J556" s="31" t="str">
        <f t="shared" si="43"/>
        <v>(${Variables: E2_7_1_50_Kcat } * E2_7_1_50 * 	
C00002 * C04294) /(${Variables:E2_7_1_50_Km} + (E2_7_1_50 * 	
C00002 * C04294))</v>
      </c>
      <c r="K556" s="31" t="str">
        <f t="shared" si="44"/>
        <v>r555: 	
C00002 + C04294 -&gt;  C00008 + C04327 | (${Variables: E2_7_1_50_Kcat } * E2_7_1_50 * 	
C00002 * C04294) /(${Variables:E2_7_1_50_Km} + (E2_7_1_50 * 	
C00002 * C04294))</v>
      </c>
    </row>
    <row r="557" spans="1:11" ht="58" x14ac:dyDescent="0.35">
      <c r="A557" s="31" t="s">
        <v>5321</v>
      </c>
      <c r="B557" s="31" t="s">
        <v>5322</v>
      </c>
      <c r="C557" s="31" t="s">
        <v>14122</v>
      </c>
      <c r="D557" s="31">
        <v>556</v>
      </c>
      <c r="E557" s="31" t="str">
        <f t="shared" si="41"/>
        <v>E2_7_1_56</v>
      </c>
      <c r="F557" s="31" t="s">
        <v>9989</v>
      </c>
      <c r="G557" s="31" t="str">
        <f t="shared" si="42"/>
        <v xml:space="preserve">	
C00002 * C01094 </v>
      </c>
      <c r="H557" s="31" t="s">
        <v>9990</v>
      </c>
      <c r="I557" s="31" t="str">
        <f t="shared" si="45"/>
        <v>C00008 * C00354</v>
      </c>
      <c r="J557" s="31" t="str">
        <f t="shared" si="43"/>
        <v>(${Variables: E2_7_1_56_Kcat } * E2_7_1_56 * 	
C00002 * C01094 ) /(${Variables:E2_7_1_56_Km} + (E2_7_1_56 * 	
C00002 * C01094 ))</v>
      </c>
      <c r="K557" s="31" t="str">
        <f t="shared" si="44"/>
        <v>r556: 	
C00002 + C01094  -&gt; C00008 + C00354 | (${Variables: E2_7_1_56_Kcat } * E2_7_1_56 * 	
C00002 * C01094 ) /(${Variables:E2_7_1_56_Km} + (E2_7_1_56 * 	
C00002 * C01094 ))</v>
      </c>
    </row>
    <row r="558" spans="1:11" ht="29" x14ac:dyDescent="0.35">
      <c r="A558" s="31" t="s">
        <v>5321</v>
      </c>
      <c r="B558" s="31" t="s">
        <v>5322</v>
      </c>
      <c r="C558" s="31" t="s">
        <v>14122</v>
      </c>
      <c r="D558" s="31">
        <v>557</v>
      </c>
      <c r="E558" s="31" t="str">
        <f t="shared" si="41"/>
        <v>E2_7_1_56</v>
      </c>
      <c r="F558" s="31" t="s">
        <v>9992</v>
      </c>
      <c r="G558" s="31" t="str">
        <f t="shared" si="42"/>
        <v xml:space="preserve">C00002 * C01094 </v>
      </c>
      <c r="H558" s="31" t="s">
        <v>9993</v>
      </c>
      <c r="I558" s="31" t="str">
        <f t="shared" si="45"/>
        <v>C00008 * C05378</v>
      </c>
      <c r="J558" s="31" t="str">
        <f t="shared" si="43"/>
        <v>(${Variables: E2_7_1_56_Kcat } * E2_7_1_56 * C00002 * C01094 ) /(${Variables:E2_7_1_56_Km} + (E2_7_1_56 * C00002 * C01094 ))</v>
      </c>
      <c r="K558" s="31" t="str">
        <f t="shared" si="44"/>
        <v>r557: C00002 + C01094  -&gt; C00008 + C05378 | (${Variables: E2_7_1_56_Kcat } * E2_7_1_56 * C00002 * C01094 ) /(${Variables:E2_7_1_56_Km} + (E2_7_1_56 * C00002 * C01094 ))</v>
      </c>
    </row>
    <row r="559" spans="1:11" ht="58" x14ac:dyDescent="0.35">
      <c r="A559" s="31" t="s">
        <v>5321</v>
      </c>
      <c r="B559" s="31" t="s">
        <v>5322</v>
      </c>
      <c r="C559" s="31" t="s">
        <v>14122</v>
      </c>
      <c r="D559" s="31">
        <v>558</v>
      </c>
      <c r="E559" s="31" t="str">
        <f t="shared" si="41"/>
        <v>E2_7_1_56</v>
      </c>
      <c r="F559" s="31" t="s">
        <v>9995</v>
      </c>
      <c r="G559" s="31" t="str">
        <f t="shared" si="42"/>
        <v xml:space="preserve">	
C01097 * C00002</v>
      </c>
      <c r="H559" s="31" t="s">
        <v>9996</v>
      </c>
      <c r="I559" s="31" t="str">
        <f t="shared" si="45"/>
        <v>C03785 * C00008</v>
      </c>
      <c r="J559" s="31" t="str">
        <f t="shared" si="43"/>
        <v>(${Variables: E2_7_1_56_Kcat } * E2_7_1_56 * 	
C01097 * C00002) /(${Variables:E2_7_1_56_Km} + (E2_7_1_56 * 	
C01097 * C00002))</v>
      </c>
      <c r="K559" s="31" t="str">
        <f t="shared" si="44"/>
        <v>r558: 	
C01097 + C00002 -&gt; C03785 + C00008 | (${Variables: E2_7_1_56_Kcat } * E2_7_1_56 * 	
C01097 * C00002) /(${Variables:E2_7_1_56_Km} + (E2_7_1_56 * 	
C01097 * C00002))</v>
      </c>
    </row>
    <row r="560" spans="1:11" ht="58" x14ac:dyDescent="0.35">
      <c r="A560" s="31" t="s">
        <v>5248</v>
      </c>
      <c r="B560" s="31" t="s">
        <v>5249</v>
      </c>
      <c r="C560" s="31" t="s">
        <v>14123</v>
      </c>
      <c r="D560" s="31">
        <v>559</v>
      </c>
      <c r="E560" s="31" t="str">
        <f t="shared" si="41"/>
        <v>E2_7_1_63</v>
      </c>
      <c r="F560" s="31" t="s">
        <v>9999</v>
      </c>
      <c r="G560" s="31" t="str">
        <f t="shared" si="42"/>
        <v xml:space="preserve">	
C00404 * C00031</v>
      </c>
      <c r="H560" s="31" t="s">
        <v>10000</v>
      </c>
      <c r="I560" s="31" t="str">
        <f t="shared" si="45"/>
        <v> C00404 * C00092</v>
      </c>
      <c r="J560" s="31" t="str">
        <f t="shared" si="43"/>
        <v>(${Variables: E2_7_1_63_Kcat } * E2_7_1_63 * 	
C00404 * C00031) /(${Variables:E2_7_1_63_Km} + (E2_7_1_63 * 	
C00404 * C00031))</v>
      </c>
      <c r="K560" s="31" t="str">
        <f t="shared" si="44"/>
        <v>r559: 	
C00404 + C00031 -&gt;  C00404 + C00092 | (${Variables: E2_7_1_63_Kcat } * E2_7_1_63 * 	
C00404 * C00031) /(${Variables:E2_7_1_63_Km} + (E2_7_1_63 * 	
C00404 * C00031))</v>
      </c>
    </row>
    <row r="561" spans="1:11" ht="58" x14ac:dyDescent="0.35">
      <c r="A561" s="31" t="s">
        <v>5248</v>
      </c>
      <c r="B561" s="31" t="s">
        <v>5249</v>
      </c>
      <c r="C561" s="31" t="s">
        <v>14123</v>
      </c>
      <c r="D561" s="31">
        <v>560</v>
      </c>
      <c r="E561" s="31" t="str">
        <f t="shared" si="41"/>
        <v>E2_7_1_63</v>
      </c>
      <c r="F561" s="31" t="s">
        <v>10002</v>
      </c>
      <c r="G561" s="31" t="str">
        <f t="shared" si="42"/>
        <v xml:space="preserve">	
C00404 * C00221</v>
      </c>
      <c r="H561" s="31" t="s">
        <v>10003</v>
      </c>
      <c r="I561" s="31" t="str">
        <f t="shared" si="45"/>
        <v>C00404 * C01172</v>
      </c>
      <c r="J561" s="31" t="str">
        <f t="shared" si="43"/>
        <v>(${Variables: E2_7_1_63_Kcat } * E2_7_1_63 * 	
C00404 * C00221) /(${Variables:E2_7_1_63_Km} + (E2_7_1_63 * 	
C00404 * C00221))</v>
      </c>
      <c r="K561" s="31" t="str">
        <f t="shared" si="44"/>
        <v>r560: 	
C00404 + C00221 -&gt; C00404 + C01172 | (${Variables: E2_7_1_63_Kcat } * E2_7_1_63 * 	
C00404 * C00221) /(${Variables:E2_7_1_63_Km} + (E2_7_1_63 * 	
C00404 * C00221))</v>
      </c>
    </row>
    <row r="562" spans="1:11" ht="29" x14ac:dyDescent="0.35">
      <c r="A562" s="31" t="s">
        <v>5248</v>
      </c>
      <c r="B562" s="31" t="s">
        <v>5249</v>
      </c>
      <c r="C562" s="31" t="s">
        <v>14123</v>
      </c>
      <c r="D562" s="31">
        <v>561</v>
      </c>
      <c r="E562" s="31" t="str">
        <f t="shared" si="41"/>
        <v>E2_7_1_63</v>
      </c>
      <c r="F562" s="31" t="s">
        <v>10005</v>
      </c>
      <c r="G562" s="31" t="str">
        <f t="shared" si="42"/>
        <v>C00404 * C00267</v>
      </c>
      <c r="H562" s="31" t="s">
        <v>10006</v>
      </c>
      <c r="I562" s="31" t="str">
        <f t="shared" si="45"/>
        <v> C00404 * C00668</v>
      </c>
      <c r="J562" s="31" t="str">
        <f t="shared" si="43"/>
        <v>(${Variables: E2_7_1_63_Kcat } * E2_7_1_63 * C00404 * C00267) /(${Variables:E2_7_1_63_Km} + (E2_7_1_63 * C00404 * C00267))</v>
      </c>
      <c r="K562" s="31" t="str">
        <f t="shared" si="44"/>
        <v>r561: C00404 + C00267 -&gt;  C00404 + C00668 | (${Variables: E2_7_1_63_Kcat } * E2_7_1_63 * C00404 * C00267) /(${Variables:E2_7_1_63_Km} + (E2_7_1_63 * C00404 * C00267))</v>
      </c>
    </row>
    <row r="563" spans="1:11" ht="29" x14ac:dyDescent="0.35">
      <c r="A563" s="31" t="s">
        <v>4597</v>
      </c>
      <c r="B563" s="31" t="s">
        <v>4598</v>
      </c>
      <c r="C563" s="31" t="s">
        <v>14124</v>
      </c>
      <c r="D563" s="31">
        <v>562</v>
      </c>
      <c r="E563" s="31" t="str">
        <f t="shared" si="41"/>
        <v>E2_7_1_71</v>
      </c>
      <c r="F563" s="31" t="s">
        <v>10009</v>
      </c>
      <c r="G563" s="31" t="str">
        <f t="shared" si="42"/>
        <v>C00002 * C00493</v>
      </c>
      <c r="H563" s="31" t="s">
        <v>10010</v>
      </c>
      <c r="I563" s="31" t="str">
        <f t="shared" si="45"/>
        <v> C00008 * C03175</v>
      </c>
      <c r="J563" s="31" t="str">
        <f t="shared" si="43"/>
        <v>(${Variables: E2_7_1_71_Kcat } * E2_7_1_71 * C00002 * C00493) /(${Variables:E2_7_1_71_Km} + (E2_7_1_71 * C00002 * C00493))</v>
      </c>
      <c r="K563" s="32" t="str">
        <f t="shared" si="44"/>
        <v>r562: C00002 + C00493 -&gt;  C00008 + C03175 | (${Variables: E2_7_1_71_Kcat } * E2_7_1_71 * C00002 * C00493) /(${Variables:E2_7_1_71_Km} + (E2_7_1_71 * C00002 * C00493))</v>
      </c>
    </row>
    <row r="564" spans="1:11" ht="29" x14ac:dyDescent="0.35">
      <c r="A564" s="31" t="s">
        <v>498</v>
      </c>
      <c r="B564" s="31" t="s">
        <v>499</v>
      </c>
      <c r="C564" s="31" t="s">
        <v>14125</v>
      </c>
      <c r="D564" s="31">
        <v>563</v>
      </c>
      <c r="E564" s="31" t="str">
        <f t="shared" si="41"/>
        <v>E2_7_1_92</v>
      </c>
      <c r="F564" s="31" t="s">
        <v>10013</v>
      </c>
      <c r="G564" s="31" t="str">
        <f t="shared" si="42"/>
        <v>C06892 * C00002 </v>
      </c>
      <c r="H564" s="31" t="s">
        <v>10014</v>
      </c>
      <c r="I564" s="31" t="str">
        <f t="shared" si="45"/>
        <v>C06893 * C00008</v>
      </c>
      <c r="J564" s="31" t="str">
        <f t="shared" si="43"/>
        <v>(${Variables: E2_7_1_92_Kcat } * E2_7_1_92 * C06892 * C00002 ) /(${Variables:E2_7_1_92_Km} + (E2_7_1_92 * C06892 * C00002 ))</v>
      </c>
      <c r="K564" s="31" t="str">
        <f t="shared" si="44"/>
        <v>r563: C06892 + C00002  -&gt; C06893 + C00008 | (${Variables: E2_7_1_92_Kcat } * E2_7_1_92 * C06892 * C00002 ) /(${Variables:E2_7_1_92_Km} + (E2_7_1_92 * C06892 * C00002 ))</v>
      </c>
    </row>
    <row r="565" spans="1:11" ht="58" x14ac:dyDescent="0.35">
      <c r="A565" s="31" t="s">
        <v>1030</v>
      </c>
      <c r="B565" s="31" t="s">
        <v>1031</v>
      </c>
      <c r="C565" s="31" t="s">
        <v>14126</v>
      </c>
      <c r="D565" s="31">
        <v>564</v>
      </c>
      <c r="E565" s="31" t="str">
        <f t="shared" si="41"/>
        <v>E2_7_10_2</v>
      </c>
      <c r="F565" s="31" t="s">
        <v>10017</v>
      </c>
      <c r="G565" s="31" t="str">
        <f t="shared" si="42"/>
        <v xml:space="preserve">	
C00002 * C00585</v>
      </c>
      <c r="H565" s="31" t="s">
        <v>10018</v>
      </c>
      <c r="I565" s="31" t="str">
        <f t="shared" si="45"/>
        <v>C00008 * C01167</v>
      </c>
      <c r="J565" s="31" t="str">
        <f t="shared" si="43"/>
        <v>(${Variables: E2_7_10_2_Kcat } * E2_7_10_2 * 	
C00002 * C00585) /(${Variables:E2_7_10_2_Km} + (E2_7_10_2 * 	
C00002 * C00585))</v>
      </c>
      <c r="K565" s="31" t="str">
        <f t="shared" si="44"/>
        <v>r564: 	
C00002 + C00585 -&gt; C00008 + C01167 | (${Variables: E2_7_10_2_Kcat } * E2_7_10_2 * 	
C00002 * C00585) /(${Variables:E2_7_10_2_Km} + (E2_7_10_2 * 	
C00002 * C00585))</v>
      </c>
    </row>
    <row r="566" spans="1:11" ht="58" x14ac:dyDescent="0.35">
      <c r="A566" s="31" t="s">
        <v>3511</v>
      </c>
      <c r="B566" s="31" t="s">
        <v>3512</v>
      </c>
      <c r="C566" s="31" t="s">
        <v>14127</v>
      </c>
      <c r="D566" s="31">
        <v>565</v>
      </c>
      <c r="E566" s="31" t="str">
        <f t="shared" si="41"/>
        <v>E2_7_11_1</v>
      </c>
      <c r="F566" s="31" t="s">
        <v>10021</v>
      </c>
      <c r="G566" s="31" t="str">
        <f t="shared" si="42"/>
        <v xml:space="preserve">	
C00002 * C00017</v>
      </c>
      <c r="H566" s="31" t="s">
        <v>10022</v>
      </c>
      <c r="I566" s="31" t="str">
        <f t="shared" si="45"/>
        <v> C00008 * C00562</v>
      </c>
      <c r="J566" s="31" t="str">
        <f t="shared" si="43"/>
        <v>(${Variables: E2_7_11_1_Kcat } * E2_7_11_1 * 	
C00002 * C00017) /(${Variables:E2_7_11_1_Km} + (E2_7_11_1 * 	
C00002 * C00017))</v>
      </c>
      <c r="K566" s="32" t="str">
        <f t="shared" si="44"/>
        <v>r565: 	
C00002 + C00017 -&gt;  C00008 + C00562 | (${Variables: E2_7_11_1_Kcat } * E2_7_11_1 * 	
C00002 * C00017) /(${Variables:E2_7_11_1_Km} + (E2_7_11_1 * 	
C00002 * C00017))</v>
      </c>
    </row>
    <row r="567" spans="1:11" ht="29" x14ac:dyDescent="0.35">
      <c r="A567" s="31" t="s">
        <v>3511</v>
      </c>
      <c r="B567" s="31" t="s">
        <v>3512</v>
      </c>
      <c r="C567" s="31" t="s">
        <v>14127</v>
      </c>
      <c r="D567" s="31">
        <v>566</v>
      </c>
      <c r="E567" s="31" t="str">
        <f t="shared" si="41"/>
        <v>E2_7_11_1</v>
      </c>
      <c r="F567" s="31" t="s">
        <v>10024</v>
      </c>
      <c r="G567" s="31" t="str">
        <f t="shared" si="42"/>
        <v>C00002 * C01609</v>
      </c>
      <c r="H567" s="31" t="s">
        <v>10025</v>
      </c>
      <c r="I567" s="31" t="str">
        <f t="shared" si="45"/>
        <v>C00008 * C02729</v>
      </c>
      <c r="J567" s="31" t="str">
        <f t="shared" si="43"/>
        <v>(${Variables: E2_7_11_1_Kcat } * E2_7_11_1 * C00002 * C01609) /(${Variables:E2_7_11_1_Km} + (E2_7_11_1 * C00002 * C01609))</v>
      </c>
      <c r="K567" s="32" t="str">
        <f t="shared" si="44"/>
        <v>r566: C00002 + C01609 -&gt; C00008 + C02729 | (${Variables: E2_7_11_1_Kcat } * E2_7_11_1 * C00002 * C01609) /(${Variables:E2_7_11_1_Km} + (E2_7_11_1 * C00002 * C01609))</v>
      </c>
    </row>
    <row r="568" spans="1:11" ht="58" x14ac:dyDescent="0.35">
      <c r="A568" s="31" t="s">
        <v>7548</v>
      </c>
      <c r="B568" s="31" t="s">
        <v>7549</v>
      </c>
      <c r="C568" s="31" t="s">
        <v>14127</v>
      </c>
      <c r="D568" s="31">
        <v>567</v>
      </c>
      <c r="E568" s="31" t="str">
        <f t="shared" si="41"/>
        <v>E2_7_11_1</v>
      </c>
      <c r="F568" s="31" t="s">
        <v>10021</v>
      </c>
      <c r="G568" s="31" t="str">
        <f t="shared" si="42"/>
        <v xml:space="preserve">	
C00002 * C00017</v>
      </c>
      <c r="H568" s="31" t="s">
        <v>10022</v>
      </c>
      <c r="I568" s="31" t="str">
        <f t="shared" si="45"/>
        <v> C00008 * C00562</v>
      </c>
      <c r="J568" s="31" t="str">
        <f t="shared" si="43"/>
        <v>(${Variables: E2_7_11_1_Kcat } * E2_7_11_1 * 	
C00002 * C00017) /(${Variables:E2_7_11_1_Km} + (E2_7_11_1 * 	
C00002 * C00017))</v>
      </c>
      <c r="K568" s="32" t="str">
        <f t="shared" si="44"/>
        <v>r567: 	
C00002 + C00017 -&gt;  C00008 + C00562 | (${Variables: E2_7_11_1_Kcat } * E2_7_11_1 * 	
C00002 * C00017) /(${Variables:E2_7_11_1_Km} + (E2_7_11_1 * 	
C00002 * C00017))</v>
      </c>
    </row>
    <row r="569" spans="1:11" ht="29" x14ac:dyDescent="0.35">
      <c r="A569" s="31" t="s">
        <v>7548</v>
      </c>
      <c r="B569" s="31" t="s">
        <v>7549</v>
      </c>
      <c r="C569" s="31" t="s">
        <v>14127</v>
      </c>
      <c r="D569" s="31">
        <v>568</v>
      </c>
      <c r="E569" s="31" t="str">
        <f t="shared" si="41"/>
        <v>E2_7_11_1</v>
      </c>
      <c r="F569" s="31" t="s">
        <v>10024</v>
      </c>
      <c r="G569" s="31" t="str">
        <f t="shared" si="42"/>
        <v>C00002 * C01609</v>
      </c>
      <c r="H569" s="31" t="s">
        <v>10025</v>
      </c>
      <c r="I569" s="31" t="str">
        <f t="shared" si="45"/>
        <v>C00008 * C02729</v>
      </c>
      <c r="J569" s="31" t="str">
        <f t="shared" si="43"/>
        <v>(${Variables: E2_7_11_1_Kcat } * E2_7_11_1 * C00002 * C01609) /(${Variables:E2_7_11_1_Km} + (E2_7_11_1 * C00002 * C01609))</v>
      </c>
      <c r="K569" s="32" t="str">
        <f t="shared" si="44"/>
        <v>r568: C00002 + C01609 -&gt; C00008 + C02729 | (${Variables: E2_7_11_1_Kcat } * E2_7_11_1 * C00002 * C01609) /(${Variables:E2_7_11_1_Km} + (E2_7_11_1 * C00002 * C01609))</v>
      </c>
    </row>
    <row r="570" spans="1:11" ht="29" x14ac:dyDescent="0.35">
      <c r="A570" s="31" t="s">
        <v>238</v>
      </c>
      <c r="B570" s="31" t="s">
        <v>239</v>
      </c>
      <c r="C570" s="31" t="s">
        <v>14128</v>
      </c>
      <c r="D570" s="31">
        <v>569</v>
      </c>
      <c r="E570" s="31" t="str">
        <f t="shared" si="41"/>
        <v>E2_7_13_3</v>
      </c>
      <c r="F570" s="31" t="s">
        <v>10027</v>
      </c>
      <c r="G570" s="31" t="str">
        <f t="shared" si="42"/>
        <v>C00002*C00615</v>
      </c>
      <c r="H570" s="31" t="s">
        <v>10028</v>
      </c>
      <c r="I570" s="31" t="str">
        <f t="shared" si="45"/>
        <v>C00008</v>
      </c>
      <c r="J570" s="31" t="str">
        <f t="shared" si="43"/>
        <v>(${Variables: E2_7_13_3_Kcat } * E2_7_13_3 * C00002*C00615) /(${Variables:E2_7_13_3_Km} + (E2_7_13_3 * C00002*C00615))</v>
      </c>
      <c r="K570" s="31" t="str">
        <f t="shared" si="44"/>
        <v>r569: C00002+C00615 -&gt; C00008 | (${Variables: E2_7_13_3_Kcat } * E2_7_13_3 * C00002*C00615) /(${Variables:E2_7_13_3_Km} + (E2_7_13_3 * C00002*C00615))</v>
      </c>
    </row>
    <row r="571" spans="1:11" ht="29" x14ac:dyDescent="0.35">
      <c r="A571" s="31" t="s">
        <v>838</v>
      </c>
      <c r="B571" s="31" t="s">
        <v>839</v>
      </c>
      <c r="C571" s="31" t="s">
        <v>14128</v>
      </c>
      <c r="D571" s="31">
        <v>570</v>
      </c>
      <c r="E571" s="31" t="str">
        <f t="shared" si="41"/>
        <v>E2_7_13_3</v>
      </c>
      <c r="F571" s="31" t="s">
        <v>10027</v>
      </c>
      <c r="G571" s="31" t="str">
        <f t="shared" si="42"/>
        <v>C00002*C00615</v>
      </c>
      <c r="H571" s="31" t="s">
        <v>10028</v>
      </c>
      <c r="I571" s="31" t="str">
        <f t="shared" si="45"/>
        <v>C00008</v>
      </c>
      <c r="J571" s="31" t="str">
        <f t="shared" si="43"/>
        <v>(${Variables: E2_7_13_3_Kcat } * E2_7_13_3 * C00002*C00615) /(${Variables:E2_7_13_3_Km} + (E2_7_13_3 * C00002*C00615))</v>
      </c>
      <c r="K571" s="31" t="str">
        <f t="shared" si="44"/>
        <v>r570: C00002+C00615 -&gt; C00008 | (${Variables: E2_7_13_3_Kcat } * E2_7_13_3 * C00002*C00615) /(${Variables:E2_7_13_3_Km} + (E2_7_13_3 * C00002*C00615))</v>
      </c>
    </row>
    <row r="572" spans="1:11" ht="29" x14ac:dyDescent="0.35">
      <c r="A572" s="31" t="s">
        <v>1189</v>
      </c>
      <c r="B572" s="31" t="s">
        <v>1190</v>
      </c>
      <c r="C572" s="31" t="s">
        <v>14128</v>
      </c>
      <c r="D572" s="31">
        <v>571</v>
      </c>
      <c r="E572" s="31" t="str">
        <f t="shared" si="41"/>
        <v>E2_7_13_3</v>
      </c>
      <c r="F572" s="31" t="s">
        <v>10027</v>
      </c>
      <c r="G572" s="31" t="str">
        <f t="shared" si="42"/>
        <v>C00002*C00615</v>
      </c>
      <c r="H572" s="31" t="s">
        <v>10028</v>
      </c>
      <c r="I572" s="31" t="str">
        <f t="shared" si="45"/>
        <v>C00008</v>
      </c>
      <c r="J572" s="31" t="str">
        <f t="shared" si="43"/>
        <v>(${Variables: E2_7_13_3_Kcat } * E2_7_13_3 * C00002*C00615) /(${Variables:E2_7_13_3_Km} + (E2_7_13_3 * C00002*C00615))</v>
      </c>
      <c r="K572" s="31" t="str">
        <f t="shared" si="44"/>
        <v>r571: C00002+C00615 -&gt; C00008 | (${Variables: E2_7_13_3_Kcat } * E2_7_13_3 * C00002*C00615) /(${Variables:E2_7_13_3_Km} + (E2_7_13_3 * C00002*C00615))</v>
      </c>
    </row>
    <row r="573" spans="1:11" ht="29" x14ac:dyDescent="0.35">
      <c r="A573" s="31" t="s">
        <v>2536</v>
      </c>
      <c r="B573" s="31" t="s">
        <v>2537</v>
      </c>
      <c r="C573" s="31" t="s">
        <v>14128</v>
      </c>
      <c r="D573" s="31">
        <v>572</v>
      </c>
      <c r="E573" s="31" t="str">
        <f t="shared" si="41"/>
        <v>E2_7_13_3</v>
      </c>
      <c r="F573" s="31" t="s">
        <v>10027</v>
      </c>
      <c r="G573" s="31" t="str">
        <f t="shared" si="42"/>
        <v>C00002*C00615</v>
      </c>
      <c r="H573" s="31" t="s">
        <v>10028</v>
      </c>
      <c r="I573" s="31" t="str">
        <f t="shared" si="45"/>
        <v>C00008</v>
      </c>
      <c r="J573" s="31" t="str">
        <f t="shared" si="43"/>
        <v>(${Variables: E2_7_13_3_Kcat } * E2_7_13_3 * C00002*C00615) /(${Variables:E2_7_13_3_Km} + (E2_7_13_3 * C00002*C00615))</v>
      </c>
      <c r="K573" s="31" t="str">
        <f t="shared" si="44"/>
        <v>r572: C00002+C00615 -&gt; C00008 | (${Variables: E2_7_13_3_Kcat } * E2_7_13_3 * C00002*C00615) /(${Variables:E2_7_13_3_Km} + (E2_7_13_3 * C00002*C00615))</v>
      </c>
    </row>
    <row r="574" spans="1:11" ht="29" x14ac:dyDescent="0.35">
      <c r="A574" s="31" t="s">
        <v>2740</v>
      </c>
      <c r="B574" s="31" t="s">
        <v>2741</v>
      </c>
      <c r="C574" s="31" t="s">
        <v>14128</v>
      </c>
      <c r="D574" s="31">
        <v>573</v>
      </c>
      <c r="E574" s="31" t="str">
        <f t="shared" si="41"/>
        <v>E2_7_13_3</v>
      </c>
      <c r="F574" s="31" t="s">
        <v>10027</v>
      </c>
      <c r="G574" s="31" t="str">
        <f t="shared" si="42"/>
        <v>C00002*C00615</v>
      </c>
      <c r="H574" s="31" t="s">
        <v>10028</v>
      </c>
      <c r="I574" s="31" t="str">
        <f t="shared" si="45"/>
        <v>C00008</v>
      </c>
      <c r="J574" s="31" t="str">
        <f t="shared" si="43"/>
        <v>(${Variables: E2_7_13_3_Kcat } * E2_7_13_3 * C00002*C00615) /(${Variables:E2_7_13_3_Km} + (E2_7_13_3 * C00002*C00615))</v>
      </c>
      <c r="K574" s="31" t="str">
        <f t="shared" si="44"/>
        <v>r573: C00002+C00615 -&gt; C00008 | (${Variables: E2_7_13_3_Kcat } * E2_7_13_3 * C00002*C00615) /(${Variables:E2_7_13_3_Km} + (E2_7_13_3 * C00002*C00615))</v>
      </c>
    </row>
    <row r="575" spans="1:11" ht="29" x14ac:dyDescent="0.35">
      <c r="A575" s="31" t="s">
        <v>5539</v>
      </c>
      <c r="B575" s="31" t="s">
        <v>5540</v>
      </c>
      <c r="C575" s="31" t="s">
        <v>14128</v>
      </c>
      <c r="D575" s="31">
        <v>574</v>
      </c>
      <c r="E575" s="31" t="str">
        <f t="shared" si="41"/>
        <v>E2_7_13_3</v>
      </c>
      <c r="F575" s="31" t="s">
        <v>10027</v>
      </c>
      <c r="G575" s="31" t="str">
        <f t="shared" si="42"/>
        <v>C00002*C00615</v>
      </c>
      <c r="H575" s="31" t="s">
        <v>10028</v>
      </c>
      <c r="I575" s="31" t="str">
        <f t="shared" si="45"/>
        <v>C00008</v>
      </c>
      <c r="J575" s="31" t="str">
        <f t="shared" si="43"/>
        <v>(${Variables: E2_7_13_3_Kcat } * E2_7_13_3 * C00002*C00615) /(${Variables:E2_7_13_3_Km} + (E2_7_13_3 * C00002*C00615))</v>
      </c>
      <c r="K575" s="31" t="str">
        <f t="shared" si="44"/>
        <v>r574: C00002+C00615 -&gt; C00008 | (${Variables: E2_7_13_3_Kcat } * E2_7_13_3 * C00002*C00615) /(${Variables:E2_7_13_3_Km} + (E2_7_13_3 * C00002*C00615))</v>
      </c>
    </row>
    <row r="576" spans="1:11" ht="29" x14ac:dyDescent="0.35">
      <c r="A576" s="31" t="s">
        <v>7180</v>
      </c>
      <c r="B576" s="31" t="s">
        <v>7181</v>
      </c>
      <c r="C576" s="31" t="s">
        <v>14128</v>
      </c>
      <c r="D576" s="31">
        <v>575</v>
      </c>
      <c r="E576" s="31" t="str">
        <f t="shared" si="41"/>
        <v>E2_7_13_3</v>
      </c>
      <c r="F576" s="31" t="s">
        <v>10027</v>
      </c>
      <c r="G576" s="31" t="str">
        <f t="shared" si="42"/>
        <v>C00002*C00615</v>
      </c>
      <c r="H576" s="31" t="s">
        <v>10028</v>
      </c>
      <c r="I576" s="31" t="str">
        <f t="shared" si="45"/>
        <v>C00008</v>
      </c>
      <c r="J576" s="31" t="str">
        <f t="shared" si="43"/>
        <v>(${Variables: E2_7_13_3_Kcat } * E2_7_13_3 * C00002*C00615) /(${Variables:E2_7_13_3_Km} + (E2_7_13_3 * C00002*C00615))</v>
      </c>
      <c r="K576" s="31" t="str">
        <f t="shared" si="44"/>
        <v>r575: C00002+C00615 -&gt; C00008 | (${Variables: E2_7_13_3_Kcat } * E2_7_13_3 * C00002*C00615) /(${Variables:E2_7_13_3_Km} + (E2_7_13_3 * C00002*C00615))</v>
      </c>
    </row>
    <row r="577" spans="1:11" ht="29" x14ac:dyDescent="0.35">
      <c r="A577" s="31" t="s">
        <v>7319</v>
      </c>
      <c r="B577" s="31" t="s">
        <v>7320</v>
      </c>
      <c r="C577" s="31" t="s">
        <v>14128</v>
      </c>
      <c r="D577" s="31">
        <v>576</v>
      </c>
      <c r="E577" s="31" t="str">
        <f t="shared" si="41"/>
        <v>E2_7_13_3</v>
      </c>
      <c r="F577" s="31" t="s">
        <v>10027</v>
      </c>
      <c r="G577" s="31" t="str">
        <f t="shared" si="42"/>
        <v>C00002*C00615</v>
      </c>
      <c r="H577" s="31" t="s">
        <v>10028</v>
      </c>
      <c r="I577" s="31" t="str">
        <f t="shared" si="45"/>
        <v>C00008</v>
      </c>
      <c r="J577" s="31" t="str">
        <f t="shared" si="43"/>
        <v>(${Variables: E2_7_13_3_Kcat } * E2_7_13_3 * C00002*C00615) /(${Variables:E2_7_13_3_Km} + (E2_7_13_3 * C00002*C00615))</v>
      </c>
      <c r="K577" s="31" t="str">
        <f t="shared" si="44"/>
        <v>r576: C00002+C00615 -&gt; C00008 | (${Variables: E2_7_13_3_Kcat } * E2_7_13_3 * C00002*C00615) /(${Variables:E2_7_13_3_Km} + (E2_7_13_3 * C00002*C00615))</v>
      </c>
    </row>
    <row r="578" spans="1:11" ht="29" x14ac:dyDescent="0.35">
      <c r="A578" s="31" t="s">
        <v>7577</v>
      </c>
      <c r="B578" s="31" t="s">
        <v>7578</v>
      </c>
      <c r="C578" s="31" t="s">
        <v>14128</v>
      </c>
      <c r="D578" s="31">
        <v>577</v>
      </c>
      <c r="E578" s="31" t="str">
        <f t="shared" ref="E578:E641" si="46">CONCATENATE("E",C578)</f>
        <v>E2_7_13_3</v>
      </c>
      <c r="F578" s="31" t="s">
        <v>10027</v>
      </c>
      <c r="G578" s="31" t="str">
        <f t="shared" ref="G578:G641" si="47">SUBSTITUTE(F578,"+","*")</f>
        <v>C00002*C00615</v>
      </c>
      <c r="H578" s="31" t="s">
        <v>10028</v>
      </c>
      <c r="I578" s="31" t="str">
        <f t="shared" si="45"/>
        <v>C00008</v>
      </c>
      <c r="J578" s="31" t="str">
        <f t="shared" ref="J578:J641" si="48">CONCATENATE("(${Variables: ",E578,"_Kcat ","} * ",E578," * ",G578,")"," /(${Variables:",E578,"_Km","} + (",E578," * ",G578,"))")</f>
        <v>(${Variables: E2_7_13_3_Kcat } * E2_7_13_3 * C00002*C00615) /(${Variables:E2_7_13_3_Km} + (E2_7_13_3 * C00002*C00615))</v>
      </c>
      <c r="K578" s="31" t="str">
        <f t="shared" ref="K578:K641" si="49">CONCATENATE("r",D578,": ",F578," -&gt; ",H578," | ",J578)</f>
        <v>r577: C00002+C00615 -&gt; C00008 | (${Variables: E2_7_13_3_Kcat } * E2_7_13_3 * C00002*C00615) /(${Variables:E2_7_13_3_Km} + (E2_7_13_3 * C00002*C00615))</v>
      </c>
    </row>
    <row r="579" spans="1:11" ht="29" x14ac:dyDescent="0.35">
      <c r="A579" s="31" t="s">
        <v>7988</v>
      </c>
      <c r="B579" s="31" t="s">
        <v>7989</v>
      </c>
      <c r="C579" s="31" t="s">
        <v>14128</v>
      </c>
      <c r="D579" s="31">
        <v>578</v>
      </c>
      <c r="E579" s="31" t="str">
        <f t="shared" si="46"/>
        <v>E2_7_13_3</v>
      </c>
      <c r="F579" s="31" t="s">
        <v>10027</v>
      </c>
      <c r="G579" s="31" t="str">
        <f t="shared" si="47"/>
        <v>C00002*C00615</v>
      </c>
      <c r="H579" s="31" t="s">
        <v>10028</v>
      </c>
      <c r="I579" s="31" t="str">
        <f t="shared" si="45"/>
        <v>C00008</v>
      </c>
      <c r="J579" s="31" t="str">
        <f t="shared" si="48"/>
        <v>(${Variables: E2_7_13_3_Kcat } * E2_7_13_3 * C00002*C00615) /(${Variables:E2_7_13_3_Km} + (E2_7_13_3 * C00002*C00615))</v>
      </c>
      <c r="K579" s="31" t="str">
        <f t="shared" si="49"/>
        <v>r578: C00002+C00615 -&gt; C00008 | (${Variables: E2_7_13_3_Kcat } * E2_7_13_3 * C00002*C00615) /(${Variables:E2_7_13_3_Km} + (E2_7_13_3 * C00002*C00615))</v>
      </c>
    </row>
    <row r="580" spans="1:11" ht="29" x14ac:dyDescent="0.35">
      <c r="A580" s="31" t="s">
        <v>8067</v>
      </c>
      <c r="B580" s="31" t="s">
        <v>8068</v>
      </c>
      <c r="C580" s="31" t="s">
        <v>14128</v>
      </c>
      <c r="D580" s="31">
        <v>579</v>
      </c>
      <c r="E580" s="31" t="str">
        <f t="shared" si="46"/>
        <v>E2_7_13_3</v>
      </c>
      <c r="F580" s="31" t="s">
        <v>10027</v>
      </c>
      <c r="G580" s="31" t="str">
        <f t="shared" si="47"/>
        <v>C00002*C00615</v>
      </c>
      <c r="H580" s="31" t="s">
        <v>10028</v>
      </c>
      <c r="I580" s="31" t="str">
        <f t="shared" ref="I580:I643" si="50">SUBSTITUTE(H580,"+","*")</f>
        <v>C00008</v>
      </c>
      <c r="J580" s="31" t="str">
        <f t="shared" si="48"/>
        <v>(${Variables: E2_7_13_3_Kcat } * E2_7_13_3 * C00002*C00615) /(${Variables:E2_7_13_3_Km} + (E2_7_13_3 * C00002*C00615))</v>
      </c>
      <c r="K580" s="31" t="str">
        <f t="shared" si="49"/>
        <v>r579: C00002+C00615 -&gt; C00008 | (${Variables: E2_7_13_3_Kcat } * E2_7_13_3 * C00002*C00615) /(${Variables:E2_7_13_3_Km} + (E2_7_13_3 * C00002*C00615))</v>
      </c>
    </row>
    <row r="581" spans="1:11" ht="29" x14ac:dyDescent="0.35">
      <c r="A581" s="31" t="s">
        <v>7551</v>
      </c>
      <c r="B581" s="31" t="s">
        <v>7552</v>
      </c>
      <c r="C581" s="31" t="s">
        <v>14129</v>
      </c>
      <c r="D581" s="31">
        <v>580</v>
      </c>
      <c r="E581" s="31" t="str">
        <f t="shared" si="46"/>
        <v>E2_7_2_1</v>
      </c>
      <c r="F581" s="31" t="s">
        <v>10031</v>
      </c>
      <c r="G581" s="31" t="str">
        <f t="shared" si="47"/>
        <v>C00002 * C00033 </v>
      </c>
      <c r="H581" s="31" t="s">
        <v>10032</v>
      </c>
      <c r="I581" s="31" t="str">
        <f t="shared" si="50"/>
        <v>C00008 * C00227</v>
      </c>
      <c r="J581" s="31" t="str">
        <f t="shared" si="48"/>
        <v>(${Variables: E2_7_2_1_Kcat } * E2_7_2_1 * C00002 * C00033 ) /(${Variables:E2_7_2_1_Km} + (E2_7_2_1 * C00002 * C00033 ))</v>
      </c>
      <c r="K581" s="31" t="str">
        <f t="shared" si="49"/>
        <v>r580: C00002 + C00033  -&gt; C00008 + C00227 | (${Variables: E2_7_2_1_Kcat } * E2_7_2_1 * C00002 * C00033 ) /(${Variables:E2_7_2_1_Km} + (E2_7_2_1 * C00002 * C00033 ))</v>
      </c>
    </row>
    <row r="582" spans="1:11" ht="58" x14ac:dyDescent="0.35">
      <c r="A582" s="31" t="s">
        <v>7551</v>
      </c>
      <c r="B582" s="31" t="s">
        <v>7552</v>
      </c>
      <c r="C582" s="31" t="s">
        <v>14129</v>
      </c>
      <c r="D582" s="31">
        <v>581</v>
      </c>
      <c r="E582" s="31" t="str">
        <f t="shared" si="46"/>
        <v>E2_7_2_1</v>
      </c>
      <c r="F582" s="31" t="s">
        <v>10034</v>
      </c>
      <c r="G582" s="31" t="str">
        <f t="shared" si="47"/>
        <v xml:space="preserve">	
C00002 * C00163</v>
      </c>
      <c r="H582" s="31" t="s">
        <v>10035</v>
      </c>
      <c r="I582" s="31" t="str">
        <f t="shared" si="50"/>
        <v>C00008 * C02876</v>
      </c>
      <c r="J582" s="31" t="str">
        <f t="shared" si="48"/>
        <v>(${Variables: E2_7_2_1_Kcat } * E2_7_2_1 * 	
C00002 * C00163) /(${Variables:E2_7_2_1_Km} + (E2_7_2_1 * 	
C00002 * C00163))</v>
      </c>
      <c r="K582" s="31" t="str">
        <f t="shared" si="49"/>
        <v>r581: 	
C00002 + C00163 -&gt; C00008 + C02876 | (${Variables: E2_7_2_1_Kcat } * E2_7_2_1 * 	
C00002 * C00163) /(${Variables:E2_7_2_1_Km} + (E2_7_2_1 * 	
C00002 * C00163))</v>
      </c>
    </row>
    <row r="583" spans="1:11" ht="58" x14ac:dyDescent="0.35">
      <c r="A583" s="31" t="s">
        <v>6499</v>
      </c>
      <c r="B583" s="31" t="s">
        <v>6500</v>
      </c>
      <c r="C583" s="31" t="s">
        <v>14130</v>
      </c>
      <c r="D583" s="31">
        <v>582</v>
      </c>
      <c r="E583" s="31" t="str">
        <f t="shared" si="46"/>
        <v>E2_7_2_11</v>
      </c>
      <c r="F583" s="31" t="s">
        <v>10038</v>
      </c>
      <c r="G583" s="31" t="str">
        <f t="shared" si="47"/>
        <v xml:space="preserve">	
C00002 * C00025 </v>
      </c>
      <c r="H583" s="31" t="s">
        <v>10039</v>
      </c>
      <c r="I583" s="31" t="str">
        <f t="shared" si="50"/>
        <v> C00008 * C03287</v>
      </c>
      <c r="J583" s="31" t="str">
        <f t="shared" si="48"/>
        <v>(${Variables: E2_7_2_11_Kcat } * E2_7_2_11 * 	
C00002 * C00025 ) /(${Variables:E2_7_2_11_Km} + (E2_7_2_11 * 	
C00002 * C00025 ))</v>
      </c>
      <c r="K583" s="32" t="str">
        <f t="shared" si="49"/>
        <v>r582: 	
C00002 + C00025  -&gt;  C00008 + C03287 | (${Variables: E2_7_2_11_Kcat } * E2_7_2_11 * 	
C00002 * C00025 ) /(${Variables:E2_7_2_11_Km} + (E2_7_2_11 * 	
C00002 * C00025 ))</v>
      </c>
    </row>
    <row r="584" spans="1:11" ht="58" x14ac:dyDescent="0.35">
      <c r="A584" s="31" t="s">
        <v>4474</v>
      </c>
      <c r="B584" s="31" t="s">
        <v>4475</v>
      </c>
      <c r="C584" s="31" t="s">
        <v>14131</v>
      </c>
      <c r="D584" s="31">
        <v>583</v>
      </c>
      <c r="E584" s="31" t="str">
        <f t="shared" si="46"/>
        <v>E2_7_2_3</v>
      </c>
      <c r="F584" s="31" t="s">
        <v>10042</v>
      </c>
      <c r="G584" s="31" t="str">
        <f t="shared" si="47"/>
        <v xml:space="preserve">	
C00002 * C00197</v>
      </c>
      <c r="H584" s="31" t="s">
        <v>10043</v>
      </c>
      <c r="I584" s="31" t="str">
        <f t="shared" si="50"/>
        <v> C00008 * C00236</v>
      </c>
      <c r="J584" s="31" t="str">
        <f t="shared" si="48"/>
        <v>(${Variables: E2_7_2_3_Kcat } * E2_7_2_3 * 	
C00002 * C00197) /(${Variables:E2_7_2_3_Km} + (E2_7_2_3 * 	
C00002 * C00197))</v>
      </c>
      <c r="K584" s="32" t="str">
        <f t="shared" si="49"/>
        <v>r583: 	
C00002 + C00197 -&gt;  C00008 + C00236 | (${Variables: E2_7_2_3_Kcat } * E2_7_2_3 * 	
C00002 * C00197) /(${Variables:E2_7_2_3_Km} + (E2_7_2_3 * 	
C00002 * C00197))</v>
      </c>
    </row>
    <row r="585" spans="1:11" ht="58" x14ac:dyDescent="0.35">
      <c r="A585" s="31" t="s">
        <v>773</v>
      </c>
      <c r="B585" s="31" t="s">
        <v>774</v>
      </c>
      <c r="C585" s="31" t="s">
        <v>14132</v>
      </c>
      <c r="D585" s="31">
        <v>584</v>
      </c>
      <c r="E585" s="31" t="str">
        <f t="shared" si="46"/>
        <v>E2_7_2_4</v>
      </c>
      <c r="F585" s="31" t="s">
        <v>10046</v>
      </c>
      <c r="G585" s="31" t="str">
        <f t="shared" si="47"/>
        <v xml:space="preserve">	
C00002 * C00049 </v>
      </c>
      <c r="H585" s="31" t="s">
        <v>10047</v>
      </c>
      <c r="I585" s="31" t="str">
        <f t="shared" si="50"/>
        <v> C00008 * C03082</v>
      </c>
      <c r="J585" s="31" t="str">
        <f t="shared" si="48"/>
        <v>(${Variables: E2_7_2_4_Kcat } * E2_7_2_4 * 	
C00002 * C00049 ) /(${Variables:E2_7_2_4_Km} + (E2_7_2_4 * 	
C00002 * C00049 ))</v>
      </c>
      <c r="K585" s="32" t="str">
        <f t="shared" si="49"/>
        <v>r584: 	
C00002 + C00049  -&gt;  C00008 + C03082 | (${Variables: E2_7_2_4_Kcat } * E2_7_2_4 * 	
C00002 * C00049 ) /(${Variables:E2_7_2_4_Km} + (E2_7_2_4 * 	
C00002 * C00049 ))</v>
      </c>
    </row>
    <row r="586" spans="1:11" ht="58" x14ac:dyDescent="0.35">
      <c r="A586" s="31" t="s">
        <v>3939</v>
      </c>
      <c r="B586" s="31" t="s">
        <v>3940</v>
      </c>
      <c r="C586" s="31" t="s">
        <v>14133</v>
      </c>
      <c r="D586" s="31">
        <v>585</v>
      </c>
      <c r="E586" s="31" t="str">
        <f t="shared" si="46"/>
        <v>E2_7_2_8</v>
      </c>
      <c r="F586" s="31" t="s">
        <v>10050</v>
      </c>
      <c r="G586" s="31" t="str">
        <f t="shared" si="47"/>
        <v xml:space="preserve">	
C00002 * C00624</v>
      </c>
      <c r="H586" s="31" t="s">
        <v>10051</v>
      </c>
      <c r="I586" s="31" t="str">
        <f t="shared" si="50"/>
        <v>C00008 * C04133</v>
      </c>
      <c r="J586" s="31" t="str">
        <f t="shared" si="48"/>
        <v>(${Variables: E2_7_2_8_Kcat } * E2_7_2_8 * 	
C00002 * C00624) /(${Variables:E2_7_2_8_Km} + (E2_7_2_8 * 	
C00002 * C00624))</v>
      </c>
      <c r="K586" s="32" t="str">
        <f t="shared" si="49"/>
        <v>r585: 	
C00002 + C00624 -&gt; C00008 + C04133 | (${Variables: E2_7_2_8_Kcat } * E2_7_2_8 * 	
C00002 * C00624) /(${Variables:E2_7_2_8_Km} + (E2_7_2_8 * 	
C00002 * C00624))</v>
      </c>
    </row>
    <row r="587" spans="1:11" ht="29" x14ac:dyDescent="0.35">
      <c r="A587" s="31" t="s">
        <v>5316</v>
      </c>
      <c r="B587" s="31" t="s">
        <v>5317</v>
      </c>
      <c r="C587" s="31" t="s">
        <v>14134</v>
      </c>
      <c r="D587" s="31">
        <v>586</v>
      </c>
      <c r="E587" s="31" t="str">
        <f t="shared" si="46"/>
        <v>E2_7_3_9</v>
      </c>
      <c r="F587" s="31" t="s">
        <v>10054</v>
      </c>
      <c r="G587" s="31" t="str">
        <f t="shared" si="47"/>
        <v xml:space="preserve">C00074 * C00615 </v>
      </c>
      <c r="H587" s="31" t="s">
        <v>10055</v>
      </c>
      <c r="I587" s="31" t="str">
        <f t="shared" si="50"/>
        <v>C00022 * C04261</v>
      </c>
      <c r="J587" s="31" t="str">
        <f t="shared" si="48"/>
        <v>(${Variables: E2_7_3_9_Kcat } * E2_7_3_9 * C00074 * C00615 ) /(${Variables:E2_7_3_9_Km} + (E2_7_3_9 * C00074 * C00615 ))</v>
      </c>
      <c r="K587" s="31" t="str">
        <f t="shared" si="49"/>
        <v>r586: C00074 + C00615  -&gt; C00022 + C04261 | (${Variables: E2_7_3_9_Kcat } * E2_7_3_9 * C00074 * C00615 ) /(${Variables:E2_7_3_9_Km} + (E2_7_3_9 * C00074 * C00615 ))</v>
      </c>
    </row>
    <row r="588" spans="1:11" ht="58" x14ac:dyDescent="0.35">
      <c r="A588" s="31" t="s">
        <v>2651</v>
      </c>
      <c r="B588" s="31" t="s">
        <v>2652</v>
      </c>
      <c r="C588" s="31" t="s">
        <v>14135</v>
      </c>
      <c r="D588" s="31">
        <v>587</v>
      </c>
      <c r="E588" s="31" t="str">
        <f t="shared" si="46"/>
        <v>E2_7_4_1</v>
      </c>
      <c r="F588" s="31" t="s">
        <v>10058</v>
      </c>
      <c r="G588" s="31" t="str">
        <f t="shared" si="47"/>
        <v xml:space="preserve">	
C00002 * C00404 </v>
      </c>
      <c r="H588" s="31" t="s">
        <v>10059</v>
      </c>
      <c r="I588" s="31" t="str">
        <f t="shared" si="50"/>
        <v> C00008 * C00404</v>
      </c>
      <c r="J588" s="31" t="str">
        <f t="shared" si="48"/>
        <v>(${Variables: E2_7_4_1_Kcat } * E2_7_4_1 * 	
C00002 * C00404 ) /(${Variables:E2_7_4_1_Km} + (E2_7_4_1 * 	
C00002 * C00404 ))</v>
      </c>
      <c r="K588" s="31" t="str">
        <f t="shared" si="49"/>
        <v>r587: 	
C00002 + C00404  -&gt;  C00008 + C00404 | (${Variables: E2_7_4_1_Kcat } * E2_7_4_1 * 	
C00002 * C00404 ) /(${Variables:E2_7_4_1_Km} + (E2_7_4_1 * 	
C00002 * C00404 ))</v>
      </c>
    </row>
    <row r="589" spans="1:11" ht="58" x14ac:dyDescent="0.35">
      <c r="A589" s="31" t="s">
        <v>7452</v>
      </c>
      <c r="B589" s="31" t="s">
        <v>7453</v>
      </c>
      <c r="C589" s="31" t="s">
        <v>14135</v>
      </c>
      <c r="D589" s="31">
        <v>588</v>
      </c>
      <c r="E589" s="31" t="str">
        <f t="shared" si="46"/>
        <v>E2_7_4_1</v>
      </c>
      <c r="F589" s="31" t="s">
        <v>10058</v>
      </c>
      <c r="G589" s="31" t="str">
        <f t="shared" si="47"/>
        <v xml:space="preserve">	
C00002 * C00404 </v>
      </c>
      <c r="H589" s="31" t="s">
        <v>10059</v>
      </c>
      <c r="I589" s="31" t="str">
        <f t="shared" si="50"/>
        <v> C00008 * C00404</v>
      </c>
      <c r="J589" s="31" t="str">
        <f t="shared" si="48"/>
        <v>(${Variables: E2_7_4_1_Kcat } * E2_7_4_1 * 	
C00002 * C00404 ) /(${Variables:E2_7_4_1_Km} + (E2_7_4_1 * 	
C00002 * C00404 ))</v>
      </c>
      <c r="K589" s="31" t="str">
        <f t="shared" si="49"/>
        <v>r588: 	
C00002 + C00404  -&gt;  C00008 + C00404 | (${Variables: E2_7_4_1_Kcat } * E2_7_4_1 * 	
C00002 * C00404 ) /(${Variables:E2_7_4_1_Km} + (E2_7_4_1 * 	
C00002 * C00404 ))</v>
      </c>
    </row>
    <row r="590" spans="1:11" ht="58" x14ac:dyDescent="0.35">
      <c r="A590" s="31" t="s">
        <v>3742</v>
      </c>
      <c r="B590" s="31" t="s">
        <v>3743</v>
      </c>
      <c r="C590" s="31" t="s">
        <v>14136</v>
      </c>
      <c r="D590" s="31">
        <v>589</v>
      </c>
      <c r="E590" s="31" t="str">
        <f t="shared" si="46"/>
        <v>E2_7_4_16</v>
      </c>
      <c r="F590" s="31" t="s">
        <v>10062</v>
      </c>
      <c r="G590" s="31" t="str">
        <f t="shared" si="47"/>
        <v xml:space="preserve">	
C00002 * C01081</v>
      </c>
      <c r="H590" s="31" t="s">
        <v>10063</v>
      </c>
      <c r="I590" s="31" t="str">
        <f t="shared" si="50"/>
        <v> C00008 * C00068</v>
      </c>
      <c r="J590" s="31" t="str">
        <f t="shared" si="48"/>
        <v>(${Variables: E2_7_4_16_Kcat } * E2_7_4_16 * 	
C00002 * C01081) /(${Variables:E2_7_4_16_Km} + (E2_7_4_16 * 	
C00002 * C01081))</v>
      </c>
      <c r="K590" s="32" t="str">
        <f t="shared" si="49"/>
        <v>r589: 	
C00002 + C01081 -&gt;  C00008 + C00068 | (${Variables: E2_7_4_16_Kcat } * E2_7_4_16 * 	
C00002 * C01081) /(${Variables:E2_7_4_16_Km} + (E2_7_4_16 * 	
C00002 * C01081))</v>
      </c>
    </row>
    <row r="591" spans="1:11" ht="58" x14ac:dyDescent="0.35">
      <c r="A591" s="31" t="s">
        <v>5579</v>
      </c>
      <c r="B591" s="31" t="s">
        <v>5580</v>
      </c>
      <c r="C591" s="31" t="s">
        <v>14137</v>
      </c>
      <c r="D591" s="31">
        <v>590</v>
      </c>
      <c r="E591" s="31" t="str">
        <f t="shared" si="46"/>
        <v>E2_7_4_22</v>
      </c>
      <c r="F591" s="31" t="s">
        <v>10066</v>
      </c>
      <c r="G591" s="31" t="str">
        <f t="shared" si="47"/>
        <v xml:space="preserve">	
C00002 * C00105 </v>
      </c>
      <c r="H591" s="31" t="s">
        <v>10067</v>
      </c>
      <c r="I591" s="31" t="str">
        <f t="shared" si="50"/>
        <v>C00008 * C00015</v>
      </c>
      <c r="J591" s="31" t="str">
        <f t="shared" si="48"/>
        <v>(${Variables: E2_7_4_22_Kcat } * E2_7_4_22 * 	
C00002 * C00105 ) /(${Variables:E2_7_4_22_Km} + (E2_7_4_22 * 	
C00002 * C00105 ))</v>
      </c>
      <c r="K591" s="32" t="str">
        <f t="shared" si="49"/>
        <v>r590: 	
C00002 + C00105  -&gt; C00008 + C00015 | (${Variables: E2_7_4_22_Kcat } * E2_7_4_22 * 	
C00002 * C00105 ) /(${Variables:E2_7_4_22_Km} + (E2_7_4_22 * 	
C00002 * C00105 ))</v>
      </c>
    </row>
    <row r="592" spans="1:11" ht="29" x14ac:dyDescent="0.35">
      <c r="A592" s="31" t="s">
        <v>4030</v>
      </c>
      <c r="B592" s="31" t="s">
        <v>4031</v>
      </c>
      <c r="C592" s="31" t="s">
        <v>14138</v>
      </c>
      <c r="D592" s="31">
        <v>591</v>
      </c>
      <c r="E592" s="31" t="str">
        <f t="shared" si="46"/>
        <v>E2_7_4_25</v>
      </c>
      <c r="F592" s="31" t="s">
        <v>10070</v>
      </c>
      <c r="G592" s="31" t="str">
        <f t="shared" si="47"/>
        <v xml:space="preserve">C00002 * C00055 </v>
      </c>
      <c r="H592" s="31" t="s">
        <v>10071</v>
      </c>
      <c r="I592" s="31" t="str">
        <f t="shared" si="50"/>
        <v> C00008 * C00112</v>
      </c>
      <c r="J592" s="31" t="str">
        <f t="shared" si="48"/>
        <v>(${Variables: E2_7_4_25_Kcat } * E2_7_4_25 * C00002 * C00055 ) /(${Variables:E2_7_4_25_Km} + (E2_7_4_25 * C00002 * C00055 ))</v>
      </c>
      <c r="K592" s="32" t="str">
        <f t="shared" si="49"/>
        <v>r591: C00002 + C00055  -&gt;  C00008 + C00112 | (${Variables: E2_7_4_25_Kcat } * E2_7_4_25 * C00002 * C00055 ) /(${Variables:E2_7_4_25_Km} + (E2_7_4_25 * C00002 * C00055 ))</v>
      </c>
    </row>
    <row r="593" spans="1:11" ht="29" x14ac:dyDescent="0.35">
      <c r="A593" s="31" t="s">
        <v>4030</v>
      </c>
      <c r="B593" s="31" t="s">
        <v>4031</v>
      </c>
      <c r="C593" s="31" t="s">
        <v>14138</v>
      </c>
      <c r="D593" s="31">
        <v>592</v>
      </c>
      <c r="E593" s="31" t="str">
        <f t="shared" si="46"/>
        <v>E2_7_4_25</v>
      </c>
      <c r="F593" s="31" t="s">
        <v>10073</v>
      </c>
      <c r="G593" s="31" t="str">
        <f t="shared" si="47"/>
        <v xml:space="preserve">C00002 * C00239 </v>
      </c>
      <c r="H593" s="31" t="s">
        <v>10074</v>
      </c>
      <c r="I593" s="31" t="str">
        <f t="shared" si="50"/>
        <v> C00008 * C00705</v>
      </c>
      <c r="J593" s="31" t="str">
        <f t="shared" si="48"/>
        <v>(${Variables: E2_7_4_25_Kcat } * E2_7_4_25 * C00002 * C00239 ) /(${Variables:E2_7_4_25_Km} + (E2_7_4_25 * C00002 * C00239 ))</v>
      </c>
      <c r="K593" s="32" t="str">
        <f t="shared" si="49"/>
        <v>r592: C00002 + C00239  -&gt;  C00008 + C00705 | (${Variables: E2_7_4_25_Kcat } * E2_7_4_25 * C00002 * C00239 ) /(${Variables:E2_7_4_25_Km} + (E2_7_4_25 * C00002 * C00239 ))</v>
      </c>
    </row>
    <row r="594" spans="1:11" ht="58" x14ac:dyDescent="0.35">
      <c r="A594" s="31" t="s">
        <v>1625</v>
      </c>
      <c r="B594" s="31" t="s">
        <v>1626</v>
      </c>
      <c r="C594" s="31" t="s">
        <v>14139</v>
      </c>
      <c r="D594" s="31">
        <v>593</v>
      </c>
      <c r="E594" s="31" t="str">
        <f t="shared" si="46"/>
        <v>E2_7_4_3</v>
      </c>
      <c r="F594" s="31" t="s">
        <v>10077</v>
      </c>
      <c r="G594" s="31" t="str">
        <f t="shared" si="47"/>
        <v xml:space="preserve">	
C00002 * C00020</v>
      </c>
      <c r="H594" s="31" t="s">
        <v>14451</v>
      </c>
      <c r="I594" s="31" t="str">
        <f t="shared" si="50"/>
        <v> C00008</v>
      </c>
      <c r="J594" s="31" t="str">
        <f t="shared" si="48"/>
        <v>(${Variables: E2_7_4_3_Kcat } * E2_7_4_3 * 	
C00002 * C00020) /(${Variables:E2_7_4_3_Km} + (E2_7_4_3 * 	
C00002 * C00020))</v>
      </c>
      <c r="K594" s="32" t="str">
        <f t="shared" si="49"/>
        <v>r593: 	
C00002 + C00020 -&gt;  C00008 | (${Variables: E2_7_4_3_Kcat } * E2_7_4_3 * 	
C00002 * C00020) /(${Variables:E2_7_4_3_Km} + (E2_7_4_3 * 	
C00002 * C00020))</v>
      </c>
    </row>
    <row r="595" spans="1:11" ht="58" x14ac:dyDescent="0.35">
      <c r="A595" s="31" t="s">
        <v>1625</v>
      </c>
      <c r="B595" s="31" t="s">
        <v>1626</v>
      </c>
      <c r="C595" s="31" t="s">
        <v>14139</v>
      </c>
      <c r="D595" s="31">
        <v>594</v>
      </c>
      <c r="E595" s="31" t="str">
        <f t="shared" si="46"/>
        <v>E2_7_4_3</v>
      </c>
      <c r="F595" s="31" t="s">
        <v>10080</v>
      </c>
      <c r="G595" s="31" t="str">
        <f t="shared" si="47"/>
        <v xml:space="preserve">	
C00002 * C00360 </v>
      </c>
      <c r="H595" s="31" t="s">
        <v>10081</v>
      </c>
      <c r="I595" s="31" t="str">
        <f t="shared" si="50"/>
        <v> C00008 * C00206</v>
      </c>
      <c r="J595" s="31" t="str">
        <f t="shared" si="48"/>
        <v>(${Variables: E2_7_4_3_Kcat } * E2_7_4_3 * 	
C00002 * C00360 ) /(${Variables:E2_7_4_3_Km} + (E2_7_4_3 * 	
C00002 * C00360 ))</v>
      </c>
      <c r="K595" s="32" t="str">
        <f t="shared" si="49"/>
        <v>r594: 	
C00002 + C00360  -&gt;  C00008 + C00206 | (${Variables: E2_7_4_3_Kcat } * E2_7_4_3 * 	
C00002 * C00360 ) /(${Variables:E2_7_4_3_Km} + (E2_7_4_3 * 	
C00002 * C00360 ))</v>
      </c>
    </row>
    <row r="596" spans="1:11" ht="29" x14ac:dyDescent="0.35">
      <c r="A596" s="31" t="s">
        <v>1625</v>
      </c>
      <c r="B596" s="31" t="s">
        <v>1626</v>
      </c>
      <c r="C596" s="31" t="s">
        <v>14139</v>
      </c>
      <c r="D596" s="31">
        <v>595</v>
      </c>
      <c r="E596" s="31" t="str">
        <f t="shared" si="46"/>
        <v>E2_7_4_3</v>
      </c>
      <c r="F596" s="31" t="s">
        <v>10083</v>
      </c>
      <c r="G596" s="31" t="str">
        <f t="shared" si="47"/>
        <v>C00068 * C00008 </v>
      </c>
      <c r="H596" s="31" t="s">
        <v>10084</v>
      </c>
      <c r="I596" s="31" t="str">
        <f t="shared" si="50"/>
        <v>C03028 * C00020</v>
      </c>
      <c r="J596" s="31" t="str">
        <f t="shared" si="48"/>
        <v>(${Variables: E2_7_4_3_Kcat } * E2_7_4_3 * C00068 * C00008 ) /(${Variables:E2_7_4_3_Km} + (E2_7_4_3 * C00068 * C00008 ))</v>
      </c>
      <c r="K596" s="32" t="str">
        <f t="shared" si="49"/>
        <v>r595: C00068 + C00008  -&gt; C03028 + C00020 | (${Variables: E2_7_4_3_Kcat } * E2_7_4_3 * C00068 * C00008 ) /(${Variables:E2_7_4_3_Km} + (E2_7_4_3 * C00068 * C00008 ))</v>
      </c>
    </row>
    <row r="597" spans="1:11" ht="58" x14ac:dyDescent="0.35">
      <c r="A597" s="31" t="s">
        <v>6535</v>
      </c>
      <c r="B597" s="31" t="s">
        <v>6536</v>
      </c>
      <c r="C597" s="31" t="s">
        <v>14140</v>
      </c>
      <c r="D597" s="31">
        <v>596</v>
      </c>
      <c r="E597" s="31" t="str">
        <f t="shared" si="46"/>
        <v>E2_7_4_6</v>
      </c>
      <c r="F597" s="31" t="s">
        <v>10087</v>
      </c>
      <c r="G597" s="31" t="str">
        <f t="shared" si="47"/>
        <v xml:space="preserve">	
C00002 * C00454</v>
      </c>
      <c r="H597" s="31" t="s">
        <v>10088</v>
      </c>
      <c r="I597" s="31" t="str">
        <f t="shared" si="50"/>
        <v>C00008 * C00201</v>
      </c>
      <c r="J597" s="31" t="str">
        <f t="shared" si="48"/>
        <v>(${Variables: E2_7_4_6_Kcat } * E2_7_4_6 * 	
C00002 * C00454) /(${Variables:E2_7_4_6_Km} + (E2_7_4_6 * 	
C00002 * C00454))</v>
      </c>
      <c r="K597" s="32" t="str">
        <f t="shared" si="49"/>
        <v>r596: 	
C00002 + C00454 -&gt; C00008 + C00201 | (${Variables: E2_7_4_6_Kcat } * E2_7_4_6 * 	
C00002 * C00454) /(${Variables:E2_7_4_6_Km} + (E2_7_4_6 * 	
C00002 * C00454))</v>
      </c>
    </row>
    <row r="598" spans="1:11" ht="58" x14ac:dyDescent="0.35">
      <c r="A598" s="31" t="s">
        <v>6535</v>
      </c>
      <c r="B598" s="31" t="s">
        <v>6536</v>
      </c>
      <c r="C598" s="31" t="s">
        <v>14140</v>
      </c>
      <c r="D598" s="31">
        <v>597</v>
      </c>
      <c r="E598" s="31" t="str">
        <f t="shared" si="46"/>
        <v>E2_7_4_6</v>
      </c>
      <c r="F598" s="31" t="s">
        <v>10090</v>
      </c>
      <c r="G598" s="31" t="str">
        <f t="shared" si="47"/>
        <v xml:space="preserve">	
C00002 * C00008 </v>
      </c>
      <c r="H598" s="31" t="s">
        <v>10091</v>
      </c>
      <c r="I598" s="31" t="str">
        <f t="shared" si="50"/>
        <v>C00008 * C00002</v>
      </c>
      <c r="J598" s="31" t="str">
        <f t="shared" si="48"/>
        <v>(${Variables: E2_7_4_6_Kcat } * E2_7_4_6 * 	
C00002 * C00008 ) /(${Variables:E2_7_4_6_Km} + (E2_7_4_6 * 	
C00002 * C00008 ))</v>
      </c>
      <c r="K598" s="32" t="str">
        <f t="shared" si="49"/>
        <v>r597: 	
C00002 + C00008  -&gt; C00008 + C00002 | (${Variables: E2_7_4_6_Kcat } * E2_7_4_6 * 	
C00002 * C00008 ) /(${Variables:E2_7_4_6_Km} + (E2_7_4_6 * 	
C00002 * C00008 ))</v>
      </c>
    </row>
    <row r="599" spans="1:11" ht="29" x14ac:dyDescent="0.35">
      <c r="A599" s="31" t="s">
        <v>6535</v>
      </c>
      <c r="B599" s="31" t="s">
        <v>6536</v>
      </c>
      <c r="C599" s="31" t="s">
        <v>14140</v>
      </c>
      <c r="D599" s="31">
        <v>598</v>
      </c>
      <c r="E599" s="31" t="str">
        <f t="shared" si="46"/>
        <v>E2_7_4_6</v>
      </c>
      <c r="F599" s="31" t="s">
        <v>10093</v>
      </c>
      <c r="G599" s="31" t="str">
        <f t="shared" si="47"/>
        <v>C11038 * C00002</v>
      </c>
      <c r="H599" s="31" t="s">
        <v>10094</v>
      </c>
      <c r="I599" s="31" t="str">
        <f t="shared" si="50"/>
        <v> C11039 * C00008</v>
      </c>
      <c r="J599" s="31" t="str">
        <f t="shared" si="48"/>
        <v>(${Variables: E2_7_4_6_Kcat } * E2_7_4_6 * C11038 * C00002) /(${Variables:E2_7_4_6_Km} + (E2_7_4_6 * C11038 * C00002))</v>
      </c>
      <c r="K599" s="32" t="str">
        <f t="shared" si="49"/>
        <v>r598: C11038 + C00002 -&gt;  C11039 + C00008 | (${Variables: E2_7_4_6_Kcat } * E2_7_4_6 * C11038 * C00002) /(${Variables:E2_7_4_6_Km} + (E2_7_4_6 * C11038 * C00002))</v>
      </c>
    </row>
    <row r="600" spans="1:11" ht="58" x14ac:dyDescent="0.35">
      <c r="A600" s="31" t="s">
        <v>6535</v>
      </c>
      <c r="B600" s="31" t="s">
        <v>6536</v>
      </c>
      <c r="C600" s="31" t="s">
        <v>14140</v>
      </c>
      <c r="D600" s="31">
        <v>599</v>
      </c>
      <c r="E600" s="31" t="str">
        <f t="shared" si="46"/>
        <v>E2_7_4_6</v>
      </c>
      <c r="F600" s="31" t="s">
        <v>10096</v>
      </c>
      <c r="G600" s="31" t="str">
        <f t="shared" si="47"/>
        <v xml:space="preserve">	
C00002 * C00015 </v>
      </c>
      <c r="H600" s="31" t="s">
        <v>10097</v>
      </c>
      <c r="I600" s="31" t="str">
        <f t="shared" si="50"/>
        <v>C00008 * C00075</v>
      </c>
      <c r="J600" s="31" t="str">
        <f t="shared" si="48"/>
        <v>(${Variables: E2_7_4_6_Kcat } * E2_7_4_6 * 	
C00002 * C00015 ) /(${Variables:E2_7_4_6_Km} + (E2_7_4_6 * 	
C00002 * C00015 ))</v>
      </c>
      <c r="K600" s="32" t="str">
        <f t="shared" si="49"/>
        <v>r599: 	
C00002 + C00015  -&gt; C00008 + C00075 | (${Variables: E2_7_4_6_Kcat } * E2_7_4_6 * 	
C00002 * C00015 ) /(${Variables:E2_7_4_6_Km} + (E2_7_4_6 * 	
C00002 * C00015 ))</v>
      </c>
    </row>
    <row r="601" spans="1:11" ht="58" x14ac:dyDescent="0.35">
      <c r="A601" s="31" t="s">
        <v>6535</v>
      </c>
      <c r="B601" s="31" t="s">
        <v>6536</v>
      </c>
      <c r="C601" s="31" t="s">
        <v>14140</v>
      </c>
      <c r="D601" s="31">
        <v>600</v>
      </c>
      <c r="E601" s="31" t="str">
        <f t="shared" si="46"/>
        <v>E2_7_4_6</v>
      </c>
      <c r="F601" s="31" t="s">
        <v>10099</v>
      </c>
      <c r="G601" s="31" t="str">
        <f t="shared" si="47"/>
        <v xml:space="preserve">	
C00002 * C00035 </v>
      </c>
      <c r="H601" s="31" t="s">
        <v>10100</v>
      </c>
      <c r="I601" s="31" t="str">
        <f t="shared" si="50"/>
        <v> C00008 * C00044</v>
      </c>
      <c r="J601" s="31" t="str">
        <f t="shared" si="48"/>
        <v>(${Variables: E2_7_4_6_Kcat } * E2_7_4_6 * 	
C00002 * C00035 ) /(${Variables:E2_7_4_6_Km} + (E2_7_4_6 * 	
C00002 * C00035 ))</v>
      </c>
      <c r="K601" s="32" t="str">
        <f t="shared" si="49"/>
        <v>r600: 	
C00002 + C00035  -&gt;  C00008 + C00044 | (${Variables: E2_7_4_6_Kcat } * E2_7_4_6 * 	
C00002 * C00035 ) /(${Variables:E2_7_4_6_Km} + (E2_7_4_6 * 	
C00002 * C00035 ))</v>
      </c>
    </row>
    <row r="602" spans="1:11" ht="58" x14ac:dyDescent="0.35">
      <c r="A602" s="31" t="s">
        <v>6535</v>
      </c>
      <c r="B602" s="31" t="s">
        <v>6536</v>
      </c>
      <c r="C602" s="31" t="s">
        <v>14140</v>
      </c>
      <c r="D602" s="31">
        <v>601</v>
      </c>
      <c r="E602" s="31" t="str">
        <f t="shared" si="46"/>
        <v>E2_7_4_6</v>
      </c>
      <c r="F602" s="31" t="s">
        <v>10102</v>
      </c>
      <c r="G602" s="31" t="str">
        <f t="shared" si="47"/>
        <v xml:space="preserve">	
C00002 * C00112</v>
      </c>
      <c r="H602" s="31" t="s">
        <v>10103</v>
      </c>
      <c r="I602" s="31" t="str">
        <f t="shared" si="50"/>
        <v xml:space="preserve"> C00008 * C00063</v>
      </c>
      <c r="J602" s="31" t="str">
        <f t="shared" si="48"/>
        <v>(${Variables: E2_7_4_6_Kcat } * E2_7_4_6 * 	
C00002 * C00112) /(${Variables:E2_7_4_6_Km} + (E2_7_4_6 * 	
C00002 * C00112))</v>
      </c>
      <c r="K602" s="32" t="str">
        <f t="shared" si="49"/>
        <v>r601: 	
C00002 + C00112 -&gt;  C00008 + C00063 | (${Variables: E2_7_4_6_Kcat } * E2_7_4_6 * 	
C00002 * C00112) /(${Variables:E2_7_4_6_Km} + (E2_7_4_6 * 	
C00002 * C00112))</v>
      </c>
    </row>
    <row r="603" spans="1:11" ht="58" x14ac:dyDescent="0.35">
      <c r="A603" s="31" t="s">
        <v>6535</v>
      </c>
      <c r="B603" s="31" t="s">
        <v>6536</v>
      </c>
      <c r="C603" s="31" t="s">
        <v>14140</v>
      </c>
      <c r="D603" s="31">
        <v>602</v>
      </c>
      <c r="E603" s="31" t="str">
        <f t="shared" si="46"/>
        <v>E2_7_4_6</v>
      </c>
      <c r="F603" s="31" t="s">
        <v>10105</v>
      </c>
      <c r="G603" s="31" t="str">
        <f t="shared" si="47"/>
        <v xml:space="preserve">	
C00002 * C00104</v>
      </c>
      <c r="H603" s="31" t="s">
        <v>10106</v>
      </c>
      <c r="I603" s="31" t="str">
        <f t="shared" si="50"/>
        <v> C00008 * C00081</v>
      </c>
      <c r="J603" s="31" t="str">
        <f t="shared" si="48"/>
        <v>(${Variables: E2_7_4_6_Kcat } * E2_7_4_6 * 	
C00002 * C00104) /(${Variables:E2_7_4_6_Km} + (E2_7_4_6 * 	
C00002 * C00104))</v>
      </c>
      <c r="K603" s="32" t="str">
        <f t="shared" si="49"/>
        <v>r602: 	
C00002 + C00104 -&gt;  C00008 + C00081 | (${Variables: E2_7_4_6_Kcat } * E2_7_4_6 * 	
C00002 * C00104) /(${Variables:E2_7_4_6_Km} + (E2_7_4_6 * 	
C00002 * C00104))</v>
      </c>
    </row>
    <row r="604" spans="1:11" ht="29" x14ac:dyDescent="0.35">
      <c r="A604" s="31" t="s">
        <v>6535</v>
      </c>
      <c r="B604" s="31" t="s">
        <v>6536</v>
      </c>
      <c r="C604" s="31" t="s">
        <v>14140</v>
      </c>
      <c r="D604" s="31">
        <v>603</v>
      </c>
      <c r="E604" s="31" t="str">
        <f t="shared" si="46"/>
        <v>E2_7_4_6</v>
      </c>
      <c r="F604" s="31" t="s">
        <v>10108</v>
      </c>
      <c r="G604" s="31" t="str">
        <f t="shared" si="47"/>
        <v>C00002 * C00206</v>
      </c>
      <c r="H604" s="31" t="s">
        <v>10109</v>
      </c>
      <c r="I604" s="31" t="str">
        <f t="shared" si="50"/>
        <v> C00008 * C00131</v>
      </c>
      <c r="J604" s="31" t="str">
        <f t="shared" si="48"/>
        <v>(${Variables: E2_7_4_6_Kcat } * E2_7_4_6 * C00002 * C00206) /(${Variables:E2_7_4_6_Km} + (E2_7_4_6 * C00002 * C00206))</v>
      </c>
      <c r="K604" s="32" t="str">
        <f t="shared" si="49"/>
        <v>r603: C00002 + C00206 -&gt;  C00008 + C00131 | (${Variables: E2_7_4_6_Kcat } * E2_7_4_6 * C00002 * C00206) /(${Variables:E2_7_4_6_Km} + (E2_7_4_6 * C00002 * C00206))</v>
      </c>
    </row>
    <row r="605" spans="1:11" ht="58" x14ac:dyDescent="0.35">
      <c r="A605" s="31" t="s">
        <v>6535</v>
      </c>
      <c r="B605" s="31" t="s">
        <v>6536</v>
      </c>
      <c r="C605" s="31" t="s">
        <v>14140</v>
      </c>
      <c r="D605" s="31">
        <v>604</v>
      </c>
      <c r="E605" s="31" t="str">
        <f t="shared" si="46"/>
        <v>E2_7_4_6</v>
      </c>
      <c r="F605" s="31" t="s">
        <v>10111</v>
      </c>
      <c r="G605" s="31" t="str">
        <f t="shared" si="47"/>
        <v xml:space="preserve">	
C00002 * C00361</v>
      </c>
      <c r="H605" s="31" t="s">
        <v>10112</v>
      </c>
      <c r="I605" s="31" t="str">
        <f t="shared" si="50"/>
        <v> C00008 * C00286</v>
      </c>
      <c r="J605" s="31" t="str">
        <f t="shared" si="48"/>
        <v>(${Variables: E2_7_4_6_Kcat } * E2_7_4_6 * 	
C00002 * C00361) /(${Variables:E2_7_4_6_Km} + (E2_7_4_6 * 	
C00002 * C00361))</v>
      </c>
      <c r="K605" s="32" t="str">
        <f t="shared" si="49"/>
        <v>r604: 	
C00002 + C00361 -&gt;  C00008 + C00286 | (${Variables: E2_7_4_6_Kcat } * E2_7_4_6 * 	
C00002 * C00361) /(${Variables:E2_7_4_6_Km} + (E2_7_4_6 * 	
C00002 * C00361))</v>
      </c>
    </row>
    <row r="606" spans="1:11" ht="58" x14ac:dyDescent="0.35">
      <c r="A606" s="31" t="s">
        <v>6535</v>
      </c>
      <c r="B606" s="31" t="s">
        <v>6536</v>
      </c>
      <c r="C606" s="31" t="s">
        <v>14140</v>
      </c>
      <c r="D606" s="31">
        <v>605</v>
      </c>
      <c r="E606" s="31" t="str">
        <f t="shared" si="46"/>
        <v>E2_7_4_6</v>
      </c>
      <c r="F606" s="31" t="s">
        <v>10114</v>
      </c>
      <c r="G606" s="31" t="str">
        <f t="shared" si="47"/>
        <v xml:space="preserve">	
C00002 * C00363</v>
      </c>
      <c r="H606" s="31" t="s">
        <v>10115</v>
      </c>
      <c r="I606" s="31" t="str">
        <f t="shared" si="50"/>
        <v> C00008 * C00459</v>
      </c>
      <c r="J606" s="31" t="str">
        <f t="shared" si="48"/>
        <v>(${Variables: E2_7_4_6_Kcat } * E2_7_4_6 * 	
C00002 * C00363) /(${Variables:E2_7_4_6_Km} + (E2_7_4_6 * 	
C00002 * C00363))</v>
      </c>
      <c r="K606" s="32" t="str">
        <f t="shared" si="49"/>
        <v>r605: 	
C00002 + C00363 -&gt;  C00008 + C00459 | (${Variables: E2_7_4_6_Kcat } * E2_7_4_6 * 	
C00002 * C00363) /(${Variables:E2_7_4_6_Km} + (E2_7_4_6 * 	
C00002 * C00363))</v>
      </c>
    </row>
    <row r="607" spans="1:11" ht="58" x14ac:dyDescent="0.35">
      <c r="A607" s="31" t="s">
        <v>6535</v>
      </c>
      <c r="B607" s="31" t="s">
        <v>6536</v>
      </c>
      <c r="C607" s="31" t="s">
        <v>14140</v>
      </c>
      <c r="D607" s="31">
        <v>606</v>
      </c>
      <c r="E607" s="31" t="str">
        <f t="shared" si="46"/>
        <v>E2_7_4_6</v>
      </c>
      <c r="F607" s="31" t="s">
        <v>10117</v>
      </c>
      <c r="G607" s="31" t="str">
        <f t="shared" si="47"/>
        <v xml:space="preserve">	
C00002 * C00705</v>
      </c>
      <c r="H607" s="31" t="s">
        <v>10118</v>
      </c>
      <c r="I607" s="31" t="str">
        <f t="shared" si="50"/>
        <v>C00008 * C00458</v>
      </c>
      <c r="J607" s="31" t="str">
        <f t="shared" si="48"/>
        <v>(${Variables: E2_7_4_6_Kcat } * E2_7_4_6 * 	
C00002 * C00705) /(${Variables:E2_7_4_6_Km} + (E2_7_4_6 * 	
C00002 * C00705))</v>
      </c>
      <c r="K607" s="32" t="str">
        <f t="shared" si="49"/>
        <v>r606: 	
C00002 + C00705 -&gt; C00008 + C00458 | (${Variables: E2_7_4_6_Kcat } * E2_7_4_6 * 	
C00002 * C00705) /(${Variables:E2_7_4_6_Km} + (E2_7_4_6 * 	
C00002 * C00705))</v>
      </c>
    </row>
    <row r="608" spans="1:11" ht="58" x14ac:dyDescent="0.35">
      <c r="A608" s="31" t="s">
        <v>6535</v>
      </c>
      <c r="B608" s="31" t="s">
        <v>6536</v>
      </c>
      <c r="C608" s="31" t="s">
        <v>14140</v>
      </c>
      <c r="D608" s="31">
        <v>607</v>
      </c>
      <c r="E608" s="31" t="str">
        <f t="shared" si="46"/>
        <v>E2_7_4_6</v>
      </c>
      <c r="F608" s="31" t="s">
        <v>10120</v>
      </c>
      <c r="G608" s="31" t="str">
        <f t="shared" si="47"/>
        <v xml:space="preserve">	
C00002 * C01346 </v>
      </c>
      <c r="H608" s="31" t="s">
        <v>10121</v>
      </c>
      <c r="I608" s="31" t="str">
        <f t="shared" si="50"/>
        <v> C00008 * C00460</v>
      </c>
      <c r="J608" s="31" t="str">
        <f t="shared" si="48"/>
        <v>(${Variables: E2_7_4_6_Kcat } * E2_7_4_6 * 	
C00002 * C01346 ) /(${Variables:E2_7_4_6_Km} + (E2_7_4_6 * 	
C00002 * C01346 ))</v>
      </c>
      <c r="K608" s="32" t="str">
        <f t="shared" si="49"/>
        <v>r607: 	
C00002 + C01346  -&gt;  C00008 + C00460 | (${Variables: E2_7_4_6_Kcat } * E2_7_4_6 * 	
C00002 * C01346 ) /(${Variables:E2_7_4_6_Km} + (E2_7_4_6 * 	
C00002 * C01346 ))</v>
      </c>
    </row>
    <row r="609" spans="1:11" ht="58" x14ac:dyDescent="0.35">
      <c r="A609" s="31" t="s">
        <v>6535</v>
      </c>
      <c r="B609" s="31" t="s">
        <v>6536</v>
      </c>
      <c r="C609" s="31" t="s">
        <v>14140</v>
      </c>
      <c r="D609" s="31">
        <v>608</v>
      </c>
      <c r="E609" s="31" t="str">
        <f t="shared" si="46"/>
        <v>E2_7_4_6</v>
      </c>
      <c r="F609" s="31" t="s">
        <v>10123</v>
      </c>
      <c r="G609" s="31" t="str">
        <f t="shared" si="47"/>
        <v xml:space="preserve">	
C00002 * C01344</v>
      </c>
      <c r="H609" s="31" t="s">
        <v>10124</v>
      </c>
      <c r="I609" s="31" t="str">
        <f t="shared" si="50"/>
        <v> C00008 * C01345</v>
      </c>
      <c r="J609" s="31" t="str">
        <f t="shared" si="48"/>
        <v>(${Variables: E2_7_4_6_Kcat } * E2_7_4_6 * 	
C00002 * C01344) /(${Variables:E2_7_4_6_Km} + (E2_7_4_6 * 	
C00002 * C01344))</v>
      </c>
      <c r="K609" s="32" t="str">
        <f t="shared" si="49"/>
        <v>r608: 	
C00002 + C01344 -&gt;  C00008 + C01345 | (${Variables: E2_7_4_6_Kcat } * E2_7_4_6 * 	
C00002 * C01344) /(${Variables:E2_7_4_6_Km} + (E2_7_4_6 * 	
C00002 * C01344))</v>
      </c>
    </row>
    <row r="610" spans="1:11" ht="58" x14ac:dyDescent="0.35">
      <c r="A610" s="31" t="s">
        <v>6535</v>
      </c>
      <c r="B610" s="31" t="s">
        <v>6536</v>
      </c>
      <c r="C610" s="31" t="s">
        <v>14140</v>
      </c>
      <c r="D610" s="31">
        <v>609</v>
      </c>
      <c r="E610" s="31" t="str">
        <f t="shared" si="46"/>
        <v>E2_7_4_6</v>
      </c>
      <c r="F610" s="31" t="s">
        <v>10126</v>
      </c>
      <c r="G610" s="31" t="str">
        <f t="shared" si="47"/>
        <v xml:space="preserve">	
C22442 * C00002</v>
      </c>
      <c r="H610" s="31" t="s">
        <v>10127</v>
      </c>
      <c r="I610" s="31" t="str">
        <f t="shared" si="50"/>
        <v>C22443 * C00008</v>
      </c>
      <c r="J610" s="31" t="str">
        <f t="shared" si="48"/>
        <v>(${Variables: E2_7_4_6_Kcat } * E2_7_4_6 * 	
C22442 * C00002) /(${Variables:E2_7_4_6_Km} + (E2_7_4_6 * 	
C22442 * C00002))</v>
      </c>
      <c r="K610" s="32" t="str">
        <f t="shared" si="49"/>
        <v>r609: 	
C22442 + C00002 -&gt; C22443 + C00008 | (${Variables: E2_7_4_6_Kcat } * E2_7_4_6 * 	
C22442 * C00002) /(${Variables:E2_7_4_6_Km} + (E2_7_4_6 * 	
C22442 * C00002))</v>
      </c>
    </row>
    <row r="611" spans="1:11" ht="58" x14ac:dyDescent="0.35">
      <c r="A611" s="31" t="s">
        <v>6535</v>
      </c>
      <c r="B611" s="31" t="s">
        <v>6536</v>
      </c>
      <c r="C611" s="31" t="s">
        <v>14140</v>
      </c>
      <c r="D611" s="31">
        <v>610</v>
      </c>
      <c r="E611" s="31" t="str">
        <f t="shared" si="46"/>
        <v>E2_7_4_6</v>
      </c>
      <c r="F611" s="31" t="s">
        <v>10129</v>
      </c>
      <c r="G611" s="31" t="str">
        <f t="shared" si="47"/>
        <v xml:space="preserve">	
C00002 * C21748 </v>
      </c>
      <c r="H611" s="31" t="s">
        <v>10130</v>
      </c>
      <c r="I611" s="31" t="str">
        <f t="shared" si="50"/>
        <v> C00008 * C21749</v>
      </c>
      <c r="J611" s="31" t="str">
        <f t="shared" si="48"/>
        <v>(${Variables: E2_7_4_6_Kcat } * E2_7_4_6 * 	
C00002 * C21748 ) /(${Variables:E2_7_4_6_Km} + (E2_7_4_6 * 	
C00002 * C21748 ))</v>
      </c>
      <c r="K611" s="32" t="str">
        <f t="shared" si="49"/>
        <v>r610: 	
C00002 + C21748  -&gt;  C00008 + C21749 | (${Variables: E2_7_4_6_Kcat } * E2_7_4_6 * 	
C00002 * C21748 ) /(${Variables:E2_7_4_6_Km} + (E2_7_4_6 * 	
C00002 * C21748 ))</v>
      </c>
    </row>
    <row r="612" spans="1:11" ht="58" x14ac:dyDescent="0.35">
      <c r="A612" s="31" t="s">
        <v>6535</v>
      </c>
      <c r="B612" s="31" t="s">
        <v>6536</v>
      </c>
      <c r="C612" s="31" t="s">
        <v>14140</v>
      </c>
      <c r="D612" s="31">
        <v>611</v>
      </c>
      <c r="E612" s="31" t="str">
        <f t="shared" si="46"/>
        <v>E2_7_4_6</v>
      </c>
      <c r="F612" s="31" t="s">
        <v>10132</v>
      </c>
      <c r="G612" s="31" t="str">
        <f t="shared" si="47"/>
        <v xml:space="preserve">	
C00002 * C21750</v>
      </c>
      <c r="H612" s="31" t="s">
        <v>10133</v>
      </c>
      <c r="I612" s="31" t="str">
        <f t="shared" si="50"/>
        <v>C00008 * C21751</v>
      </c>
      <c r="J612" s="31" t="str">
        <f t="shared" si="48"/>
        <v>(${Variables: E2_7_4_6_Kcat } * E2_7_4_6 * 	
C00002 * C21750) /(${Variables:E2_7_4_6_Km} + (E2_7_4_6 * 	
C00002 * C21750))</v>
      </c>
      <c r="K612" s="32" t="str">
        <f t="shared" si="49"/>
        <v>r611: 	
C00002 + C21750 -&gt; C00008 + C21751 | (${Variables: E2_7_4_6_Kcat } * E2_7_4_6 * 	
C00002 * C21750) /(${Variables:E2_7_4_6_Km} + (E2_7_4_6 * 	
C00002 * C21750))</v>
      </c>
    </row>
    <row r="613" spans="1:11" ht="29" x14ac:dyDescent="0.35">
      <c r="A613" s="31" t="s">
        <v>4544</v>
      </c>
      <c r="B613" s="31" t="s">
        <v>4545</v>
      </c>
      <c r="C613" s="31" t="s">
        <v>14141</v>
      </c>
      <c r="D613" s="31">
        <v>612</v>
      </c>
      <c r="E613" s="31" t="str">
        <f t="shared" si="46"/>
        <v>E2_7_4_8</v>
      </c>
      <c r="F613" s="31" t="s">
        <v>10136</v>
      </c>
      <c r="G613" s="31" t="str">
        <f t="shared" si="47"/>
        <v xml:space="preserve">C00002 * C00144 </v>
      </c>
      <c r="H613" s="31" t="s">
        <v>10137</v>
      </c>
      <c r="I613" s="31" t="str">
        <f t="shared" si="50"/>
        <v> C00008 * C00035</v>
      </c>
      <c r="J613" s="31" t="str">
        <f t="shared" si="48"/>
        <v>(${Variables: E2_7_4_8_Kcat } * E2_7_4_8 * C00002 * C00144 ) /(${Variables:E2_7_4_8_Km} + (E2_7_4_8 * C00002 * C00144 ))</v>
      </c>
      <c r="K613" s="32" t="str">
        <f t="shared" si="49"/>
        <v>r612: C00002 + C00144  -&gt;  C00008 + C00035 | (${Variables: E2_7_4_8_Kcat } * E2_7_4_8 * C00002 * C00144 ) /(${Variables:E2_7_4_8_Km} + (E2_7_4_8 * C00002 * C00144 ))</v>
      </c>
    </row>
    <row r="614" spans="1:11" ht="58" x14ac:dyDescent="0.35">
      <c r="A614" s="31" t="s">
        <v>4544</v>
      </c>
      <c r="B614" s="31" t="s">
        <v>4545</v>
      </c>
      <c r="C614" s="31" t="s">
        <v>14141</v>
      </c>
      <c r="D614" s="31">
        <v>613</v>
      </c>
      <c r="E614" s="31" t="str">
        <f t="shared" si="46"/>
        <v>E2_7_4_8</v>
      </c>
      <c r="F614" s="31" t="s">
        <v>10139</v>
      </c>
      <c r="G614" s="31" t="str">
        <f t="shared" si="47"/>
        <v xml:space="preserve">	
C00002 * C00362</v>
      </c>
      <c r="H614" s="31" t="s">
        <v>10140</v>
      </c>
      <c r="I614" s="31" t="str">
        <f t="shared" si="50"/>
        <v>C00008 * C00361</v>
      </c>
      <c r="J614" s="31" t="str">
        <f t="shared" si="48"/>
        <v>(${Variables: E2_7_4_8_Kcat } * E2_7_4_8 * 	
C00002 * C00362) /(${Variables:E2_7_4_8_Km} + (E2_7_4_8 * 	
C00002 * C00362))</v>
      </c>
      <c r="K614" s="32" t="str">
        <f t="shared" si="49"/>
        <v>r613: 	
C00002 + C00362 -&gt; C00008 + C00361 | (${Variables: E2_7_4_8_Kcat } * E2_7_4_8 * 	
C00002 * C00362) /(${Variables:E2_7_4_8_Km} + (E2_7_4_8 * 	
C00002 * C00362))</v>
      </c>
    </row>
    <row r="615" spans="1:11" ht="58" x14ac:dyDescent="0.35">
      <c r="A615" s="31" t="s">
        <v>4544</v>
      </c>
      <c r="B615" s="31" t="s">
        <v>4545</v>
      </c>
      <c r="C615" s="31" t="s">
        <v>14141</v>
      </c>
      <c r="D615" s="31">
        <v>614</v>
      </c>
      <c r="E615" s="31" t="str">
        <f t="shared" si="46"/>
        <v>E2_7_4_8</v>
      </c>
      <c r="F615" s="31" t="s">
        <v>10142</v>
      </c>
      <c r="G615" s="31" t="str">
        <f t="shared" si="47"/>
        <v xml:space="preserve">	
C22441 * C00002</v>
      </c>
      <c r="H615" s="31" t="s">
        <v>10143</v>
      </c>
      <c r="I615" s="31" t="str">
        <f t="shared" si="50"/>
        <v> C22442 * C00008</v>
      </c>
      <c r="J615" s="31" t="str">
        <f t="shared" si="48"/>
        <v>(${Variables: E2_7_4_8_Kcat } * E2_7_4_8 * 	
C22441 * C00002) /(${Variables:E2_7_4_8_Km} + (E2_7_4_8 * 	
C22441 * C00002))</v>
      </c>
      <c r="K615" s="32" t="str">
        <f t="shared" si="49"/>
        <v>r614: 	
C22441 + C00002 -&gt;  C22442 + C00008 | (${Variables: E2_7_4_8_Kcat } * E2_7_4_8 * 	
C22441 * C00002) /(${Variables:E2_7_4_8_Km} + (E2_7_4_8 * 	
C22441 * C00002))</v>
      </c>
    </row>
    <row r="616" spans="1:11" ht="58" x14ac:dyDescent="0.35">
      <c r="A616" s="31" t="s">
        <v>2160</v>
      </c>
      <c r="B616" s="31" t="s">
        <v>2161</v>
      </c>
      <c r="C616" s="31" t="s">
        <v>14142</v>
      </c>
      <c r="D616" s="31">
        <v>615</v>
      </c>
      <c r="E616" s="31" t="str">
        <f t="shared" si="46"/>
        <v>E2_7_4_9</v>
      </c>
      <c r="F616" s="31" t="s">
        <v>10146</v>
      </c>
      <c r="G616" s="31" t="str">
        <f t="shared" si="47"/>
        <v xml:space="preserve">	
C00002 * C00364 </v>
      </c>
      <c r="H616" s="31" t="s">
        <v>10147</v>
      </c>
      <c r="I616" s="31" t="str">
        <f t="shared" si="50"/>
        <v>C00008 * C00363</v>
      </c>
      <c r="J616" s="31" t="str">
        <f t="shared" si="48"/>
        <v>(${Variables: E2_7_4_9_Kcat } * E2_7_4_9 * 	
C00002 * C00364 ) /(${Variables:E2_7_4_9_Km} + (E2_7_4_9 * 	
C00002 * C00364 ))</v>
      </c>
      <c r="K616" s="32" t="str">
        <f t="shared" si="49"/>
        <v>r615: 	
C00002 + C00364  -&gt; C00008 + C00363 | (${Variables: E2_7_4_9_Kcat } * E2_7_4_9 * 	
C00002 * C00364 ) /(${Variables:E2_7_4_9_Km} + (E2_7_4_9 * 	
C00002 * C00364 ))</v>
      </c>
    </row>
    <row r="617" spans="1:11" ht="58" x14ac:dyDescent="0.35">
      <c r="A617" s="31" t="s">
        <v>2160</v>
      </c>
      <c r="B617" s="31" t="s">
        <v>2161</v>
      </c>
      <c r="C617" s="31" t="s">
        <v>14142</v>
      </c>
      <c r="D617" s="31">
        <v>616</v>
      </c>
      <c r="E617" s="31" t="str">
        <f t="shared" si="46"/>
        <v>E2_7_4_9</v>
      </c>
      <c r="F617" s="31" t="s">
        <v>10149</v>
      </c>
      <c r="G617" s="31" t="str">
        <f t="shared" si="47"/>
        <v xml:space="preserve">	
C00002 * C00365</v>
      </c>
      <c r="H617" s="31" t="s">
        <v>10150</v>
      </c>
      <c r="I617" s="31" t="str">
        <f t="shared" si="50"/>
        <v> C00008 * C01346</v>
      </c>
      <c r="J617" s="31" t="str">
        <f t="shared" si="48"/>
        <v>(${Variables: E2_7_4_9_Kcat } * E2_7_4_9 * 	
C00002 * C00365) /(${Variables:E2_7_4_9_Km} + (E2_7_4_9 * 	
C00002 * C00365))</v>
      </c>
      <c r="K617" s="32" t="str">
        <f t="shared" si="49"/>
        <v>r616: 	
C00002 + C00365 -&gt;  C00008 + C01346 | (${Variables: E2_7_4_9_Kcat } * E2_7_4_9 * 	
C00002 * C00365) /(${Variables:E2_7_4_9_Km} + (E2_7_4_9 * 	
C00002 * C00365))</v>
      </c>
    </row>
    <row r="618" spans="1:11" ht="58" x14ac:dyDescent="0.35">
      <c r="A618" s="31" t="s">
        <v>2725</v>
      </c>
      <c r="B618" s="31" t="s">
        <v>2726</v>
      </c>
      <c r="C618" s="31" t="s">
        <v>14143</v>
      </c>
      <c r="D618" s="31">
        <v>617</v>
      </c>
      <c r="E618" s="31" t="str">
        <f t="shared" si="46"/>
        <v>E2_7_6_1</v>
      </c>
      <c r="F618" s="31" t="s">
        <v>10153</v>
      </c>
      <c r="G618" s="31" t="str">
        <f t="shared" si="47"/>
        <v xml:space="preserve">	
C00002 * C00117</v>
      </c>
      <c r="H618" s="31" t="s">
        <v>10154</v>
      </c>
      <c r="I618" s="31" t="str">
        <f t="shared" si="50"/>
        <v>C00020 * C00119</v>
      </c>
      <c r="J618" s="31" t="str">
        <f t="shared" si="48"/>
        <v>(${Variables: E2_7_6_1_Kcat } * E2_7_6_1 * 	
C00002 * C00117) /(${Variables:E2_7_6_1_Km} + (E2_7_6_1 * 	
C00002 * C00117))</v>
      </c>
      <c r="K618" s="32" t="str">
        <f t="shared" si="49"/>
        <v>r617: 	
C00002 + C00117 -&gt; C00020 + C00119 | (${Variables: E2_7_6_1_Kcat } * E2_7_6_1 * 	
C00002 * C00117) /(${Variables:E2_7_6_1_Km} + (E2_7_6_1 * 	
C00002 * C00117))</v>
      </c>
    </row>
    <row r="619" spans="1:11" ht="58" x14ac:dyDescent="0.35">
      <c r="A619" s="31" t="s">
        <v>7392</v>
      </c>
      <c r="B619" s="31" t="s">
        <v>7393</v>
      </c>
      <c r="C619" s="31" t="s">
        <v>14144</v>
      </c>
      <c r="D619" s="31">
        <v>618</v>
      </c>
      <c r="E619" s="31" t="str">
        <f t="shared" si="46"/>
        <v>E2_7_6_3</v>
      </c>
      <c r="F619" s="31" t="s">
        <v>10157</v>
      </c>
      <c r="G619" s="31" t="str">
        <f t="shared" si="47"/>
        <v xml:space="preserve">	
C00002 * C01300</v>
      </c>
      <c r="H619" s="31" t="s">
        <v>10158</v>
      </c>
      <c r="I619" s="31" t="str">
        <f t="shared" si="50"/>
        <v> C00020 * C04807</v>
      </c>
      <c r="J619" s="31" t="str">
        <f t="shared" si="48"/>
        <v>(${Variables: E2_7_6_3_Kcat } * E2_7_6_3 * 	
C00002 * C01300) /(${Variables:E2_7_6_3_Km} + (E2_7_6_3 * 	
C00002 * C01300))</v>
      </c>
      <c r="K619" s="32" t="str">
        <f t="shared" si="49"/>
        <v>r618: 	
C00002 + C01300 -&gt;  C00020 + C04807 | (${Variables: E2_7_6_3_Kcat } * E2_7_6_3 * 	
C00002 * C01300) /(${Variables:E2_7_6_3_Km} + (E2_7_6_3 * 	
C00002 * C01300))</v>
      </c>
    </row>
    <row r="620" spans="1:11" ht="58" x14ac:dyDescent="0.35">
      <c r="A620" s="31" t="s">
        <v>3346</v>
      </c>
      <c r="B620" s="31" t="s">
        <v>3347</v>
      </c>
      <c r="C620" s="31" t="s">
        <v>14145</v>
      </c>
      <c r="D620" s="31">
        <v>619</v>
      </c>
      <c r="E620" s="31" t="str">
        <f t="shared" si="46"/>
        <v>E2_7_6_5</v>
      </c>
      <c r="F620" s="31" t="s">
        <v>10161</v>
      </c>
      <c r="G620" s="31" t="str">
        <f t="shared" si="47"/>
        <v xml:space="preserve">	
C00002 * C00044 </v>
      </c>
      <c r="H620" s="31" t="s">
        <v>10162</v>
      </c>
      <c r="I620" s="31" t="str">
        <f t="shared" si="50"/>
        <v>C00020 * C04494</v>
      </c>
      <c r="J620" s="31" t="str">
        <f t="shared" si="48"/>
        <v>(${Variables: E2_7_6_5_Kcat } * E2_7_6_5 * 	
C00002 * C00044 ) /(${Variables:E2_7_6_5_Km} + (E2_7_6_5 * 	
C00002 * C00044 ))</v>
      </c>
      <c r="K620" s="32" t="str">
        <f t="shared" si="49"/>
        <v>r619: 	
C00002 + C00044  -&gt; C00020 + C04494 | (${Variables: E2_7_6_5_Kcat } * E2_7_6_5 * 	
C00002 * C00044 ) /(${Variables:E2_7_6_5_Km} + (E2_7_6_5 * 	
C00002 * C00044 ))</v>
      </c>
    </row>
    <row r="621" spans="1:11" ht="58" x14ac:dyDescent="0.35">
      <c r="A621" s="31" t="s">
        <v>4676</v>
      </c>
      <c r="B621" s="31" t="s">
        <v>4677</v>
      </c>
      <c r="C621" s="31" t="s">
        <v>14145</v>
      </c>
      <c r="D621" s="31">
        <v>620</v>
      </c>
      <c r="E621" s="31" t="str">
        <f t="shared" si="46"/>
        <v>E2_7_6_5</v>
      </c>
      <c r="F621" s="31" t="s">
        <v>10161</v>
      </c>
      <c r="G621" s="31" t="str">
        <f t="shared" si="47"/>
        <v xml:space="preserve">	
C00002 * C00044 </v>
      </c>
      <c r="H621" s="31" t="s">
        <v>10162</v>
      </c>
      <c r="I621" s="31" t="str">
        <f t="shared" si="50"/>
        <v>C00020 * C04494</v>
      </c>
      <c r="J621" s="31" t="str">
        <f t="shared" si="48"/>
        <v>(${Variables: E2_7_6_5_Kcat } * E2_7_6_5 * 	
C00002 * C00044 ) /(${Variables:E2_7_6_5_Km} + (E2_7_6_5 * 	
C00002 * C00044 ))</v>
      </c>
      <c r="K621" s="32" t="str">
        <f t="shared" si="49"/>
        <v>r620: 	
C00002 + C00044  -&gt; C00020 + C04494 | (${Variables: E2_7_6_5_Kcat } * E2_7_6_5 * 	
C00002 * C00044 ) /(${Variables:E2_7_6_5_Km} + (E2_7_6_5 * 	
C00002 * C00044 ))</v>
      </c>
    </row>
    <row r="622" spans="1:11" ht="58" x14ac:dyDescent="0.35">
      <c r="A622" s="31" t="s">
        <v>5838</v>
      </c>
      <c r="B622" s="31" t="s">
        <v>5839</v>
      </c>
      <c r="C622" s="31" t="s">
        <v>14145</v>
      </c>
      <c r="D622" s="31">
        <v>621</v>
      </c>
      <c r="E622" s="31" t="str">
        <f t="shared" si="46"/>
        <v>E2_7_6_5</v>
      </c>
      <c r="F622" s="31" t="s">
        <v>10161</v>
      </c>
      <c r="G622" s="31" t="str">
        <f t="shared" si="47"/>
        <v xml:space="preserve">	
C00002 * C00044 </v>
      </c>
      <c r="H622" s="31" t="s">
        <v>10162</v>
      </c>
      <c r="I622" s="31" t="str">
        <f t="shared" si="50"/>
        <v>C00020 * C04494</v>
      </c>
      <c r="J622" s="31" t="str">
        <f t="shared" si="48"/>
        <v>(${Variables: E2_7_6_5_Kcat } * E2_7_6_5 * 	
C00002 * C00044 ) /(${Variables:E2_7_6_5_Km} + (E2_7_6_5 * 	
C00002 * C00044 ))</v>
      </c>
      <c r="K622" s="32" t="str">
        <f t="shared" si="49"/>
        <v>r621: 	
C00002 + C00044  -&gt; C00020 + C04494 | (${Variables: E2_7_6_5_Kcat } * E2_7_6_5 * 	
C00002 * C00044 ) /(${Variables:E2_7_6_5_Km} + (E2_7_6_5 * 	
C00002 * C00044 ))</v>
      </c>
    </row>
    <row r="623" spans="1:11" ht="29" x14ac:dyDescent="0.35">
      <c r="A623" s="31" t="s">
        <v>5513</v>
      </c>
      <c r="B623" s="31" t="s">
        <v>5514</v>
      </c>
      <c r="C623" s="31" t="s">
        <v>14146</v>
      </c>
      <c r="D623" s="31">
        <v>622</v>
      </c>
      <c r="E623" s="31" t="str">
        <f t="shared" si="46"/>
        <v>E2_7_7_108</v>
      </c>
      <c r="F623" s="31" t="s">
        <v>10164</v>
      </c>
      <c r="G623" s="31" t="str">
        <f t="shared" si="47"/>
        <v>C00002*C02189</v>
      </c>
      <c r="H623" s="31" t="s">
        <v>10167</v>
      </c>
      <c r="I623" s="31" t="str">
        <f t="shared" si="50"/>
        <v>C00013</v>
      </c>
      <c r="J623" s="31" t="str">
        <f t="shared" si="48"/>
        <v>(${Variables: E2_7_7_108_Kcat } * E2_7_7_108 * C00002*C02189) /(${Variables:E2_7_7_108_Km} + (E2_7_7_108 * C00002*C02189))</v>
      </c>
      <c r="K623" s="31" t="str">
        <f t="shared" si="49"/>
        <v>r622: C00002+C02189 -&gt; C00013 | (${Variables: E2_7_7_108_Kcat } * E2_7_7_108 * C00002*C02189) /(${Variables:E2_7_7_108_Km} + (E2_7_7_108 * C00002*C02189))</v>
      </c>
    </row>
    <row r="624" spans="1:11" ht="29" x14ac:dyDescent="0.35">
      <c r="A624" s="31" t="s">
        <v>5513</v>
      </c>
      <c r="B624" s="31" t="s">
        <v>5514</v>
      </c>
      <c r="C624" s="31" t="s">
        <v>14146</v>
      </c>
      <c r="D624" s="31">
        <v>623</v>
      </c>
      <c r="E624" s="31" t="str">
        <f t="shared" si="46"/>
        <v>E2_7_7_108</v>
      </c>
      <c r="F624" s="31" t="s">
        <v>10165</v>
      </c>
      <c r="G624" s="31" t="str">
        <f t="shared" si="47"/>
        <v>C00002*C19803</v>
      </c>
      <c r="H624" s="31" t="s">
        <v>10167</v>
      </c>
      <c r="I624" s="31" t="str">
        <f t="shared" si="50"/>
        <v>C00013</v>
      </c>
      <c r="J624" s="31" t="str">
        <f t="shared" si="48"/>
        <v>(${Variables: E2_7_7_108_Kcat } * E2_7_7_108 * C00002*C19803) /(${Variables:E2_7_7_108_Km} + (E2_7_7_108 * C00002*C19803))</v>
      </c>
      <c r="K624" s="31" t="str">
        <f t="shared" si="49"/>
        <v>r623: C00002+C19803 -&gt; C00013 | (${Variables: E2_7_7_108_Kcat } * E2_7_7_108 * C00002*C19803) /(${Variables:E2_7_7_108_Km} + (E2_7_7_108 * C00002*C19803))</v>
      </c>
    </row>
    <row r="625" spans="1:11" ht="29" x14ac:dyDescent="0.35">
      <c r="A625" s="31" t="s">
        <v>5513</v>
      </c>
      <c r="B625" s="31" t="s">
        <v>5514</v>
      </c>
      <c r="C625" s="31" t="s">
        <v>14146</v>
      </c>
      <c r="D625" s="31">
        <v>624</v>
      </c>
      <c r="E625" s="31" t="str">
        <f t="shared" si="46"/>
        <v>E2_7_7_108</v>
      </c>
      <c r="F625" s="31" t="s">
        <v>10166</v>
      </c>
      <c r="G625" s="31" t="str">
        <f t="shared" si="47"/>
        <v>C00002*C00585</v>
      </c>
      <c r="H625" s="31" t="s">
        <v>10167</v>
      </c>
      <c r="I625" s="31" t="str">
        <f t="shared" si="50"/>
        <v>C00013</v>
      </c>
      <c r="J625" s="31" t="str">
        <f t="shared" si="48"/>
        <v>(${Variables: E2_7_7_108_Kcat } * E2_7_7_108 * C00002*C00585) /(${Variables:E2_7_7_108_Km} + (E2_7_7_108 * C00002*C00585))</v>
      </c>
      <c r="K625" s="31" t="str">
        <f t="shared" si="49"/>
        <v>r624: C00002+C00585 -&gt; C00013 | (${Variables: E2_7_7_108_Kcat } * E2_7_7_108 * C00002*C00585) /(${Variables:E2_7_7_108_Km} + (E2_7_7_108 * C00002*C00585))</v>
      </c>
    </row>
    <row r="626" spans="1:11" ht="58" x14ac:dyDescent="0.35">
      <c r="A626" s="31" t="s">
        <v>6487</v>
      </c>
      <c r="B626" s="31" t="s">
        <v>6488</v>
      </c>
      <c r="C626" s="31" t="s">
        <v>14147</v>
      </c>
      <c r="D626" s="31">
        <v>625</v>
      </c>
      <c r="E626" s="31" t="str">
        <f t="shared" si="46"/>
        <v>E2_7_7_18</v>
      </c>
      <c r="F626" s="31" t="s">
        <v>10170</v>
      </c>
      <c r="G626" s="31" t="str">
        <f t="shared" si="47"/>
        <v xml:space="preserve">	
C00002 * C01185</v>
      </c>
      <c r="H626" s="31" t="s">
        <v>10171</v>
      </c>
      <c r="I626" s="31" t="str">
        <f t="shared" si="50"/>
        <v>C00013 * C00857</v>
      </c>
      <c r="J626" s="31" t="str">
        <f t="shared" si="48"/>
        <v>(${Variables: E2_7_7_18_Kcat } * E2_7_7_18 * 	
C00002 * C01185) /(${Variables:E2_7_7_18_Km} + (E2_7_7_18 * 	
C00002 * C01185))</v>
      </c>
      <c r="K626" s="32" t="str">
        <f t="shared" si="49"/>
        <v>r625: 	
C00002 + C01185 -&gt; C00013 + C00857 | (${Variables: E2_7_7_18_Kcat } * E2_7_7_18 * 	
C00002 * C01185) /(${Variables:E2_7_7_18_Km} + (E2_7_7_18 * 	
C00002 * C01185))</v>
      </c>
    </row>
    <row r="627" spans="1:11" ht="58" x14ac:dyDescent="0.35">
      <c r="A627" s="31" t="s">
        <v>6487</v>
      </c>
      <c r="B627" s="31" t="s">
        <v>6488</v>
      </c>
      <c r="C627" s="31" t="s">
        <v>14147</v>
      </c>
      <c r="D627" s="31">
        <v>626</v>
      </c>
      <c r="E627" s="31" t="str">
        <f t="shared" si="46"/>
        <v>E2_7_7_18</v>
      </c>
      <c r="F627" s="31" t="s">
        <v>10173</v>
      </c>
      <c r="G627" s="31" t="str">
        <f t="shared" si="47"/>
        <v xml:space="preserve">	
C00002 * C00455</v>
      </c>
      <c r="H627" s="31" t="s">
        <v>10174</v>
      </c>
      <c r="I627" s="31" t="str">
        <f t="shared" si="50"/>
        <v> C00013 * C00003</v>
      </c>
      <c r="J627" s="31" t="str">
        <f t="shared" si="48"/>
        <v>(${Variables: E2_7_7_18_Kcat } * E2_7_7_18 * 	
C00002 * C00455) /(${Variables:E2_7_7_18_Km} + (E2_7_7_18 * 	
C00002 * C00455))</v>
      </c>
      <c r="K627" s="32" t="str">
        <f t="shared" si="49"/>
        <v>r626: 	
C00002 + C00455 -&gt;  C00013 + C00003 | (${Variables: E2_7_7_18_Kcat } * E2_7_7_18 * 	
C00002 * C00455) /(${Variables:E2_7_7_18_Km} + (E2_7_7_18 * 	
C00002 * C00455))</v>
      </c>
    </row>
    <row r="628" spans="1:11" ht="58" x14ac:dyDescent="0.35">
      <c r="A628" s="31" t="s">
        <v>2729</v>
      </c>
      <c r="B628" s="31" t="s">
        <v>2730</v>
      </c>
      <c r="C628" s="31" t="s">
        <v>14148</v>
      </c>
      <c r="D628" s="31">
        <v>627</v>
      </c>
      <c r="E628" s="31" t="str">
        <f t="shared" si="46"/>
        <v>E2_7_7_23</v>
      </c>
      <c r="F628" s="31" t="s">
        <v>10177</v>
      </c>
      <c r="G628" s="31" t="str">
        <f t="shared" si="47"/>
        <v xml:space="preserve">	
C00075 * C04501 </v>
      </c>
      <c r="H628" s="31" t="s">
        <v>10178</v>
      </c>
      <c r="I628" s="31" t="str">
        <f t="shared" si="50"/>
        <v>C00013 * C00043</v>
      </c>
      <c r="J628" s="31" t="str">
        <f t="shared" si="48"/>
        <v>(${Variables: E2_7_7_23_Kcat } * E2_7_7_23 * 	
C00075 * C04501 ) /(${Variables:E2_7_7_23_Km} + (E2_7_7_23 * 	
C00075 * C04501 ))</v>
      </c>
      <c r="K628" s="32" t="str">
        <f t="shared" si="49"/>
        <v>r627: 	
C00075 + C04501  -&gt; C00013 + C00043 | (${Variables: E2_7_7_23_Kcat } * E2_7_7_23 * 	
C00075 * C04501 ) /(${Variables:E2_7_7_23_Km} + (E2_7_7_23 * 	
C00075 * C04501 ))</v>
      </c>
    </row>
    <row r="629" spans="1:11" ht="58" x14ac:dyDescent="0.35">
      <c r="A629" s="31" t="s">
        <v>996</v>
      </c>
      <c r="B629" s="31" t="s">
        <v>997</v>
      </c>
      <c r="C629" s="31" t="s">
        <v>14149</v>
      </c>
      <c r="D629" s="31">
        <v>628</v>
      </c>
      <c r="E629" s="31" t="str">
        <f t="shared" si="46"/>
        <v>E2_7_7_24</v>
      </c>
      <c r="F629" s="31" t="s">
        <v>10181</v>
      </c>
      <c r="G629" s="31" t="str">
        <f t="shared" si="47"/>
        <v xml:space="preserve">	
C00459 * C00103 </v>
      </c>
      <c r="H629" s="31" t="s">
        <v>10182</v>
      </c>
      <c r="I629" s="31" t="str">
        <f t="shared" si="50"/>
        <v> C00013 * C00842</v>
      </c>
      <c r="J629" s="31" t="str">
        <f t="shared" si="48"/>
        <v>(${Variables: E2_7_7_24_Kcat } * E2_7_7_24 * 	
C00459 * C00103 ) /(${Variables:E2_7_7_24_Km} + (E2_7_7_24 * 	
C00459 * C00103 ))</v>
      </c>
      <c r="K629" s="32" t="str">
        <f t="shared" si="49"/>
        <v>r628: 	
C00459 + C00103  -&gt;  C00013 + C00842 | (${Variables: E2_7_7_24_Kcat } * E2_7_7_24 * 	
C00459 * C00103 ) /(${Variables:E2_7_7_24_Km} + (E2_7_7_24 * 	
C00459 * C00103 ))</v>
      </c>
    </row>
    <row r="630" spans="1:11" ht="29" x14ac:dyDescent="0.35">
      <c r="A630" s="31" t="s">
        <v>3194</v>
      </c>
      <c r="B630" s="31" t="s">
        <v>3195</v>
      </c>
      <c r="C630" s="31" t="s">
        <v>14150</v>
      </c>
      <c r="D630" s="31">
        <v>629</v>
      </c>
      <c r="E630" s="31" t="str">
        <f t="shared" si="46"/>
        <v>E2_7_7_27</v>
      </c>
      <c r="F630" s="31" t="s">
        <v>10185</v>
      </c>
      <c r="G630" s="31" t="str">
        <f t="shared" si="47"/>
        <v xml:space="preserve">C00002 * C00103 </v>
      </c>
      <c r="H630" s="31" t="s">
        <v>10186</v>
      </c>
      <c r="I630" s="31" t="str">
        <f t="shared" si="50"/>
        <v>C00013 * C00498</v>
      </c>
      <c r="J630" s="31" t="str">
        <f t="shared" si="48"/>
        <v>(${Variables: E2_7_7_27_Kcat } * E2_7_7_27 * C00002 * C00103 ) /(${Variables:E2_7_7_27_Km} + (E2_7_7_27 * C00002 * C00103 ))</v>
      </c>
      <c r="K630" s="32" t="str">
        <f t="shared" si="49"/>
        <v>r629: C00002 + C00103  -&gt; C00013 + C00498 | (${Variables: E2_7_7_27_Kcat } * E2_7_7_27 * C00002 * C00103 ) /(${Variables:E2_7_7_27_Km} + (E2_7_7_27 * C00002 * C00103 ))</v>
      </c>
    </row>
    <row r="631" spans="1:11" ht="29" x14ac:dyDescent="0.35">
      <c r="A631" s="31" t="s">
        <v>3762</v>
      </c>
      <c r="B631" s="31" t="s">
        <v>3763</v>
      </c>
      <c r="C631" s="31" t="s">
        <v>14151</v>
      </c>
      <c r="D631" s="31">
        <v>630</v>
      </c>
      <c r="E631" s="31" t="str">
        <f t="shared" si="46"/>
        <v>E2_7_7_3</v>
      </c>
      <c r="F631" s="31" t="s">
        <v>10189</v>
      </c>
      <c r="G631" s="31" t="str">
        <f t="shared" si="47"/>
        <v xml:space="preserve">C00002 * C01134 </v>
      </c>
      <c r="H631" s="31" t="s">
        <v>10190</v>
      </c>
      <c r="I631" s="31" t="str">
        <f t="shared" si="50"/>
        <v xml:space="preserve"> C00013 * C00882</v>
      </c>
      <c r="J631" s="31" t="str">
        <f t="shared" si="48"/>
        <v>(${Variables: E2_7_7_3_Kcat } * E2_7_7_3 * C00002 * C01134 ) /(${Variables:E2_7_7_3_Km} + (E2_7_7_3 * C00002 * C01134 ))</v>
      </c>
      <c r="K631" s="32" t="str">
        <f t="shared" si="49"/>
        <v>r630: C00002 + C01134  -&gt;  C00013 + C00882 | (${Variables: E2_7_7_3_Kcat } * E2_7_7_3 * C00002 * C01134 ) /(${Variables:E2_7_7_3_Km} + (E2_7_7_3 * C00002 * C01134 ))</v>
      </c>
    </row>
    <row r="632" spans="1:11" ht="58" x14ac:dyDescent="0.35">
      <c r="A632" s="31" t="s">
        <v>7700</v>
      </c>
      <c r="B632" s="31" t="s">
        <v>7701</v>
      </c>
      <c r="C632" s="31" t="s">
        <v>14152</v>
      </c>
      <c r="D632" s="31">
        <v>631</v>
      </c>
      <c r="E632" s="31" t="str">
        <f t="shared" si="46"/>
        <v>E2_7_7_4</v>
      </c>
      <c r="F632" s="31" t="s">
        <v>10193</v>
      </c>
      <c r="G632" s="31" t="str">
        <f t="shared" si="47"/>
        <v xml:space="preserve">	
C00002 * C00059 </v>
      </c>
      <c r="H632" s="31" t="s">
        <v>10194</v>
      </c>
      <c r="I632" s="31" t="str">
        <f t="shared" si="50"/>
        <v>C00013 * C00224</v>
      </c>
      <c r="J632" s="31" t="str">
        <f t="shared" si="48"/>
        <v>(${Variables: E2_7_7_4_Kcat } * E2_7_7_4 * 	
C00002 * C00059 ) /(${Variables:E2_7_7_4_Km} + (E2_7_7_4 * 	
C00002 * C00059 ))</v>
      </c>
      <c r="K632" s="32" t="str">
        <f t="shared" si="49"/>
        <v>r631: 	
C00002 + C00059  -&gt; C00013 + C00224 | (${Variables: E2_7_7_4_Kcat } * E2_7_7_4 * 	
C00002 * C00059 ) /(${Variables:E2_7_7_4_Km} + (E2_7_7_4 * 	
C00002 * C00059 ))</v>
      </c>
    </row>
    <row r="633" spans="1:11" ht="58" x14ac:dyDescent="0.35">
      <c r="A633" s="31" t="s">
        <v>7700</v>
      </c>
      <c r="B633" s="31" t="s">
        <v>7701</v>
      </c>
      <c r="C633" s="31" t="s">
        <v>14152</v>
      </c>
      <c r="D633" s="31">
        <v>632</v>
      </c>
      <c r="E633" s="31" t="str">
        <f t="shared" si="46"/>
        <v>E2_7_7_4</v>
      </c>
      <c r="F633" s="31" t="s">
        <v>10196</v>
      </c>
      <c r="G633" s="31" t="str">
        <f t="shared" si="47"/>
        <v xml:space="preserve">	
C00002 * C05697</v>
      </c>
      <c r="H633" s="31" t="s">
        <v>10197</v>
      </c>
      <c r="I633" s="31" t="str">
        <f t="shared" si="50"/>
        <v>C00013 * C05686</v>
      </c>
      <c r="J633" s="31" t="str">
        <f t="shared" si="48"/>
        <v>(${Variables: E2_7_7_4_Kcat } * E2_7_7_4 * 	
C00002 * C05697) /(${Variables:E2_7_7_4_Km} + (E2_7_7_4 * 	
C00002 * C05697))</v>
      </c>
      <c r="K633" s="32" t="str">
        <f t="shared" si="49"/>
        <v>r632: 	
C00002 + C05697 -&gt; C00013 + C05686 | (${Variables: E2_7_7_4_Kcat } * E2_7_7_4 * 	
C00002 * C05697) /(${Variables:E2_7_7_4_Km} + (E2_7_7_4 * 	
C00002 * C05697))</v>
      </c>
    </row>
    <row r="634" spans="1:11" ht="58" x14ac:dyDescent="0.35">
      <c r="A634" s="31" t="s">
        <v>5571</v>
      </c>
      <c r="B634" s="31" t="s">
        <v>5572</v>
      </c>
      <c r="C634" s="31" t="s">
        <v>14153</v>
      </c>
      <c r="D634" s="31">
        <v>633</v>
      </c>
      <c r="E634" s="31" t="str">
        <f t="shared" si="46"/>
        <v>E2_7_7_41</v>
      </c>
      <c r="F634" s="31" t="s">
        <v>10200</v>
      </c>
      <c r="G634" s="31" t="str">
        <f t="shared" si="47"/>
        <v xml:space="preserve">	
C00063 * C00416</v>
      </c>
      <c r="H634" s="31" t="s">
        <v>10201</v>
      </c>
      <c r="I634" s="31" t="str">
        <f t="shared" si="50"/>
        <v>C00013 * C00269</v>
      </c>
      <c r="J634" s="31" t="str">
        <f t="shared" si="48"/>
        <v>(${Variables: E2_7_7_41_Kcat } * E2_7_7_41 * 	
C00063 * C00416) /(${Variables:E2_7_7_41_Km} + (E2_7_7_41 * 	
C00063 * C00416))</v>
      </c>
      <c r="K634" s="32" t="str">
        <f t="shared" si="49"/>
        <v>r633: 	
C00063 + C00416 -&gt; C00013 + C00269 | (${Variables: E2_7_7_41_Kcat } * E2_7_7_41 * 	
C00063 * C00416) /(${Variables:E2_7_7_41_Km} + (E2_7_7_41 * 	
C00063 * C00416))</v>
      </c>
    </row>
    <row r="635" spans="1:11" ht="58" x14ac:dyDescent="0.35">
      <c r="A635" s="31" t="s">
        <v>6147</v>
      </c>
      <c r="B635" s="31" t="s">
        <v>6148</v>
      </c>
      <c r="C635" s="31" t="s">
        <v>14154</v>
      </c>
      <c r="D635" s="31">
        <v>634</v>
      </c>
      <c r="E635" s="31" t="str">
        <f t="shared" si="46"/>
        <v xml:space="preserve">E2_7_7_42 </v>
      </c>
      <c r="F635" s="31" t="s">
        <v>10204</v>
      </c>
      <c r="G635" s="31" t="str">
        <f t="shared" si="47"/>
        <v xml:space="preserve">	
C00002 * C01281</v>
      </c>
      <c r="H635" s="31" t="s">
        <v>10205</v>
      </c>
      <c r="I635" s="31" t="str">
        <f t="shared" si="50"/>
        <v> C00013 * C01299</v>
      </c>
      <c r="J635" s="31" t="str">
        <f t="shared" si="48"/>
        <v>(${Variables: E2_7_7_42 _Kcat } * E2_7_7_42  * 	
C00002 * C01281) /(${Variables:E2_7_7_42 _Km} + (E2_7_7_42  * 	
C00002 * C01281))</v>
      </c>
      <c r="K635" s="31" t="str">
        <f t="shared" si="49"/>
        <v>r634: 	
C00002 + C01281 -&gt;  C00013 + C01299 | (${Variables: E2_7_7_42 _Kcat } * E2_7_7_42  * 	
C00002 * C01281) /(${Variables:E2_7_7_42 _Km} + (E2_7_7_42  * 	
C00002 * C01281))</v>
      </c>
    </row>
    <row r="636" spans="1:11" ht="29" x14ac:dyDescent="0.35">
      <c r="A636" s="31" t="s">
        <v>6147</v>
      </c>
      <c r="B636" s="31" t="s">
        <v>6148</v>
      </c>
      <c r="C636" s="31" t="s">
        <v>14155</v>
      </c>
      <c r="D636" s="31">
        <v>635</v>
      </c>
      <c r="E636" s="31" t="str">
        <f t="shared" si="46"/>
        <v>E2_7_7_89</v>
      </c>
      <c r="F636" s="31" t="s">
        <v>10210</v>
      </c>
      <c r="G636" s="31" t="str">
        <f t="shared" si="47"/>
        <v>C01299 * C00009</v>
      </c>
      <c r="H636" s="31" t="s">
        <v>10211</v>
      </c>
      <c r="I636" s="31" t="str">
        <f t="shared" si="50"/>
        <v>C00008 * C01281</v>
      </c>
      <c r="J636" s="31" t="str">
        <f t="shared" si="48"/>
        <v>(${Variables: E2_7_7_89_Kcat } * E2_7_7_89 * C01299 * C00009) /(${Variables:E2_7_7_89_Km} + (E2_7_7_89 * C01299 * C00009))</v>
      </c>
      <c r="K636" s="31" t="str">
        <f t="shared" si="49"/>
        <v>r635: C01299 + C00009 -&gt; C00008 + C01281 | (${Variables: E2_7_7_89_Kcat } * E2_7_7_89 * C01299 * C00009) /(${Variables:E2_7_7_89_Km} + (E2_7_7_89 * C01299 * C00009))</v>
      </c>
    </row>
    <row r="637" spans="1:11" ht="58" x14ac:dyDescent="0.35">
      <c r="A637" s="31" t="s">
        <v>6876</v>
      </c>
      <c r="B637" s="31" t="s">
        <v>6877</v>
      </c>
      <c r="C637" s="31" t="s">
        <v>14156</v>
      </c>
      <c r="D637" s="31">
        <v>636</v>
      </c>
      <c r="E637" s="31" t="str">
        <f t="shared" si="46"/>
        <v>E2_7_7_56</v>
      </c>
      <c r="F637" s="31" t="s">
        <v>10214</v>
      </c>
      <c r="G637" s="31" t="str">
        <f t="shared" si="47"/>
        <v xml:space="preserve">	
C00066 * C00009 </v>
      </c>
      <c r="H637" s="31" t="s">
        <v>10215</v>
      </c>
      <c r="I637" s="31" t="str">
        <f t="shared" si="50"/>
        <v>C00066 * C00454</v>
      </c>
      <c r="J637" s="31" t="str">
        <f t="shared" si="48"/>
        <v>(${Variables: E2_7_7_56_Kcat } * E2_7_7_56 * 	
C00066 * C00009 ) /(${Variables:E2_7_7_56_Km} + (E2_7_7_56 * 	
C00066 * C00009 ))</v>
      </c>
      <c r="K637" s="31" t="str">
        <f t="shared" si="49"/>
        <v>r636: 	
C00066 + C00009  -&gt; C00066 + C00454 | (${Variables: E2_7_7_56_Kcat } * E2_7_7_56 * 	
C00066 * C00009 ) /(${Variables:E2_7_7_56_Km} + (E2_7_7_56 * 	
C00066 * C00009 ))</v>
      </c>
    </row>
    <row r="638" spans="1:11" ht="58" x14ac:dyDescent="0.35">
      <c r="A638" s="31" t="s">
        <v>5679</v>
      </c>
      <c r="B638" s="31" t="s">
        <v>5680</v>
      </c>
      <c r="C638" s="31" t="s">
        <v>14157</v>
      </c>
      <c r="D638" s="31">
        <v>637</v>
      </c>
      <c r="E638" s="31" t="str">
        <f t="shared" si="46"/>
        <v>E2_7_7_59</v>
      </c>
      <c r="F638" s="31" t="s">
        <v>10218</v>
      </c>
      <c r="G638" s="31" t="str">
        <f t="shared" si="47"/>
        <v xml:space="preserve">	
C00075 * C05250</v>
      </c>
      <c r="H638" s="31" t="s">
        <v>10219</v>
      </c>
      <c r="I638" s="31" t="str">
        <f t="shared" si="50"/>
        <v>C00013 * C05326</v>
      </c>
      <c r="J638" s="31" t="str">
        <f t="shared" si="48"/>
        <v>(${Variables: E2_7_7_59_Kcat } * E2_7_7_59 * 	
C00075 * C05250) /(${Variables:E2_7_7_59_Km} + (E2_7_7_59 * 	
C00075 * C05250))</v>
      </c>
      <c r="K638" s="31" t="str">
        <f t="shared" si="49"/>
        <v>r637: 	
C00075 + C05250 -&gt; C00013 + C05326 | (${Variables: E2_7_7_59_Kcat } * E2_7_7_59 * 	
C00075 * C05250) /(${Variables:E2_7_7_59_Km} + (E2_7_7_59 * 	
C00075 * C05250))</v>
      </c>
    </row>
    <row r="639" spans="1:11" ht="58" x14ac:dyDescent="0.35">
      <c r="A639" s="31" t="s">
        <v>1434</v>
      </c>
      <c r="B639" s="31" t="s">
        <v>1435</v>
      </c>
      <c r="C639" s="31" t="s">
        <v>14158</v>
      </c>
      <c r="D639" s="31">
        <v>638</v>
      </c>
      <c r="E639" s="31" t="str">
        <f t="shared" si="46"/>
        <v>E2_7_7_6</v>
      </c>
      <c r="F639" s="31" t="s">
        <v>10222</v>
      </c>
      <c r="G639" s="31" t="str">
        <f t="shared" si="47"/>
        <v xml:space="preserve">	
C00201 * C00046 </v>
      </c>
      <c r="H639" s="31" t="s">
        <v>10223</v>
      </c>
      <c r="I639" s="31" t="str">
        <f t="shared" si="50"/>
        <v>C00013 * C00046</v>
      </c>
      <c r="J639" s="31" t="str">
        <f t="shared" si="48"/>
        <v>(${Variables: E2_7_7_6_Kcat } * E2_7_7_6 * 	
C00201 * C00046 ) /(${Variables:E2_7_7_6_Km} + (E2_7_7_6 * 	
C00201 * C00046 ))</v>
      </c>
      <c r="K639" s="32" t="str">
        <f t="shared" si="49"/>
        <v>r638: 	
C00201 + C00046  -&gt; C00013 + C00046 | (${Variables: E2_7_7_6_Kcat } * E2_7_7_6 * 	
C00201 * C00046 ) /(${Variables:E2_7_7_6_Km} + (E2_7_7_6 * 	
C00201 * C00046 ))</v>
      </c>
    </row>
    <row r="640" spans="1:11" ht="58" x14ac:dyDescent="0.35">
      <c r="A640" s="31" t="s">
        <v>1434</v>
      </c>
      <c r="B640" s="31" t="s">
        <v>1435</v>
      </c>
      <c r="C640" s="31" t="s">
        <v>14158</v>
      </c>
      <c r="D640" s="31">
        <v>639</v>
      </c>
      <c r="E640" s="31" t="str">
        <f t="shared" si="46"/>
        <v>E2_7_7_6</v>
      </c>
      <c r="F640" s="31" t="s">
        <v>10225</v>
      </c>
      <c r="G640" s="31" t="str">
        <f t="shared" si="47"/>
        <v xml:space="preserve">	
C00002 * C00046</v>
      </c>
      <c r="H640" s="31" t="s">
        <v>10226</v>
      </c>
      <c r="I640" s="31" t="str">
        <f t="shared" si="50"/>
        <v> C00013 * C00046</v>
      </c>
      <c r="J640" s="31" t="str">
        <f t="shared" si="48"/>
        <v>(${Variables: E2_7_7_6_Kcat } * E2_7_7_6 * 	
C00002 * C00046) /(${Variables:E2_7_7_6_Km} + (E2_7_7_6 * 	
C00002 * C00046))</v>
      </c>
      <c r="K640" s="32" t="str">
        <f t="shared" si="49"/>
        <v>r639: 	
C00002 + C00046 -&gt;  C00013 + C00046 | (${Variables: E2_7_7_6_Kcat } * E2_7_7_6 * 	
C00002 * C00046) /(${Variables:E2_7_7_6_Km} + (E2_7_7_6 * 	
C00002 * C00046))</v>
      </c>
    </row>
    <row r="641" spans="1:11" ht="58" x14ac:dyDescent="0.35">
      <c r="A641" s="31" t="s">
        <v>1434</v>
      </c>
      <c r="B641" s="31" t="s">
        <v>1435</v>
      </c>
      <c r="C641" s="31" t="s">
        <v>14158</v>
      </c>
      <c r="D641" s="31">
        <v>640</v>
      </c>
      <c r="E641" s="31" t="str">
        <f t="shared" si="46"/>
        <v>E2_7_7_6</v>
      </c>
      <c r="F641" s="31" t="s">
        <v>10228</v>
      </c>
      <c r="G641" s="31" t="str">
        <f t="shared" si="47"/>
        <v xml:space="preserve">	
C00044 * C00046</v>
      </c>
      <c r="H641" s="31" t="s">
        <v>10226</v>
      </c>
      <c r="I641" s="31" t="str">
        <f t="shared" si="50"/>
        <v> C00013 * C00046</v>
      </c>
      <c r="J641" s="31" t="str">
        <f t="shared" si="48"/>
        <v>(${Variables: E2_7_7_6_Kcat } * E2_7_7_6 * 	
C00044 * C00046) /(${Variables:E2_7_7_6_Km} + (E2_7_7_6 * 	
C00044 * C00046))</v>
      </c>
      <c r="K641" s="32" t="str">
        <f t="shared" si="49"/>
        <v>r640: 	
C00044 + C00046 -&gt;  C00013 + C00046 | (${Variables: E2_7_7_6_Kcat } * E2_7_7_6 * 	
C00044 * C00046) /(${Variables:E2_7_7_6_Km} + (E2_7_7_6 * 	
C00044 * C00046))</v>
      </c>
    </row>
    <row r="642" spans="1:11" ht="58" x14ac:dyDescent="0.35">
      <c r="A642" s="31" t="s">
        <v>1434</v>
      </c>
      <c r="B642" s="31" t="s">
        <v>1435</v>
      </c>
      <c r="C642" s="31" t="s">
        <v>14158</v>
      </c>
      <c r="D642" s="31">
        <v>641</v>
      </c>
      <c r="E642" s="31" t="str">
        <f t="shared" ref="E642:E705" si="51">CONCATENATE("E",C642)</f>
        <v>E2_7_7_6</v>
      </c>
      <c r="F642" s="31" t="s">
        <v>10230</v>
      </c>
      <c r="G642" s="31" t="str">
        <f t="shared" ref="G642:G705" si="52">SUBSTITUTE(F642,"+","*")</f>
        <v xml:space="preserve">	
C00063 * C00046</v>
      </c>
      <c r="H642" s="31" t="s">
        <v>10226</v>
      </c>
      <c r="I642" s="31" t="str">
        <f t="shared" si="50"/>
        <v> C00013 * C00046</v>
      </c>
      <c r="J642" s="31" t="str">
        <f t="shared" ref="J642:J705" si="53">CONCATENATE("(${Variables: ",E642,"_Kcat ","} * ",E642," * ",G642,")"," /(${Variables:",E642,"_Km","} + (",E642," * ",G642,"))")</f>
        <v>(${Variables: E2_7_7_6_Kcat } * E2_7_7_6 * 	
C00063 * C00046) /(${Variables:E2_7_7_6_Km} + (E2_7_7_6 * 	
C00063 * C00046))</v>
      </c>
      <c r="K642" s="32" t="str">
        <f t="shared" ref="K642:K705" si="54">CONCATENATE("r",D642,": ",F642," -&gt; ",H642," | ",J642)</f>
        <v>r641: 	
C00063 + C00046 -&gt;  C00013 + C00046 | (${Variables: E2_7_7_6_Kcat } * E2_7_7_6 * 	
C00063 * C00046) /(${Variables:E2_7_7_6_Km} + (E2_7_7_6 * 	
C00063 * C00046))</v>
      </c>
    </row>
    <row r="643" spans="1:11" ht="58" x14ac:dyDescent="0.35">
      <c r="A643" s="31" t="s">
        <v>1434</v>
      </c>
      <c r="B643" s="31" t="s">
        <v>1435</v>
      </c>
      <c r="C643" s="31" t="s">
        <v>14158</v>
      </c>
      <c r="D643" s="31">
        <v>642</v>
      </c>
      <c r="E643" s="31" t="str">
        <f t="shared" si="51"/>
        <v>E2_7_7_6</v>
      </c>
      <c r="F643" s="31" t="s">
        <v>10232</v>
      </c>
      <c r="G643" s="31" t="str">
        <f t="shared" si="52"/>
        <v xml:space="preserve">	
C00075 * C00046</v>
      </c>
      <c r="H643" s="31" t="s">
        <v>10226</v>
      </c>
      <c r="I643" s="31" t="str">
        <f t="shared" si="50"/>
        <v> C00013 * C00046</v>
      </c>
      <c r="J643" s="31" t="str">
        <f t="shared" si="53"/>
        <v>(${Variables: E2_7_7_6_Kcat } * E2_7_7_6 * 	
C00075 * C00046) /(${Variables:E2_7_7_6_Km} + (E2_7_7_6 * 	
C00075 * C00046))</v>
      </c>
      <c r="K643" s="32" t="str">
        <f t="shared" si="54"/>
        <v>r642: 	
C00075 + C00046 -&gt;  C00013 + C00046 | (${Variables: E2_7_7_6_Kcat } * E2_7_7_6 * 	
C00075 * C00046) /(${Variables:E2_7_7_6_Km} + (E2_7_7_6 * 	
C00075 * C00046))</v>
      </c>
    </row>
    <row r="644" spans="1:11" ht="29" x14ac:dyDescent="0.35">
      <c r="A644" s="31" t="s">
        <v>1434</v>
      </c>
      <c r="B644" s="31" t="s">
        <v>1435</v>
      </c>
      <c r="C644" s="31" t="s">
        <v>14158</v>
      </c>
      <c r="D644" s="31">
        <v>643</v>
      </c>
      <c r="E644" s="31" t="str">
        <f t="shared" si="51"/>
        <v>E2_7_7_6</v>
      </c>
      <c r="F644" s="31" t="s">
        <v>13905</v>
      </c>
      <c r="G644" s="31" t="str">
        <f t="shared" si="52"/>
        <v>C00201</v>
      </c>
      <c r="H644" s="31" t="s">
        <v>14452</v>
      </c>
      <c r="I644" s="31" t="str">
        <f>SUBSTITUTE(H644,"+","*")</f>
        <v> C20864* C00013</v>
      </c>
      <c r="J644" s="31" t="str">
        <f t="shared" si="53"/>
        <v>(${Variables: E2_7_7_6_Kcat } * E2_7_7_6 * C00201) /(${Variables:E2_7_7_6_Km} + (E2_7_7_6 * C00201))</v>
      </c>
      <c r="K644" s="32" t="str">
        <f t="shared" si="54"/>
        <v>r643: C00201 -&gt;  C20864+ C00013 | (${Variables: E2_7_7_6_Kcat } * E2_7_7_6 * C00201) /(${Variables:E2_7_7_6_Km} + (E2_7_7_6 * C00201))</v>
      </c>
    </row>
    <row r="645" spans="1:11" ht="58" x14ac:dyDescent="0.35">
      <c r="A645" s="31" t="s">
        <v>1437</v>
      </c>
      <c r="B645" s="31" t="s">
        <v>1438</v>
      </c>
      <c r="C645" s="31" t="s">
        <v>14158</v>
      </c>
      <c r="D645" s="31">
        <v>644</v>
      </c>
      <c r="E645" s="31" t="str">
        <f t="shared" si="51"/>
        <v>E2_7_7_6</v>
      </c>
      <c r="F645" s="31" t="s">
        <v>10222</v>
      </c>
      <c r="G645" s="31" t="str">
        <f t="shared" si="52"/>
        <v xml:space="preserve">	
C00201 * C00046 </v>
      </c>
      <c r="H645" s="31" t="s">
        <v>10223</v>
      </c>
      <c r="I645" s="31" t="str">
        <f t="shared" ref="I645:I663" si="55">SUBSTITUTE(H645,"+","*")</f>
        <v>C00013 * C00046</v>
      </c>
      <c r="J645" s="31" t="str">
        <f t="shared" si="53"/>
        <v>(${Variables: E2_7_7_6_Kcat } * E2_7_7_6 * 	
C00201 * C00046 ) /(${Variables:E2_7_7_6_Km} + (E2_7_7_6 * 	
C00201 * C00046 ))</v>
      </c>
      <c r="K645" s="32" t="str">
        <f t="shared" si="54"/>
        <v>r644: 	
C00201 + C00046  -&gt; C00013 + C00046 | (${Variables: E2_7_7_6_Kcat } * E2_7_7_6 * 	
C00201 * C00046 ) /(${Variables:E2_7_7_6_Km} + (E2_7_7_6 * 	
C00201 * C00046 ))</v>
      </c>
    </row>
    <row r="646" spans="1:11" ht="58" x14ac:dyDescent="0.35">
      <c r="A646" s="31" t="s">
        <v>1437</v>
      </c>
      <c r="B646" s="31" t="s">
        <v>1438</v>
      </c>
      <c r="C646" s="31" t="s">
        <v>14158</v>
      </c>
      <c r="D646" s="31">
        <v>645</v>
      </c>
      <c r="E646" s="31" t="str">
        <f t="shared" si="51"/>
        <v>E2_7_7_6</v>
      </c>
      <c r="F646" s="31" t="s">
        <v>10225</v>
      </c>
      <c r="G646" s="31" t="str">
        <f t="shared" si="52"/>
        <v xml:space="preserve">	
C00002 * C00046</v>
      </c>
      <c r="H646" s="31" t="s">
        <v>10226</v>
      </c>
      <c r="I646" s="31" t="str">
        <f t="shared" si="55"/>
        <v> C00013 * C00046</v>
      </c>
      <c r="J646" s="31" t="str">
        <f t="shared" si="53"/>
        <v>(${Variables: E2_7_7_6_Kcat } * E2_7_7_6 * 	
C00002 * C00046) /(${Variables:E2_7_7_6_Km} + (E2_7_7_6 * 	
C00002 * C00046))</v>
      </c>
      <c r="K646" s="32" t="str">
        <f t="shared" si="54"/>
        <v>r645: 	
C00002 + C00046 -&gt;  C00013 + C00046 | (${Variables: E2_7_7_6_Kcat } * E2_7_7_6 * 	
C00002 * C00046) /(${Variables:E2_7_7_6_Km} + (E2_7_7_6 * 	
C00002 * C00046))</v>
      </c>
    </row>
    <row r="647" spans="1:11" ht="58" x14ac:dyDescent="0.35">
      <c r="A647" s="31" t="s">
        <v>1437</v>
      </c>
      <c r="B647" s="31" t="s">
        <v>1438</v>
      </c>
      <c r="C647" s="31" t="s">
        <v>14158</v>
      </c>
      <c r="D647" s="31">
        <v>646</v>
      </c>
      <c r="E647" s="31" t="str">
        <f t="shared" si="51"/>
        <v>E2_7_7_6</v>
      </c>
      <c r="F647" s="31" t="s">
        <v>10228</v>
      </c>
      <c r="G647" s="31" t="str">
        <f t="shared" si="52"/>
        <v xml:space="preserve">	
C00044 * C00046</v>
      </c>
      <c r="H647" s="31" t="s">
        <v>10226</v>
      </c>
      <c r="I647" s="31" t="str">
        <f t="shared" si="55"/>
        <v> C00013 * C00046</v>
      </c>
      <c r="J647" s="31" t="str">
        <f t="shared" si="53"/>
        <v>(${Variables: E2_7_7_6_Kcat } * E2_7_7_6 * 	
C00044 * C00046) /(${Variables:E2_7_7_6_Km} + (E2_7_7_6 * 	
C00044 * C00046))</v>
      </c>
      <c r="K647" s="32" t="str">
        <f t="shared" si="54"/>
        <v>r646: 	
C00044 + C00046 -&gt;  C00013 + C00046 | (${Variables: E2_7_7_6_Kcat } * E2_7_7_6 * 	
C00044 * C00046) /(${Variables:E2_7_7_6_Km} + (E2_7_7_6 * 	
C00044 * C00046))</v>
      </c>
    </row>
    <row r="648" spans="1:11" ht="58" x14ac:dyDescent="0.35">
      <c r="A648" s="31" t="s">
        <v>1437</v>
      </c>
      <c r="B648" s="31" t="s">
        <v>1438</v>
      </c>
      <c r="C648" s="31" t="s">
        <v>14158</v>
      </c>
      <c r="D648" s="31">
        <v>647</v>
      </c>
      <c r="E648" s="31" t="str">
        <f t="shared" si="51"/>
        <v>E2_7_7_6</v>
      </c>
      <c r="F648" s="31" t="s">
        <v>10230</v>
      </c>
      <c r="G648" s="31" t="str">
        <f t="shared" si="52"/>
        <v xml:space="preserve">	
C00063 * C00046</v>
      </c>
      <c r="H648" s="31" t="s">
        <v>10226</v>
      </c>
      <c r="I648" s="31" t="str">
        <f t="shared" si="55"/>
        <v> C00013 * C00046</v>
      </c>
      <c r="J648" s="31" t="str">
        <f t="shared" si="53"/>
        <v>(${Variables: E2_7_7_6_Kcat } * E2_7_7_6 * 	
C00063 * C00046) /(${Variables:E2_7_7_6_Km} + (E2_7_7_6 * 	
C00063 * C00046))</v>
      </c>
      <c r="K648" s="32" t="str">
        <f t="shared" si="54"/>
        <v>r647: 	
C00063 + C00046 -&gt;  C00013 + C00046 | (${Variables: E2_7_7_6_Kcat } * E2_7_7_6 * 	
C00063 * C00046) /(${Variables:E2_7_7_6_Km} + (E2_7_7_6 * 	
C00063 * C00046))</v>
      </c>
    </row>
    <row r="649" spans="1:11" ht="58" x14ac:dyDescent="0.35">
      <c r="A649" s="31" t="s">
        <v>1437</v>
      </c>
      <c r="B649" s="31" t="s">
        <v>1438</v>
      </c>
      <c r="C649" s="31" t="s">
        <v>14158</v>
      </c>
      <c r="D649" s="31">
        <v>648</v>
      </c>
      <c r="E649" s="31" t="str">
        <f t="shared" si="51"/>
        <v>E2_7_7_6</v>
      </c>
      <c r="F649" s="31" t="s">
        <v>10232</v>
      </c>
      <c r="G649" s="31" t="str">
        <f t="shared" si="52"/>
        <v xml:space="preserve">	
C00075 * C00046</v>
      </c>
      <c r="H649" s="31" t="s">
        <v>10226</v>
      </c>
      <c r="I649" s="31" t="str">
        <f t="shared" si="55"/>
        <v> C00013 * C00046</v>
      </c>
      <c r="J649" s="31" t="str">
        <f t="shared" si="53"/>
        <v>(${Variables: E2_7_7_6_Kcat } * E2_7_7_6 * 	
C00075 * C00046) /(${Variables:E2_7_7_6_Km} + (E2_7_7_6 * 	
C00075 * C00046))</v>
      </c>
      <c r="K649" s="32" t="str">
        <f t="shared" si="54"/>
        <v>r648: 	
C00075 + C00046 -&gt;  C00013 + C00046 | (${Variables: E2_7_7_6_Kcat } * E2_7_7_6 * 	
C00075 * C00046) /(${Variables:E2_7_7_6_Km} + (E2_7_7_6 * 	
C00075 * C00046))</v>
      </c>
    </row>
    <row r="650" spans="1:11" ht="29" x14ac:dyDescent="0.35">
      <c r="A650" s="31" t="s">
        <v>1437</v>
      </c>
      <c r="B650" s="31" t="s">
        <v>1438</v>
      </c>
      <c r="C650" s="31" t="s">
        <v>14158</v>
      </c>
      <c r="D650" s="31">
        <v>649</v>
      </c>
      <c r="E650" s="31" t="str">
        <f t="shared" si="51"/>
        <v>E2_7_7_6</v>
      </c>
      <c r="F650" s="31" t="s">
        <v>13906</v>
      </c>
      <c r="G650" s="31" t="str">
        <f t="shared" si="52"/>
        <v xml:space="preserve"> C00201</v>
      </c>
      <c r="H650" s="31" t="s">
        <v>14453</v>
      </c>
      <c r="I650" s="31" t="str">
        <f t="shared" si="55"/>
        <v> C20864 * C00013</v>
      </c>
      <c r="J650" s="31" t="str">
        <f t="shared" si="53"/>
        <v>(${Variables: E2_7_7_6_Kcat } * E2_7_7_6 *  C00201) /(${Variables:E2_7_7_6_Km} + (E2_7_7_6 *  C00201))</v>
      </c>
      <c r="K650" s="32" t="str">
        <f t="shared" si="54"/>
        <v>r649:  C00201 -&gt;  C20864 + C00013 | (${Variables: E2_7_7_6_Kcat } * E2_7_7_6 *  C00201) /(${Variables:E2_7_7_6_Km} + (E2_7_7_6 *  C00201))</v>
      </c>
    </row>
    <row r="651" spans="1:11" ht="58" x14ac:dyDescent="0.35">
      <c r="A651" s="31" t="s">
        <v>1651</v>
      </c>
      <c r="B651" s="31" t="s">
        <v>1652</v>
      </c>
      <c r="C651" s="31" t="s">
        <v>14158</v>
      </c>
      <c r="D651" s="31">
        <v>650</v>
      </c>
      <c r="E651" s="31" t="str">
        <f t="shared" si="51"/>
        <v>E2_7_7_6</v>
      </c>
      <c r="F651" s="31" t="s">
        <v>10222</v>
      </c>
      <c r="G651" s="31" t="str">
        <f t="shared" si="52"/>
        <v xml:space="preserve">	
C00201 * C00046 </v>
      </c>
      <c r="H651" s="31" t="s">
        <v>10223</v>
      </c>
      <c r="I651" s="31" t="str">
        <f t="shared" si="55"/>
        <v>C00013 * C00046</v>
      </c>
      <c r="J651" s="31" t="str">
        <f t="shared" si="53"/>
        <v>(${Variables: E2_7_7_6_Kcat } * E2_7_7_6 * 	
C00201 * C00046 ) /(${Variables:E2_7_7_6_Km} + (E2_7_7_6 * 	
C00201 * C00046 ))</v>
      </c>
      <c r="K651" s="32" t="str">
        <f t="shared" si="54"/>
        <v>r650: 	
C00201 + C00046  -&gt; C00013 + C00046 | (${Variables: E2_7_7_6_Kcat } * E2_7_7_6 * 	
C00201 * C00046 ) /(${Variables:E2_7_7_6_Km} + (E2_7_7_6 * 	
C00201 * C00046 ))</v>
      </c>
    </row>
    <row r="652" spans="1:11" ht="58" x14ac:dyDescent="0.35">
      <c r="A652" s="31" t="s">
        <v>1651</v>
      </c>
      <c r="B652" s="31" t="s">
        <v>1652</v>
      </c>
      <c r="C652" s="31" t="s">
        <v>14158</v>
      </c>
      <c r="D652" s="31">
        <v>651</v>
      </c>
      <c r="E652" s="31" t="str">
        <f t="shared" si="51"/>
        <v>E2_7_7_6</v>
      </c>
      <c r="F652" s="31" t="s">
        <v>10225</v>
      </c>
      <c r="G652" s="31" t="str">
        <f t="shared" si="52"/>
        <v xml:space="preserve">	
C00002 * C00046</v>
      </c>
      <c r="H652" s="31" t="s">
        <v>10226</v>
      </c>
      <c r="I652" s="31" t="str">
        <f t="shared" si="55"/>
        <v> C00013 * C00046</v>
      </c>
      <c r="J652" s="31" t="str">
        <f t="shared" si="53"/>
        <v>(${Variables: E2_7_7_6_Kcat } * E2_7_7_6 * 	
C00002 * C00046) /(${Variables:E2_7_7_6_Km} + (E2_7_7_6 * 	
C00002 * C00046))</v>
      </c>
      <c r="K652" s="32" t="str">
        <f t="shared" si="54"/>
        <v>r651: 	
C00002 + C00046 -&gt;  C00013 + C00046 | (${Variables: E2_7_7_6_Kcat } * E2_7_7_6 * 	
C00002 * C00046) /(${Variables:E2_7_7_6_Km} + (E2_7_7_6 * 	
C00002 * C00046))</v>
      </c>
    </row>
    <row r="653" spans="1:11" ht="58" x14ac:dyDescent="0.35">
      <c r="A653" s="31" t="s">
        <v>1651</v>
      </c>
      <c r="B653" s="31" t="s">
        <v>1652</v>
      </c>
      <c r="C653" s="31" t="s">
        <v>14158</v>
      </c>
      <c r="D653" s="31">
        <v>652</v>
      </c>
      <c r="E653" s="31" t="str">
        <f t="shared" si="51"/>
        <v>E2_7_7_6</v>
      </c>
      <c r="F653" s="31" t="s">
        <v>10228</v>
      </c>
      <c r="G653" s="31" t="str">
        <f t="shared" si="52"/>
        <v xml:space="preserve">	
C00044 * C00046</v>
      </c>
      <c r="H653" s="31" t="s">
        <v>10226</v>
      </c>
      <c r="I653" s="31" t="str">
        <f t="shared" si="55"/>
        <v> C00013 * C00046</v>
      </c>
      <c r="J653" s="31" t="str">
        <f t="shared" si="53"/>
        <v>(${Variables: E2_7_7_6_Kcat } * E2_7_7_6 * 	
C00044 * C00046) /(${Variables:E2_7_7_6_Km} + (E2_7_7_6 * 	
C00044 * C00046))</v>
      </c>
      <c r="K653" s="32" t="str">
        <f t="shared" si="54"/>
        <v>r652: 	
C00044 + C00046 -&gt;  C00013 + C00046 | (${Variables: E2_7_7_6_Kcat } * E2_7_7_6 * 	
C00044 * C00046) /(${Variables:E2_7_7_6_Km} + (E2_7_7_6 * 	
C00044 * C00046))</v>
      </c>
    </row>
    <row r="654" spans="1:11" ht="58" x14ac:dyDescent="0.35">
      <c r="A654" s="31" t="s">
        <v>1651</v>
      </c>
      <c r="B654" s="31" t="s">
        <v>1652</v>
      </c>
      <c r="C654" s="31" t="s">
        <v>14158</v>
      </c>
      <c r="D654" s="31">
        <v>653</v>
      </c>
      <c r="E654" s="31" t="str">
        <f t="shared" si="51"/>
        <v>E2_7_7_6</v>
      </c>
      <c r="F654" s="31" t="s">
        <v>10230</v>
      </c>
      <c r="G654" s="31" t="str">
        <f t="shared" si="52"/>
        <v xml:space="preserve">	
C00063 * C00046</v>
      </c>
      <c r="H654" s="31" t="s">
        <v>10226</v>
      </c>
      <c r="I654" s="31" t="str">
        <f t="shared" si="55"/>
        <v> C00013 * C00046</v>
      </c>
      <c r="J654" s="31" t="str">
        <f t="shared" si="53"/>
        <v>(${Variables: E2_7_7_6_Kcat } * E2_7_7_6 * 	
C00063 * C00046) /(${Variables:E2_7_7_6_Km} + (E2_7_7_6 * 	
C00063 * C00046))</v>
      </c>
      <c r="K654" s="32" t="str">
        <f t="shared" si="54"/>
        <v>r653: 	
C00063 + C00046 -&gt;  C00013 + C00046 | (${Variables: E2_7_7_6_Kcat } * E2_7_7_6 * 	
C00063 * C00046) /(${Variables:E2_7_7_6_Km} + (E2_7_7_6 * 	
C00063 * C00046))</v>
      </c>
    </row>
    <row r="655" spans="1:11" ht="58" x14ac:dyDescent="0.35">
      <c r="A655" s="31" t="s">
        <v>1651</v>
      </c>
      <c r="B655" s="31" t="s">
        <v>1652</v>
      </c>
      <c r="C655" s="31" t="s">
        <v>14158</v>
      </c>
      <c r="D655" s="31">
        <v>654</v>
      </c>
      <c r="E655" s="31" t="str">
        <f t="shared" si="51"/>
        <v>E2_7_7_6</v>
      </c>
      <c r="F655" s="31" t="s">
        <v>10232</v>
      </c>
      <c r="G655" s="31" t="str">
        <f t="shared" si="52"/>
        <v xml:space="preserve">	
C00075 * C00046</v>
      </c>
      <c r="H655" s="31" t="s">
        <v>10226</v>
      </c>
      <c r="I655" s="31" t="str">
        <f t="shared" si="55"/>
        <v> C00013 * C00046</v>
      </c>
      <c r="J655" s="31" t="str">
        <f t="shared" si="53"/>
        <v>(${Variables: E2_7_7_6_Kcat } * E2_7_7_6 * 	
C00075 * C00046) /(${Variables:E2_7_7_6_Km} + (E2_7_7_6 * 	
C00075 * C00046))</v>
      </c>
      <c r="K655" s="32" t="str">
        <f t="shared" si="54"/>
        <v>r654: 	
C00075 + C00046 -&gt;  C00013 + C00046 | (${Variables: E2_7_7_6_Kcat } * E2_7_7_6 * 	
C00075 * C00046) /(${Variables:E2_7_7_6_Km} + (E2_7_7_6 * 	
C00075 * C00046))</v>
      </c>
    </row>
    <row r="656" spans="1:11" ht="29" x14ac:dyDescent="0.35">
      <c r="A656" s="31" t="s">
        <v>1651</v>
      </c>
      <c r="B656" s="31" t="s">
        <v>1652</v>
      </c>
      <c r="C656" s="31" t="s">
        <v>14158</v>
      </c>
      <c r="D656" s="31">
        <v>655</v>
      </c>
      <c r="E656" s="31" t="str">
        <f t="shared" si="51"/>
        <v>E2_7_7_6</v>
      </c>
      <c r="F656" s="31" t="s">
        <v>13905</v>
      </c>
      <c r="G656" s="31" t="str">
        <f t="shared" si="52"/>
        <v>C00201</v>
      </c>
      <c r="H656" s="31" t="s">
        <v>14454</v>
      </c>
      <c r="I656" s="31" t="str">
        <f t="shared" si="55"/>
        <v> C20864 * C00013</v>
      </c>
      <c r="J656" s="31" t="str">
        <f t="shared" si="53"/>
        <v>(${Variables: E2_7_7_6_Kcat } * E2_7_7_6 * C00201) /(${Variables:E2_7_7_6_Km} + (E2_7_7_6 * C00201))</v>
      </c>
      <c r="K656" s="32" t="str">
        <f t="shared" si="54"/>
        <v>r655: C00201 -&gt;  C20864 + C00013 | (${Variables: E2_7_7_6_Kcat } * E2_7_7_6 * C00201) /(${Variables:E2_7_7_6_Km} + (E2_7_7_6 * C00201))</v>
      </c>
    </row>
    <row r="657" spans="1:11" ht="58" x14ac:dyDescent="0.35">
      <c r="A657" s="31" t="s">
        <v>4540</v>
      </c>
      <c r="B657" s="31" t="s">
        <v>4541</v>
      </c>
      <c r="C657" s="31" t="s">
        <v>14158</v>
      </c>
      <c r="D657" s="31">
        <v>656</v>
      </c>
      <c r="E657" s="31" t="str">
        <f t="shared" si="51"/>
        <v>E2_7_7_6</v>
      </c>
      <c r="F657" s="31" t="s">
        <v>10222</v>
      </c>
      <c r="G657" s="31" t="str">
        <f t="shared" si="52"/>
        <v xml:space="preserve">	
C00201 * C00046 </v>
      </c>
      <c r="H657" s="31" t="s">
        <v>10223</v>
      </c>
      <c r="I657" s="31" t="str">
        <f t="shared" si="55"/>
        <v>C00013 * C00046</v>
      </c>
      <c r="J657" s="31" t="str">
        <f t="shared" si="53"/>
        <v>(${Variables: E2_7_7_6_Kcat } * E2_7_7_6 * 	
C00201 * C00046 ) /(${Variables:E2_7_7_6_Km} + (E2_7_7_6 * 	
C00201 * C00046 ))</v>
      </c>
      <c r="K657" s="32" t="str">
        <f t="shared" si="54"/>
        <v>r656: 	
C00201 + C00046  -&gt; C00013 + C00046 | (${Variables: E2_7_7_6_Kcat } * E2_7_7_6 * 	
C00201 * C00046 ) /(${Variables:E2_7_7_6_Km} + (E2_7_7_6 * 	
C00201 * C00046 ))</v>
      </c>
    </row>
    <row r="658" spans="1:11" ht="58" x14ac:dyDescent="0.35">
      <c r="A658" s="31" t="s">
        <v>4540</v>
      </c>
      <c r="B658" s="31" t="s">
        <v>4541</v>
      </c>
      <c r="C658" s="31" t="s">
        <v>14158</v>
      </c>
      <c r="D658" s="31">
        <v>657</v>
      </c>
      <c r="E658" s="31" t="str">
        <f t="shared" si="51"/>
        <v>E2_7_7_6</v>
      </c>
      <c r="F658" s="31" t="s">
        <v>10225</v>
      </c>
      <c r="G658" s="31" t="str">
        <f t="shared" si="52"/>
        <v xml:space="preserve">	
C00002 * C00046</v>
      </c>
      <c r="H658" s="31" t="s">
        <v>10226</v>
      </c>
      <c r="I658" s="31" t="str">
        <f t="shared" si="55"/>
        <v> C00013 * C00046</v>
      </c>
      <c r="J658" s="31" t="str">
        <f t="shared" si="53"/>
        <v>(${Variables: E2_7_7_6_Kcat } * E2_7_7_6 * 	
C00002 * C00046) /(${Variables:E2_7_7_6_Km} + (E2_7_7_6 * 	
C00002 * C00046))</v>
      </c>
      <c r="K658" s="32" t="str">
        <f t="shared" si="54"/>
        <v>r657: 	
C00002 + C00046 -&gt;  C00013 + C00046 | (${Variables: E2_7_7_6_Kcat } * E2_7_7_6 * 	
C00002 * C00046) /(${Variables:E2_7_7_6_Km} + (E2_7_7_6 * 	
C00002 * C00046))</v>
      </c>
    </row>
    <row r="659" spans="1:11" ht="58" x14ac:dyDescent="0.35">
      <c r="A659" s="31" t="s">
        <v>4540</v>
      </c>
      <c r="B659" s="31" t="s">
        <v>4541</v>
      </c>
      <c r="C659" s="31" t="s">
        <v>14158</v>
      </c>
      <c r="D659" s="31">
        <v>658</v>
      </c>
      <c r="E659" s="31" t="str">
        <f t="shared" si="51"/>
        <v>E2_7_7_6</v>
      </c>
      <c r="F659" s="31" t="s">
        <v>10228</v>
      </c>
      <c r="G659" s="31" t="str">
        <f t="shared" si="52"/>
        <v xml:space="preserve">	
C00044 * C00046</v>
      </c>
      <c r="H659" s="31" t="s">
        <v>10226</v>
      </c>
      <c r="I659" s="31" t="str">
        <f t="shared" si="55"/>
        <v> C00013 * C00046</v>
      </c>
      <c r="J659" s="31" t="str">
        <f t="shared" si="53"/>
        <v>(${Variables: E2_7_7_6_Kcat } * E2_7_7_6 * 	
C00044 * C00046) /(${Variables:E2_7_7_6_Km} + (E2_7_7_6 * 	
C00044 * C00046))</v>
      </c>
      <c r="K659" s="32" t="str">
        <f t="shared" si="54"/>
        <v>r658: 	
C00044 + C00046 -&gt;  C00013 + C00046 | (${Variables: E2_7_7_6_Kcat } * E2_7_7_6 * 	
C00044 * C00046) /(${Variables:E2_7_7_6_Km} + (E2_7_7_6 * 	
C00044 * C00046))</v>
      </c>
    </row>
    <row r="660" spans="1:11" ht="58" x14ac:dyDescent="0.35">
      <c r="A660" s="31" t="s">
        <v>4540</v>
      </c>
      <c r="B660" s="31" t="s">
        <v>4541</v>
      </c>
      <c r="C660" s="31" t="s">
        <v>14158</v>
      </c>
      <c r="D660" s="31">
        <v>659</v>
      </c>
      <c r="E660" s="31" t="str">
        <f t="shared" si="51"/>
        <v>E2_7_7_6</v>
      </c>
      <c r="F660" s="31" t="s">
        <v>10230</v>
      </c>
      <c r="G660" s="31" t="str">
        <f t="shared" si="52"/>
        <v xml:space="preserve">	
C00063 * C00046</v>
      </c>
      <c r="H660" s="31" t="s">
        <v>10226</v>
      </c>
      <c r="I660" s="31" t="str">
        <f t="shared" si="55"/>
        <v> C00013 * C00046</v>
      </c>
      <c r="J660" s="31" t="str">
        <f t="shared" si="53"/>
        <v>(${Variables: E2_7_7_6_Kcat } * E2_7_7_6 * 	
C00063 * C00046) /(${Variables:E2_7_7_6_Km} + (E2_7_7_6 * 	
C00063 * C00046))</v>
      </c>
      <c r="K660" s="32" t="str">
        <f t="shared" si="54"/>
        <v>r659: 	
C00063 + C00046 -&gt;  C00013 + C00046 | (${Variables: E2_7_7_6_Kcat } * E2_7_7_6 * 	
C00063 * C00046) /(${Variables:E2_7_7_6_Km} + (E2_7_7_6 * 	
C00063 * C00046))</v>
      </c>
    </row>
    <row r="661" spans="1:11" ht="58" x14ac:dyDescent="0.35">
      <c r="A661" s="31" t="s">
        <v>4540</v>
      </c>
      <c r="B661" s="31" t="s">
        <v>4541</v>
      </c>
      <c r="C661" s="31" t="s">
        <v>14158</v>
      </c>
      <c r="D661" s="31">
        <v>660</v>
      </c>
      <c r="E661" s="31" t="str">
        <f t="shared" si="51"/>
        <v>E2_7_7_6</v>
      </c>
      <c r="F661" s="31" t="s">
        <v>10232</v>
      </c>
      <c r="G661" s="31" t="str">
        <f t="shared" si="52"/>
        <v xml:space="preserve">	
C00075 * C00046</v>
      </c>
      <c r="H661" s="31" t="s">
        <v>10226</v>
      </c>
      <c r="I661" s="31" t="str">
        <f t="shared" si="55"/>
        <v> C00013 * C00046</v>
      </c>
      <c r="J661" s="31" t="str">
        <f t="shared" si="53"/>
        <v>(${Variables: E2_7_7_6_Kcat } * E2_7_7_6 * 	
C00075 * C00046) /(${Variables:E2_7_7_6_Km} + (E2_7_7_6 * 	
C00075 * C00046))</v>
      </c>
      <c r="K661" s="32" t="str">
        <f t="shared" si="54"/>
        <v>r660: 	
C00075 + C00046 -&gt;  C00013 + C00046 | (${Variables: E2_7_7_6_Kcat } * E2_7_7_6 * 	
C00075 * C00046) /(${Variables:E2_7_7_6_Km} + (E2_7_7_6 * 	
C00075 * C00046))</v>
      </c>
    </row>
    <row r="662" spans="1:11" ht="29" x14ac:dyDescent="0.35">
      <c r="A662" s="31" t="s">
        <v>4540</v>
      </c>
      <c r="B662" s="31" t="s">
        <v>4541</v>
      </c>
      <c r="C662" s="31" t="s">
        <v>14158</v>
      </c>
      <c r="D662" s="31">
        <v>661</v>
      </c>
      <c r="E662" s="31" t="str">
        <f t="shared" si="51"/>
        <v>E2_7_7_6</v>
      </c>
      <c r="F662" s="31" t="s">
        <v>13905</v>
      </c>
      <c r="G662" s="31" t="str">
        <f t="shared" si="52"/>
        <v>C00201</v>
      </c>
      <c r="H662" s="31" t="s">
        <v>14454</v>
      </c>
      <c r="I662" s="31" t="str">
        <f t="shared" si="55"/>
        <v> C20864 * C00013</v>
      </c>
      <c r="J662" s="31" t="str">
        <f t="shared" si="53"/>
        <v>(${Variables: E2_7_7_6_Kcat } * E2_7_7_6 * C00201) /(${Variables:E2_7_7_6_Km} + (E2_7_7_6 * C00201))</v>
      </c>
      <c r="K662" s="32" t="str">
        <f t="shared" si="54"/>
        <v>r661: C00201 -&gt;  C20864 + C00013 | (${Variables: E2_7_7_6_Kcat } * E2_7_7_6 * C00201) /(${Variables:E2_7_7_6_Km} + (E2_7_7_6 * C00201))</v>
      </c>
    </row>
    <row r="663" spans="1:11" ht="58" x14ac:dyDescent="0.35">
      <c r="A663" s="31" t="s">
        <v>7312</v>
      </c>
      <c r="B663" s="31" t="s">
        <v>7313</v>
      </c>
      <c r="C663" s="31" t="s">
        <v>14159</v>
      </c>
      <c r="D663" s="31">
        <v>662</v>
      </c>
      <c r="E663" s="31" t="str">
        <f t="shared" si="51"/>
        <v>E2_7_7_60</v>
      </c>
      <c r="F663" s="31" t="s">
        <v>10237</v>
      </c>
      <c r="G663" s="31" t="str">
        <f t="shared" si="52"/>
        <v xml:space="preserve">	
C11434 * C00063 </v>
      </c>
      <c r="H663" s="31" t="s">
        <v>10238</v>
      </c>
      <c r="I663" s="31" t="str">
        <f t="shared" si="55"/>
        <v>C11435 * C00013</v>
      </c>
      <c r="J663" s="31" t="str">
        <f t="shared" si="53"/>
        <v>(${Variables: E2_7_7_60_Kcat } * E2_7_7_60 * 	
C11434 * C00063 ) /(${Variables:E2_7_7_60_Km} + (E2_7_7_60 * 	
C11434 * C00063 ))</v>
      </c>
      <c r="K663" s="32" t="str">
        <f t="shared" si="54"/>
        <v>r662: 	
C11434 + C00063  -&gt; C11435 + C00013 | (${Variables: E2_7_7_60_Kcat } * E2_7_7_60 * 	
C11434 * C00063 ) /(${Variables:E2_7_7_60_Km} + (E2_7_7_60 * 	
C11434 * C00063 ))</v>
      </c>
    </row>
    <row r="664" spans="1:11" ht="58" x14ac:dyDescent="0.35">
      <c r="A664" s="31" t="s">
        <v>22</v>
      </c>
      <c r="B664" s="31" t="s">
        <v>23</v>
      </c>
      <c r="C664" s="31" t="s">
        <v>14160</v>
      </c>
      <c r="D664" s="31">
        <v>663</v>
      </c>
      <c r="E664" s="31" t="str">
        <f t="shared" si="51"/>
        <v>E2_7_7_7</v>
      </c>
      <c r="F664" s="31" t="s">
        <v>13907</v>
      </c>
      <c r="G664" s="31" t="str">
        <f t="shared" si="52"/>
        <v xml:space="preserve">	
C00677 * C00039</v>
      </c>
      <c r="H664" s="31" t="s">
        <v>14455</v>
      </c>
      <c r="I664" s="31" t="s">
        <v>14456</v>
      </c>
      <c r="J664" s="31" t="str">
        <f t="shared" si="53"/>
        <v>(${Variables: E2_7_7_7_Kcat } * E2_7_7_7 * 	
C00677 * C00039) /(${Variables:E2_7_7_7_Km} + (E2_7_7_7 * 	
C00677 * C00039))</v>
      </c>
      <c r="K664" s="32" t="str">
        <f t="shared" si="54"/>
        <v>r663: 	
C00677 + C00039 -&gt; C00013 + C00039 | (${Variables: E2_7_7_7_Kcat } * E2_7_7_7 * 	
C00677 * C00039) /(${Variables:E2_7_7_7_Km} + (E2_7_7_7 * 	
C00677 * C00039))</v>
      </c>
    </row>
    <row r="665" spans="1:11" ht="29" x14ac:dyDescent="0.35">
      <c r="A665" s="31" t="s">
        <v>22</v>
      </c>
      <c r="B665" s="31" t="s">
        <v>23</v>
      </c>
      <c r="C665" s="31" t="s">
        <v>14160</v>
      </c>
      <c r="D665" s="31">
        <v>664</v>
      </c>
      <c r="E665" s="31" t="str">
        <f t="shared" si="51"/>
        <v>E2_7_7_7</v>
      </c>
      <c r="F665" s="31" t="s">
        <v>10243</v>
      </c>
      <c r="G665" s="31" t="str">
        <f t="shared" si="52"/>
        <v>C00131 * C00039</v>
      </c>
      <c r="H665" s="31" t="s">
        <v>10244</v>
      </c>
      <c r="I665" s="31" t="str">
        <f>SUBSTITUTE(H665,"+","*")</f>
        <v> C00013 * C00039</v>
      </c>
      <c r="J665" s="31" t="str">
        <f t="shared" si="53"/>
        <v>(${Variables: E2_7_7_7_Kcat } * E2_7_7_7 * C00131 * C00039) /(${Variables:E2_7_7_7_Km} + (E2_7_7_7 * C00131 * C00039))</v>
      </c>
      <c r="K665" s="32" t="str">
        <f t="shared" si="54"/>
        <v>r664: C00131 + C00039 -&gt;  C00013 + C00039 | (${Variables: E2_7_7_7_Kcat } * E2_7_7_7 * C00131 * C00039) /(${Variables:E2_7_7_7_Km} + (E2_7_7_7 * C00131 * C00039))</v>
      </c>
    </row>
    <row r="666" spans="1:11" ht="58" x14ac:dyDescent="0.35">
      <c r="A666" s="31" t="s">
        <v>22</v>
      </c>
      <c r="B666" s="31" t="s">
        <v>23</v>
      </c>
      <c r="C666" s="31" t="s">
        <v>14160</v>
      </c>
      <c r="D666" s="31">
        <v>665</v>
      </c>
      <c r="E666" s="31" t="str">
        <f t="shared" si="51"/>
        <v>E2_7_7_7</v>
      </c>
      <c r="F666" s="31" t="s">
        <v>10246</v>
      </c>
      <c r="G666" s="31" t="str">
        <f t="shared" si="52"/>
        <v xml:space="preserve">	
C00286 * C00039 </v>
      </c>
      <c r="H666" s="31" t="s">
        <v>10244</v>
      </c>
      <c r="I666" s="31" t="str">
        <f t="shared" ref="I666:I669" si="56">SUBSTITUTE(H666,"+","*")</f>
        <v> C00013 * C00039</v>
      </c>
      <c r="J666" s="31" t="str">
        <f t="shared" si="53"/>
        <v>(${Variables: E2_7_7_7_Kcat } * E2_7_7_7 * 	
C00286 * C00039 ) /(${Variables:E2_7_7_7_Km} + (E2_7_7_7 * 	
C00286 * C00039 ))</v>
      </c>
      <c r="K666" s="32" t="str">
        <f t="shared" si="54"/>
        <v>r665: 	
C00286 + C00039  -&gt;  C00013 + C00039 | (${Variables: E2_7_7_7_Kcat } * E2_7_7_7 * 	
C00286 * C00039 ) /(${Variables:E2_7_7_7_Km} + (E2_7_7_7 * 	
C00286 * C00039 ))</v>
      </c>
    </row>
    <row r="667" spans="1:11" ht="58" x14ac:dyDescent="0.35">
      <c r="A667" s="31" t="s">
        <v>22</v>
      </c>
      <c r="B667" s="31" t="s">
        <v>23</v>
      </c>
      <c r="C667" s="31" t="s">
        <v>14160</v>
      </c>
      <c r="D667" s="31">
        <v>666</v>
      </c>
      <c r="E667" s="31" t="str">
        <f t="shared" si="51"/>
        <v>E2_7_7_7</v>
      </c>
      <c r="F667" s="31" t="s">
        <v>10248</v>
      </c>
      <c r="G667" s="31" t="str">
        <f t="shared" si="52"/>
        <v xml:space="preserve">	
C00458 * C00039 </v>
      </c>
      <c r="H667" s="31" t="s">
        <v>10244</v>
      </c>
      <c r="I667" s="31" t="str">
        <f t="shared" si="56"/>
        <v> C00013 * C00039</v>
      </c>
      <c r="J667" s="31" t="str">
        <f t="shared" si="53"/>
        <v>(${Variables: E2_7_7_7_Kcat } * E2_7_7_7 * 	
C00458 * C00039 ) /(${Variables:E2_7_7_7_Km} + (E2_7_7_7 * 	
C00458 * C00039 ))</v>
      </c>
      <c r="K667" s="32" t="str">
        <f t="shared" si="54"/>
        <v>r666: 	
C00458 + C00039  -&gt;  C00013 + C00039 | (${Variables: E2_7_7_7_Kcat } * E2_7_7_7 * 	
C00458 * C00039 ) /(${Variables:E2_7_7_7_Km} + (E2_7_7_7 * 	
C00458 * C00039 ))</v>
      </c>
    </row>
    <row r="668" spans="1:11" ht="58" x14ac:dyDescent="0.35">
      <c r="A668" s="31" t="s">
        <v>22</v>
      </c>
      <c r="B668" s="31" t="s">
        <v>23</v>
      </c>
      <c r="C668" s="31" t="s">
        <v>14160</v>
      </c>
      <c r="D668" s="31">
        <v>667</v>
      </c>
      <c r="E668" s="31" t="str">
        <f t="shared" si="51"/>
        <v>E2_7_7_7</v>
      </c>
      <c r="F668" s="31" t="s">
        <v>10250</v>
      </c>
      <c r="G668" s="31" t="str">
        <f t="shared" si="52"/>
        <v xml:space="preserve">	
C00459 * C00039</v>
      </c>
      <c r="H668" s="31" t="s">
        <v>10244</v>
      </c>
      <c r="I668" s="31" t="str">
        <f t="shared" si="56"/>
        <v> C00013 * C00039</v>
      </c>
      <c r="J668" s="31" t="str">
        <f t="shared" si="53"/>
        <v>(${Variables: E2_7_7_7_Kcat } * E2_7_7_7 * 	
C00459 * C00039) /(${Variables:E2_7_7_7_Km} + (E2_7_7_7 * 	
C00459 * C00039))</v>
      </c>
      <c r="K668" s="32" t="str">
        <f t="shared" si="54"/>
        <v>r667: 	
C00459 + C00039 -&gt;  C00013 + C00039 | (${Variables: E2_7_7_7_Kcat } * E2_7_7_7 * 	
C00459 * C00039) /(${Variables:E2_7_7_7_Km} + (E2_7_7_7 * 	
C00459 * C00039))</v>
      </c>
    </row>
    <row r="669" spans="1:11" ht="58" x14ac:dyDescent="0.35">
      <c r="A669" s="31" t="s">
        <v>22</v>
      </c>
      <c r="B669" s="31" t="s">
        <v>23</v>
      </c>
      <c r="C669" s="31" t="s">
        <v>14160</v>
      </c>
      <c r="D669" s="31">
        <v>668</v>
      </c>
      <c r="E669" s="31" t="str">
        <f t="shared" si="51"/>
        <v>E2_7_7_7</v>
      </c>
      <c r="F669" s="31" t="s">
        <v>10252</v>
      </c>
      <c r="G669" s="31" t="str">
        <f t="shared" si="52"/>
        <v xml:space="preserve">	
C11039 </v>
      </c>
      <c r="H669" s="31" t="s">
        <v>10253</v>
      </c>
      <c r="I669" s="31" t="str">
        <f t="shared" si="56"/>
        <v>C21031</v>
      </c>
      <c r="J669" s="31" t="str">
        <f t="shared" si="53"/>
        <v>(${Variables: E2_7_7_7_Kcat } * E2_7_7_7 * 	
C11039 ) /(${Variables:E2_7_7_7_Km} + (E2_7_7_7 * 	
C11039 ))</v>
      </c>
      <c r="K669" s="32" t="str">
        <f t="shared" si="54"/>
        <v>r668: 	
C11039  -&gt; C21031 | (${Variables: E2_7_7_7_Kcat } * E2_7_7_7 * 	
C11039 ) /(${Variables:E2_7_7_7_Km} + (E2_7_7_7 * 	
C11039 ))</v>
      </c>
    </row>
    <row r="670" spans="1:11" ht="58" x14ac:dyDescent="0.35">
      <c r="A670" s="31" t="s">
        <v>748</v>
      </c>
      <c r="B670" s="31" t="s">
        <v>749</v>
      </c>
      <c r="C670" s="31" t="s">
        <v>14160</v>
      </c>
      <c r="D670" s="31">
        <v>669</v>
      </c>
      <c r="E670" s="31" t="str">
        <f t="shared" si="51"/>
        <v>E2_7_7_7</v>
      </c>
      <c r="F670" s="31" t="s">
        <v>13907</v>
      </c>
      <c r="G670" s="31" t="str">
        <f t="shared" si="52"/>
        <v xml:space="preserve">	
C00677 * C00039</v>
      </c>
      <c r="H670" s="31" t="s">
        <v>14455</v>
      </c>
      <c r="I670" s="31" t="s">
        <v>14457</v>
      </c>
      <c r="J670" s="31" t="str">
        <f t="shared" si="53"/>
        <v>(${Variables: E2_7_7_7_Kcat } * E2_7_7_7 * 	
C00677 * C00039) /(${Variables:E2_7_7_7_Km} + (E2_7_7_7 * 	
C00677 * C00039))</v>
      </c>
      <c r="K670" s="32" t="str">
        <f t="shared" si="54"/>
        <v>r669: 	
C00677 + C00039 -&gt; C00013 + C00039 | (${Variables: E2_7_7_7_Kcat } * E2_7_7_7 * 	
C00677 * C00039) /(${Variables:E2_7_7_7_Km} + (E2_7_7_7 * 	
C00677 * C00039))</v>
      </c>
    </row>
    <row r="671" spans="1:11" ht="29" x14ac:dyDescent="0.35">
      <c r="A671" s="31" t="s">
        <v>748</v>
      </c>
      <c r="B671" s="31" t="s">
        <v>749</v>
      </c>
      <c r="C671" s="31" t="s">
        <v>14160</v>
      </c>
      <c r="D671" s="31">
        <v>670</v>
      </c>
      <c r="E671" s="31" t="str">
        <f t="shared" si="51"/>
        <v>E2_7_7_7</v>
      </c>
      <c r="F671" s="31" t="s">
        <v>10243</v>
      </c>
      <c r="G671" s="31" t="str">
        <f t="shared" si="52"/>
        <v>C00131 * C00039</v>
      </c>
      <c r="H671" s="31" t="s">
        <v>10244</v>
      </c>
      <c r="I671" s="31" t="str">
        <f>SUBSTITUTE(H671,"+","*")</f>
        <v> C00013 * C00039</v>
      </c>
      <c r="J671" s="31" t="str">
        <f t="shared" si="53"/>
        <v>(${Variables: E2_7_7_7_Kcat } * E2_7_7_7 * C00131 * C00039) /(${Variables:E2_7_7_7_Km} + (E2_7_7_7 * C00131 * C00039))</v>
      </c>
      <c r="K671" s="32" t="str">
        <f t="shared" si="54"/>
        <v>r670: C00131 + C00039 -&gt;  C00013 + C00039 | (${Variables: E2_7_7_7_Kcat } * E2_7_7_7 * C00131 * C00039) /(${Variables:E2_7_7_7_Km} + (E2_7_7_7 * C00131 * C00039))</v>
      </c>
    </row>
    <row r="672" spans="1:11" ht="58" x14ac:dyDescent="0.35">
      <c r="A672" s="31" t="s">
        <v>748</v>
      </c>
      <c r="B672" s="31" t="s">
        <v>749</v>
      </c>
      <c r="C672" s="31" t="s">
        <v>14160</v>
      </c>
      <c r="D672" s="31">
        <v>671</v>
      </c>
      <c r="E672" s="31" t="str">
        <f t="shared" si="51"/>
        <v>E2_7_7_7</v>
      </c>
      <c r="F672" s="31" t="s">
        <v>10246</v>
      </c>
      <c r="G672" s="31" t="str">
        <f t="shared" si="52"/>
        <v xml:space="preserve">	
C00286 * C00039 </v>
      </c>
      <c r="H672" s="31" t="s">
        <v>10244</v>
      </c>
      <c r="I672" s="31" t="str">
        <f t="shared" ref="I672:I675" si="57">SUBSTITUTE(H672,"+","*")</f>
        <v> C00013 * C00039</v>
      </c>
      <c r="J672" s="31" t="str">
        <f t="shared" si="53"/>
        <v>(${Variables: E2_7_7_7_Kcat } * E2_7_7_7 * 	
C00286 * C00039 ) /(${Variables:E2_7_7_7_Km} + (E2_7_7_7 * 	
C00286 * C00039 ))</v>
      </c>
      <c r="K672" s="32" t="str">
        <f t="shared" si="54"/>
        <v>r671: 	
C00286 + C00039  -&gt;  C00013 + C00039 | (${Variables: E2_7_7_7_Kcat } * E2_7_7_7 * 	
C00286 * C00039 ) /(${Variables:E2_7_7_7_Km} + (E2_7_7_7 * 	
C00286 * C00039 ))</v>
      </c>
    </row>
    <row r="673" spans="1:11" ht="58" x14ac:dyDescent="0.35">
      <c r="A673" s="31" t="s">
        <v>748</v>
      </c>
      <c r="B673" s="31" t="s">
        <v>749</v>
      </c>
      <c r="C673" s="31" t="s">
        <v>14160</v>
      </c>
      <c r="D673" s="31">
        <v>672</v>
      </c>
      <c r="E673" s="31" t="str">
        <f t="shared" si="51"/>
        <v>E2_7_7_7</v>
      </c>
      <c r="F673" s="31" t="s">
        <v>10248</v>
      </c>
      <c r="G673" s="31" t="str">
        <f t="shared" si="52"/>
        <v xml:space="preserve">	
C00458 * C00039 </v>
      </c>
      <c r="H673" s="31" t="s">
        <v>10244</v>
      </c>
      <c r="I673" s="31" t="str">
        <f t="shared" si="57"/>
        <v> C00013 * C00039</v>
      </c>
      <c r="J673" s="31" t="str">
        <f t="shared" si="53"/>
        <v>(${Variables: E2_7_7_7_Kcat } * E2_7_7_7 * 	
C00458 * C00039 ) /(${Variables:E2_7_7_7_Km} + (E2_7_7_7 * 	
C00458 * C00039 ))</v>
      </c>
      <c r="K673" s="32" t="str">
        <f t="shared" si="54"/>
        <v>r672: 	
C00458 + C00039  -&gt;  C00013 + C00039 | (${Variables: E2_7_7_7_Kcat } * E2_7_7_7 * 	
C00458 * C00039 ) /(${Variables:E2_7_7_7_Km} + (E2_7_7_7 * 	
C00458 * C00039 ))</v>
      </c>
    </row>
    <row r="674" spans="1:11" ht="58" x14ac:dyDescent="0.35">
      <c r="A674" s="31" t="s">
        <v>748</v>
      </c>
      <c r="B674" s="31" t="s">
        <v>749</v>
      </c>
      <c r="C674" s="31" t="s">
        <v>14160</v>
      </c>
      <c r="D674" s="31">
        <v>673</v>
      </c>
      <c r="E674" s="31" t="str">
        <f t="shared" si="51"/>
        <v>E2_7_7_7</v>
      </c>
      <c r="F674" s="31" t="s">
        <v>10250</v>
      </c>
      <c r="G674" s="31" t="str">
        <f t="shared" si="52"/>
        <v xml:space="preserve">	
C00459 * C00039</v>
      </c>
      <c r="H674" s="31" t="s">
        <v>10244</v>
      </c>
      <c r="I674" s="31" t="str">
        <f t="shared" si="57"/>
        <v> C00013 * C00039</v>
      </c>
      <c r="J674" s="31" t="str">
        <f t="shared" si="53"/>
        <v>(${Variables: E2_7_7_7_Kcat } * E2_7_7_7 * 	
C00459 * C00039) /(${Variables:E2_7_7_7_Km} + (E2_7_7_7 * 	
C00459 * C00039))</v>
      </c>
      <c r="K674" s="32" t="str">
        <f t="shared" si="54"/>
        <v>r673: 	
C00459 + C00039 -&gt;  C00013 + C00039 | (${Variables: E2_7_7_7_Kcat } * E2_7_7_7 * 	
C00459 * C00039) /(${Variables:E2_7_7_7_Km} + (E2_7_7_7 * 	
C00459 * C00039))</v>
      </c>
    </row>
    <row r="675" spans="1:11" ht="58" x14ac:dyDescent="0.35">
      <c r="A675" s="31" t="s">
        <v>748</v>
      </c>
      <c r="B675" s="31" t="s">
        <v>749</v>
      </c>
      <c r="C675" s="31" t="s">
        <v>14160</v>
      </c>
      <c r="D675" s="31">
        <v>674</v>
      </c>
      <c r="E675" s="31" t="str">
        <f t="shared" si="51"/>
        <v>E2_7_7_7</v>
      </c>
      <c r="F675" s="31" t="s">
        <v>10252</v>
      </c>
      <c r="G675" s="31" t="str">
        <f t="shared" si="52"/>
        <v xml:space="preserve">	
C11039 </v>
      </c>
      <c r="H675" s="31" t="s">
        <v>10253</v>
      </c>
      <c r="I675" s="31" t="str">
        <f t="shared" si="57"/>
        <v>C21031</v>
      </c>
      <c r="J675" s="31" t="str">
        <f t="shared" si="53"/>
        <v>(${Variables: E2_7_7_7_Kcat } * E2_7_7_7 * 	
C11039 ) /(${Variables:E2_7_7_7_Km} + (E2_7_7_7 * 	
C11039 ))</v>
      </c>
      <c r="K675" s="32" t="str">
        <f t="shared" si="54"/>
        <v>r674: 	
C11039  -&gt; C21031 | (${Variables: E2_7_7_7_Kcat } * E2_7_7_7 * 	
C11039 ) /(${Variables:E2_7_7_7_Km} + (E2_7_7_7 * 	
C11039 ))</v>
      </c>
    </row>
    <row r="676" spans="1:11" ht="58" x14ac:dyDescent="0.35">
      <c r="A676" s="31" t="s">
        <v>946</v>
      </c>
      <c r="B676" s="31" t="s">
        <v>947</v>
      </c>
      <c r="C676" s="31" t="s">
        <v>14160</v>
      </c>
      <c r="D676" s="31">
        <v>675</v>
      </c>
      <c r="E676" s="31" t="str">
        <f t="shared" si="51"/>
        <v>E2_7_7_7</v>
      </c>
      <c r="F676" s="31" t="s">
        <v>13907</v>
      </c>
      <c r="G676" s="31" t="str">
        <f t="shared" si="52"/>
        <v xml:space="preserve">	
C00677 * C00039</v>
      </c>
      <c r="H676" s="31" t="s">
        <v>14455</v>
      </c>
      <c r="I676" s="31" t="s">
        <v>14456</v>
      </c>
      <c r="J676" s="31" t="str">
        <f t="shared" si="53"/>
        <v>(${Variables: E2_7_7_7_Kcat } * E2_7_7_7 * 	
C00677 * C00039) /(${Variables:E2_7_7_7_Km} + (E2_7_7_7 * 	
C00677 * C00039))</v>
      </c>
      <c r="K676" s="32" t="str">
        <f t="shared" si="54"/>
        <v>r675: 	
C00677 + C00039 -&gt; C00013 + C00039 | (${Variables: E2_7_7_7_Kcat } * E2_7_7_7 * 	
C00677 * C00039) /(${Variables:E2_7_7_7_Km} + (E2_7_7_7 * 	
C00677 * C00039))</v>
      </c>
    </row>
    <row r="677" spans="1:11" ht="29" x14ac:dyDescent="0.35">
      <c r="A677" s="31" t="s">
        <v>946</v>
      </c>
      <c r="B677" s="31" t="s">
        <v>947</v>
      </c>
      <c r="C677" s="31" t="s">
        <v>14160</v>
      </c>
      <c r="D677" s="31">
        <v>676</v>
      </c>
      <c r="E677" s="31" t="str">
        <f t="shared" si="51"/>
        <v>E2_7_7_7</v>
      </c>
      <c r="F677" s="31" t="s">
        <v>10243</v>
      </c>
      <c r="G677" s="31" t="str">
        <f t="shared" si="52"/>
        <v>C00131 * C00039</v>
      </c>
      <c r="H677" s="31" t="s">
        <v>10244</v>
      </c>
      <c r="I677" s="31" t="str">
        <f>SUBSTITUTE(H677,"+","*")</f>
        <v> C00013 * C00039</v>
      </c>
      <c r="J677" s="31" t="str">
        <f t="shared" si="53"/>
        <v>(${Variables: E2_7_7_7_Kcat } * E2_7_7_7 * C00131 * C00039) /(${Variables:E2_7_7_7_Km} + (E2_7_7_7 * C00131 * C00039))</v>
      </c>
      <c r="K677" s="32" t="str">
        <f t="shared" si="54"/>
        <v>r676: C00131 + C00039 -&gt;  C00013 + C00039 | (${Variables: E2_7_7_7_Kcat } * E2_7_7_7 * C00131 * C00039) /(${Variables:E2_7_7_7_Km} + (E2_7_7_7 * C00131 * C00039))</v>
      </c>
    </row>
    <row r="678" spans="1:11" ht="58" x14ac:dyDescent="0.35">
      <c r="A678" s="31" t="s">
        <v>946</v>
      </c>
      <c r="B678" s="31" t="s">
        <v>947</v>
      </c>
      <c r="C678" s="31" t="s">
        <v>14160</v>
      </c>
      <c r="D678" s="31">
        <v>677</v>
      </c>
      <c r="E678" s="31" t="str">
        <f t="shared" si="51"/>
        <v>E2_7_7_7</v>
      </c>
      <c r="F678" s="31" t="s">
        <v>10246</v>
      </c>
      <c r="G678" s="31" t="str">
        <f t="shared" si="52"/>
        <v xml:space="preserve">	
C00286 * C00039 </v>
      </c>
      <c r="H678" s="31" t="s">
        <v>10244</v>
      </c>
      <c r="I678" s="31" t="str">
        <f t="shared" ref="I678:I681" si="58">SUBSTITUTE(H678,"+","*")</f>
        <v> C00013 * C00039</v>
      </c>
      <c r="J678" s="31" t="str">
        <f t="shared" si="53"/>
        <v>(${Variables: E2_7_7_7_Kcat } * E2_7_7_7 * 	
C00286 * C00039 ) /(${Variables:E2_7_7_7_Km} + (E2_7_7_7 * 	
C00286 * C00039 ))</v>
      </c>
      <c r="K678" s="32" t="str">
        <f t="shared" si="54"/>
        <v>r677: 	
C00286 + C00039  -&gt;  C00013 + C00039 | (${Variables: E2_7_7_7_Kcat } * E2_7_7_7 * 	
C00286 * C00039 ) /(${Variables:E2_7_7_7_Km} + (E2_7_7_7 * 	
C00286 * C00039 ))</v>
      </c>
    </row>
    <row r="679" spans="1:11" ht="58" x14ac:dyDescent="0.35">
      <c r="A679" s="31" t="s">
        <v>946</v>
      </c>
      <c r="B679" s="31" t="s">
        <v>947</v>
      </c>
      <c r="C679" s="31" t="s">
        <v>14160</v>
      </c>
      <c r="D679" s="31">
        <v>678</v>
      </c>
      <c r="E679" s="31" t="str">
        <f t="shared" si="51"/>
        <v>E2_7_7_7</v>
      </c>
      <c r="F679" s="31" t="s">
        <v>10248</v>
      </c>
      <c r="G679" s="31" t="str">
        <f t="shared" si="52"/>
        <v xml:space="preserve">	
C00458 * C00039 </v>
      </c>
      <c r="H679" s="31" t="s">
        <v>10244</v>
      </c>
      <c r="I679" s="31" t="str">
        <f t="shared" si="58"/>
        <v> C00013 * C00039</v>
      </c>
      <c r="J679" s="31" t="str">
        <f t="shared" si="53"/>
        <v>(${Variables: E2_7_7_7_Kcat } * E2_7_7_7 * 	
C00458 * C00039 ) /(${Variables:E2_7_7_7_Km} + (E2_7_7_7 * 	
C00458 * C00039 ))</v>
      </c>
      <c r="K679" s="32" t="str">
        <f t="shared" si="54"/>
        <v>r678: 	
C00458 + C00039  -&gt;  C00013 + C00039 | (${Variables: E2_7_7_7_Kcat } * E2_7_7_7 * 	
C00458 * C00039 ) /(${Variables:E2_7_7_7_Km} + (E2_7_7_7 * 	
C00458 * C00039 ))</v>
      </c>
    </row>
    <row r="680" spans="1:11" ht="58" x14ac:dyDescent="0.35">
      <c r="A680" s="31" t="s">
        <v>946</v>
      </c>
      <c r="B680" s="31" t="s">
        <v>947</v>
      </c>
      <c r="C680" s="31" t="s">
        <v>14160</v>
      </c>
      <c r="D680" s="31">
        <v>679</v>
      </c>
      <c r="E680" s="31" t="str">
        <f t="shared" si="51"/>
        <v>E2_7_7_7</v>
      </c>
      <c r="F680" s="31" t="s">
        <v>10250</v>
      </c>
      <c r="G680" s="31" t="str">
        <f t="shared" si="52"/>
        <v xml:space="preserve">	
C00459 * C00039</v>
      </c>
      <c r="H680" s="31" t="s">
        <v>10244</v>
      </c>
      <c r="I680" s="31" t="str">
        <f t="shared" si="58"/>
        <v> C00013 * C00039</v>
      </c>
      <c r="J680" s="31" t="str">
        <f t="shared" si="53"/>
        <v>(${Variables: E2_7_7_7_Kcat } * E2_7_7_7 * 	
C00459 * C00039) /(${Variables:E2_7_7_7_Km} + (E2_7_7_7 * 	
C00459 * C00039))</v>
      </c>
      <c r="K680" s="32" t="str">
        <f t="shared" si="54"/>
        <v>r679: 	
C00459 + C00039 -&gt;  C00013 + C00039 | (${Variables: E2_7_7_7_Kcat } * E2_7_7_7 * 	
C00459 * C00039) /(${Variables:E2_7_7_7_Km} + (E2_7_7_7 * 	
C00459 * C00039))</v>
      </c>
    </row>
    <row r="681" spans="1:11" ht="58" x14ac:dyDescent="0.35">
      <c r="A681" s="31" t="s">
        <v>946</v>
      </c>
      <c r="B681" s="31" t="s">
        <v>947</v>
      </c>
      <c r="C681" s="31" t="s">
        <v>14160</v>
      </c>
      <c r="D681" s="31">
        <v>680</v>
      </c>
      <c r="E681" s="31" t="str">
        <f t="shared" si="51"/>
        <v>E2_7_7_7</v>
      </c>
      <c r="F681" s="31" t="s">
        <v>10252</v>
      </c>
      <c r="G681" s="31" t="str">
        <f t="shared" si="52"/>
        <v xml:space="preserve">	
C11039 </v>
      </c>
      <c r="H681" s="31" t="s">
        <v>10253</v>
      </c>
      <c r="I681" s="31" t="str">
        <f t="shared" si="58"/>
        <v>C21031</v>
      </c>
      <c r="J681" s="31" t="str">
        <f t="shared" si="53"/>
        <v>(${Variables: E2_7_7_7_Kcat } * E2_7_7_7 * 	
C11039 ) /(${Variables:E2_7_7_7_Km} + (E2_7_7_7 * 	
C11039 ))</v>
      </c>
      <c r="K681" s="32" t="str">
        <f t="shared" si="54"/>
        <v>r680: 	
C11039  -&gt; C21031 | (${Variables: E2_7_7_7_Kcat } * E2_7_7_7 * 	
C11039 ) /(${Variables:E2_7_7_7_Km} + (E2_7_7_7 * 	
C11039 ))</v>
      </c>
    </row>
    <row r="682" spans="1:11" ht="58" x14ac:dyDescent="0.35">
      <c r="A682" s="31" t="s">
        <v>1810</v>
      </c>
      <c r="B682" s="31" t="s">
        <v>1811</v>
      </c>
      <c r="C682" s="31" t="s">
        <v>14160</v>
      </c>
      <c r="D682" s="31">
        <v>681</v>
      </c>
      <c r="E682" s="31" t="str">
        <f t="shared" si="51"/>
        <v>E2_7_7_7</v>
      </c>
      <c r="F682" s="31" t="s">
        <v>13907</v>
      </c>
      <c r="G682" s="31" t="str">
        <f t="shared" si="52"/>
        <v xml:space="preserve">	
C00677 * C00039</v>
      </c>
      <c r="H682" s="31" t="s">
        <v>14455</v>
      </c>
      <c r="I682" s="31" t="s">
        <v>14456</v>
      </c>
      <c r="J682" s="31" t="str">
        <f t="shared" si="53"/>
        <v>(${Variables: E2_7_7_7_Kcat } * E2_7_7_7 * 	
C00677 * C00039) /(${Variables:E2_7_7_7_Km} + (E2_7_7_7 * 	
C00677 * C00039))</v>
      </c>
      <c r="K682" s="32" t="str">
        <f t="shared" si="54"/>
        <v>r681: 	
C00677 + C00039 -&gt; C00013 + C00039 | (${Variables: E2_7_7_7_Kcat } * E2_7_7_7 * 	
C00677 * C00039) /(${Variables:E2_7_7_7_Km} + (E2_7_7_7 * 	
C00677 * C00039))</v>
      </c>
    </row>
    <row r="683" spans="1:11" ht="29" x14ac:dyDescent="0.35">
      <c r="A683" s="31" t="s">
        <v>1810</v>
      </c>
      <c r="B683" s="31" t="s">
        <v>1811</v>
      </c>
      <c r="C683" s="31" t="s">
        <v>14160</v>
      </c>
      <c r="D683" s="31">
        <v>682</v>
      </c>
      <c r="E683" s="31" t="str">
        <f t="shared" si="51"/>
        <v>E2_7_7_7</v>
      </c>
      <c r="F683" s="31" t="s">
        <v>10243</v>
      </c>
      <c r="G683" s="31" t="str">
        <f t="shared" si="52"/>
        <v>C00131 * C00039</v>
      </c>
      <c r="H683" s="31" t="s">
        <v>10244</v>
      </c>
      <c r="I683" s="31" t="str">
        <f>SUBSTITUTE(H683,"+","*")</f>
        <v> C00013 * C00039</v>
      </c>
      <c r="J683" s="31" t="str">
        <f t="shared" si="53"/>
        <v>(${Variables: E2_7_7_7_Kcat } * E2_7_7_7 * C00131 * C00039) /(${Variables:E2_7_7_7_Km} + (E2_7_7_7 * C00131 * C00039))</v>
      </c>
      <c r="K683" s="32" t="str">
        <f t="shared" si="54"/>
        <v>r682: C00131 + C00039 -&gt;  C00013 + C00039 | (${Variables: E2_7_7_7_Kcat } * E2_7_7_7 * C00131 * C00039) /(${Variables:E2_7_7_7_Km} + (E2_7_7_7 * C00131 * C00039))</v>
      </c>
    </row>
    <row r="684" spans="1:11" ht="58" x14ac:dyDescent="0.35">
      <c r="A684" s="31" t="s">
        <v>1810</v>
      </c>
      <c r="B684" s="31" t="s">
        <v>1811</v>
      </c>
      <c r="C684" s="31" t="s">
        <v>14160</v>
      </c>
      <c r="D684" s="31">
        <v>683</v>
      </c>
      <c r="E684" s="31" t="str">
        <f t="shared" si="51"/>
        <v>E2_7_7_7</v>
      </c>
      <c r="F684" s="31" t="s">
        <v>10246</v>
      </c>
      <c r="G684" s="31" t="str">
        <f t="shared" si="52"/>
        <v xml:space="preserve">	
C00286 * C00039 </v>
      </c>
      <c r="H684" s="31" t="s">
        <v>10244</v>
      </c>
      <c r="I684" s="31" t="str">
        <f t="shared" ref="I684:I687" si="59">SUBSTITUTE(H684,"+","*")</f>
        <v> C00013 * C00039</v>
      </c>
      <c r="J684" s="31" t="str">
        <f t="shared" si="53"/>
        <v>(${Variables: E2_7_7_7_Kcat } * E2_7_7_7 * 	
C00286 * C00039 ) /(${Variables:E2_7_7_7_Km} + (E2_7_7_7 * 	
C00286 * C00039 ))</v>
      </c>
      <c r="K684" s="32" t="str">
        <f t="shared" si="54"/>
        <v>r683: 	
C00286 + C00039  -&gt;  C00013 + C00039 | (${Variables: E2_7_7_7_Kcat } * E2_7_7_7 * 	
C00286 * C00039 ) /(${Variables:E2_7_7_7_Km} + (E2_7_7_7 * 	
C00286 * C00039 ))</v>
      </c>
    </row>
    <row r="685" spans="1:11" ht="58" x14ac:dyDescent="0.35">
      <c r="A685" s="31" t="s">
        <v>1810</v>
      </c>
      <c r="B685" s="31" t="s">
        <v>1811</v>
      </c>
      <c r="C685" s="31" t="s">
        <v>14160</v>
      </c>
      <c r="D685" s="31">
        <v>684</v>
      </c>
      <c r="E685" s="31" t="str">
        <f t="shared" si="51"/>
        <v>E2_7_7_7</v>
      </c>
      <c r="F685" s="31" t="s">
        <v>10248</v>
      </c>
      <c r="G685" s="31" t="str">
        <f t="shared" si="52"/>
        <v xml:space="preserve">	
C00458 * C00039 </v>
      </c>
      <c r="H685" s="31" t="s">
        <v>10244</v>
      </c>
      <c r="I685" s="31" t="str">
        <f t="shared" si="59"/>
        <v> C00013 * C00039</v>
      </c>
      <c r="J685" s="31" t="str">
        <f t="shared" si="53"/>
        <v>(${Variables: E2_7_7_7_Kcat } * E2_7_7_7 * 	
C00458 * C00039 ) /(${Variables:E2_7_7_7_Km} + (E2_7_7_7 * 	
C00458 * C00039 ))</v>
      </c>
      <c r="K685" s="32" t="str">
        <f t="shared" si="54"/>
        <v>r684: 	
C00458 + C00039  -&gt;  C00013 + C00039 | (${Variables: E2_7_7_7_Kcat } * E2_7_7_7 * 	
C00458 * C00039 ) /(${Variables:E2_7_7_7_Km} + (E2_7_7_7 * 	
C00458 * C00039 ))</v>
      </c>
    </row>
    <row r="686" spans="1:11" ht="58" x14ac:dyDescent="0.35">
      <c r="A686" s="31" t="s">
        <v>1810</v>
      </c>
      <c r="B686" s="31" t="s">
        <v>1811</v>
      </c>
      <c r="C686" s="31" t="s">
        <v>14160</v>
      </c>
      <c r="D686" s="31">
        <v>685</v>
      </c>
      <c r="E686" s="31" t="str">
        <f t="shared" si="51"/>
        <v>E2_7_7_7</v>
      </c>
      <c r="F686" s="31" t="s">
        <v>10250</v>
      </c>
      <c r="G686" s="31" t="str">
        <f t="shared" si="52"/>
        <v xml:space="preserve">	
C00459 * C00039</v>
      </c>
      <c r="H686" s="31" t="s">
        <v>10244</v>
      </c>
      <c r="I686" s="31" t="str">
        <f t="shared" si="59"/>
        <v> C00013 * C00039</v>
      </c>
      <c r="J686" s="31" t="str">
        <f t="shared" si="53"/>
        <v>(${Variables: E2_7_7_7_Kcat } * E2_7_7_7 * 	
C00459 * C00039) /(${Variables:E2_7_7_7_Km} + (E2_7_7_7 * 	
C00459 * C00039))</v>
      </c>
      <c r="K686" s="32" t="str">
        <f t="shared" si="54"/>
        <v>r685: 	
C00459 + C00039 -&gt;  C00013 + C00039 | (${Variables: E2_7_7_7_Kcat } * E2_7_7_7 * 	
C00459 * C00039) /(${Variables:E2_7_7_7_Km} + (E2_7_7_7 * 	
C00459 * C00039))</v>
      </c>
    </row>
    <row r="687" spans="1:11" ht="58" x14ac:dyDescent="0.35">
      <c r="A687" s="31" t="s">
        <v>1810</v>
      </c>
      <c r="B687" s="31" t="s">
        <v>1811</v>
      </c>
      <c r="C687" s="31" t="s">
        <v>14160</v>
      </c>
      <c r="D687" s="31">
        <v>686</v>
      </c>
      <c r="E687" s="31" t="str">
        <f t="shared" si="51"/>
        <v>E2_7_7_7</v>
      </c>
      <c r="F687" s="31" t="s">
        <v>10252</v>
      </c>
      <c r="G687" s="31" t="str">
        <f t="shared" si="52"/>
        <v xml:space="preserve">	
C11039 </v>
      </c>
      <c r="H687" s="31" t="s">
        <v>10253</v>
      </c>
      <c r="I687" s="31" t="str">
        <f t="shared" si="59"/>
        <v>C21031</v>
      </c>
      <c r="J687" s="31" t="str">
        <f t="shared" si="53"/>
        <v>(${Variables: E2_7_7_7_Kcat } * E2_7_7_7 * 	
C11039 ) /(${Variables:E2_7_7_7_Km} + (E2_7_7_7 * 	
C11039 ))</v>
      </c>
      <c r="K687" s="32" t="str">
        <f t="shared" si="54"/>
        <v>r686: 	
C11039  -&gt; C21031 | (${Variables: E2_7_7_7_Kcat } * E2_7_7_7 * 	
C11039 ) /(${Variables:E2_7_7_7_Km} + (E2_7_7_7 * 	
C11039 ))</v>
      </c>
    </row>
    <row r="688" spans="1:11" ht="58" x14ac:dyDescent="0.35">
      <c r="A688" s="31" t="s">
        <v>1866</v>
      </c>
      <c r="B688" s="31" t="s">
        <v>1867</v>
      </c>
      <c r="C688" s="31" t="s">
        <v>14160</v>
      </c>
      <c r="D688" s="31">
        <v>687</v>
      </c>
      <c r="E688" s="31" t="str">
        <f t="shared" si="51"/>
        <v>E2_7_7_7</v>
      </c>
      <c r="F688" s="31" t="s">
        <v>13907</v>
      </c>
      <c r="G688" s="31" t="str">
        <f t="shared" si="52"/>
        <v xml:space="preserve">	
C00677 * C00039</v>
      </c>
      <c r="H688" s="31" t="s">
        <v>14455</v>
      </c>
      <c r="I688" s="31" t="s">
        <v>14456</v>
      </c>
      <c r="J688" s="31" t="str">
        <f t="shared" si="53"/>
        <v>(${Variables: E2_7_7_7_Kcat } * E2_7_7_7 * 	
C00677 * C00039) /(${Variables:E2_7_7_7_Km} + (E2_7_7_7 * 	
C00677 * C00039))</v>
      </c>
      <c r="K688" s="32" t="str">
        <f t="shared" si="54"/>
        <v>r687: 	
C00677 + C00039 -&gt; C00013 + C00039 | (${Variables: E2_7_7_7_Kcat } * E2_7_7_7 * 	
C00677 * C00039) /(${Variables:E2_7_7_7_Km} + (E2_7_7_7 * 	
C00677 * C00039))</v>
      </c>
    </row>
    <row r="689" spans="1:11" ht="29" x14ac:dyDescent="0.35">
      <c r="A689" s="31" t="s">
        <v>1866</v>
      </c>
      <c r="B689" s="31" t="s">
        <v>1867</v>
      </c>
      <c r="C689" s="31" t="s">
        <v>14160</v>
      </c>
      <c r="D689" s="31">
        <v>688</v>
      </c>
      <c r="E689" s="31" t="str">
        <f t="shared" si="51"/>
        <v>E2_7_7_7</v>
      </c>
      <c r="F689" s="31" t="s">
        <v>10243</v>
      </c>
      <c r="G689" s="31" t="str">
        <f t="shared" si="52"/>
        <v>C00131 * C00039</v>
      </c>
      <c r="H689" s="31" t="s">
        <v>10244</v>
      </c>
      <c r="I689" s="31" t="str">
        <f>SUBSTITUTE(H689,"+","*")</f>
        <v> C00013 * C00039</v>
      </c>
      <c r="J689" s="31" t="str">
        <f t="shared" si="53"/>
        <v>(${Variables: E2_7_7_7_Kcat } * E2_7_7_7 * C00131 * C00039) /(${Variables:E2_7_7_7_Km} + (E2_7_7_7 * C00131 * C00039))</v>
      </c>
      <c r="K689" s="32" t="str">
        <f t="shared" si="54"/>
        <v>r688: C00131 + C00039 -&gt;  C00013 + C00039 | (${Variables: E2_7_7_7_Kcat } * E2_7_7_7 * C00131 * C00039) /(${Variables:E2_7_7_7_Km} + (E2_7_7_7 * C00131 * C00039))</v>
      </c>
    </row>
    <row r="690" spans="1:11" ht="58" x14ac:dyDescent="0.35">
      <c r="A690" s="31" t="s">
        <v>1866</v>
      </c>
      <c r="B690" s="31" t="s">
        <v>1867</v>
      </c>
      <c r="C690" s="31" t="s">
        <v>14160</v>
      </c>
      <c r="D690" s="31">
        <v>689</v>
      </c>
      <c r="E690" s="31" t="str">
        <f t="shared" si="51"/>
        <v>E2_7_7_7</v>
      </c>
      <c r="F690" s="31" t="s">
        <v>10246</v>
      </c>
      <c r="G690" s="31" t="str">
        <f t="shared" si="52"/>
        <v xml:space="preserve">	
C00286 * C00039 </v>
      </c>
      <c r="H690" s="31" t="s">
        <v>10244</v>
      </c>
      <c r="I690" s="31" t="str">
        <f t="shared" ref="I690:I693" si="60">SUBSTITUTE(H690,"+","*")</f>
        <v> C00013 * C00039</v>
      </c>
      <c r="J690" s="31" t="str">
        <f t="shared" si="53"/>
        <v>(${Variables: E2_7_7_7_Kcat } * E2_7_7_7 * 	
C00286 * C00039 ) /(${Variables:E2_7_7_7_Km} + (E2_7_7_7 * 	
C00286 * C00039 ))</v>
      </c>
      <c r="K690" s="32" t="str">
        <f t="shared" si="54"/>
        <v>r689: 	
C00286 + C00039  -&gt;  C00013 + C00039 | (${Variables: E2_7_7_7_Kcat } * E2_7_7_7 * 	
C00286 * C00039 ) /(${Variables:E2_7_7_7_Km} + (E2_7_7_7 * 	
C00286 * C00039 ))</v>
      </c>
    </row>
    <row r="691" spans="1:11" ht="58" x14ac:dyDescent="0.35">
      <c r="A691" s="31" t="s">
        <v>1866</v>
      </c>
      <c r="B691" s="31" t="s">
        <v>1867</v>
      </c>
      <c r="C691" s="31" t="s">
        <v>14160</v>
      </c>
      <c r="D691" s="31">
        <v>690</v>
      </c>
      <c r="E691" s="31" t="str">
        <f t="shared" si="51"/>
        <v>E2_7_7_7</v>
      </c>
      <c r="F691" s="31" t="s">
        <v>10248</v>
      </c>
      <c r="G691" s="31" t="str">
        <f t="shared" si="52"/>
        <v xml:space="preserve">	
C00458 * C00039 </v>
      </c>
      <c r="H691" s="31" t="s">
        <v>10244</v>
      </c>
      <c r="I691" s="31" t="str">
        <f t="shared" si="60"/>
        <v> C00013 * C00039</v>
      </c>
      <c r="J691" s="31" t="str">
        <f t="shared" si="53"/>
        <v>(${Variables: E2_7_7_7_Kcat } * E2_7_7_7 * 	
C00458 * C00039 ) /(${Variables:E2_7_7_7_Km} + (E2_7_7_7 * 	
C00458 * C00039 ))</v>
      </c>
      <c r="K691" s="32" t="str">
        <f t="shared" si="54"/>
        <v>r690: 	
C00458 + C00039  -&gt;  C00013 + C00039 | (${Variables: E2_7_7_7_Kcat } * E2_7_7_7 * 	
C00458 * C00039 ) /(${Variables:E2_7_7_7_Km} + (E2_7_7_7 * 	
C00458 * C00039 ))</v>
      </c>
    </row>
    <row r="692" spans="1:11" ht="58" x14ac:dyDescent="0.35">
      <c r="A692" s="31" t="s">
        <v>1866</v>
      </c>
      <c r="B692" s="31" t="s">
        <v>1867</v>
      </c>
      <c r="C692" s="31" t="s">
        <v>14160</v>
      </c>
      <c r="D692" s="31">
        <v>691</v>
      </c>
      <c r="E692" s="31" t="str">
        <f t="shared" si="51"/>
        <v>E2_7_7_7</v>
      </c>
      <c r="F692" s="31" t="s">
        <v>10250</v>
      </c>
      <c r="G692" s="31" t="str">
        <f t="shared" si="52"/>
        <v xml:space="preserve">	
C00459 * C00039</v>
      </c>
      <c r="H692" s="31" t="s">
        <v>10244</v>
      </c>
      <c r="I692" s="31" t="str">
        <f t="shared" si="60"/>
        <v> C00013 * C00039</v>
      </c>
      <c r="J692" s="31" t="str">
        <f t="shared" si="53"/>
        <v>(${Variables: E2_7_7_7_Kcat } * E2_7_7_7 * 	
C00459 * C00039) /(${Variables:E2_7_7_7_Km} + (E2_7_7_7 * 	
C00459 * C00039))</v>
      </c>
      <c r="K692" s="32" t="str">
        <f t="shared" si="54"/>
        <v>r691: 	
C00459 + C00039 -&gt;  C00013 + C00039 | (${Variables: E2_7_7_7_Kcat } * E2_7_7_7 * 	
C00459 * C00039) /(${Variables:E2_7_7_7_Km} + (E2_7_7_7 * 	
C00459 * C00039))</v>
      </c>
    </row>
    <row r="693" spans="1:11" ht="58" x14ac:dyDescent="0.35">
      <c r="A693" s="31" t="s">
        <v>1866</v>
      </c>
      <c r="B693" s="31" t="s">
        <v>1867</v>
      </c>
      <c r="C693" s="31" t="s">
        <v>14160</v>
      </c>
      <c r="D693" s="31">
        <v>692</v>
      </c>
      <c r="E693" s="31" t="str">
        <f t="shared" si="51"/>
        <v>E2_7_7_7</v>
      </c>
      <c r="F693" s="31" t="s">
        <v>10252</v>
      </c>
      <c r="G693" s="31" t="str">
        <f t="shared" si="52"/>
        <v xml:space="preserve">	
C11039 </v>
      </c>
      <c r="H693" s="31" t="s">
        <v>10253</v>
      </c>
      <c r="I693" s="31" t="str">
        <f t="shared" si="60"/>
        <v>C21031</v>
      </c>
      <c r="J693" s="31" t="str">
        <f t="shared" si="53"/>
        <v>(${Variables: E2_7_7_7_Kcat } * E2_7_7_7 * 	
C11039 ) /(${Variables:E2_7_7_7_Km} + (E2_7_7_7 * 	
C11039 ))</v>
      </c>
      <c r="K693" s="32" t="str">
        <f t="shared" si="54"/>
        <v>r692: 	
C11039  -&gt; C21031 | (${Variables: E2_7_7_7_Kcat } * E2_7_7_7 * 	
C11039 ) /(${Variables:E2_7_7_7_Km} + (E2_7_7_7 * 	
C11039 ))</v>
      </c>
    </row>
    <row r="694" spans="1:11" ht="58" x14ac:dyDescent="0.35">
      <c r="A694" s="31" t="s">
        <v>3818</v>
      </c>
      <c r="B694" s="31" t="s">
        <v>3819</v>
      </c>
      <c r="C694" s="31" t="s">
        <v>14160</v>
      </c>
      <c r="D694" s="31">
        <v>693</v>
      </c>
      <c r="E694" s="31" t="str">
        <f t="shared" si="51"/>
        <v>E2_7_7_7</v>
      </c>
      <c r="F694" s="31" t="s">
        <v>13907</v>
      </c>
      <c r="G694" s="31" t="str">
        <f t="shared" si="52"/>
        <v xml:space="preserve">	
C00677 * C00039</v>
      </c>
      <c r="H694" s="31" t="s">
        <v>14455</v>
      </c>
      <c r="I694" s="31" t="s">
        <v>14456</v>
      </c>
      <c r="J694" s="31" t="str">
        <f t="shared" si="53"/>
        <v>(${Variables: E2_7_7_7_Kcat } * E2_7_7_7 * 	
C00677 * C00039) /(${Variables:E2_7_7_7_Km} + (E2_7_7_7 * 	
C00677 * C00039))</v>
      </c>
      <c r="K694" s="32" t="str">
        <f t="shared" si="54"/>
        <v>r693: 	
C00677 + C00039 -&gt; C00013 + C00039 | (${Variables: E2_7_7_7_Kcat } * E2_7_7_7 * 	
C00677 * C00039) /(${Variables:E2_7_7_7_Km} + (E2_7_7_7 * 	
C00677 * C00039))</v>
      </c>
    </row>
    <row r="695" spans="1:11" ht="29" x14ac:dyDescent="0.35">
      <c r="A695" s="31" t="s">
        <v>3818</v>
      </c>
      <c r="B695" s="31" t="s">
        <v>3819</v>
      </c>
      <c r="C695" s="31" t="s">
        <v>14160</v>
      </c>
      <c r="D695" s="31">
        <v>694</v>
      </c>
      <c r="E695" s="31" t="str">
        <f t="shared" si="51"/>
        <v>E2_7_7_7</v>
      </c>
      <c r="F695" s="31" t="s">
        <v>10243</v>
      </c>
      <c r="G695" s="31" t="str">
        <f t="shared" si="52"/>
        <v>C00131 * C00039</v>
      </c>
      <c r="H695" s="31" t="s">
        <v>10244</v>
      </c>
      <c r="I695" s="31" t="str">
        <f>SUBSTITUTE(H695,"+","*")</f>
        <v> C00013 * C00039</v>
      </c>
      <c r="J695" s="31" t="str">
        <f t="shared" si="53"/>
        <v>(${Variables: E2_7_7_7_Kcat } * E2_7_7_7 * C00131 * C00039) /(${Variables:E2_7_7_7_Km} + (E2_7_7_7 * C00131 * C00039))</v>
      </c>
      <c r="K695" s="32" t="str">
        <f t="shared" si="54"/>
        <v>r694: C00131 + C00039 -&gt;  C00013 + C00039 | (${Variables: E2_7_7_7_Kcat } * E2_7_7_7 * C00131 * C00039) /(${Variables:E2_7_7_7_Km} + (E2_7_7_7 * C00131 * C00039))</v>
      </c>
    </row>
    <row r="696" spans="1:11" ht="58" x14ac:dyDescent="0.35">
      <c r="A696" s="31" t="s">
        <v>3818</v>
      </c>
      <c r="B696" s="31" t="s">
        <v>3819</v>
      </c>
      <c r="C696" s="31" t="s">
        <v>14160</v>
      </c>
      <c r="D696" s="31">
        <v>695</v>
      </c>
      <c r="E696" s="31" t="str">
        <f t="shared" si="51"/>
        <v>E2_7_7_7</v>
      </c>
      <c r="F696" s="31" t="s">
        <v>10246</v>
      </c>
      <c r="G696" s="31" t="str">
        <f t="shared" si="52"/>
        <v xml:space="preserve">	
C00286 * C00039 </v>
      </c>
      <c r="H696" s="31" t="s">
        <v>10244</v>
      </c>
      <c r="I696" s="31" t="str">
        <f t="shared" ref="I696:I699" si="61">SUBSTITUTE(H696,"+","*")</f>
        <v> C00013 * C00039</v>
      </c>
      <c r="J696" s="31" t="str">
        <f t="shared" si="53"/>
        <v>(${Variables: E2_7_7_7_Kcat } * E2_7_7_7 * 	
C00286 * C00039 ) /(${Variables:E2_7_7_7_Km} + (E2_7_7_7 * 	
C00286 * C00039 ))</v>
      </c>
      <c r="K696" s="32" t="str">
        <f t="shared" si="54"/>
        <v>r695: 	
C00286 + C00039  -&gt;  C00013 + C00039 | (${Variables: E2_7_7_7_Kcat } * E2_7_7_7 * 	
C00286 * C00039 ) /(${Variables:E2_7_7_7_Km} + (E2_7_7_7 * 	
C00286 * C00039 ))</v>
      </c>
    </row>
    <row r="697" spans="1:11" ht="58" x14ac:dyDescent="0.35">
      <c r="A697" s="31" t="s">
        <v>3818</v>
      </c>
      <c r="B697" s="31" t="s">
        <v>3819</v>
      </c>
      <c r="C697" s="31" t="s">
        <v>14160</v>
      </c>
      <c r="D697" s="31">
        <v>696</v>
      </c>
      <c r="E697" s="31" t="str">
        <f t="shared" si="51"/>
        <v>E2_7_7_7</v>
      </c>
      <c r="F697" s="31" t="s">
        <v>10248</v>
      </c>
      <c r="G697" s="31" t="str">
        <f t="shared" si="52"/>
        <v xml:space="preserve">	
C00458 * C00039 </v>
      </c>
      <c r="H697" s="31" t="s">
        <v>10244</v>
      </c>
      <c r="I697" s="31" t="str">
        <f t="shared" si="61"/>
        <v> C00013 * C00039</v>
      </c>
      <c r="J697" s="31" t="str">
        <f t="shared" si="53"/>
        <v>(${Variables: E2_7_7_7_Kcat } * E2_7_7_7 * 	
C00458 * C00039 ) /(${Variables:E2_7_7_7_Km} + (E2_7_7_7 * 	
C00458 * C00039 ))</v>
      </c>
      <c r="K697" s="32" t="str">
        <f t="shared" si="54"/>
        <v>r696: 	
C00458 + C00039  -&gt;  C00013 + C00039 | (${Variables: E2_7_7_7_Kcat } * E2_7_7_7 * 	
C00458 * C00039 ) /(${Variables:E2_7_7_7_Km} + (E2_7_7_7 * 	
C00458 * C00039 ))</v>
      </c>
    </row>
    <row r="698" spans="1:11" ht="58" x14ac:dyDescent="0.35">
      <c r="A698" s="31" t="s">
        <v>3818</v>
      </c>
      <c r="B698" s="31" t="s">
        <v>3819</v>
      </c>
      <c r="C698" s="31" t="s">
        <v>14160</v>
      </c>
      <c r="D698" s="31">
        <v>697</v>
      </c>
      <c r="E698" s="31" t="str">
        <f t="shared" si="51"/>
        <v>E2_7_7_7</v>
      </c>
      <c r="F698" s="31" t="s">
        <v>10250</v>
      </c>
      <c r="G698" s="31" t="str">
        <f t="shared" si="52"/>
        <v xml:space="preserve">	
C00459 * C00039</v>
      </c>
      <c r="H698" s="31" t="s">
        <v>10244</v>
      </c>
      <c r="I698" s="31" t="str">
        <f t="shared" si="61"/>
        <v> C00013 * C00039</v>
      </c>
      <c r="J698" s="31" t="str">
        <f t="shared" si="53"/>
        <v>(${Variables: E2_7_7_7_Kcat } * E2_7_7_7 * 	
C00459 * C00039) /(${Variables:E2_7_7_7_Km} + (E2_7_7_7 * 	
C00459 * C00039))</v>
      </c>
      <c r="K698" s="32" t="str">
        <f t="shared" si="54"/>
        <v>r697: 	
C00459 + C00039 -&gt;  C00013 + C00039 | (${Variables: E2_7_7_7_Kcat } * E2_7_7_7 * 	
C00459 * C00039) /(${Variables:E2_7_7_7_Km} + (E2_7_7_7 * 	
C00459 * C00039))</v>
      </c>
    </row>
    <row r="699" spans="1:11" ht="58" x14ac:dyDescent="0.35">
      <c r="A699" s="31" t="s">
        <v>3818</v>
      </c>
      <c r="B699" s="31" t="s">
        <v>3819</v>
      </c>
      <c r="C699" s="31" t="s">
        <v>14160</v>
      </c>
      <c r="D699" s="31">
        <v>698</v>
      </c>
      <c r="E699" s="31" t="str">
        <f t="shared" si="51"/>
        <v>E2_7_7_7</v>
      </c>
      <c r="F699" s="31" t="s">
        <v>10252</v>
      </c>
      <c r="G699" s="31" t="str">
        <f t="shared" si="52"/>
        <v xml:space="preserve">	
C11039 </v>
      </c>
      <c r="H699" s="31" t="s">
        <v>10253</v>
      </c>
      <c r="I699" s="31" t="str">
        <f t="shared" si="61"/>
        <v>C21031</v>
      </c>
      <c r="J699" s="31" t="str">
        <f t="shared" si="53"/>
        <v>(${Variables: E2_7_7_7_Kcat } * E2_7_7_7 * 	
C11039 ) /(${Variables:E2_7_7_7_Km} + (E2_7_7_7 * 	
C11039 ))</v>
      </c>
      <c r="K699" s="32" t="str">
        <f t="shared" si="54"/>
        <v>r698: 	
C11039  -&gt; C21031 | (${Variables: E2_7_7_7_Kcat } * E2_7_7_7 * 	
C11039 ) /(${Variables:E2_7_7_7_Km} + (E2_7_7_7 * 	
C11039 ))</v>
      </c>
    </row>
    <row r="700" spans="1:11" ht="58" x14ac:dyDescent="0.35">
      <c r="A700" s="31" t="s">
        <v>5870</v>
      </c>
      <c r="B700" s="31" t="s">
        <v>5871</v>
      </c>
      <c r="C700" s="31" t="s">
        <v>14160</v>
      </c>
      <c r="D700" s="31">
        <v>699</v>
      </c>
      <c r="E700" s="31" t="str">
        <f t="shared" si="51"/>
        <v>E2_7_7_7</v>
      </c>
      <c r="F700" s="31" t="s">
        <v>13907</v>
      </c>
      <c r="G700" s="31" t="str">
        <f t="shared" si="52"/>
        <v xml:space="preserve">	
C00677 * C00039</v>
      </c>
      <c r="H700" s="31" t="s">
        <v>14455</v>
      </c>
      <c r="I700" s="31" t="s">
        <v>14456</v>
      </c>
      <c r="J700" s="31" t="str">
        <f t="shared" si="53"/>
        <v>(${Variables: E2_7_7_7_Kcat } * E2_7_7_7 * 	
C00677 * C00039) /(${Variables:E2_7_7_7_Km} + (E2_7_7_7 * 	
C00677 * C00039))</v>
      </c>
      <c r="K700" s="32" t="str">
        <f t="shared" si="54"/>
        <v>r699: 	
C00677 + C00039 -&gt; C00013 + C00039 | (${Variables: E2_7_7_7_Kcat } * E2_7_7_7 * 	
C00677 * C00039) /(${Variables:E2_7_7_7_Km} + (E2_7_7_7 * 	
C00677 * C00039))</v>
      </c>
    </row>
    <row r="701" spans="1:11" ht="29" x14ac:dyDescent="0.35">
      <c r="A701" s="31" t="s">
        <v>5870</v>
      </c>
      <c r="B701" s="31" t="s">
        <v>5871</v>
      </c>
      <c r="C701" s="31" t="s">
        <v>14160</v>
      </c>
      <c r="D701" s="31">
        <v>700</v>
      </c>
      <c r="E701" s="31" t="str">
        <f t="shared" si="51"/>
        <v>E2_7_7_7</v>
      </c>
      <c r="F701" s="31" t="s">
        <v>10243</v>
      </c>
      <c r="G701" s="31" t="str">
        <f t="shared" si="52"/>
        <v>C00131 * C00039</v>
      </c>
      <c r="H701" s="31" t="s">
        <v>10244</v>
      </c>
      <c r="I701" s="31" t="str">
        <f>SUBSTITUTE(H701,"+","*")</f>
        <v> C00013 * C00039</v>
      </c>
      <c r="J701" s="31" t="str">
        <f t="shared" si="53"/>
        <v>(${Variables: E2_7_7_7_Kcat } * E2_7_7_7 * C00131 * C00039) /(${Variables:E2_7_7_7_Km} + (E2_7_7_7 * C00131 * C00039))</v>
      </c>
      <c r="K701" s="32" t="str">
        <f t="shared" si="54"/>
        <v>r700: C00131 + C00039 -&gt;  C00013 + C00039 | (${Variables: E2_7_7_7_Kcat } * E2_7_7_7 * C00131 * C00039) /(${Variables:E2_7_7_7_Km} + (E2_7_7_7 * C00131 * C00039))</v>
      </c>
    </row>
    <row r="702" spans="1:11" ht="58" x14ac:dyDescent="0.35">
      <c r="A702" s="31" t="s">
        <v>5870</v>
      </c>
      <c r="B702" s="31" t="s">
        <v>5871</v>
      </c>
      <c r="C702" s="31" t="s">
        <v>14160</v>
      </c>
      <c r="D702" s="31">
        <v>701</v>
      </c>
      <c r="E702" s="31" t="str">
        <f t="shared" si="51"/>
        <v>E2_7_7_7</v>
      </c>
      <c r="F702" s="31" t="s">
        <v>10246</v>
      </c>
      <c r="G702" s="31" t="str">
        <f t="shared" si="52"/>
        <v xml:space="preserve">	
C00286 * C00039 </v>
      </c>
      <c r="H702" s="31" t="s">
        <v>10244</v>
      </c>
      <c r="I702" s="31" t="str">
        <f t="shared" ref="I702:I705" si="62">SUBSTITUTE(H702,"+","*")</f>
        <v> C00013 * C00039</v>
      </c>
      <c r="J702" s="31" t="str">
        <f t="shared" si="53"/>
        <v>(${Variables: E2_7_7_7_Kcat } * E2_7_7_7 * 	
C00286 * C00039 ) /(${Variables:E2_7_7_7_Km} + (E2_7_7_7 * 	
C00286 * C00039 ))</v>
      </c>
      <c r="K702" s="32" t="str">
        <f t="shared" si="54"/>
        <v>r701: 	
C00286 + C00039  -&gt;  C00013 + C00039 | (${Variables: E2_7_7_7_Kcat } * E2_7_7_7 * 	
C00286 * C00039 ) /(${Variables:E2_7_7_7_Km} + (E2_7_7_7 * 	
C00286 * C00039 ))</v>
      </c>
    </row>
    <row r="703" spans="1:11" ht="58" x14ac:dyDescent="0.35">
      <c r="A703" s="31" t="s">
        <v>5870</v>
      </c>
      <c r="B703" s="31" t="s">
        <v>5871</v>
      </c>
      <c r="C703" s="31" t="s">
        <v>14160</v>
      </c>
      <c r="D703" s="31">
        <v>702</v>
      </c>
      <c r="E703" s="31" t="str">
        <f t="shared" si="51"/>
        <v>E2_7_7_7</v>
      </c>
      <c r="F703" s="31" t="s">
        <v>10248</v>
      </c>
      <c r="G703" s="31" t="str">
        <f t="shared" si="52"/>
        <v xml:space="preserve">	
C00458 * C00039 </v>
      </c>
      <c r="H703" s="31" t="s">
        <v>10244</v>
      </c>
      <c r="I703" s="31" t="str">
        <f t="shared" si="62"/>
        <v> C00013 * C00039</v>
      </c>
      <c r="J703" s="31" t="str">
        <f t="shared" si="53"/>
        <v>(${Variables: E2_7_7_7_Kcat } * E2_7_7_7 * 	
C00458 * C00039 ) /(${Variables:E2_7_7_7_Km} + (E2_7_7_7 * 	
C00458 * C00039 ))</v>
      </c>
      <c r="K703" s="32" t="str">
        <f t="shared" si="54"/>
        <v>r702: 	
C00458 + C00039  -&gt;  C00013 + C00039 | (${Variables: E2_7_7_7_Kcat } * E2_7_7_7 * 	
C00458 * C00039 ) /(${Variables:E2_7_7_7_Km} + (E2_7_7_7 * 	
C00458 * C00039 ))</v>
      </c>
    </row>
    <row r="704" spans="1:11" ht="58" x14ac:dyDescent="0.35">
      <c r="A704" s="31" t="s">
        <v>5870</v>
      </c>
      <c r="B704" s="31" t="s">
        <v>5871</v>
      </c>
      <c r="C704" s="31" t="s">
        <v>14160</v>
      </c>
      <c r="D704" s="31">
        <v>703</v>
      </c>
      <c r="E704" s="31" t="str">
        <f t="shared" si="51"/>
        <v>E2_7_7_7</v>
      </c>
      <c r="F704" s="31" t="s">
        <v>10250</v>
      </c>
      <c r="G704" s="31" t="str">
        <f t="shared" si="52"/>
        <v xml:space="preserve">	
C00459 * C00039</v>
      </c>
      <c r="H704" s="31" t="s">
        <v>10244</v>
      </c>
      <c r="I704" s="31" t="str">
        <f t="shared" si="62"/>
        <v> C00013 * C00039</v>
      </c>
      <c r="J704" s="31" t="str">
        <f t="shared" si="53"/>
        <v>(${Variables: E2_7_7_7_Kcat } * E2_7_7_7 * 	
C00459 * C00039) /(${Variables:E2_7_7_7_Km} + (E2_7_7_7 * 	
C00459 * C00039))</v>
      </c>
      <c r="K704" s="32" t="str">
        <f t="shared" si="54"/>
        <v>r703: 	
C00459 + C00039 -&gt;  C00013 + C00039 | (${Variables: E2_7_7_7_Kcat } * E2_7_7_7 * 	
C00459 * C00039) /(${Variables:E2_7_7_7_Km} + (E2_7_7_7 * 	
C00459 * C00039))</v>
      </c>
    </row>
    <row r="705" spans="1:11" ht="58" x14ac:dyDescent="0.35">
      <c r="A705" s="31" t="s">
        <v>5870</v>
      </c>
      <c r="B705" s="31" t="s">
        <v>5871</v>
      </c>
      <c r="C705" s="31" t="s">
        <v>14160</v>
      </c>
      <c r="D705" s="31">
        <v>704</v>
      </c>
      <c r="E705" s="31" t="str">
        <f t="shared" si="51"/>
        <v>E2_7_7_7</v>
      </c>
      <c r="F705" s="31" t="s">
        <v>10252</v>
      </c>
      <c r="G705" s="31" t="str">
        <f t="shared" si="52"/>
        <v xml:space="preserve">	
C11039 </v>
      </c>
      <c r="H705" s="31" t="s">
        <v>10253</v>
      </c>
      <c r="I705" s="31" t="str">
        <f t="shared" si="62"/>
        <v>C21031</v>
      </c>
      <c r="J705" s="31" t="str">
        <f t="shared" si="53"/>
        <v>(${Variables: E2_7_7_7_Kcat } * E2_7_7_7 * 	
C11039 ) /(${Variables:E2_7_7_7_Km} + (E2_7_7_7 * 	
C11039 ))</v>
      </c>
      <c r="K705" s="32" t="str">
        <f t="shared" si="54"/>
        <v>r704: 	
C11039  -&gt; C21031 | (${Variables: E2_7_7_7_Kcat } * E2_7_7_7 * 	
C11039 ) /(${Variables:E2_7_7_7_Km} + (E2_7_7_7 * 	
C11039 ))</v>
      </c>
    </row>
    <row r="706" spans="1:11" ht="58" x14ac:dyDescent="0.35">
      <c r="A706" s="31" t="s">
        <v>5907</v>
      </c>
      <c r="B706" s="31" t="s">
        <v>5908</v>
      </c>
      <c r="C706" s="31" t="s">
        <v>14160</v>
      </c>
      <c r="D706" s="31">
        <v>705</v>
      </c>
      <c r="E706" s="31" t="str">
        <f t="shared" ref="E706:E769" si="63">CONCATENATE("E",C706)</f>
        <v>E2_7_7_7</v>
      </c>
      <c r="F706" s="31" t="s">
        <v>13907</v>
      </c>
      <c r="G706" s="31" t="str">
        <f t="shared" ref="G706:G769" si="64">SUBSTITUTE(F706,"+","*")</f>
        <v xml:space="preserve">	
C00677 * C00039</v>
      </c>
      <c r="H706" s="31" t="s">
        <v>14455</v>
      </c>
      <c r="I706" s="31" t="s">
        <v>14457</v>
      </c>
      <c r="J706" s="31" t="str">
        <f t="shared" ref="J706:J769" si="65">CONCATENATE("(${Variables: ",E706,"_Kcat ","} * ",E706," * ",G706,")"," /(${Variables:",E706,"_Km","} + (",E706," * ",G706,"))")</f>
        <v>(${Variables: E2_7_7_7_Kcat } * E2_7_7_7 * 	
C00677 * C00039) /(${Variables:E2_7_7_7_Km} + (E2_7_7_7 * 	
C00677 * C00039))</v>
      </c>
      <c r="K706" s="32" t="str">
        <f t="shared" ref="K706:K769" si="66">CONCATENATE("r",D706,": ",F706," -&gt; ",H706," | ",J706)</f>
        <v>r705: 	
C00677 + C00039 -&gt; C00013 + C00039 | (${Variables: E2_7_7_7_Kcat } * E2_7_7_7 * 	
C00677 * C00039) /(${Variables:E2_7_7_7_Km} + (E2_7_7_7 * 	
C00677 * C00039))</v>
      </c>
    </row>
    <row r="707" spans="1:11" ht="29" x14ac:dyDescent="0.35">
      <c r="A707" s="31" t="s">
        <v>5907</v>
      </c>
      <c r="B707" s="31" t="s">
        <v>5908</v>
      </c>
      <c r="C707" s="31" t="s">
        <v>14160</v>
      </c>
      <c r="D707" s="31">
        <v>706</v>
      </c>
      <c r="E707" s="31" t="str">
        <f t="shared" si="63"/>
        <v>E2_7_7_7</v>
      </c>
      <c r="F707" s="31" t="s">
        <v>10243</v>
      </c>
      <c r="G707" s="31" t="str">
        <f t="shared" si="64"/>
        <v>C00131 * C00039</v>
      </c>
      <c r="H707" s="31" t="s">
        <v>10244</v>
      </c>
      <c r="I707" s="31" t="str">
        <f>SUBSTITUTE(H707,"+","*")</f>
        <v> C00013 * C00039</v>
      </c>
      <c r="J707" s="31" t="str">
        <f t="shared" si="65"/>
        <v>(${Variables: E2_7_7_7_Kcat } * E2_7_7_7 * C00131 * C00039) /(${Variables:E2_7_7_7_Km} + (E2_7_7_7 * C00131 * C00039))</v>
      </c>
      <c r="K707" s="32" t="str">
        <f t="shared" si="66"/>
        <v>r706: C00131 + C00039 -&gt;  C00013 + C00039 | (${Variables: E2_7_7_7_Kcat } * E2_7_7_7 * C00131 * C00039) /(${Variables:E2_7_7_7_Km} + (E2_7_7_7 * C00131 * C00039))</v>
      </c>
    </row>
    <row r="708" spans="1:11" ht="58" x14ac:dyDescent="0.35">
      <c r="A708" s="31" t="s">
        <v>5907</v>
      </c>
      <c r="B708" s="31" t="s">
        <v>5908</v>
      </c>
      <c r="C708" s="31" t="s">
        <v>14160</v>
      </c>
      <c r="D708" s="31">
        <v>707</v>
      </c>
      <c r="E708" s="31" t="str">
        <f t="shared" si="63"/>
        <v>E2_7_7_7</v>
      </c>
      <c r="F708" s="31" t="s">
        <v>10246</v>
      </c>
      <c r="G708" s="31" t="str">
        <f t="shared" si="64"/>
        <v xml:space="preserve">	
C00286 * C00039 </v>
      </c>
      <c r="H708" s="31" t="s">
        <v>10244</v>
      </c>
      <c r="I708" s="31" t="str">
        <f t="shared" ref="I708:I771" si="67">SUBSTITUTE(H708,"+","*")</f>
        <v> C00013 * C00039</v>
      </c>
      <c r="J708" s="31" t="str">
        <f t="shared" si="65"/>
        <v>(${Variables: E2_7_7_7_Kcat } * E2_7_7_7 * 	
C00286 * C00039 ) /(${Variables:E2_7_7_7_Km} + (E2_7_7_7 * 	
C00286 * C00039 ))</v>
      </c>
      <c r="K708" s="32" t="str">
        <f t="shared" si="66"/>
        <v>r707: 	
C00286 + C00039  -&gt;  C00013 + C00039 | (${Variables: E2_7_7_7_Kcat } * E2_7_7_7 * 	
C00286 * C00039 ) /(${Variables:E2_7_7_7_Km} + (E2_7_7_7 * 	
C00286 * C00039 ))</v>
      </c>
    </row>
    <row r="709" spans="1:11" ht="58" x14ac:dyDescent="0.35">
      <c r="A709" s="31" t="s">
        <v>5907</v>
      </c>
      <c r="B709" s="31" t="s">
        <v>5908</v>
      </c>
      <c r="C709" s="31" t="s">
        <v>14160</v>
      </c>
      <c r="D709" s="31">
        <v>708</v>
      </c>
      <c r="E709" s="31" t="str">
        <f t="shared" si="63"/>
        <v>E2_7_7_7</v>
      </c>
      <c r="F709" s="31" t="s">
        <v>10248</v>
      </c>
      <c r="G709" s="31" t="str">
        <f t="shared" si="64"/>
        <v xml:space="preserve">	
C00458 * C00039 </v>
      </c>
      <c r="H709" s="31" t="s">
        <v>10244</v>
      </c>
      <c r="I709" s="31" t="str">
        <f t="shared" si="67"/>
        <v> C00013 * C00039</v>
      </c>
      <c r="J709" s="31" t="str">
        <f t="shared" si="65"/>
        <v>(${Variables: E2_7_7_7_Kcat } * E2_7_7_7 * 	
C00458 * C00039 ) /(${Variables:E2_7_7_7_Km} + (E2_7_7_7 * 	
C00458 * C00039 ))</v>
      </c>
      <c r="K709" s="32" t="str">
        <f t="shared" si="66"/>
        <v>r708: 	
C00458 + C00039  -&gt;  C00013 + C00039 | (${Variables: E2_7_7_7_Kcat } * E2_7_7_7 * 	
C00458 * C00039 ) /(${Variables:E2_7_7_7_Km} + (E2_7_7_7 * 	
C00458 * C00039 ))</v>
      </c>
    </row>
    <row r="710" spans="1:11" ht="58" x14ac:dyDescent="0.35">
      <c r="A710" s="31" t="s">
        <v>5907</v>
      </c>
      <c r="B710" s="31" t="s">
        <v>5908</v>
      </c>
      <c r="C710" s="31" t="s">
        <v>14160</v>
      </c>
      <c r="D710" s="31">
        <v>709</v>
      </c>
      <c r="E710" s="31" t="str">
        <f t="shared" si="63"/>
        <v>E2_7_7_7</v>
      </c>
      <c r="F710" s="31" t="s">
        <v>10250</v>
      </c>
      <c r="G710" s="31" t="str">
        <f t="shared" si="64"/>
        <v xml:space="preserve">	
C00459 * C00039</v>
      </c>
      <c r="H710" s="31" t="s">
        <v>10244</v>
      </c>
      <c r="I710" s="31" t="str">
        <f t="shared" si="67"/>
        <v> C00013 * C00039</v>
      </c>
      <c r="J710" s="31" t="str">
        <f t="shared" si="65"/>
        <v>(${Variables: E2_7_7_7_Kcat } * E2_7_7_7 * 	
C00459 * C00039) /(${Variables:E2_7_7_7_Km} + (E2_7_7_7 * 	
C00459 * C00039))</v>
      </c>
      <c r="K710" s="32" t="str">
        <f t="shared" si="66"/>
        <v>r709: 	
C00459 + C00039 -&gt;  C00013 + C00039 | (${Variables: E2_7_7_7_Kcat } * E2_7_7_7 * 	
C00459 * C00039) /(${Variables:E2_7_7_7_Km} + (E2_7_7_7 * 	
C00459 * C00039))</v>
      </c>
    </row>
    <row r="711" spans="1:11" ht="58" x14ac:dyDescent="0.35">
      <c r="A711" s="31" t="s">
        <v>5907</v>
      </c>
      <c r="B711" s="31" t="s">
        <v>5908</v>
      </c>
      <c r="C711" s="31" t="s">
        <v>14160</v>
      </c>
      <c r="D711" s="31">
        <v>710</v>
      </c>
      <c r="E711" s="31" t="str">
        <f t="shared" si="63"/>
        <v>E2_7_7_7</v>
      </c>
      <c r="F711" s="31" t="s">
        <v>10252</v>
      </c>
      <c r="G711" s="31" t="str">
        <f t="shared" si="64"/>
        <v xml:space="preserve">	
C11039 </v>
      </c>
      <c r="H711" s="31" t="s">
        <v>10253</v>
      </c>
      <c r="I711" s="31" t="str">
        <f t="shared" si="67"/>
        <v>C21031</v>
      </c>
      <c r="J711" s="31" t="str">
        <f t="shared" si="65"/>
        <v>(${Variables: E2_7_7_7_Kcat } * E2_7_7_7 * 	
C11039 ) /(${Variables:E2_7_7_7_Km} + (E2_7_7_7 * 	
C11039 ))</v>
      </c>
      <c r="K711" s="32" t="str">
        <f t="shared" si="66"/>
        <v>r710: 	
C11039  -&gt; C21031 | (${Variables: E2_7_7_7_Kcat } * E2_7_7_7 * 	
C11039 ) /(${Variables:E2_7_7_7_Km} + (E2_7_7_7 * 	
C11039 ))</v>
      </c>
    </row>
    <row r="712" spans="1:11" ht="58" x14ac:dyDescent="0.35">
      <c r="A712" s="31" t="s">
        <v>8370</v>
      </c>
      <c r="B712" s="31" t="s">
        <v>8371</v>
      </c>
      <c r="C712" s="31" t="s">
        <v>14161</v>
      </c>
      <c r="D712" s="31">
        <v>711</v>
      </c>
      <c r="E712" s="31" t="str">
        <f t="shared" si="63"/>
        <v>E2_7_7_72</v>
      </c>
      <c r="F712" s="31" t="s">
        <v>14396</v>
      </c>
      <c r="G712" s="31" t="str">
        <f t="shared" si="64"/>
        <v xml:space="preserve">	
C02211 * C00063 * C00002</v>
      </c>
      <c r="H712" s="31" t="s">
        <v>14458</v>
      </c>
      <c r="I712" s="31" t="str">
        <f t="shared" si="67"/>
        <v>C19085 * C00013</v>
      </c>
      <c r="J712" s="31" t="str">
        <f t="shared" si="65"/>
        <v>(${Variables: E2_7_7_72_Kcat } * E2_7_7_72 * 	
C02211 * C00063 * C00002) /(${Variables:E2_7_7_72_Km} + (E2_7_7_72 * 	
C02211 * C00063 * C00002))</v>
      </c>
      <c r="K712" s="32" t="str">
        <f t="shared" si="66"/>
        <v>r711: 	
C02211 + C00063 + C00002 -&gt; C19085 + C00013 | (${Variables: E2_7_7_72_Kcat } * E2_7_7_72 * 	
C02211 * C00063 * C00002) /(${Variables:E2_7_7_72_Km} + (E2_7_7_72 * 	
C02211 * C00063 * C00002))</v>
      </c>
    </row>
    <row r="713" spans="1:11" ht="58" x14ac:dyDescent="0.35">
      <c r="A713" s="31" t="s">
        <v>8370</v>
      </c>
      <c r="B713" s="31" t="s">
        <v>8371</v>
      </c>
      <c r="C713" s="31" t="s">
        <v>14161</v>
      </c>
      <c r="D713" s="31">
        <v>712</v>
      </c>
      <c r="E713" s="31" t="str">
        <f t="shared" si="63"/>
        <v>E2_7_7_72</v>
      </c>
      <c r="F713" s="31" t="s">
        <v>10258</v>
      </c>
      <c r="G713" s="31" t="str">
        <f t="shared" si="64"/>
        <v xml:space="preserve">	
C02211 * C00063</v>
      </c>
      <c r="H713" s="31" t="s">
        <v>10259</v>
      </c>
      <c r="I713" s="31" t="str">
        <f t="shared" si="67"/>
        <v> C19078 * C00013</v>
      </c>
      <c r="J713" s="31" t="str">
        <f t="shared" si="65"/>
        <v>(${Variables: E2_7_7_72_Kcat } * E2_7_7_72 * 	
C02211 * C00063) /(${Variables:E2_7_7_72_Km} + (E2_7_7_72 * 	
C02211 * C00063))</v>
      </c>
      <c r="K713" s="32" t="str">
        <f t="shared" si="66"/>
        <v>r712: 	
C02211 + C00063 -&gt;  C19078 + C00013 | (${Variables: E2_7_7_72_Kcat } * E2_7_7_72 * 	
C02211 * C00063) /(${Variables:E2_7_7_72_Km} + (E2_7_7_72 * 	
C02211 * C00063))</v>
      </c>
    </row>
    <row r="714" spans="1:11" ht="58" x14ac:dyDescent="0.35">
      <c r="A714" s="31" t="s">
        <v>8370</v>
      </c>
      <c r="B714" s="31" t="s">
        <v>8371</v>
      </c>
      <c r="C714" s="31" t="s">
        <v>14161</v>
      </c>
      <c r="D714" s="31">
        <v>713</v>
      </c>
      <c r="E714" s="31" t="str">
        <f t="shared" si="63"/>
        <v>E2_7_7_72</v>
      </c>
      <c r="F714" s="31" t="s">
        <v>10261</v>
      </c>
      <c r="G714" s="31" t="str">
        <f t="shared" si="64"/>
        <v xml:space="preserve">	
C19078 * C00063</v>
      </c>
      <c r="H714" s="31" t="s">
        <v>10262</v>
      </c>
      <c r="I714" s="31" t="str">
        <f t="shared" si="67"/>
        <v>C19080 * C00013</v>
      </c>
      <c r="J714" s="31" t="str">
        <f t="shared" si="65"/>
        <v>(${Variables: E2_7_7_72_Kcat } * E2_7_7_72 * 	
C19078 * C00063) /(${Variables:E2_7_7_72_Km} + (E2_7_7_72 * 	
C19078 * C00063))</v>
      </c>
      <c r="K714" s="32" t="str">
        <f t="shared" si="66"/>
        <v>r713: 	
C19078 + C00063 -&gt; C19080 + C00013 | (${Variables: E2_7_7_72_Kcat } * E2_7_7_72 * 	
C19078 * C00063) /(${Variables:E2_7_7_72_Km} + (E2_7_7_72 * 	
C19078 * C00063))</v>
      </c>
    </row>
    <row r="715" spans="1:11" ht="58" x14ac:dyDescent="0.35">
      <c r="A715" s="31" t="s">
        <v>8370</v>
      </c>
      <c r="B715" s="31" t="s">
        <v>8371</v>
      </c>
      <c r="C715" s="31" t="s">
        <v>14161</v>
      </c>
      <c r="D715" s="31">
        <v>714</v>
      </c>
      <c r="E715" s="31" t="str">
        <f t="shared" si="63"/>
        <v>E2_7_7_72</v>
      </c>
      <c r="F715" s="31" t="s">
        <v>10264</v>
      </c>
      <c r="G715" s="31" t="str">
        <f t="shared" si="64"/>
        <v xml:space="preserve">	
C19080 * C00002</v>
      </c>
      <c r="H715" s="31" t="s">
        <v>10265</v>
      </c>
      <c r="I715" s="31" t="str">
        <f t="shared" si="67"/>
        <v>C19085 * C00013</v>
      </c>
      <c r="J715" s="31" t="str">
        <f t="shared" si="65"/>
        <v>(${Variables: E2_7_7_72_Kcat } * E2_7_7_72 * 	
C19080 * C00002) /(${Variables:E2_7_7_72_Km} + (E2_7_7_72 * 	
C19080 * C00002))</v>
      </c>
      <c r="K715" s="32" t="str">
        <f t="shared" si="66"/>
        <v>r714: 	
C19080 + C00002 -&gt; C19085 + C00013 | (${Variables: E2_7_7_72_Kcat } * E2_7_7_72 * 	
C19080 * C00002) /(${Variables:E2_7_7_72_Km} + (E2_7_7_72 * 	
C19080 * C00002))</v>
      </c>
    </row>
    <row r="716" spans="1:11" ht="58" x14ac:dyDescent="0.35">
      <c r="A716" s="31" t="s">
        <v>3401</v>
      </c>
      <c r="B716" s="31" t="s">
        <v>3402</v>
      </c>
      <c r="C716" s="31" t="s">
        <v>14162</v>
      </c>
      <c r="D716" s="31">
        <v>715</v>
      </c>
      <c r="E716" s="31" t="str">
        <f t="shared" si="63"/>
        <v>E2_7_7_77</v>
      </c>
      <c r="F716" s="31" t="s">
        <v>10268</v>
      </c>
      <c r="G716" s="31" t="str">
        <f t="shared" si="64"/>
        <v xml:space="preserve">	
C18237 * C00044 </v>
      </c>
      <c r="H716" s="31" t="s">
        <v>10269</v>
      </c>
      <c r="I716" s="31" t="str">
        <f t="shared" si="67"/>
        <v> C19871 * C00013</v>
      </c>
      <c r="J716" s="31" t="str">
        <f t="shared" si="65"/>
        <v>(${Variables: E2_7_7_77_Kcat } * E2_7_7_77 * 	
C18237 * C00044 ) /(${Variables:E2_7_7_77_Km} + (E2_7_7_77 * 	
C18237 * C00044 ))</v>
      </c>
      <c r="K716" s="31" t="str">
        <f t="shared" si="66"/>
        <v>r715: 	
C18237 + C00044  -&gt;  C19871 + C00013 | (${Variables: E2_7_7_77_Kcat } * E2_7_7_77 * 	
C18237 * C00044 ) /(${Variables:E2_7_7_77_Km} + (E2_7_7_77 * 	
C18237 * C00044 ))</v>
      </c>
    </row>
    <row r="717" spans="1:11" ht="58" x14ac:dyDescent="0.35">
      <c r="A717" s="31" t="s">
        <v>5441</v>
      </c>
      <c r="B717" s="31" t="s">
        <v>5442</v>
      </c>
      <c r="C717" s="31" t="s">
        <v>14163</v>
      </c>
      <c r="D717" s="31">
        <v>716</v>
      </c>
      <c r="E717" s="31" t="str">
        <f t="shared" si="63"/>
        <v>E2_7_7_8</v>
      </c>
      <c r="F717" s="31" t="s">
        <v>10272</v>
      </c>
      <c r="G717" s="31" t="str">
        <f t="shared" si="64"/>
        <v xml:space="preserve">	
C00046 * C00009</v>
      </c>
      <c r="H717" s="31" t="s">
        <v>10273</v>
      </c>
      <c r="I717" s="31" t="str">
        <f t="shared" si="67"/>
        <v> C00046 * C00454</v>
      </c>
      <c r="J717" s="31" t="str">
        <f t="shared" si="65"/>
        <v>(${Variables: E2_7_7_8_Kcat } * E2_7_7_8 * 	
C00046 * C00009) /(${Variables:E2_7_7_8_Km} + (E2_7_7_8 * 	
C00046 * C00009))</v>
      </c>
      <c r="K717" s="32" t="str">
        <f t="shared" si="66"/>
        <v>r716: 	
C00046 + C00009 -&gt;  C00046 + C00454 | (${Variables: E2_7_7_8_Kcat } * E2_7_7_8 * 	
C00046 * C00009) /(${Variables:E2_7_7_8_Km} + (E2_7_7_8 * 	
C00046 * C00009))</v>
      </c>
    </row>
    <row r="718" spans="1:11" ht="58" x14ac:dyDescent="0.35">
      <c r="A718" s="31" t="s">
        <v>5441</v>
      </c>
      <c r="B718" s="31" t="s">
        <v>5442</v>
      </c>
      <c r="C718" s="31" t="s">
        <v>14163</v>
      </c>
      <c r="D718" s="31">
        <v>717</v>
      </c>
      <c r="E718" s="31" t="str">
        <f t="shared" si="63"/>
        <v>E2_7_7_8</v>
      </c>
      <c r="F718" s="31" t="s">
        <v>10275</v>
      </c>
      <c r="G718" s="31" t="str">
        <f t="shared" si="64"/>
        <v xml:space="preserve">	
C00046 * C00009 </v>
      </c>
      <c r="H718" s="31" t="s">
        <v>10276</v>
      </c>
      <c r="I718" s="31" t="str">
        <f t="shared" si="67"/>
        <v> C00046 * C00008</v>
      </c>
      <c r="J718" s="31" t="str">
        <f t="shared" si="65"/>
        <v>(${Variables: E2_7_7_8_Kcat } * E2_7_7_8 * 	
C00046 * C00009 ) /(${Variables:E2_7_7_8_Km} + (E2_7_7_8 * 	
C00046 * C00009 ))</v>
      </c>
      <c r="K718" s="32" t="str">
        <f t="shared" si="66"/>
        <v>r717: 	
C00046 + C00009  -&gt;  C00046 + C00008 | (${Variables: E2_7_7_8_Kcat } * E2_7_7_8 * 	
C00046 * C00009 ) /(${Variables:E2_7_7_8_Km} + (E2_7_7_8 * 	
C00046 * C00009 ))</v>
      </c>
    </row>
    <row r="719" spans="1:11" ht="58" x14ac:dyDescent="0.35">
      <c r="A719" s="31" t="s">
        <v>5441</v>
      </c>
      <c r="B719" s="31" t="s">
        <v>5442</v>
      </c>
      <c r="C719" s="31" t="s">
        <v>14163</v>
      </c>
      <c r="D719" s="31">
        <v>718</v>
      </c>
      <c r="E719" s="31" t="str">
        <f t="shared" si="63"/>
        <v>E2_7_7_8</v>
      </c>
      <c r="F719" s="31" t="s">
        <v>10275</v>
      </c>
      <c r="G719" s="31" t="str">
        <f t="shared" si="64"/>
        <v xml:space="preserve">	
C00046 * C00009 </v>
      </c>
      <c r="H719" s="31" t="s">
        <v>10278</v>
      </c>
      <c r="I719" s="31" t="str">
        <f t="shared" si="67"/>
        <v> C00046 * C00015</v>
      </c>
      <c r="J719" s="31" t="str">
        <f t="shared" si="65"/>
        <v>(${Variables: E2_7_7_8_Kcat } * E2_7_7_8 * 	
C00046 * C00009 ) /(${Variables:E2_7_7_8_Km} + (E2_7_7_8 * 	
C00046 * C00009 ))</v>
      </c>
      <c r="K719" s="32" t="str">
        <f t="shared" si="66"/>
        <v>r718: 	
C00046 + C00009  -&gt;  C00046 + C00015 | (${Variables: E2_7_7_8_Kcat } * E2_7_7_8 * 	
C00046 * C00009 ) /(${Variables:E2_7_7_8_Km} + (E2_7_7_8 * 	
C00046 * C00009 ))</v>
      </c>
    </row>
    <row r="720" spans="1:11" ht="58" x14ac:dyDescent="0.35">
      <c r="A720" s="31" t="s">
        <v>5441</v>
      </c>
      <c r="B720" s="31" t="s">
        <v>5442</v>
      </c>
      <c r="C720" s="31" t="s">
        <v>14163</v>
      </c>
      <c r="D720" s="31">
        <v>719</v>
      </c>
      <c r="E720" s="31" t="str">
        <f t="shared" si="63"/>
        <v>E2_7_7_8</v>
      </c>
      <c r="F720" s="31" t="s">
        <v>10275</v>
      </c>
      <c r="G720" s="31" t="str">
        <f t="shared" si="64"/>
        <v xml:space="preserve">	
C00046 * C00009 </v>
      </c>
      <c r="H720" s="31" t="s">
        <v>10280</v>
      </c>
      <c r="I720" s="31" t="str">
        <f t="shared" si="67"/>
        <v xml:space="preserve"> C00046 * C00035</v>
      </c>
      <c r="J720" s="31" t="str">
        <f t="shared" si="65"/>
        <v>(${Variables: E2_7_7_8_Kcat } * E2_7_7_8 * 	
C00046 * C00009 ) /(${Variables:E2_7_7_8_Km} + (E2_7_7_8 * 	
C00046 * C00009 ))</v>
      </c>
      <c r="K720" s="32" t="str">
        <f t="shared" si="66"/>
        <v>r719: 	
C00046 + C00009  -&gt;  C00046 + C00035 | (${Variables: E2_7_7_8_Kcat } * E2_7_7_8 * 	
C00046 * C00009 ) /(${Variables:E2_7_7_8_Km} + (E2_7_7_8 * 	
C00046 * C00009 ))</v>
      </c>
    </row>
    <row r="721" spans="1:11" ht="58" x14ac:dyDescent="0.35">
      <c r="A721" s="31" t="s">
        <v>5441</v>
      </c>
      <c r="B721" s="31" t="s">
        <v>5442</v>
      </c>
      <c r="C721" s="31" t="s">
        <v>14163</v>
      </c>
      <c r="D721" s="31">
        <v>720</v>
      </c>
      <c r="E721" s="31" t="str">
        <f t="shared" si="63"/>
        <v>E2_7_7_8</v>
      </c>
      <c r="F721" s="31" t="s">
        <v>10275</v>
      </c>
      <c r="G721" s="31" t="str">
        <f t="shared" si="64"/>
        <v xml:space="preserve">	
C00046 * C00009 </v>
      </c>
      <c r="H721" s="31" t="s">
        <v>10282</v>
      </c>
      <c r="I721" s="31" t="str">
        <f t="shared" si="67"/>
        <v xml:space="preserve"> C00046 * C00112</v>
      </c>
      <c r="J721" s="31" t="str">
        <f t="shared" si="65"/>
        <v>(${Variables: E2_7_7_8_Kcat } * E2_7_7_8 * 	
C00046 * C00009 ) /(${Variables:E2_7_7_8_Km} + (E2_7_7_8 * 	
C00046 * C00009 ))</v>
      </c>
      <c r="K721" s="32" t="str">
        <f t="shared" si="66"/>
        <v>r720: 	
C00046 + C00009  -&gt;  C00046 + C00112 | (${Variables: E2_7_7_8_Kcat } * E2_7_7_8 * 	
C00046 * C00009 ) /(${Variables:E2_7_7_8_Km} + (E2_7_7_8 * 	
C00046 * C00009 ))</v>
      </c>
    </row>
    <row r="722" spans="1:11" ht="58" x14ac:dyDescent="0.35">
      <c r="A722" s="31" t="s">
        <v>7329</v>
      </c>
      <c r="B722" s="31" t="s">
        <v>7330</v>
      </c>
      <c r="C722" s="31" t="s">
        <v>14164</v>
      </c>
      <c r="D722" s="31">
        <v>721</v>
      </c>
      <c r="E722" s="31" t="str">
        <f t="shared" si="63"/>
        <v>E2_7_7_85</v>
      </c>
      <c r="F722" s="31" t="s">
        <v>13909</v>
      </c>
      <c r="G722" s="31" t="str">
        <f t="shared" si="64"/>
        <v xml:space="preserve">	
C00002 </v>
      </c>
      <c r="H722" s="31" t="s">
        <v>14459</v>
      </c>
      <c r="I722" s="31" t="str">
        <f t="shared" si="67"/>
        <v> C00013 * C20565</v>
      </c>
      <c r="J722" s="31" t="str">
        <f t="shared" si="65"/>
        <v>(${Variables: E2_7_7_85_Kcat } * E2_7_7_85 * 	
C00002 ) /(${Variables:E2_7_7_85_Km} + (E2_7_7_85 * 	
C00002 ))</v>
      </c>
      <c r="K722" s="31" t="str">
        <f t="shared" si="66"/>
        <v>r721: 	
C00002  -&gt;  C00013 + C20565 | (${Variables: E2_7_7_85_Kcat } * E2_7_7_85 * 	
C00002 ) /(${Variables:E2_7_7_85_Km} + (E2_7_7_85 * 	
C00002 ))</v>
      </c>
    </row>
    <row r="723" spans="1:11" ht="58" x14ac:dyDescent="0.35">
      <c r="A723" s="31" t="s">
        <v>3425</v>
      </c>
      <c r="B723" s="31" t="s">
        <v>3426</v>
      </c>
      <c r="C723" s="31" t="s">
        <v>14165</v>
      </c>
      <c r="D723" s="31">
        <v>722</v>
      </c>
      <c r="E723" s="31" t="str">
        <f t="shared" si="63"/>
        <v>E2_7_7_87</v>
      </c>
      <c r="F723" s="31" t="s">
        <v>10288</v>
      </c>
      <c r="G723" s="31" t="str">
        <f t="shared" si="64"/>
        <v xml:space="preserve">	
C00188 * C00002 * C00288 * C00080</v>
      </c>
      <c r="H723" s="31" t="s">
        <v>10289</v>
      </c>
      <c r="I723" s="31" t="str">
        <f t="shared" si="67"/>
        <v xml:space="preserve"> C20641 * C00013 * C00001</v>
      </c>
      <c r="J723" s="31" t="str">
        <f t="shared" si="65"/>
        <v>(${Variables: E2_7_7_87_Kcat } * E2_7_7_87 * 	
C00188 * C00002 * C00288 * C00080) /(${Variables:E2_7_7_87_Km} + (E2_7_7_87 * 	
C00188 * C00002 * C00288 * C00080))</v>
      </c>
      <c r="K723" s="31" t="str">
        <f t="shared" si="66"/>
        <v>r722: 	
C00188 + C00002 + C00288 + C00080 -&gt;  C20641 + C00013 + C00001 | (${Variables: E2_7_7_87_Kcat } * E2_7_7_87 * 	
C00188 * C00002 * C00288 * C00080) /(${Variables:E2_7_7_87_Km} + (E2_7_7_87 * 	
C00188 * C00002 * C00288 * C00080))</v>
      </c>
    </row>
    <row r="724" spans="1:11" ht="58" x14ac:dyDescent="0.35">
      <c r="A724" s="31" t="s">
        <v>1091</v>
      </c>
      <c r="B724" s="31" t="s">
        <v>1092</v>
      </c>
      <c r="C724" s="31" t="s">
        <v>14166</v>
      </c>
      <c r="D724" s="31">
        <v>723</v>
      </c>
      <c r="E724" s="31" t="str">
        <f t="shared" si="63"/>
        <v>E2_7_7_9</v>
      </c>
      <c r="F724" s="31" t="s">
        <v>10292</v>
      </c>
      <c r="G724" s="31" t="str">
        <f t="shared" si="64"/>
        <v xml:space="preserve">	
C00075 * C00103 </v>
      </c>
      <c r="H724" s="31" t="s">
        <v>10293</v>
      </c>
      <c r="I724" s="31" t="str">
        <f t="shared" si="67"/>
        <v>C00013 * C00029</v>
      </c>
      <c r="J724" s="31" t="str">
        <f t="shared" si="65"/>
        <v>(${Variables: E2_7_7_9_Kcat } * E2_7_7_9 * 	
C00075 * C00103 ) /(${Variables:E2_7_7_9_Km} + (E2_7_7_9 * 	
C00075 * C00103 ))</v>
      </c>
      <c r="K724" s="31" t="str">
        <f t="shared" si="66"/>
        <v>r723: 	
C00075 + C00103  -&gt; C00013 + C00029 | (${Variables: E2_7_7_9_Kcat } * E2_7_7_9 * 	
C00075 * C00103 ) /(${Variables:E2_7_7_9_Km} + (E2_7_7_9 * 	
C00075 * C00103 ))</v>
      </c>
    </row>
    <row r="725" spans="1:11" ht="58" x14ac:dyDescent="0.35">
      <c r="A725" s="31" t="s">
        <v>2555</v>
      </c>
      <c r="B725" s="31" t="s">
        <v>2556</v>
      </c>
      <c r="C725" s="31" t="s">
        <v>14166</v>
      </c>
      <c r="D725" s="31">
        <v>724</v>
      </c>
      <c r="E725" s="31" t="str">
        <f t="shared" si="63"/>
        <v>E2_7_7_9</v>
      </c>
      <c r="F725" s="31" t="s">
        <v>10292</v>
      </c>
      <c r="G725" s="31" t="str">
        <f t="shared" si="64"/>
        <v xml:space="preserve">	
C00075 * C00103 </v>
      </c>
      <c r="H725" s="31" t="s">
        <v>10293</v>
      </c>
      <c r="I725" s="31" t="str">
        <f t="shared" si="67"/>
        <v>C00013 * C00029</v>
      </c>
      <c r="J725" s="31" t="str">
        <f t="shared" si="65"/>
        <v>(${Variables: E2_7_7_9_Kcat } * E2_7_7_9 * 	
C00075 * C00103 ) /(${Variables:E2_7_7_9_Km} + (E2_7_7_9 * 	
C00075 * C00103 ))</v>
      </c>
      <c r="K725" s="31" t="str">
        <f t="shared" si="66"/>
        <v>r724: 	
C00075 + C00103  -&gt; C00013 + C00029 | (${Variables: E2_7_7_9_Kcat } * E2_7_7_9 * 	
C00075 * C00103 ) /(${Variables:E2_7_7_9_Km} + (E2_7_7_9 * 	
C00075 * C00103 ))</v>
      </c>
    </row>
    <row r="726" spans="1:11" ht="58" x14ac:dyDescent="0.35">
      <c r="A726" s="31" t="s">
        <v>5961</v>
      </c>
      <c r="B726" s="31" t="s">
        <v>5962</v>
      </c>
      <c r="C726" s="31" t="s">
        <v>14167</v>
      </c>
      <c r="D726" s="31">
        <v>725</v>
      </c>
      <c r="E726" s="31" t="str">
        <f t="shared" si="63"/>
        <v>E2_7_8_13</v>
      </c>
      <c r="F726" s="31" t="s">
        <v>10296</v>
      </c>
      <c r="G726" s="31" t="str">
        <f t="shared" si="64"/>
        <v xml:space="preserve">	
C04702 * C17556 </v>
      </c>
      <c r="H726" s="31" t="s">
        <v>10297</v>
      </c>
      <c r="I726" s="31" t="str">
        <f t="shared" si="67"/>
        <v> C00105 * C04851</v>
      </c>
      <c r="J726" s="31" t="str">
        <f t="shared" si="65"/>
        <v>(${Variables: E2_7_8_13_Kcat } * E2_7_8_13 * 	
C04702 * C17556 ) /(${Variables:E2_7_8_13_Km} + (E2_7_8_13 * 	
C04702 * C17556 ))</v>
      </c>
      <c r="K726" s="32" t="str">
        <f t="shared" si="66"/>
        <v>r725: 	
C04702 + C17556  -&gt;  C00105 + C04851 | (${Variables: E2_7_8_13_Kcat } * E2_7_8_13 * 	
C04702 * C17556 ) /(${Variables:E2_7_8_13_Km} + (E2_7_8_13 * 	
C04702 * C17556 ))</v>
      </c>
    </row>
    <row r="727" spans="1:11" ht="58" x14ac:dyDescent="0.35">
      <c r="A727" s="31" t="s">
        <v>5961</v>
      </c>
      <c r="B727" s="31" t="s">
        <v>5962</v>
      </c>
      <c r="C727" s="31" t="s">
        <v>14167</v>
      </c>
      <c r="D727" s="31">
        <v>726</v>
      </c>
      <c r="E727" s="31" t="str">
        <f t="shared" si="63"/>
        <v>E2_7_8_13</v>
      </c>
      <c r="F727" s="31" t="s">
        <v>10299</v>
      </c>
      <c r="G727" s="31" t="str">
        <f t="shared" si="64"/>
        <v xml:space="preserve">	
C04882 * C17556</v>
      </c>
      <c r="H727" s="31" t="s">
        <v>10300</v>
      </c>
      <c r="I727" s="31" t="str">
        <f t="shared" si="67"/>
        <v>C00105 * C05897</v>
      </c>
      <c r="J727" s="31" t="str">
        <f t="shared" si="65"/>
        <v>(${Variables: E2_7_8_13_Kcat } * E2_7_8_13 * 	
C04882 * C17556) /(${Variables:E2_7_8_13_Km} + (E2_7_8_13 * 	
C04882 * C17556))</v>
      </c>
      <c r="K727" s="32" t="str">
        <f t="shared" si="66"/>
        <v>r726: 	
C04882 + C17556 -&gt; C00105 + C05897 | (${Variables: E2_7_8_13_Kcat } * E2_7_8_13 * 	
C04882 * C17556) /(${Variables:E2_7_8_13_Km} + (E2_7_8_13 * 	
C04882 * C17556))</v>
      </c>
    </row>
    <row r="728" spans="1:11" ht="58" x14ac:dyDescent="0.35">
      <c r="A728" s="31" t="s">
        <v>6080</v>
      </c>
      <c r="B728" s="31" t="s">
        <v>6081</v>
      </c>
      <c r="C728" s="31" t="s">
        <v>14168</v>
      </c>
      <c r="D728" s="31">
        <v>727</v>
      </c>
      <c r="E728" s="31" t="str">
        <f t="shared" si="63"/>
        <v>E2_7_8_26</v>
      </c>
      <c r="F728" s="31" t="s">
        <v>10303</v>
      </c>
      <c r="G728" s="31" t="str">
        <f t="shared" si="64"/>
        <v xml:space="preserve">	
C00194 * C00144</v>
      </c>
      <c r="H728" s="31" t="s">
        <v>10304</v>
      </c>
      <c r="I728" s="31" t="str">
        <f t="shared" si="67"/>
        <v> C06510 * C05775</v>
      </c>
      <c r="J728" s="31" t="str">
        <f t="shared" si="65"/>
        <v>(${Variables: E2_7_8_26_Kcat } * E2_7_8_26 * 	
C00194 * C00144) /(${Variables:E2_7_8_26_Km} + (E2_7_8_26 * 	
C00194 * C00144))</v>
      </c>
      <c r="K728" s="32" t="str">
        <f t="shared" si="66"/>
        <v>r727: 	
C00194 + C00144 -&gt;  C06510 + C05775 | (${Variables: E2_7_8_26_Kcat } * E2_7_8_26 * 	
C00194 * C00144) /(${Variables:E2_7_8_26_Km} + (E2_7_8_26 * 	
C00194 * C00144))</v>
      </c>
    </row>
    <row r="729" spans="1:11" ht="58" x14ac:dyDescent="0.35">
      <c r="A729" s="31" t="s">
        <v>6080</v>
      </c>
      <c r="B729" s="31" t="s">
        <v>6081</v>
      </c>
      <c r="C729" s="31" t="s">
        <v>14168</v>
      </c>
      <c r="D729" s="31">
        <v>728</v>
      </c>
      <c r="E729" s="31" t="str">
        <f t="shared" si="63"/>
        <v>E2_7_8_26</v>
      </c>
      <c r="F729" s="31" t="s">
        <v>10306</v>
      </c>
      <c r="G729" s="31" t="str">
        <f t="shared" si="64"/>
        <v xml:space="preserve">	
C06510 * C04778</v>
      </c>
      <c r="H729" s="31" t="s">
        <v>10307</v>
      </c>
      <c r="I729" s="31" t="str">
        <f t="shared" si="67"/>
        <v> C00144 * C21153</v>
      </c>
      <c r="J729" s="31" t="str">
        <f t="shared" si="65"/>
        <v>(${Variables: E2_7_8_26_Kcat } * E2_7_8_26 * 	
C06510 * C04778) /(${Variables:E2_7_8_26_Km} + (E2_7_8_26 * 	
C06510 * C04778))</v>
      </c>
      <c r="K729" s="32" t="str">
        <f t="shared" si="66"/>
        <v>r728: 	
C06510 + C04778 -&gt;  C00144 + C21153 | (${Variables: E2_7_8_26_Kcat } * E2_7_8_26 * 	
C06510 * C04778) /(${Variables:E2_7_8_26_Km} + (E2_7_8_26 * 	
C06510 * C04778))</v>
      </c>
    </row>
    <row r="730" spans="1:11" ht="58" x14ac:dyDescent="0.35">
      <c r="A730" s="31" t="s">
        <v>5409</v>
      </c>
      <c r="B730" s="31" t="s">
        <v>5410</v>
      </c>
      <c r="C730" s="31" t="s">
        <v>14169</v>
      </c>
      <c r="D730" s="31">
        <v>729</v>
      </c>
      <c r="E730" s="31" t="str">
        <f t="shared" si="63"/>
        <v>E2_7_8_5</v>
      </c>
      <c r="F730" s="31" t="s">
        <v>10310</v>
      </c>
      <c r="G730" s="31" t="str">
        <f t="shared" si="64"/>
        <v xml:space="preserve">	
C00269 * C00093 </v>
      </c>
      <c r="H730" s="31" t="s">
        <v>10311</v>
      </c>
      <c r="I730" s="31" t="str">
        <f t="shared" si="67"/>
        <v>C00055 * C03892</v>
      </c>
      <c r="J730" s="31" t="str">
        <f t="shared" si="65"/>
        <v>(${Variables: E2_7_8_5_Kcat } * E2_7_8_5 * 	
C00269 * C00093 ) /(${Variables:E2_7_8_5_Km} + (E2_7_8_5 * 	
C00269 * C00093 ))</v>
      </c>
      <c r="K730" s="31" t="str">
        <f t="shared" si="66"/>
        <v>r729: 	
C00269 + C00093  -&gt; C00055 + C03892 | (${Variables: E2_7_8_5_Kcat } * E2_7_8_5 * 	
C00269 * C00093 ) /(${Variables:E2_7_8_5_Km} + (E2_7_8_5 * 	
C00269 * C00093 ))</v>
      </c>
    </row>
    <row r="731" spans="1:11" ht="58" x14ac:dyDescent="0.35">
      <c r="A731" s="31" t="s">
        <v>5457</v>
      </c>
      <c r="B731" s="31" t="s">
        <v>5458</v>
      </c>
      <c r="C731" s="31" t="s">
        <v>14170</v>
      </c>
      <c r="D731" s="31">
        <v>730</v>
      </c>
      <c r="E731" s="31" t="str">
        <f t="shared" si="63"/>
        <v>E2_7_8_7</v>
      </c>
      <c r="F731" s="31" t="s">
        <v>10314</v>
      </c>
      <c r="G731" s="31" t="str">
        <f t="shared" si="64"/>
        <v xml:space="preserve">	
C00010 * C03688</v>
      </c>
      <c r="H731" s="31" t="s">
        <v>10315</v>
      </c>
      <c r="I731" s="31" t="str">
        <f t="shared" si="67"/>
        <v>C00054 * C00229</v>
      </c>
      <c r="J731" s="31" t="str">
        <f t="shared" si="65"/>
        <v>(${Variables: E2_7_8_7_Kcat } * E2_7_8_7 * 	
C00010 * C03688) /(${Variables:E2_7_8_7_Km} + (E2_7_8_7 * 	
C00010 * C03688))</v>
      </c>
      <c r="K731" s="32" t="str">
        <f t="shared" si="66"/>
        <v>r730: 	
C00010 + C03688 -&gt; C00054 + C00229 | (${Variables: E2_7_8_7_Kcat } * E2_7_8_7 * 	
C00010 * C03688) /(${Variables:E2_7_8_7_Km} + (E2_7_8_7 * 	
C00010 * C03688))</v>
      </c>
    </row>
    <row r="732" spans="1:11" ht="58" x14ac:dyDescent="0.35">
      <c r="A732" s="31" t="s">
        <v>6851</v>
      </c>
      <c r="B732" s="31" t="s">
        <v>6852</v>
      </c>
      <c r="C732" s="31" t="s">
        <v>14170</v>
      </c>
      <c r="D732" s="31">
        <v>731</v>
      </c>
      <c r="E732" s="31" t="str">
        <f t="shared" si="63"/>
        <v>E2_7_8_7</v>
      </c>
      <c r="F732" s="31" t="s">
        <v>10314</v>
      </c>
      <c r="G732" s="31" t="str">
        <f t="shared" si="64"/>
        <v xml:space="preserve">	
C00010 * C03688</v>
      </c>
      <c r="H732" s="31" t="s">
        <v>10315</v>
      </c>
      <c r="I732" s="31" t="str">
        <f t="shared" si="67"/>
        <v>C00054 * C00229</v>
      </c>
      <c r="J732" s="31" t="str">
        <f t="shared" si="65"/>
        <v>(${Variables: E2_7_8_7_Kcat } * E2_7_8_7 * 	
C00010 * C03688) /(${Variables:E2_7_8_7_Km} + (E2_7_8_7 * 	
C00010 * C03688))</v>
      </c>
      <c r="K732" s="32" t="str">
        <f t="shared" si="66"/>
        <v>r731: 	
C00010 + C03688 -&gt; C00054 + C00229 | (${Variables: E2_7_8_7_Kcat } * E2_7_8_7 * 	
C00010 * C03688) /(${Variables:E2_7_8_7_Km} + (E2_7_8_7 * 	
C00010 * C03688))</v>
      </c>
    </row>
    <row r="733" spans="1:11" ht="58" x14ac:dyDescent="0.35">
      <c r="A733" s="31" t="s">
        <v>5632</v>
      </c>
      <c r="B733" s="31" t="s">
        <v>5633</v>
      </c>
      <c r="C733" s="31" t="s">
        <v>14171</v>
      </c>
      <c r="D733" s="31">
        <v>732</v>
      </c>
      <c r="E733" s="31" t="str">
        <f t="shared" si="63"/>
        <v>E2_8_1_10</v>
      </c>
      <c r="F733" s="31" t="s">
        <v>10318</v>
      </c>
      <c r="G733" s="31" t="str">
        <f t="shared" si="64"/>
        <v xml:space="preserve">	
C11437 * C15809 * C15814</v>
      </c>
      <c r="H733" s="31" t="s">
        <v>14460</v>
      </c>
      <c r="I733" s="31" t="str">
        <f t="shared" si="67"/>
        <v> C20246 * C15810 * C00001</v>
      </c>
      <c r="J733" s="31" t="str">
        <f t="shared" si="65"/>
        <v>(${Variables: E2_8_1_10_Kcat } * E2_8_1_10 * 	
C11437 * C15809 * C15814) /(${Variables:E2_8_1_10_Km} + (E2_8_1_10 * 	
C11437 * C15809 * C15814))</v>
      </c>
      <c r="K733" s="31" t="str">
        <f t="shared" si="66"/>
        <v>r732: 	
C11437 + C15809 + C15814 -&gt;  C20246 + C15810 + C00001 | (${Variables: E2_8_1_10_Kcat } * E2_8_1_10 * 	
C11437 * C15809 * C15814) /(${Variables:E2_8_1_10_Km} + (E2_8_1_10 * 	
C11437 * C15809 * C15814))</v>
      </c>
    </row>
    <row r="734" spans="1:11" ht="58" x14ac:dyDescent="0.35">
      <c r="A734" s="31" t="s">
        <v>637</v>
      </c>
      <c r="B734" s="31" t="s">
        <v>638</v>
      </c>
      <c r="C734" s="31" t="s">
        <v>14172</v>
      </c>
      <c r="D734" s="31">
        <v>733</v>
      </c>
      <c r="E734" s="31" t="str">
        <f t="shared" si="63"/>
        <v>E2_8_1_12</v>
      </c>
      <c r="F734" s="31" t="s">
        <v>13910</v>
      </c>
      <c r="G734" s="31" t="str">
        <f t="shared" si="64"/>
        <v xml:space="preserve">	
C18239 * C15814</v>
      </c>
      <c r="H734" s="31" t="s">
        <v>14461</v>
      </c>
      <c r="I734" s="31" t="str">
        <f t="shared" si="67"/>
        <v>C05924 *  C15810</v>
      </c>
      <c r="J734" s="31" t="str">
        <f t="shared" si="65"/>
        <v>(${Variables: E2_8_1_12_Kcat } * E2_8_1_12 * 	
C18239 * C15814) /(${Variables:E2_8_1_12_Km} + (E2_8_1_12 * 	
C18239 * C15814))</v>
      </c>
      <c r="K734" s="31" t="str">
        <f t="shared" si="66"/>
        <v>r733: 	
C18239 + C15814 -&gt; C05924 +  C15810 | (${Variables: E2_8_1_12_Kcat } * E2_8_1_12 * 	
C18239 * C15814) /(${Variables:E2_8_1_12_Km} + (E2_8_1_12 * 	
C18239 * C15814))</v>
      </c>
    </row>
    <row r="735" spans="1:11" ht="29" x14ac:dyDescent="0.35">
      <c r="A735" s="31" t="s">
        <v>3526</v>
      </c>
      <c r="B735" s="31" t="s">
        <v>3527</v>
      </c>
      <c r="C735" s="31" t="s">
        <v>14173</v>
      </c>
      <c r="D735" s="31">
        <v>734</v>
      </c>
      <c r="E735" s="31" t="str">
        <f t="shared" si="63"/>
        <v>E2_8_1_13</v>
      </c>
      <c r="F735" s="31" t="s">
        <v>10325</v>
      </c>
      <c r="G735" s="31" t="str">
        <f t="shared" si="64"/>
        <v>C00868 * C15812 * C00002</v>
      </c>
      <c r="H735" s="31" t="s">
        <v>10326</v>
      </c>
      <c r="I735" s="31" t="str">
        <f t="shared" si="67"/>
        <v xml:space="preserve"> C17322 * C15811 * C00020 * C00013</v>
      </c>
      <c r="J735" s="31" t="str">
        <f t="shared" si="65"/>
        <v>(${Variables: E2_8_1_13_Kcat } * E2_8_1_13 * C00868 * C15812 * C00002) /(${Variables:E2_8_1_13_Km} + (E2_8_1_13 * C00868 * C15812 * C00002))</v>
      </c>
      <c r="K735" s="31" t="str">
        <f t="shared" si="66"/>
        <v>r734: C00868 + C15812 + C00002 -&gt;  C17322 + C15811 + C00020 + C00013 | (${Variables: E2_8_1_13_Kcat } * E2_8_1_13 * C00868 * C15812 * C00002) /(${Variables:E2_8_1_13_Km} + (E2_8_1_13 * C00868 * C15812 * C00002))</v>
      </c>
    </row>
    <row r="736" spans="1:11" ht="58" x14ac:dyDescent="0.35">
      <c r="A736" s="31" t="s">
        <v>250</v>
      </c>
      <c r="B736" s="31" t="s">
        <v>251</v>
      </c>
      <c r="C736" s="31" t="s">
        <v>14174</v>
      </c>
      <c r="D736" s="31">
        <v>735</v>
      </c>
      <c r="E736" s="31" t="str">
        <f t="shared" si="63"/>
        <v>E2_8_1_6</v>
      </c>
      <c r="F736" s="31" t="s">
        <v>14397</v>
      </c>
      <c r="G736" s="31" t="str">
        <f t="shared" si="64"/>
        <v xml:space="preserve">	
C01909 * C17023 * C00019 * C05359 *  C00080</v>
      </c>
      <c r="H736" s="31" t="s">
        <v>14462</v>
      </c>
      <c r="I736" s="31" t="str">
        <f t="shared" si="67"/>
        <v>C00120 * C00073 * C05198</v>
      </c>
      <c r="J736" s="31" t="str">
        <f t="shared" si="65"/>
        <v>(${Variables: E2_8_1_6_Kcat } * E2_8_1_6 * 	
C01909 * C17023 * C00019 * C05359 *  C00080) /(${Variables:E2_8_1_6_Km} + (E2_8_1_6 * 	
C01909 * C17023 * C00019 * C05359 *  C00080))</v>
      </c>
      <c r="K736" s="31" t="str">
        <f t="shared" si="66"/>
        <v>r735: 	
C01909 + C17023 + C00019 + C05359 +  C00080 -&gt; C00120 + C00073 + C05198 | (${Variables: E2_8_1_6_Kcat } * E2_8_1_6 * 	
C01909 * C17023 * C00019 * C05359 *  C00080) /(${Variables:E2_8_1_6_Km} + (E2_8_1_6 * 	
C01909 * C17023 * C00019 * C05359 *  C00080))</v>
      </c>
    </row>
    <row r="737" spans="1:11" ht="29" x14ac:dyDescent="0.35">
      <c r="A737" s="31" t="s">
        <v>4395</v>
      </c>
      <c r="B737" s="31" t="s">
        <v>4396</v>
      </c>
      <c r="C737" s="31" t="s">
        <v>14175</v>
      </c>
      <c r="D737" s="31">
        <v>736</v>
      </c>
      <c r="E737" s="31" t="str">
        <f t="shared" si="63"/>
        <v>E2_8_1_7</v>
      </c>
      <c r="F737" s="31" t="s">
        <v>10332</v>
      </c>
      <c r="G737" s="31" t="str">
        <f t="shared" si="64"/>
        <v>C15811 * C00097</v>
      </c>
      <c r="H737" s="31" t="s">
        <v>10333</v>
      </c>
      <c r="I737" s="31" t="str">
        <f t="shared" si="67"/>
        <v>C15812 * C00041</v>
      </c>
      <c r="J737" s="31" t="str">
        <f t="shared" si="65"/>
        <v>(${Variables: E2_8_1_7_Kcat } * E2_8_1_7 * C15811 * C00097) /(${Variables:E2_8_1_7_Km} + (E2_8_1_7 * C15811 * C00097))</v>
      </c>
      <c r="K737" s="32" t="str">
        <f t="shared" si="66"/>
        <v>r736: C15811 + C00097 -&gt; C15812 + C00041 | (${Variables: E2_8_1_7_Kcat } * E2_8_1_7 * C15811 * C00097) /(${Variables:E2_8_1_7_Km} + (E2_8_1_7 * C15811 * C00097))</v>
      </c>
    </row>
    <row r="738" spans="1:11" ht="58" x14ac:dyDescent="0.35">
      <c r="A738" s="31" t="s">
        <v>4395</v>
      </c>
      <c r="B738" s="31" t="s">
        <v>4396</v>
      </c>
      <c r="C738" s="31" t="s">
        <v>14175</v>
      </c>
      <c r="D738" s="31">
        <v>737</v>
      </c>
      <c r="E738" s="31" t="str">
        <f t="shared" si="63"/>
        <v>E2_8_1_7</v>
      </c>
      <c r="F738" s="31" t="s">
        <v>10335</v>
      </c>
      <c r="G738" s="31" t="str">
        <f t="shared" si="64"/>
        <v xml:space="preserve">	
C00097 * C02743</v>
      </c>
      <c r="H738" s="31" t="s">
        <v>10336</v>
      </c>
      <c r="I738" s="31" t="str">
        <f t="shared" si="67"/>
        <v> C00041 * C21440</v>
      </c>
      <c r="J738" s="31" t="str">
        <f t="shared" si="65"/>
        <v>(${Variables: E2_8_1_7_Kcat } * E2_8_1_7 * 	
C00097 * C02743) /(${Variables:E2_8_1_7_Km} + (E2_8_1_7 * 	
C00097 * C02743))</v>
      </c>
      <c r="K738" s="32" t="str">
        <f t="shared" si="66"/>
        <v>r737: 	
C00097 + C02743 -&gt;  C00041 + C21440 | (${Variables: E2_8_1_7_Kcat } * E2_8_1_7 * 	
C00097 * C02743) /(${Variables:E2_8_1_7_Km} + (E2_8_1_7 * 	
C00097 * C02743))</v>
      </c>
    </row>
    <row r="739" spans="1:11" ht="58" x14ac:dyDescent="0.35">
      <c r="A739" s="31" t="s">
        <v>4395</v>
      </c>
      <c r="B739" s="31" t="s">
        <v>4396</v>
      </c>
      <c r="C739" s="31" t="s">
        <v>14175</v>
      </c>
      <c r="D739" s="31">
        <v>738</v>
      </c>
      <c r="E739" s="31" t="str">
        <f t="shared" si="63"/>
        <v>E2_8_1_7</v>
      </c>
      <c r="F739" s="31" t="s">
        <v>10338</v>
      </c>
      <c r="G739" s="31" t="str">
        <f t="shared" si="64"/>
        <v xml:space="preserve">	
C15812 * C02743 </v>
      </c>
      <c r="H739" s="31" t="s">
        <v>10339</v>
      </c>
      <c r="I739" s="31" t="str">
        <f t="shared" si="67"/>
        <v> C15811 * C21440</v>
      </c>
      <c r="J739" s="31" t="str">
        <f t="shared" si="65"/>
        <v>(${Variables: E2_8_1_7_Kcat } * E2_8_1_7 * 	
C15812 * C02743 ) /(${Variables:E2_8_1_7_Km} + (E2_8_1_7 * 	
C15812 * C02743 ))</v>
      </c>
      <c r="K739" s="32" t="str">
        <f t="shared" si="66"/>
        <v>r738: 	
C15812 + C02743  -&gt;  C15811 + C21440 | (${Variables: E2_8_1_7_Kcat } * E2_8_1_7 * 	
C15812 * C02743 ) /(${Variables:E2_8_1_7_Km} + (E2_8_1_7 * 	
C15812 * C02743 ))</v>
      </c>
    </row>
    <row r="740" spans="1:11" ht="72.5" x14ac:dyDescent="0.35">
      <c r="A740" s="31" t="s">
        <v>6102</v>
      </c>
      <c r="B740" s="31" t="s">
        <v>6103</v>
      </c>
      <c r="C740" s="31" t="s">
        <v>14176</v>
      </c>
      <c r="D740" s="31">
        <v>739</v>
      </c>
      <c r="E740" s="31" t="str">
        <f t="shared" si="63"/>
        <v>E2_8_1_8</v>
      </c>
      <c r="F740" s="31" t="s">
        <v>14398</v>
      </c>
      <c r="G740" s="31" t="str">
        <f t="shared" si="64"/>
        <v xml:space="preserve">	
C16236 * C22154 * C00019 *  C22150 *  C00080</v>
      </c>
      <c r="H740" s="31" t="s">
        <v>14463</v>
      </c>
      <c r="I740" s="31" t="str">
        <f t="shared" si="67"/>
        <v>C16832 * C22155 *  C00283 * C14818 *  C00073 * C05198 * C22151</v>
      </c>
      <c r="J740" s="31" t="str">
        <f t="shared" si="65"/>
        <v>(${Variables: E2_8_1_8_Kcat } * E2_8_1_8 * 	
C16236 * C22154 * C00019 *  C22150 *  C00080) /(${Variables:E2_8_1_8_Km} + (E2_8_1_8 * 	
C16236 * C22154 * C00019 *  C22150 *  C00080))</v>
      </c>
      <c r="K740" s="31" t="str">
        <f t="shared" si="66"/>
        <v>r739: 	
C16236 + C22154 + C00019 +  C22150 +  C00080 -&gt; C16832 + C22155 +  C00283 + C14818 +  C00073 + C05198 + C22151 | (${Variables: E2_8_1_8_Kcat } * E2_8_1_8 * 	
C16236 * C22154 * C00019 *  C22150 *  C00080) /(${Variables:E2_8_1_8_Km} + (E2_8_1_8 * 	
C16236 * C22154 * C00019 *  C22150 *  C00080))</v>
      </c>
    </row>
    <row r="741" spans="1:11" ht="43.5" x14ac:dyDescent="0.35">
      <c r="A741" s="31" t="s">
        <v>6102</v>
      </c>
      <c r="B741" s="31" t="s">
        <v>6103</v>
      </c>
      <c r="C741" s="31" t="s">
        <v>14176</v>
      </c>
      <c r="D741" s="31">
        <v>740</v>
      </c>
      <c r="E741" s="31" t="str">
        <f t="shared" si="63"/>
        <v>E2_8_1_8</v>
      </c>
      <c r="F741" s="31" t="s">
        <v>14399</v>
      </c>
      <c r="G741" s="31" t="str">
        <f t="shared" si="64"/>
        <v>C22160 * C22154 *  C00019 *  C22150 *  C00080</v>
      </c>
      <c r="H741" s="31" t="s">
        <v>14464</v>
      </c>
      <c r="I741" s="31" t="str">
        <f t="shared" si="67"/>
        <v>C15973 * C22155 *  C00283 *  C14818 *  C00073 *  C05198 *  C22151</v>
      </c>
      <c r="J741" s="31" t="str">
        <f t="shared" si="65"/>
        <v>(${Variables: E2_8_1_8_Kcat } * E2_8_1_8 * C22160 * C22154 *  C00019 *  C22150 *  C00080) /(${Variables:E2_8_1_8_Km} + (E2_8_1_8 * C22160 * C22154 *  C00019 *  C22150 *  C00080))</v>
      </c>
      <c r="K741" s="31" t="str">
        <f t="shared" si="66"/>
        <v>r740: C22160 + C22154 +  C00019 +  C22150 +  C00080 -&gt; C15973 + C22155 +  C00283 +  C14818 +  C00073 +  C05198 +  C22151 | (${Variables: E2_8_1_8_Kcat } * E2_8_1_8 * C22160 * C22154 *  C00019 *  C22150 *  C00080) /(${Variables:E2_8_1_8_Km} + (E2_8_1_8 * C22160 * C22154 *  C00019 *  C22150 *  C00080))</v>
      </c>
    </row>
    <row r="742" spans="1:11" ht="72.5" x14ac:dyDescent="0.35">
      <c r="A742" s="31" t="s">
        <v>6102</v>
      </c>
      <c r="B742" s="31" t="s">
        <v>6103</v>
      </c>
      <c r="C742" s="31" t="s">
        <v>14176</v>
      </c>
      <c r="D742" s="31">
        <v>741</v>
      </c>
      <c r="E742" s="31" t="str">
        <f t="shared" si="63"/>
        <v>E2_8_1_8</v>
      </c>
      <c r="F742" s="31" t="s">
        <v>14400</v>
      </c>
      <c r="G742" s="31" t="str">
        <f t="shared" si="64"/>
        <v xml:space="preserve">	
C22159 * C22154 * C00019 * C22150 * C00080 </v>
      </c>
      <c r="H742" s="31" t="s">
        <v>14465</v>
      </c>
      <c r="I742" s="31" t="str">
        <f t="shared" si="67"/>
        <v>C02972 * C22155 *  C00283 *  C14818 *  C00073 *  C05198 * C22151</v>
      </c>
      <c r="J742" s="31" t="str">
        <f t="shared" si="65"/>
        <v>(${Variables: E2_8_1_8_Kcat } * E2_8_1_8 * 	
C22159 * C22154 * C00019 * C22150 * C00080 ) /(${Variables:E2_8_1_8_Km} + (E2_8_1_8 * 	
C22159 * C22154 * C00019 * C22150 * C00080 ))</v>
      </c>
      <c r="K742" s="31" t="str">
        <f t="shared" si="66"/>
        <v>r741: 	
C22159 + C22154 + C00019 + C22150 + C00080  -&gt; C02972 + C22155 +  C00283 +  C14818 +  C00073 +  C05198 + C22151 | (${Variables: E2_8_1_8_Kcat } * E2_8_1_8 * 	
C22159 * C22154 * C00019 * C22150 * C00080 ) /(${Variables:E2_8_1_8_Km} + (E2_8_1_8 * 	
C22159 * C22154 * C00019 * C22150 * C00080 ))</v>
      </c>
    </row>
    <row r="743" spans="1:11" ht="29" x14ac:dyDescent="0.35">
      <c r="A743" s="31" t="s">
        <v>809</v>
      </c>
      <c r="B743" s="31" t="s">
        <v>810</v>
      </c>
      <c r="C743" s="31" t="s">
        <v>14177</v>
      </c>
      <c r="D743" s="31">
        <v>742</v>
      </c>
      <c r="E743" s="31" t="str">
        <f t="shared" si="63"/>
        <v>E2_8_4_2</v>
      </c>
      <c r="F743" s="31" t="s">
        <v>10348</v>
      </c>
      <c r="G743" s="31" t="str">
        <f t="shared" si="64"/>
        <v>C11215*C06717</v>
      </c>
      <c r="H743" s="31" t="s">
        <v>10349</v>
      </c>
      <c r="I743" s="31" t="str">
        <f t="shared" si="67"/>
        <v>C00001</v>
      </c>
      <c r="J743" s="31" t="str">
        <f t="shared" si="65"/>
        <v>(${Variables: E2_8_4_2_Kcat } * E2_8_4_2 * C11215*C06717) /(${Variables:E2_8_4_2_Km} + (E2_8_4_2 * C11215*C06717))</v>
      </c>
      <c r="K743" s="31" t="str">
        <f t="shared" si="66"/>
        <v>r742: C11215+C06717 -&gt; C00001 | (${Variables: E2_8_4_2_Kcat } * E2_8_4_2 * C11215*C06717) /(${Variables:E2_8_4_2_Km} + (E2_8_4_2 * C11215*C06717))</v>
      </c>
    </row>
    <row r="744" spans="1:11" ht="29" x14ac:dyDescent="0.35">
      <c r="A744" s="31" t="s">
        <v>4263</v>
      </c>
      <c r="B744" s="31" t="s">
        <v>4264</v>
      </c>
      <c r="C744" s="31" t="s">
        <v>14177</v>
      </c>
      <c r="D744" s="31">
        <v>743</v>
      </c>
      <c r="E744" s="31" t="str">
        <f t="shared" si="63"/>
        <v>E2_8_4_2</v>
      </c>
      <c r="F744" s="31" t="s">
        <v>10348</v>
      </c>
      <c r="G744" s="31" t="str">
        <f t="shared" si="64"/>
        <v>C11215*C06717</v>
      </c>
      <c r="H744" s="31" t="s">
        <v>10349</v>
      </c>
      <c r="I744" s="31" t="str">
        <f t="shared" si="67"/>
        <v>C00001</v>
      </c>
      <c r="J744" s="31" t="str">
        <f t="shared" si="65"/>
        <v>(${Variables: E2_8_4_2_Kcat } * E2_8_4_2 * C11215*C06717) /(${Variables:E2_8_4_2_Km} + (E2_8_4_2 * C11215*C06717))</v>
      </c>
      <c r="K744" s="31" t="str">
        <f t="shared" si="66"/>
        <v>r743: C11215+C06717 -&gt; C00001 | (${Variables: E2_8_4_2_Kcat } * E2_8_4_2 * C11215*C06717) /(${Variables:E2_8_4_2_Km} + (E2_8_4_2 * C11215*C06717))</v>
      </c>
    </row>
    <row r="745" spans="1:11" ht="58" x14ac:dyDescent="0.35">
      <c r="A745" s="31" t="s">
        <v>5362</v>
      </c>
      <c r="B745" s="31" t="s">
        <v>5363</v>
      </c>
      <c r="C745" s="31" t="s">
        <v>14178</v>
      </c>
      <c r="D745" s="31">
        <v>744</v>
      </c>
      <c r="E745" s="31" t="str">
        <f t="shared" si="63"/>
        <v>E2_8_4_3</v>
      </c>
      <c r="F745" s="31" t="s">
        <v>10354</v>
      </c>
      <c r="G745" s="31" t="str">
        <f t="shared" si="64"/>
        <v xml:space="preserve">	
C04432 * C17023 * C00019</v>
      </c>
      <c r="H745" s="31" t="s">
        <v>10352</v>
      </c>
      <c r="I745" s="31" t="str">
        <f t="shared" si="67"/>
        <v> C20753 * C00021 * C00073 * C05198</v>
      </c>
      <c r="J745" s="31" t="str">
        <f t="shared" si="65"/>
        <v>(${Variables: E2_8_4_3_Kcat } * E2_8_4_3 * 	
C04432 * C17023 * C00019) /(${Variables:E2_8_4_3_Km} + (E2_8_4_3 * 	
C04432 * C17023 * C00019))</v>
      </c>
      <c r="K745" s="31" t="str">
        <f t="shared" si="66"/>
        <v>r744: 	
C04432 + C17023 + C00019 -&gt;  C20753 + C00021 + C00073 + C05198 | (${Variables: E2_8_4_3_Kcat } * E2_8_4_3 * 	
C04432 * C17023 * C00019) /(${Variables:E2_8_4_3_Km} + (E2_8_4_3 * 	
C04432 * C17023 * C00019))</v>
      </c>
    </row>
    <row r="746" spans="1:11" ht="58" x14ac:dyDescent="0.35">
      <c r="A746" s="31" t="s">
        <v>5362</v>
      </c>
      <c r="B746" s="31" t="s">
        <v>5363</v>
      </c>
      <c r="C746" s="31" t="s">
        <v>14178</v>
      </c>
      <c r="D746" s="31">
        <v>745</v>
      </c>
      <c r="E746" s="31" t="str">
        <f t="shared" si="63"/>
        <v>E2_8_4_3</v>
      </c>
      <c r="F746" s="31" t="s">
        <v>10354</v>
      </c>
      <c r="G746" s="31" t="str">
        <f t="shared" si="64"/>
        <v xml:space="preserve">	
C04432 * C17023 * C00019</v>
      </c>
      <c r="H746" s="31" t="s">
        <v>10355</v>
      </c>
      <c r="I746" s="31" t="str">
        <f t="shared" si="67"/>
        <v>C20755 * C00073 * C05198</v>
      </c>
      <c r="J746" s="31" t="str">
        <f t="shared" si="65"/>
        <v>(${Variables: E2_8_4_3_Kcat } * E2_8_4_3 * 	
C04432 * C17023 * C00019) /(${Variables:E2_8_4_3_Km} + (E2_8_4_3 * 	
C04432 * C17023 * C00019))</v>
      </c>
      <c r="K746" s="31" t="str">
        <f t="shared" si="66"/>
        <v>r745: 	
C04432 + C17023 + C00019 -&gt; C20755 + C00073 + C05198 | (${Variables: E2_8_4_3_Kcat } * E2_8_4_3 * 	
C04432 * C17023 * C00019) /(${Variables:E2_8_4_3_Km} + (E2_8_4_3 * 	
C04432 * C17023 * C00019))</v>
      </c>
    </row>
    <row r="747" spans="1:11" ht="29" x14ac:dyDescent="0.35">
      <c r="A747" s="31" t="s">
        <v>5362</v>
      </c>
      <c r="B747" s="31" t="s">
        <v>5363</v>
      </c>
      <c r="C747" s="31" t="s">
        <v>14178</v>
      </c>
      <c r="D747" s="31">
        <v>746</v>
      </c>
      <c r="E747" s="31" t="str">
        <f t="shared" si="63"/>
        <v>E2_8_4_3</v>
      </c>
      <c r="F747" s="31" t="s">
        <v>10357</v>
      </c>
      <c r="G747" s="31" t="str">
        <f t="shared" si="64"/>
        <v>C20755 * C00019</v>
      </c>
      <c r="H747" s="31" t="s">
        <v>10358</v>
      </c>
      <c r="I747" s="31" t="str">
        <f t="shared" si="67"/>
        <v>C20753 * C00021</v>
      </c>
      <c r="J747" s="31" t="str">
        <f t="shared" si="65"/>
        <v>(${Variables: E2_8_4_3_Kcat } * E2_8_4_3 * C20755 * C00019) /(${Variables:E2_8_4_3_Km} + (E2_8_4_3 * C20755 * C00019))</v>
      </c>
      <c r="K747" s="31" t="str">
        <f t="shared" si="66"/>
        <v>r746: C20755 + C00019 -&gt; C20753 + C00021 | (${Variables: E2_8_4_3_Kcat } * E2_8_4_3 * C20755 * C00019) /(${Variables:E2_8_4_3_Km} + (E2_8_4_3 * C20755 * C00019))</v>
      </c>
    </row>
    <row r="748" spans="1:11" ht="58" x14ac:dyDescent="0.35">
      <c r="A748" s="31" t="s">
        <v>986</v>
      </c>
      <c r="B748" s="31" t="s">
        <v>987</v>
      </c>
      <c r="C748" s="31" t="s">
        <v>14179</v>
      </c>
      <c r="D748" s="31">
        <v>747</v>
      </c>
      <c r="E748" s="31" t="str">
        <f t="shared" si="63"/>
        <v>E3_1_3_5</v>
      </c>
      <c r="F748" s="31" t="s">
        <v>10363</v>
      </c>
      <c r="G748" s="31" t="str">
        <f t="shared" si="64"/>
        <v xml:space="preserve">	
C02520 * C00001</v>
      </c>
      <c r="H748" s="31" t="s">
        <v>10364</v>
      </c>
      <c r="I748" s="31" t="str">
        <f t="shared" si="67"/>
        <v>C00911 * C00009</v>
      </c>
      <c r="J748" s="31" t="str">
        <f t="shared" si="65"/>
        <v>(${Variables: E3_1_3_5_Kcat } * E3_1_3_5 * 	
C02520 * C00001) /(${Variables:E3_1_3_5_Km} + (E3_1_3_5 * 	
C02520 * C00001))</v>
      </c>
      <c r="K748" s="32" t="str">
        <f t="shared" si="66"/>
        <v>r747: 	
C02520 + C00001 -&gt; C00911 + C00009 | (${Variables: E3_1_3_5_Kcat } * E3_1_3_5 * 	
C02520 * C00001) /(${Variables:E3_1_3_5_Km} + (E3_1_3_5 * 	
C02520 * C00001))</v>
      </c>
    </row>
    <row r="749" spans="1:11" ht="58" x14ac:dyDescent="0.35">
      <c r="A749" s="31" t="s">
        <v>986</v>
      </c>
      <c r="B749" s="31" t="s">
        <v>987</v>
      </c>
      <c r="C749" s="31" t="s">
        <v>14179</v>
      </c>
      <c r="D749" s="31">
        <v>748</v>
      </c>
      <c r="E749" s="31" t="str">
        <f t="shared" si="63"/>
        <v>E3_1_3_5</v>
      </c>
      <c r="F749" s="31" t="s">
        <v>10366</v>
      </c>
      <c r="G749" s="31" t="str">
        <f t="shared" si="64"/>
        <v xml:space="preserve">	
C00020 * C00001 </v>
      </c>
      <c r="H749" s="31" t="s">
        <v>10367</v>
      </c>
      <c r="I749" s="31" t="str">
        <f t="shared" si="67"/>
        <v>C00212 * C00009</v>
      </c>
      <c r="J749" s="31" t="str">
        <f t="shared" si="65"/>
        <v>(${Variables: E3_1_3_5_Kcat } * E3_1_3_5 * 	
C00020 * C00001 ) /(${Variables:E3_1_3_5_Km} + (E3_1_3_5 * 	
C00020 * C00001 ))</v>
      </c>
      <c r="K749" s="32" t="str">
        <f t="shared" si="66"/>
        <v>r748: 	
C00020 + C00001  -&gt; C00212 + C00009 | (${Variables: E3_1_3_5_Kcat } * E3_1_3_5 * 	
C00020 * C00001 ) /(${Variables:E3_1_3_5_Km} + (E3_1_3_5 * 	
C00020 * C00001 ))</v>
      </c>
    </row>
    <row r="750" spans="1:11" ht="58" x14ac:dyDescent="0.35">
      <c r="A750" s="31" t="s">
        <v>986</v>
      </c>
      <c r="B750" s="31" t="s">
        <v>987</v>
      </c>
      <c r="C750" s="31" t="s">
        <v>14179</v>
      </c>
      <c r="D750" s="31">
        <v>749</v>
      </c>
      <c r="E750" s="31" t="str">
        <f t="shared" si="63"/>
        <v>E3_1_3_5</v>
      </c>
      <c r="F750" s="31" t="s">
        <v>10369</v>
      </c>
      <c r="G750" s="31" t="str">
        <f t="shared" si="64"/>
        <v xml:space="preserve">	
C00055 * C00001 </v>
      </c>
      <c r="H750" s="31" t="s">
        <v>10370</v>
      </c>
      <c r="I750" s="31" t="str">
        <f t="shared" si="67"/>
        <v xml:space="preserve"> C00475 * C00009</v>
      </c>
      <c r="J750" s="31" t="str">
        <f t="shared" si="65"/>
        <v>(${Variables: E3_1_3_5_Kcat } * E3_1_3_5 * 	
C00055 * C00001 ) /(${Variables:E3_1_3_5_Km} + (E3_1_3_5 * 	
C00055 * C00001 ))</v>
      </c>
      <c r="K750" s="32" t="str">
        <f t="shared" si="66"/>
        <v>r749: 	
C00055 + C00001  -&gt;  C00475 + C00009 | (${Variables: E3_1_3_5_Kcat } * E3_1_3_5 * 	
C00055 * C00001 ) /(${Variables:E3_1_3_5_Km} + (E3_1_3_5 * 	
C00055 * C00001 ))</v>
      </c>
    </row>
    <row r="751" spans="1:11" ht="58" x14ac:dyDescent="0.35">
      <c r="A751" s="31" t="s">
        <v>986</v>
      </c>
      <c r="B751" s="31" t="s">
        <v>987</v>
      </c>
      <c r="C751" s="31" t="s">
        <v>14179</v>
      </c>
      <c r="D751" s="31">
        <v>750</v>
      </c>
      <c r="E751" s="31" t="str">
        <f t="shared" si="63"/>
        <v>E3_1_3_5</v>
      </c>
      <c r="F751" s="31" t="s">
        <v>10372</v>
      </c>
      <c r="G751" s="31" t="str">
        <f t="shared" si="64"/>
        <v xml:space="preserve">	
C00105 * C00001</v>
      </c>
      <c r="H751" s="31" t="s">
        <v>10373</v>
      </c>
      <c r="I751" s="31" t="str">
        <f t="shared" si="67"/>
        <v>C00299 * C00009</v>
      </c>
      <c r="J751" s="31" t="str">
        <f t="shared" si="65"/>
        <v>(${Variables: E3_1_3_5_Kcat } * E3_1_3_5 * 	
C00105 * C00001) /(${Variables:E3_1_3_5_Km} + (E3_1_3_5 * 	
C00105 * C00001))</v>
      </c>
      <c r="K751" s="32" t="str">
        <f t="shared" si="66"/>
        <v>r750: 	
C00105 + C00001 -&gt; C00299 + C00009 | (${Variables: E3_1_3_5_Kcat } * E3_1_3_5 * 	
C00105 * C00001) /(${Variables:E3_1_3_5_Km} + (E3_1_3_5 * 	
C00105 * C00001))</v>
      </c>
    </row>
    <row r="752" spans="1:11" ht="58" x14ac:dyDescent="0.35">
      <c r="A752" s="31" t="s">
        <v>986</v>
      </c>
      <c r="B752" s="31" t="s">
        <v>987</v>
      </c>
      <c r="C752" s="31" t="s">
        <v>14179</v>
      </c>
      <c r="D752" s="31">
        <v>751</v>
      </c>
      <c r="E752" s="31" t="str">
        <f t="shared" si="63"/>
        <v>E3_1_3_5</v>
      </c>
      <c r="F752" s="31" t="s">
        <v>10375</v>
      </c>
      <c r="G752" s="31" t="str">
        <f t="shared" si="64"/>
        <v xml:space="preserve">	
C00130 * C00001</v>
      </c>
      <c r="H752" s="31" t="s">
        <v>10376</v>
      </c>
      <c r="I752" s="31" t="str">
        <f t="shared" si="67"/>
        <v>C00294 * C00009</v>
      </c>
      <c r="J752" s="31" t="str">
        <f t="shared" si="65"/>
        <v>(${Variables: E3_1_3_5_Kcat } * E3_1_3_5 * 	
C00130 * C00001) /(${Variables:E3_1_3_5_Km} + (E3_1_3_5 * 	
C00130 * C00001))</v>
      </c>
      <c r="K752" s="32" t="str">
        <f t="shared" si="66"/>
        <v>r751: 	
C00130 + C00001 -&gt; C00294 + C00009 | (${Variables: E3_1_3_5_Kcat } * E3_1_3_5 * 	
C00130 * C00001) /(${Variables:E3_1_3_5_Km} + (E3_1_3_5 * 	
C00130 * C00001))</v>
      </c>
    </row>
    <row r="753" spans="1:11" ht="58" x14ac:dyDescent="0.35">
      <c r="A753" s="31" t="s">
        <v>986</v>
      </c>
      <c r="B753" s="31" t="s">
        <v>987</v>
      </c>
      <c r="C753" s="31" t="s">
        <v>14179</v>
      </c>
      <c r="D753" s="31">
        <v>752</v>
      </c>
      <c r="E753" s="31" t="str">
        <f t="shared" si="63"/>
        <v>E3_1_3_5</v>
      </c>
      <c r="F753" s="31" t="s">
        <v>10378</v>
      </c>
      <c r="G753" s="31" t="str">
        <f t="shared" si="64"/>
        <v xml:space="preserve">	
C00144 * C00001</v>
      </c>
      <c r="H753" s="31" t="s">
        <v>10379</v>
      </c>
      <c r="I753" s="31" t="str">
        <f t="shared" si="67"/>
        <v>C00387 * C00009</v>
      </c>
      <c r="J753" s="31" t="str">
        <f t="shared" si="65"/>
        <v>(${Variables: E3_1_3_5_Kcat } * E3_1_3_5 * 	
C00144 * C00001) /(${Variables:E3_1_3_5_Km} + (E3_1_3_5 * 	
C00144 * C00001))</v>
      </c>
      <c r="K753" s="32" t="str">
        <f t="shared" si="66"/>
        <v>r752: 	
C00144 + C00001 -&gt; C00387 + C00009 | (${Variables: E3_1_3_5_Kcat } * E3_1_3_5 * 	
C00144 * C00001) /(${Variables:E3_1_3_5_Km} + (E3_1_3_5 * 	
C00144 * C00001))</v>
      </c>
    </row>
    <row r="754" spans="1:11" ht="58" x14ac:dyDescent="0.35">
      <c r="A754" s="31" t="s">
        <v>986</v>
      </c>
      <c r="B754" s="31" t="s">
        <v>987</v>
      </c>
      <c r="C754" s="31" t="s">
        <v>14179</v>
      </c>
      <c r="D754" s="31">
        <v>753</v>
      </c>
      <c r="E754" s="31" t="str">
        <f t="shared" si="63"/>
        <v>E3_1_3_5</v>
      </c>
      <c r="F754" s="31" t="s">
        <v>10381</v>
      </c>
      <c r="G754" s="31" t="str">
        <f t="shared" si="64"/>
        <v xml:space="preserve">	
C00455 * C00001</v>
      </c>
      <c r="H754" s="31" t="s">
        <v>10382</v>
      </c>
      <c r="I754" s="31" t="str">
        <f t="shared" si="67"/>
        <v>C03150 * C00009</v>
      </c>
      <c r="J754" s="31" t="str">
        <f t="shared" si="65"/>
        <v>(${Variables: E3_1_3_5_Kcat } * E3_1_3_5 * 	
C00455 * C00001) /(${Variables:E3_1_3_5_Km} + (E3_1_3_5 * 	
C00455 * C00001))</v>
      </c>
      <c r="K754" s="32" t="str">
        <f t="shared" si="66"/>
        <v>r753: 	
C00455 + C00001 -&gt; C03150 + C00009 | (${Variables: E3_1_3_5_Kcat } * E3_1_3_5 * 	
C00455 * C00001) /(${Variables:E3_1_3_5_Km} + (E3_1_3_5 * 	
C00455 * C00001))</v>
      </c>
    </row>
    <row r="755" spans="1:11" ht="58" x14ac:dyDescent="0.35">
      <c r="A755" s="31" t="s">
        <v>986</v>
      </c>
      <c r="B755" s="31" t="s">
        <v>987</v>
      </c>
      <c r="C755" s="31" t="s">
        <v>14179</v>
      </c>
      <c r="D755" s="31">
        <v>754</v>
      </c>
      <c r="E755" s="31" t="str">
        <f t="shared" si="63"/>
        <v>E3_1_3_5</v>
      </c>
      <c r="F755" s="31" t="s">
        <v>10384</v>
      </c>
      <c r="G755" s="31" t="str">
        <f t="shared" si="64"/>
        <v xml:space="preserve">	
C00655 * C00001</v>
      </c>
      <c r="H755" s="31" t="s">
        <v>10385</v>
      </c>
      <c r="I755" s="31" t="str">
        <f t="shared" si="67"/>
        <v> C01762 * C00009</v>
      </c>
      <c r="J755" s="31" t="str">
        <f t="shared" si="65"/>
        <v>(${Variables: E3_1_3_5_Kcat } * E3_1_3_5 * 	
C00655 * C00001) /(${Variables:E3_1_3_5_Km} + (E3_1_3_5 * 	
C00655 * C00001))</v>
      </c>
      <c r="K755" s="32" t="str">
        <f t="shared" si="66"/>
        <v>r754: 	
C00655 + C00001 -&gt;  C01762 + C00009 | (${Variables: E3_1_3_5_Kcat } * E3_1_3_5 * 	
C00655 * C00001) /(${Variables:E3_1_3_5_Km} + (E3_1_3_5 * 	
C00655 * C00001))</v>
      </c>
    </row>
    <row r="756" spans="1:11" ht="58" x14ac:dyDescent="0.35">
      <c r="A756" s="31" t="s">
        <v>986</v>
      </c>
      <c r="B756" s="31" t="s">
        <v>987</v>
      </c>
      <c r="C756" s="31" t="s">
        <v>14179</v>
      </c>
      <c r="D756" s="31">
        <v>755</v>
      </c>
      <c r="E756" s="31" t="str">
        <f t="shared" si="63"/>
        <v>E3_1_3_5</v>
      </c>
      <c r="F756" s="31" t="s">
        <v>10387</v>
      </c>
      <c r="G756" s="31" t="str">
        <f t="shared" si="64"/>
        <v xml:space="preserve">	
C01185 * C00001</v>
      </c>
      <c r="H756" s="31" t="s">
        <v>10388</v>
      </c>
      <c r="I756" s="31" t="str">
        <f t="shared" si="67"/>
        <v> C05841 * C00009</v>
      </c>
      <c r="J756" s="31" t="str">
        <f t="shared" si="65"/>
        <v>(${Variables: E3_1_3_5_Kcat } * E3_1_3_5 * 	
C01185 * C00001) /(${Variables:E3_1_3_5_Km} + (E3_1_3_5 * 	
C01185 * C00001))</v>
      </c>
      <c r="K756" s="32" t="str">
        <f t="shared" si="66"/>
        <v>r755: 	
C01185 + C00001 -&gt;  C05841 + C00009 | (${Variables: E3_1_3_5_Kcat } * E3_1_3_5 * 	
C01185 * C00001) /(${Variables:E3_1_3_5_Km} + (E3_1_3_5 * 	
C01185 * C00001))</v>
      </c>
    </row>
    <row r="757" spans="1:11" ht="58" x14ac:dyDescent="0.35">
      <c r="A757" s="31" t="s">
        <v>986</v>
      </c>
      <c r="B757" s="31" t="s">
        <v>987</v>
      </c>
      <c r="C757" s="31" t="s">
        <v>14179</v>
      </c>
      <c r="D757" s="31">
        <v>756</v>
      </c>
      <c r="E757" s="31" t="str">
        <f t="shared" si="63"/>
        <v>E3_1_3_5</v>
      </c>
      <c r="F757" s="31" t="s">
        <v>10390</v>
      </c>
      <c r="G757" s="31" t="str">
        <f t="shared" si="64"/>
        <v xml:space="preserve">	
C00364 * C00001</v>
      </c>
      <c r="H757" s="31" t="s">
        <v>10391</v>
      </c>
      <c r="I757" s="31" t="str">
        <f t="shared" si="67"/>
        <v> C00214 * C00009</v>
      </c>
      <c r="J757" s="31" t="str">
        <f t="shared" si="65"/>
        <v>(${Variables: E3_1_3_5_Kcat } * E3_1_3_5 * 	
C00364 * C00001) /(${Variables:E3_1_3_5_Km} + (E3_1_3_5 * 	
C00364 * C00001))</v>
      </c>
      <c r="K757" s="32" t="str">
        <f t="shared" si="66"/>
        <v>r756: 	
C00364 + C00001 -&gt;  C00214 + C00009 | (${Variables: E3_1_3_5_Kcat } * E3_1_3_5 * 	
C00364 * C00001) /(${Variables:E3_1_3_5_Km} + (E3_1_3_5 * 	
C00364 * C00001))</v>
      </c>
    </row>
    <row r="758" spans="1:11" ht="58" x14ac:dyDescent="0.35">
      <c r="A758" s="31" t="s">
        <v>986</v>
      </c>
      <c r="B758" s="31" t="s">
        <v>987</v>
      </c>
      <c r="C758" s="31" t="s">
        <v>14179</v>
      </c>
      <c r="D758" s="31">
        <v>757</v>
      </c>
      <c r="E758" s="31" t="str">
        <f t="shared" si="63"/>
        <v>E3_1_3_5</v>
      </c>
      <c r="F758" s="31" t="s">
        <v>10393</v>
      </c>
      <c r="G758" s="31" t="str">
        <f t="shared" si="64"/>
        <v xml:space="preserve">	
C00239 * C00001</v>
      </c>
      <c r="H758" s="31" t="s">
        <v>10394</v>
      </c>
      <c r="I758" s="31" t="str">
        <f t="shared" si="67"/>
        <v>C00881 * C00009</v>
      </c>
      <c r="J758" s="31" t="str">
        <f t="shared" si="65"/>
        <v>(${Variables: E3_1_3_5_Kcat } * E3_1_3_5 * 	
C00239 * C00001) /(${Variables:E3_1_3_5_Km} + (E3_1_3_5 * 	
C00239 * C00001))</v>
      </c>
      <c r="K758" s="32" t="str">
        <f t="shared" si="66"/>
        <v>r757: 	
C00239 + C00001 -&gt; C00881 + C00009 | (${Variables: E3_1_3_5_Kcat } * E3_1_3_5 * 	
C00239 * C00001) /(${Variables:E3_1_3_5_Km} + (E3_1_3_5 * 	
C00239 * C00001))</v>
      </c>
    </row>
    <row r="759" spans="1:11" ht="58" x14ac:dyDescent="0.35">
      <c r="A759" s="31" t="s">
        <v>986</v>
      </c>
      <c r="B759" s="31" t="s">
        <v>987</v>
      </c>
      <c r="C759" s="31" t="s">
        <v>14179</v>
      </c>
      <c r="D759" s="31">
        <v>758</v>
      </c>
      <c r="E759" s="31" t="str">
        <f t="shared" si="63"/>
        <v>E3_1_3_5</v>
      </c>
      <c r="F759" s="31" t="s">
        <v>10396</v>
      </c>
      <c r="G759" s="31" t="str">
        <f t="shared" si="64"/>
        <v xml:space="preserve">	
C00362 * C00001</v>
      </c>
      <c r="H759" s="31" t="s">
        <v>10397</v>
      </c>
      <c r="I759" s="31" t="str">
        <f t="shared" si="67"/>
        <v>C00330 * C00009</v>
      </c>
      <c r="J759" s="31" t="str">
        <f t="shared" si="65"/>
        <v>(${Variables: E3_1_3_5_Kcat } * E3_1_3_5 * 	
C00362 * C00001) /(${Variables:E3_1_3_5_Km} + (E3_1_3_5 * 	
C00362 * C00001))</v>
      </c>
      <c r="K759" s="32" t="str">
        <f t="shared" si="66"/>
        <v>r758: 	
C00362 + C00001 -&gt; C00330 + C00009 | (${Variables: E3_1_3_5_Kcat } * E3_1_3_5 * 	
C00362 * C00001) /(${Variables:E3_1_3_5_Km} + (E3_1_3_5 * 	
C00362 * C00001))</v>
      </c>
    </row>
    <row r="760" spans="1:11" ht="58" x14ac:dyDescent="0.35">
      <c r="A760" s="31" t="s">
        <v>986</v>
      </c>
      <c r="B760" s="31" t="s">
        <v>987</v>
      </c>
      <c r="C760" s="31" t="s">
        <v>14179</v>
      </c>
      <c r="D760" s="31">
        <v>759</v>
      </c>
      <c r="E760" s="31" t="str">
        <f t="shared" si="63"/>
        <v>E3_1_3_5</v>
      </c>
      <c r="F760" s="31" t="s">
        <v>10399</v>
      </c>
      <c r="G760" s="31" t="str">
        <f t="shared" si="64"/>
        <v xml:space="preserve">	
C00360 * C00001 </v>
      </c>
      <c r="H760" s="31" t="s">
        <v>10400</v>
      </c>
      <c r="I760" s="31" t="str">
        <f t="shared" si="67"/>
        <v>C00559 * C00009</v>
      </c>
      <c r="J760" s="31" t="str">
        <f t="shared" si="65"/>
        <v>(${Variables: E3_1_3_5_Kcat } * E3_1_3_5 * 	
C00360 * C00001 ) /(${Variables:E3_1_3_5_Km} + (E3_1_3_5 * 	
C00360 * C00001 ))</v>
      </c>
      <c r="K760" s="32" t="str">
        <f t="shared" si="66"/>
        <v>r759: 	
C00360 + C00001  -&gt; C00559 + C00009 | (${Variables: E3_1_3_5_Kcat } * E3_1_3_5 * 	
C00360 * C00001 ) /(${Variables:E3_1_3_5_Km} + (E3_1_3_5 * 	
C00360 * C00001 ))</v>
      </c>
    </row>
    <row r="761" spans="1:11" ht="29" x14ac:dyDescent="0.35">
      <c r="A761" s="31" t="s">
        <v>986</v>
      </c>
      <c r="B761" s="31" t="s">
        <v>987</v>
      </c>
      <c r="C761" s="31" t="s">
        <v>14179</v>
      </c>
      <c r="D761" s="31">
        <v>760</v>
      </c>
      <c r="E761" s="31" t="str">
        <f t="shared" si="63"/>
        <v>E3_1_3_5</v>
      </c>
      <c r="F761" s="31" t="s">
        <v>10402</v>
      </c>
      <c r="G761" s="31" t="str">
        <f t="shared" si="64"/>
        <v>C00365 * C00001</v>
      </c>
      <c r="H761" s="31" t="s">
        <v>10403</v>
      </c>
      <c r="I761" s="31" t="str">
        <f t="shared" si="67"/>
        <v>C00526 * C00009</v>
      </c>
      <c r="J761" s="31" t="str">
        <f t="shared" si="65"/>
        <v>(${Variables: E3_1_3_5_Kcat } * E3_1_3_5 * C00365 * C00001) /(${Variables:E3_1_3_5_Km} + (E3_1_3_5 * C00365 * C00001))</v>
      </c>
      <c r="K761" s="32" t="str">
        <f t="shared" si="66"/>
        <v>r760: C00365 + C00001 -&gt; C00526 + C00009 | (${Variables: E3_1_3_5_Kcat } * E3_1_3_5 * C00365 * C00001) /(${Variables:E3_1_3_5_Km} + (E3_1_3_5 * C00365 * C00001))</v>
      </c>
    </row>
    <row r="762" spans="1:11" ht="58" x14ac:dyDescent="0.35">
      <c r="A762" s="31" t="s">
        <v>986</v>
      </c>
      <c r="B762" s="31" t="s">
        <v>987</v>
      </c>
      <c r="C762" s="31" t="s">
        <v>14179</v>
      </c>
      <c r="D762" s="31">
        <v>761</v>
      </c>
      <c r="E762" s="31" t="str">
        <f t="shared" si="63"/>
        <v>E3_1_3_5</v>
      </c>
      <c r="F762" s="31" t="s">
        <v>10405</v>
      </c>
      <c r="G762" s="31" t="str">
        <f t="shared" si="64"/>
        <v xml:space="preserve">	
C06196 * C00001 </v>
      </c>
      <c r="H762" s="31" t="s">
        <v>10406</v>
      </c>
      <c r="I762" s="31" t="str">
        <f t="shared" si="67"/>
        <v> C05512 * C00009</v>
      </c>
      <c r="J762" s="31" t="str">
        <f t="shared" si="65"/>
        <v>(${Variables: E3_1_3_5_Kcat } * E3_1_3_5 * 	
C06196 * C00001 ) /(${Variables:E3_1_3_5_Km} + (E3_1_3_5 * 	
C06196 * C00001 ))</v>
      </c>
      <c r="K762" s="32" t="str">
        <f t="shared" si="66"/>
        <v>r761: 	
C06196 + C00001  -&gt;  C05512 + C00009 | (${Variables: E3_1_3_5_Kcat } * E3_1_3_5 * 	
C06196 * C00001 ) /(${Variables:E3_1_3_5_Km} + (E3_1_3_5 * 	
C06196 * C00001 ))</v>
      </c>
    </row>
    <row r="763" spans="1:11" ht="58" x14ac:dyDescent="0.35">
      <c r="A763" s="31" t="s">
        <v>6597</v>
      </c>
      <c r="B763" s="31" t="s">
        <v>6598</v>
      </c>
      <c r="C763" s="31" t="s">
        <v>14180</v>
      </c>
      <c r="D763" s="31">
        <v>762</v>
      </c>
      <c r="E763" s="31" t="str">
        <f t="shared" si="63"/>
        <v>E3_1_1_24</v>
      </c>
      <c r="F763" s="31" t="s">
        <v>10409</v>
      </c>
      <c r="G763" s="31" t="str">
        <f t="shared" si="64"/>
        <v xml:space="preserve">	
C03586 * C00001 </v>
      </c>
      <c r="H763" s="31" t="s">
        <v>10410</v>
      </c>
      <c r="I763" s="31" t="str">
        <f t="shared" si="67"/>
        <v>C00846</v>
      </c>
      <c r="J763" s="31" t="str">
        <f t="shared" si="65"/>
        <v>(${Variables: E3_1_1_24_Kcat } * E3_1_1_24 * 	
C03586 * C00001 ) /(${Variables:E3_1_1_24_Km} + (E3_1_1_24 * 	
C03586 * C00001 ))</v>
      </c>
      <c r="K763" s="32" t="str">
        <f t="shared" si="66"/>
        <v>r762: 	
C03586 + C00001  -&gt; C00846 | (${Variables: E3_1_1_24_Kcat } * E3_1_1_24 * 	
C03586 * C00001 ) /(${Variables:E3_1_1_24_Km} + (E3_1_1_24 * 	
C03586 * C00001 ))</v>
      </c>
    </row>
    <row r="764" spans="1:11" ht="58" x14ac:dyDescent="0.35">
      <c r="A764" s="31" t="s">
        <v>2704</v>
      </c>
      <c r="B764" s="31" t="s">
        <v>2705</v>
      </c>
      <c r="C764" s="31" t="s">
        <v>14181</v>
      </c>
      <c r="D764" s="31">
        <v>763</v>
      </c>
      <c r="E764" s="31" t="str">
        <f t="shared" si="63"/>
        <v>E3_1_1_29</v>
      </c>
      <c r="F764" s="31" t="s">
        <v>10413</v>
      </c>
      <c r="G764" s="31" t="str">
        <f t="shared" si="64"/>
        <v xml:space="preserve">	
C03880 * C00001</v>
      </c>
      <c r="H764" s="31" t="s">
        <v>10414</v>
      </c>
      <c r="I764" s="31" t="str">
        <f t="shared" si="67"/>
        <v>C03523 * C00066</v>
      </c>
      <c r="J764" s="31" t="str">
        <f t="shared" si="65"/>
        <v>(${Variables: E3_1_1_29_Kcat } * E3_1_1_29 * 	
C03880 * C00001) /(${Variables:E3_1_1_29_Km} + (E3_1_1_29 * 	
C03880 * C00001))</v>
      </c>
      <c r="K764" s="32" t="str">
        <f t="shared" si="66"/>
        <v>r763: 	
C03880 + C00001 -&gt; C03523 + C00066 | (${Variables: E3_1_1_29_Kcat } * E3_1_1_29 * 	
C03880 * C00001) /(${Variables:E3_1_1_29_Km} + (E3_1_1_29 * 	
C03880 * C00001))</v>
      </c>
    </row>
    <row r="765" spans="1:11" ht="58" x14ac:dyDescent="0.35">
      <c r="A765" s="31" t="s">
        <v>2714</v>
      </c>
      <c r="B765" s="31" t="s">
        <v>2715</v>
      </c>
      <c r="C765" s="31" t="s">
        <v>14181</v>
      </c>
      <c r="D765" s="31">
        <v>764</v>
      </c>
      <c r="E765" s="31" t="str">
        <f t="shared" si="63"/>
        <v>E3_1_1_29</v>
      </c>
      <c r="F765" s="31" t="s">
        <v>10413</v>
      </c>
      <c r="G765" s="31" t="str">
        <f t="shared" si="64"/>
        <v xml:space="preserve">	
C03880 * C00001</v>
      </c>
      <c r="H765" s="31" t="s">
        <v>10414</v>
      </c>
      <c r="I765" s="31" t="str">
        <f t="shared" si="67"/>
        <v>C03523 * C00066</v>
      </c>
      <c r="J765" s="31" t="str">
        <f t="shared" si="65"/>
        <v>(${Variables: E3_1_1_29_Kcat } * E3_1_1_29 * 	
C03880 * C00001) /(${Variables:E3_1_1_29_Km} + (E3_1_1_29 * 	
C03880 * C00001))</v>
      </c>
      <c r="K765" s="32" t="str">
        <f t="shared" si="66"/>
        <v>r764: 	
C03880 + C00001 -&gt; C03523 + C00066 | (${Variables: E3_1_1_29_Kcat } * E3_1_1_29 * 	
C03880 * C00001) /(${Variables:E3_1_1_29_Km} + (E3_1_1_29 * 	
C03880 * C00001))</v>
      </c>
    </row>
    <row r="766" spans="1:11" ht="58" x14ac:dyDescent="0.35">
      <c r="A766" s="31" t="s">
        <v>6922</v>
      </c>
      <c r="B766" s="31" t="s">
        <v>6923</v>
      </c>
      <c r="C766" s="31" t="s">
        <v>14181</v>
      </c>
      <c r="D766" s="31">
        <v>765</v>
      </c>
      <c r="E766" s="31" t="str">
        <f t="shared" si="63"/>
        <v>E3_1_1_29</v>
      </c>
      <c r="F766" s="31" t="s">
        <v>10413</v>
      </c>
      <c r="G766" s="31" t="str">
        <f t="shared" si="64"/>
        <v xml:space="preserve">	
C03880 * C00001</v>
      </c>
      <c r="H766" s="31" t="s">
        <v>10414</v>
      </c>
      <c r="I766" s="31" t="str">
        <f t="shared" si="67"/>
        <v>C03523 * C00066</v>
      </c>
      <c r="J766" s="31" t="str">
        <f t="shared" si="65"/>
        <v>(${Variables: E3_1_1_29_Kcat } * E3_1_1_29 * 	
C03880 * C00001) /(${Variables:E3_1_1_29_Km} + (E3_1_1_29 * 	
C03880 * C00001))</v>
      </c>
      <c r="K766" s="32" t="str">
        <f t="shared" si="66"/>
        <v>r765: 	
C03880 + C00001 -&gt; C03523 + C00066 | (${Variables: E3_1_1_29_Kcat } * E3_1_1_29 * 	
C03880 * C00001) /(${Variables:E3_1_1_29_Km} + (E3_1_1_29 * 	
C03880 * C00001))</v>
      </c>
    </row>
    <row r="767" spans="1:11" ht="58" x14ac:dyDescent="0.35">
      <c r="A767" s="31" t="s">
        <v>4447</v>
      </c>
      <c r="B767" s="31" t="s">
        <v>4448</v>
      </c>
      <c r="C767" s="31" t="s">
        <v>14182</v>
      </c>
      <c r="D767" s="31">
        <v>766</v>
      </c>
      <c r="E767" s="31" t="str">
        <f t="shared" si="63"/>
        <v>E3_1_1_31</v>
      </c>
      <c r="F767" s="31" t="s">
        <v>10417</v>
      </c>
      <c r="G767" s="31" t="str">
        <f t="shared" si="64"/>
        <v xml:space="preserve">	
C01236 * C00001 </v>
      </c>
      <c r="H767" s="31" t="s">
        <v>10418</v>
      </c>
      <c r="I767" s="31" t="str">
        <f t="shared" si="67"/>
        <v> C00345</v>
      </c>
      <c r="J767" s="31" t="str">
        <f t="shared" si="65"/>
        <v>(${Variables: E3_1_1_31_Kcat } * E3_1_1_31 * 	
C01236 * C00001 ) /(${Variables:E3_1_1_31_Km} + (E3_1_1_31 * 	
C01236 * C00001 ))</v>
      </c>
      <c r="K767" s="31" t="str">
        <f t="shared" si="66"/>
        <v>r766: 	
C01236 + C00001  -&gt;  C00345 | (${Variables: E3_1_1_31_Kcat } * E3_1_1_31 * 	
C01236 * C00001 ) /(${Variables:E3_1_1_31_Km} + (E3_1_1_31 * 	
C01236 * C00001 ))</v>
      </c>
    </row>
    <row r="768" spans="1:11" ht="29" x14ac:dyDescent="0.35">
      <c r="A768" s="31" t="s">
        <v>5270</v>
      </c>
      <c r="B768" s="31" t="s">
        <v>5271</v>
      </c>
      <c r="C768" s="31" t="s">
        <v>14183</v>
      </c>
      <c r="D768" s="31">
        <v>767</v>
      </c>
      <c r="E768" s="31" t="str">
        <f t="shared" si="63"/>
        <v>E3_1_1_96</v>
      </c>
      <c r="F768" s="31" t="s">
        <v>10349</v>
      </c>
      <c r="G768" s="31" t="str">
        <f t="shared" si="64"/>
        <v>C00001</v>
      </c>
      <c r="H768" s="31" t="s">
        <v>10420</v>
      </c>
      <c r="I768" s="31" t="str">
        <f t="shared" si="67"/>
        <v>C00405* C00066</v>
      </c>
      <c r="J768" s="31" t="str">
        <f t="shared" si="65"/>
        <v>(${Variables: E3_1_1_96_Kcat } * E3_1_1_96 * C00001) /(${Variables:E3_1_1_96_Km} + (E3_1_1_96 * C00001))</v>
      </c>
      <c r="K768" s="31" t="str">
        <f t="shared" si="66"/>
        <v>r767: C00001 -&gt; C00405+ C00066 | (${Variables: E3_1_1_96_Kcat } * E3_1_1_96 * C00001) /(${Variables:E3_1_1_96_Km} + (E3_1_1_96 * C00001))</v>
      </c>
    </row>
    <row r="769" spans="1:11" ht="29" x14ac:dyDescent="0.35">
      <c r="A769" s="31" t="s">
        <v>5270</v>
      </c>
      <c r="B769" s="31" t="s">
        <v>5271</v>
      </c>
      <c r="C769" s="31" t="s">
        <v>14183</v>
      </c>
      <c r="D769" s="31">
        <v>768</v>
      </c>
      <c r="E769" s="31" t="str">
        <f t="shared" si="63"/>
        <v>E3_1_1_96</v>
      </c>
      <c r="F769" s="31" t="s">
        <v>10349</v>
      </c>
      <c r="G769" s="31" t="str">
        <f t="shared" si="64"/>
        <v>C00001</v>
      </c>
      <c r="H769" s="31" t="s">
        <v>10421</v>
      </c>
      <c r="I769" s="31" t="str">
        <f t="shared" si="67"/>
        <v>C00037*C01635</v>
      </c>
      <c r="J769" s="31" t="str">
        <f t="shared" si="65"/>
        <v>(${Variables: E3_1_1_96_Kcat } * E3_1_1_96 * C00001) /(${Variables:E3_1_1_96_Km} + (E3_1_1_96 * C00001))</v>
      </c>
      <c r="K769" s="31" t="str">
        <f t="shared" si="66"/>
        <v>r768: C00001 -&gt; C00037+C01635 | (${Variables: E3_1_1_96_Kcat } * E3_1_1_96 * C00001) /(${Variables:E3_1_1_96_Km} + (E3_1_1_96 * C00001))</v>
      </c>
    </row>
    <row r="770" spans="1:11" ht="29" x14ac:dyDescent="0.35">
      <c r="A770" s="31" t="s">
        <v>6755</v>
      </c>
      <c r="B770" s="31" t="s">
        <v>6756</v>
      </c>
      <c r="C770" s="31" t="s">
        <v>14184</v>
      </c>
      <c r="D770" s="31">
        <v>769</v>
      </c>
      <c r="E770" s="31" t="str">
        <f t="shared" ref="E770:E833" si="68">CONCATENATE("E",C770)</f>
        <v>E3_1_3_1</v>
      </c>
      <c r="F770" s="31" t="s">
        <v>10431</v>
      </c>
      <c r="G770" s="31" t="str">
        <f t="shared" ref="G770:G833" si="69">SUBSTITUTE(F770,"+","*")</f>
        <v xml:space="preserve">C01153 * C00001 </v>
      </c>
      <c r="H770" s="31" t="s">
        <v>10432</v>
      </c>
      <c r="I770" s="31" t="str">
        <f t="shared" si="67"/>
        <v>C00069 * C00009</v>
      </c>
      <c r="J770" s="31" t="str">
        <f t="shared" ref="J770:J833" si="70">CONCATENATE("(${Variables: ",E770,"_Kcat ","} * ",E770," * ",G770,")"," /(${Variables:",E770,"_Km","} + (",E770," * ",G770,"))")</f>
        <v>(${Variables: E3_1_3_1_Kcat } * E3_1_3_1 * C01153 * C00001 ) /(${Variables:E3_1_3_1_Km} + (E3_1_3_1 * C01153 * C00001 ))</v>
      </c>
      <c r="K770" s="32" t="str">
        <f t="shared" ref="K770:K833" si="71">CONCATENATE("r",D770,": ",F770," -&gt; ",H770," | ",J770)</f>
        <v>r769: C01153 + C00001  -&gt; C00069 + C00009 | (${Variables: E3_1_3_1_Kcat } * E3_1_3_1 * C01153 * C00001 ) /(${Variables:E3_1_3_1_Km} + (E3_1_3_1 * C01153 * C00001 ))</v>
      </c>
    </row>
    <row r="771" spans="1:11" ht="29" x14ac:dyDescent="0.35">
      <c r="A771" s="31" t="s">
        <v>6755</v>
      </c>
      <c r="B771" s="31" t="s">
        <v>6756</v>
      </c>
      <c r="C771" s="31" t="s">
        <v>14184</v>
      </c>
      <c r="D771" s="31">
        <v>770</v>
      </c>
      <c r="E771" s="31" t="str">
        <f t="shared" si="68"/>
        <v>E3_1_3_1</v>
      </c>
      <c r="F771" s="31" t="s">
        <v>10434</v>
      </c>
      <c r="G771" s="31" t="str">
        <f t="shared" si="69"/>
        <v xml:space="preserve">C01081 * C00001 </v>
      </c>
      <c r="H771" s="31" t="s">
        <v>10435</v>
      </c>
      <c r="I771" s="31" t="str">
        <f t="shared" si="67"/>
        <v>C00378 * C00009</v>
      </c>
      <c r="J771" s="31" t="str">
        <f t="shared" si="70"/>
        <v>(${Variables: E3_1_3_1_Kcat } * E3_1_3_1 * C01081 * C00001 ) /(${Variables:E3_1_3_1_Km} + (E3_1_3_1 * C01081 * C00001 ))</v>
      </c>
      <c r="K771" s="32" t="str">
        <f t="shared" si="71"/>
        <v>r770: C01081 + C00001  -&gt; C00378 + C00009 | (${Variables: E3_1_3_1_Kcat } * E3_1_3_1 * C01081 * C00001 ) /(${Variables:E3_1_3_1_Km} + (E3_1_3_1 * C01081 * C00001 ))</v>
      </c>
    </row>
    <row r="772" spans="1:11" ht="58" x14ac:dyDescent="0.35">
      <c r="A772" s="31" t="s">
        <v>6755</v>
      </c>
      <c r="B772" s="31" t="s">
        <v>6756</v>
      </c>
      <c r="C772" s="31" t="s">
        <v>14184</v>
      </c>
      <c r="D772" s="31">
        <v>771</v>
      </c>
      <c r="E772" s="31" t="str">
        <f t="shared" si="68"/>
        <v>E3_1_3_1</v>
      </c>
      <c r="F772" s="31" t="s">
        <v>10437</v>
      </c>
      <c r="G772" s="31" t="str">
        <f t="shared" si="69"/>
        <v xml:space="preserve">	
C03360 * C00001</v>
      </c>
      <c r="H772" s="31" t="s">
        <v>10438</v>
      </c>
      <c r="I772" s="31" t="str">
        <f t="shared" ref="I772:I835" si="72">SUBSTITUTE(H772,"+","*")</f>
        <v> C00870 * C00009</v>
      </c>
      <c r="J772" s="31" t="str">
        <f t="shared" si="70"/>
        <v>(${Variables: E3_1_3_1_Kcat } * E3_1_3_1 * 	
C03360 * C00001) /(${Variables:E3_1_3_1_Km} + (E3_1_3_1 * 	
C03360 * C00001))</v>
      </c>
      <c r="K772" s="32" t="str">
        <f t="shared" si="71"/>
        <v>r771: 	
C03360 + C00001 -&gt;  C00870 + C00009 | (${Variables: E3_1_3_1_Kcat } * E3_1_3_1 * 	
C03360 * C00001) /(${Variables:E3_1_3_1_Km} + (E3_1_3_1 * 	
C03360 * C00001))</v>
      </c>
    </row>
    <row r="773" spans="1:11" ht="58" x14ac:dyDescent="0.35">
      <c r="A773" s="31" t="s">
        <v>6755</v>
      </c>
      <c r="B773" s="31" t="s">
        <v>6756</v>
      </c>
      <c r="C773" s="31" t="s">
        <v>14184</v>
      </c>
      <c r="D773" s="31">
        <v>772</v>
      </c>
      <c r="E773" s="31" t="str">
        <f t="shared" si="68"/>
        <v>E3_1_3_1</v>
      </c>
      <c r="F773" s="31" t="s">
        <v>10440</v>
      </c>
      <c r="G773" s="31" t="str">
        <f t="shared" si="69"/>
        <v xml:space="preserve">	
C00111 * C00001 </v>
      </c>
      <c r="H773" s="31" t="s">
        <v>10441</v>
      </c>
      <c r="I773" s="31" t="str">
        <f t="shared" si="72"/>
        <v>C00184 * C00009</v>
      </c>
      <c r="J773" s="31" t="str">
        <f t="shared" si="70"/>
        <v>(${Variables: E3_1_3_1_Kcat } * E3_1_3_1 * 	
C00111 * C00001 ) /(${Variables:E3_1_3_1_Km} + (E3_1_3_1 * 	
C00111 * C00001 ))</v>
      </c>
      <c r="K773" s="32" t="str">
        <f t="shared" si="71"/>
        <v>r772: 	
C00111 + C00001  -&gt; C00184 + C00009 | (${Variables: E3_1_3_1_Kcat } * E3_1_3_1 * 	
C00111 * C00001 ) /(${Variables:E3_1_3_1_Km} + (E3_1_3_1 * 	
C00111 * C00001 ))</v>
      </c>
    </row>
    <row r="774" spans="1:11" ht="58" x14ac:dyDescent="0.35">
      <c r="A774" s="31" t="s">
        <v>6755</v>
      </c>
      <c r="B774" s="31" t="s">
        <v>6756</v>
      </c>
      <c r="C774" s="31" t="s">
        <v>14184</v>
      </c>
      <c r="D774" s="31">
        <v>773</v>
      </c>
      <c r="E774" s="31" t="str">
        <f t="shared" si="68"/>
        <v>E3_1_3_1</v>
      </c>
      <c r="F774" s="31" t="s">
        <v>14498</v>
      </c>
      <c r="G774" s="31" t="str">
        <f t="shared" si="69"/>
        <v xml:space="preserve">	
C04895 *  C00001</v>
      </c>
      <c r="H774" s="31" t="s">
        <v>14466</v>
      </c>
      <c r="I774" s="31" t="str">
        <f t="shared" si="72"/>
        <v>C04874 * C00009</v>
      </c>
      <c r="J774" s="31" t="str">
        <f t="shared" si="70"/>
        <v>(${Variables: E3_1_3_1_Kcat } * E3_1_3_1 * 	
C04895 *  C00001) /(${Variables:E3_1_3_1_Km} + (E3_1_3_1 * 	
C04895 *  C00001))</v>
      </c>
      <c r="K774" s="32" t="str">
        <f t="shared" si="71"/>
        <v>r773: 	
C04895 +  C00001 -&gt; C04874 + C00009 | (${Variables: E3_1_3_1_Kcat } * E3_1_3_1 * 	
C04895 *  C00001) /(${Variables:E3_1_3_1_Km} + (E3_1_3_1 * 	
C04895 *  C00001))</v>
      </c>
    </row>
    <row r="775" spans="1:11" ht="58" x14ac:dyDescent="0.35">
      <c r="A775" s="31" t="s">
        <v>2919</v>
      </c>
      <c r="B775" s="31" t="s">
        <v>2920</v>
      </c>
      <c r="C775" s="31" t="s">
        <v>14185</v>
      </c>
      <c r="D775" s="31">
        <v>774</v>
      </c>
      <c r="E775" s="31" t="str">
        <f t="shared" si="68"/>
        <v>E3_1_3_11</v>
      </c>
      <c r="F775" s="31" t="s">
        <v>10446</v>
      </c>
      <c r="G775" s="31" t="str">
        <f t="shared" si="69"/>
        <v xml:space="preserve">	
C00354 * C00001</v>
      </c>
      <c r="H775" s="31" t="s">
        <v>10447</v>
      </c>
      <c r="I775" s="31" t="str">
        <f t="shared" si="72"/>
        <v>C00085 * C00009</v>
      </c>
      <c r="J775" s="31" t="str">
        <f t="shared" si="70"/>
        <v>(${Variables: E3_1_3_11_Kcat } * E3_1_3_11 * 	
C00354 * C00001) /(${Variables:E3_1_3_11_Km} + (E3_1_3_11 * 	
C00354 * C00001))</v>
      </c>
      <c r="K775" s="32" t="str">
        <f t="shared" si="71"/>
        <v>r774: 	
C00354 + C00001 -&gt; C00085 + C00009 | (${Variables: E3_1_3_11_Kcat } * E3_1_3_11 * 	
C00354 * C00001) /(${Variables:E3_1_3_11_Km} + (E3_1_3_11 * 	
C00354 * C00001))</v>
      </c>
    </row>
    <row r="776" spans="1:11" ht="58" x14ac:dyDescent="0.35">
      <c r="A776" s="31" t="s">
        <v>2919</v>
      </c>
      <c r="B776" s="31" t="s">
        <v>2920</v>
      </c>
      <c r="C776" s="31" t="s">
        <v>14185</v>
      </c>
      <c r="D776" s="31">
        <v>775</v>
      </c>
      <c r="E776" s="31" t="str">
        <f t="shared" si="68"/>
        <v>E3_1_3_11</v>
      </c>
      <c r="F776" s="31" t="s">
        <v>10449</v>
      </c>
      <c r="G776" s="31" t="str">
        <f t="shared" si="69"/>
        <v xml:space="preserve">	
C05378 * C00001</v>
      </c>
      <c r="H776" s="31" t="s">
        <v>10450</v>
      </c>
      <c r="I776" s="31" t="str">
        <f t="shared" si="72"/>
        <v>C05345 * C00009</v>
      </c>
      <c r="J776" s="31" t="str">
        <f t="shared" si="70"/>
        <v>(${Variables: E3_1_3_11_Kcat } * E3_1_3_11 * 	
C05378 * C00001) /(${Variables:E3_1_3_11_Km} + (E3_1_3_11 * 	
C05378 * C00001))</v>
      </c>
      <c r="K776" s="32" t="str">
        <f t="shared" si="71"/>
        <v>r775: 	
C05378 + C00001 -&gt; C05345 + C00009 | (${Variables: E3_1_3_11_Kcat } * E3_1_3_11 * 	
C05378 * C00001) /(${Variables:E3_1_3_11_Km} + (E3_1_3_11 * 	
C05378 * C00001))</v>
      </c>
    </row>
    <row r="777" spans="1:11" ht="58" x14ac:dyDescent="0.35">
      <c r="A777" s="31" t="s">
        <v>2919</v>
      </c>
      <c r="B777" s="31" t="s">
        <v>2920</v>
      </c>
      <c r="C777" s="31" t="s">
        <v>14185</v>
      </c>
      <c r="D777" s="31">
        <v>776</v>
      </c>
      <c r="E777" s="31" t="str">
        <f t="shared" si="68"/>
        <v>E3_1_3_11</v>
      </c>
      <c r="F777" s="31" t="s">
        <v>10452</v>
      </c>
      <c r="G777" s="31" t="str">
        <f t="shared" si="69"/>
        <v xml:space="preserve">	
C00447 * C00001 </v>
      </c>
      <c r="H777" s="31" t="s">
        <v>10453</v>
      </c>
      <c r="I777" s="31" t="str">
        <f t="shared" si="72"/>
        <v xml:space="preserve"> C05382 * C00009</v>
      </c>
      <c r="J777" s="31" t="str">
        <f t="shared" si="70"/>
        <v>(${Variables: E3_1_3_11_Kcat } * E3_1_3_11 * 	
C00447 * C00001 ) /(${Variables:E3_1_3_11_Km} + (E3_1_3_11 * 	
C00447 * C00001 ))</v>
      </c>
      <c r="K777" s="32" t="str">
        <f t="shared" si="71"/>
        <v>r776: 	
C00447 + C00001  -&gt;  C05382 + C00009 | (${Variables: E3_1_3_11_Kcat } * E3_1_3_11 * 	
C00447 * C00001 ) /(${Variables:E3_1_3_11_Km} + (E3_1_3_11 * 	
C00447 * C00001 ))</v>
      </c>
    </row>
    <row r="778" spans="1:11" ht="58" x14ac:dyDescent="0.35">
      <c r="A778" s="31" t="s">
        <v>7232</v>
      </c>
      <c r="B778" s="31" t="s">
        <v>7233</v>
      </c>
      <c r="C778" s="31" t="s">
        <v>14186</v>
      </c>
      <c r="D778" s="31">
        <v>777</v>
      </c>
      <c r="E778" s="31" t="str">
        <f t="shared" si="68"/>
        <v>E3_1_3_12</v>
      </c>
      <c r="F778" s="31" t="s">
        <v>10456</v>
      </c>
      <c r="G778" s="31" t="str">
        <f t="shared" si="69"/>
        <v xml:space="preserve">	
C00689 * C00001</v>
      </c>
      <c r="H778" s="31" t="s">
        <v>10457</v>
      </c>
      <c r="I778" s="31" t="str">
        <f t="shared" si="72"/>
        <v> C01083 * C00009</v>
      </c>
      <c r="J778" s="31" t="str">
        <f t="shared" si="70"/>
        <v>(${Variables: E3_1_3_12_Kcat } * E3_1_3_12 * 	
C00689 * C00001) /(${Variables:E3_1_3_12_Km} + (E3_1_3_12 * 	
C00689 * C00001))</v>
      </c>
      <c r="K778" s="31" t="str">
        <f t="shared" si="71"/>
        <v>r777: 	
C00689 + C00001 -&gt;  C01083 + C00009 | (${Variables: E3_1_3_12_Kcat } * E3_1_3_12 * 	
C00689 * C00001) /(${Variables:E3_1_3_12_Km} + (E3_1_3_12 * 	
C00689 * C00001))</v>
      </c>
    </row>
    <row r="779" spans="1:11" ht="58" x14ac:dyDescent="0.35">
      <c r="A779" s="31" t="s">
        <v>7232</v>
      </c>
      <c r="B779" s="31" t="s">
        <v>7233</v>
      </c>
      <c r="C779" s="31" t="s">
        <v>14186</v>
      </c>
      <c r="D779" s="31">
        <v>778</v>
      </c>
      <c r="E779" s="31" t="str">
        <f t="shared" si="68"/>
        <v>E3_1_3_12</v>
      </c>
      <c r="F779" s="31" t="s">
        <v>10459</v>
      </c>
      <c r="G779" s="31" t="str">
        <f t="shared" si="69"/>
        <v xml:space="preserve">	
G09795 * C00001 </v>
      </c>
      <c r="H779" s="31" t="s">
        <v>10460</v>
      </c>
      <c r="I779" s="31" t="str">
        <f t="shared" si="72"/>
        <v xml:space="preserve"> G00293 * C00009</v>
      </c>
      <c r="J779" s="31" t="str">
        <f t="shared" si="70"/>
        <v>(${Variables: E3_1_3_12_Kcat } * E3_1_3_12 * 	
G09795 * C00001 ) /(${Variables:E3_1_3_12_Km} + (E3_1_3_12 * 	
G09795 * C00001 ))</v>
      </c>
      <c r="K779" s="31" t="str">
        <f t="shared" si="71"/>
        <v>r778: 	
G09795 + C00001  -&gt;  G00293 + C00009 | (${Variables: E3_1_3_12_Kcat } * E3_1_3_12 * 	
G09795 * C00001 ) /(${Variables:E3_1_3_12_Km} + (E3_1_3_12 * 	
G09795 * C00001 ))</v>
      </c>
    </row>
    <row r="780" spans="1:11" ht="29" x14ac:dyDescent="0.35">
      <c r="A780" s="31" t="s">
        <v>2306</v>
      </c>
      <c r="B780" s="31" t="s">
        <v>2307</v>
      </c>
      <c r="C780" s="31" t="s">
        <v>14187</v>
      </c>
      <c r="D780" s="31">
        <v>779</v>
      </c>
      <c r="E780" s="31" t="str">
        <f t="shared" si="68"/>
        <v>E3_1_3_15</v>
      </c>
      <c r="F780" s="31" t="s">
        <v>10463</v>
      </c>
      <c r="G780" s="31" t="str">
        <f t="shared" si="69"/>
        <v>C01100 * C00001</v>
      </c>
      <c r="H780" s="31" t="s">
        <v>10464</v>
      </c>
      <c r="I780" s="31" t="str">
        <f t="shared" si="72"/>
        <v xml:space="preserve"> C00860 * C00009</v>
      </c>
      <c r="J780" s="31" t="str">
        <f t="shared" si="70"/>
        <v>(${Variables: E3_1_3_15_Kcat } * E3_1_3_15 * C01100 * C00001) /(${Variables:E3_1_3_15_Km} + (E3_1_3_15 * C01100 * C00001))</v>
      </c>
      <c r="K780" s="32" t="str">
        <f t="shared" si="71"/>
        <v>r779: C01100 + C00001 -&gt;  C00860 + C00009 | (${Variables: E3_1_3_15_Kcat } * E3_1_3_15 * C01100 * C00001) /(${Variables:E3_1_3_15_Km} + (E3_1_3_15 * C01100 * C00001))</v>
      </c>
    </row>
    <row r="781" spans="1:11" ht="58" x14ac:dyDescent="0.35">
      <c r="A781" s="31" t="s">
        <v>171</v>
      </c>
      <c r="B781" s="31" t="s">
        <v>172</v>
      </c>
      <c r="C781" s="31" t="s">
        <v>14188</v>
      </c>
      <c r="D781" s="31">
        <v>780</v>
      </c>
      <c r="E781" s="31" t="str">
        <f t="shared" si="68"/>
        <v>E3_1_3_16</v>
      </c>
      <c r="F781" s="31" t="s">
        <v>10467</v>
      </c>
      <c r="G781" s="31" t="str">
        <f t="shared" si="69"/>
        <v xml:space="preserve">	
C00562 * C00001 </v>
      </c>
      <c r="H781" s="31" t="s">
        <v>10468</v>
      </c>
      <c r="I781" s="31" t="str">
        <f t="shared" si="72"/>
        <v xml:space="preserve"> C00017 * C00009</v>
      </c>
      <c r="J781" s="31" t="str">
        <f t="shared" si="70"/>
        <v>(${Variables: E3_1_3_16_Kcat } * E3_1_3_16 * 	
C00562 * C00001 ) /(${Variables:E3_1_3_16_Km} + (E3_1_3_16 * 	
C00562 * C00001 ))</v>
      </c>
      <c r="K781" s="32" t="str">
        <f t="shared" si="71"/>
        <v>r780: 	
C00562 + C00001  -&gt;  C00017 + C00009 | (${Variables: E3_1_3_16_Kcat } * E3_1_3_16 * 	
C00562 * C00001 ) /(${Variables:E3_1_3_16_Km} + (E3_1_3_16 * 	
C00562 * C00001 ))</v>
      </c>
    </row>
    <row r="782" spans="1:11" ht="58" x14ac:dyDescent="0.35">
      <c r="A782" s="31" t="s">
        <v>4842</v>
      </c>
      <c r="B782" s="31" t="s">
        <v>4843</v>
      </c>
      <c r="C782" s="31" t="s">
        <v>14189</v>
      </c>
      <c r="D782" s="31">
        <v>781</v>
      </c>
      <c r="E782" s="31" t="str">
        <f t="shared" si="68"/>
        <v xml:space="preserve">E3_1_3_16 </v>
      </c>
      <c r="F782" s="31" t="s">
        <v>10467</v>
      </c>
      <c r="G782" s="31" t="str">
        <f t="shared" si="69"/>
        <v xml:space="preserve">	
C00562 * C00001 </v>
      </c>
      <c r="H782" s="31" t="s">
        <v>10468</v>
      </c>
      <c r="I782" s="31" t="str">
        <f t="shared" si="72"/>
        <v xml:space="preserve"> C00017 * C00009</v>
      </c>
      <c r="J782" s="31" t="str">
        <f t="shared" si="70"/>
        <v>(${Variables: E3_1_3_16 _Kcat } * E3_1_3_16  * 	
C00562 * C00001 ) /(${Variables:E3_1_3_16 _Km} + (E3_1_3_16  * 	
C00562 * C00001 ))</v>
      </c>
      <c r="K782" s="32" t="str">
        <f t="shared" si="71"/>
        <v>r781: 	
C00562 + C00001  -&gt;  C00017 + C00009 | (${Variables: E3_1_3_16 _Kcat } * E3_1_3_16  * 	
C00562 * C00001 ) /(${Variables:E3_1_3_16 _Km} + (E3_1_3_16  * 	
C00562 * C00001 ))</v>
      </c>
    </row>
    <row r="783" spans="1:11" ht="58" x14ac:dyDescent="0.35">
      <c r="A783" s="31" t="s">
        <v>4842</v>
      </c>
      <c r="B783" s="31" t="s">
        <v>4843</v>
      </c>
      <c r="C783" s="31" t="s">
        <v>14190</v>
      </c>
      <c r="D783" s="31">
        <v>782</v>
      </c>
      <c r="E783" s="31" t="str">
        <f t="shared" si="68"/>
        <v>E3_1_3_48</v>
      </c>
      <c r="F783" s="31" t="s">
        <v>10472</v>
      </c>
      <c r="G783" s="31" t="str">
        <f t="shared" si="69"/>
        <v xml:space="preserve">	
C01167 * C00001</v>
      </c>
      <c r="H783" s="31" t="s">
        <v>10473</v>
      </c>
      <c r="I783" s="31" t="str">
        <f t="shared" si="72"/>
        <v>C00585 * C00009</v>
      </c>
      <c r="J783" s="31" t="str">
        <f t="shared" si="70"/>
        <v>(${Variables: E3_1_3_48_Kcat } * E3_1_3_48 * 	
C01167 * C00001) /(${Variables:E3_1_3_48_Km} + (E3_1_3_48 * 	
C01167 * C00001))</v>
      </c>
      <c r="K783" s="32" t="str">
        <f t="shared" si="71"/>
        <v>r782: 	
C01167 + C00001 -&gt; C00585 + C00009 | (${Variables: E3_1_3_48_Kcat } * E3_1_3_48 * 	
C01167 * C00001) /(${Variables:E3_1_3_48_Km} + (E3_1_3_48 * 	
C01167 * C00001))</v>
      </c>
    </row>
    <row r="784" spans="1:11" ht="58" x14ac:dyDescent="0.35">
      <c r="A784" s="31" t="s">
        <v>3392</v>
      </c>
      <c r="B784" s="31" t="s">
        <v>3393</v>
      </c>
      <c r="C784" s="31" t="s">
        <v>14191</v>
      </c>
      <c r="D784" s="31">
        <v>783</v>
      </c>
      <c r="E784" s="31" t="str">
        <f t="shared" si="68"/>
        <v>E3_1_3_2</v>
      </c>
      <c r="F784" s="31" t="s">
        <v>10475</v>
      </c>
      <c r="G784" s="31" t="str">
        <f t="shared" si="69"/>
        <v xml:space="preserve">	
C01153 * C00001</v>
      </c>
      <c r="H784" s="31" t="s">
        <v>10476</v>
      </c>
      <c r="I784" s="31" t="str">
        <f t="shared" si="72"/>
        <v>C00069 * C00009</v>
      </c>
      <c r="J784" s="31" t="str">
        <f t="shared" si="70"/>
        <v>(${Variables: E3_1_3_2_Kcat } * E3_1_3_2 * 	
C01153 * C00001) /(${Variables:E3_1_3_2_Km} + (E3_1_3_2 * 	
C01153 * C00001))</v>
      </c>
      <c r="K784" s="31" t="str">
        <f t="shared" si="71"/>
        <v>r783: 	
C01153 + C00001 -&gt; C00069 + C00009 | (${Variables: E3_1_3_2_Kcat } * E3_1_3_2 * 	
C01153 * C00001) /(${Variables:E3_1_3_2_Km} + (E3_1_3_2 * 	
C01153 * C00001))</v>
      </c>
    </row>
    <row r="785" spans="1:11" ht="29" x14ac:dyDescent="0.35">
      <c r="A785" s="31" t="s">
        <v>3392</v>
      </c>
      <c r="B785" s="31" t="s">
        <v>3393</v>
      </c>
      <c r="C785" s="31" t="s">
        <v>14191</v>
      </c>
      <c r="D785" s="31">
        <v>784</v>
      </c>
      <c r="E785" s="31" t="str">
        <f t="shared" si="68"/>
        <v>E3_1_3_2</v>
      </c>
      <c r="F785" s="31" t="s">
        <v>10478</v>
      </c>
      <c r="G785" s="31" t="str">
        <f t="shared" si="69"/>
        <v>C00061 * C00001</v>
      </c>
      <c r="H785" s="31" t="s">
        <v>10479</v>
      </c>
      <c r="I785" s="31" t="str">
        <f t="shared" si="72"/>
        <v>C00255 * C00009</v>
      </c>
      <c r="J785" s="31" t="str">
        <f t="shared" si="70"/>
        <v>(${Variables: E3_1_3_2_Kcat } * E3_1_3_2 * C00061 * C00001) /(${Variables:E3_1_3_2_Km} + (E3_1_3_2 * C00061 * C00001))</v>
      </c>
      <c r="K785" s="31" t="str">
        <f t="shared" si="71"/>
        <v>r784: C00061 + C00001 -&gt; C00255 + C00009 | (${Variables: E3_1_3_2_Kcat } * E3_1_3_2 * C00061 * C00001) /(${Variables:E3_1_3_2_Km} + (E3_1_3_2 * C00061 * C00001))</v>
      </c>
    </row>
    <row r="786" spans="1:11" ht="58" x14ac:dyDescent="0.35">
      <c r="A786" s="31" t="s">
        <v>3392</v>
      </c>
      <c r="B786" s="31" t="s">
        <v>3393</v>
      </c>
      <c r="C786" s="31" t="s">
        <v>14191</v>
      </c>
      <c r="D786" s="31">
        <v>785</v>
      </c>
      <c r="E786" s="31" t="str">
        <f t="shared" si="68"/>
        <v>E3_1_3_2</v>
      </c>
      <c r="F786" s="31" t="s">
        <v>10480</v>
      </c>
      <c r="G786" s="31" t="str">
        <f t="shared" si="69"/>
        <v xml:space="preserve">	
C01081 * C00001</v>
      </c>
      <c r="H786" s="31" t="s">
        <v>10435</v>
      </c>
      <c r="I786" s="31" t="str">
        <f t="shared" si="72"/>
        <v>C00378 * C00009</v>
      </c>
      <c r="J786" s="31" t="str">
        <f t="shared" si="70"/>
        <v>(${Variables: E3_1_3_2_Kcat } * E3_1_3_2 * 	
C01081 * C00001) /(${Variables:E3_1_3_2_Km} + (E3_1_3_2 * 	
C01081 * C00001))</v>
      </c>
      <c r="K786" s="31" t="str">
        <f t="shared" si="71"/>
        <v>r785: 	
C01081 + C00001 -&gt; C00378 + C00009 | (${Variables: E3_1_3_2_Kcat } * E3_1_3_2 * 	
C01081 * C00001) /(${Variables:E3_1_3_2_Km} + (E3_1_3_2 * 	
C01081 * C00001))</v>
      </c>
    </row>
    <row r="787" spans="1:11" ht="58" x14ac:dyDescent="0.35">
      <c r="A787" s="31" t="s">
        <v>3392</v>
      </c>
      <c r="B787" s="31" t="s">
        <v>3393</v>
      </c>
      <c r="C787" s="31" t="s">
        <v>14191</v>
      </c>
      <c r="D787" s="31">
        <v>786</v>
      </c>
      <c r="E787" s="31" t="str">
        <f t="shared" si="68"/>
        <v>E3_1_3_2</v>
      </c>
      <c r="F787" s="31" t="s">
        <v>10437</v>
      </c>
      <c r="G787" s="31" t="str">
        <f t="shared" si="69"/>
        <v xml:space="preserve">	
C03360 * C00001</v>
      </c>
      <c r="H787" s="31" t="s">
        <v>10481</v>
      </c>
      <c r="I787" s="31" t="str">
        <f t="shared" si="72"/>
        <v>C00870 * C00009</v>
      </c>
      <c r="J787" s="31" t="str">
        <f t="shared" si="70"/>
        <v>(${Variables: E3_1_3_2_Kcat } * E3_1_3_2 * 	
C03360 * C00001) /(${Variables:E3_1_3_2_Km} + (E3_1_3_2 * 	
C03360 * C00001))</v>
      </c>
      <c r="K787" s="31" t="str">
        <f t="shared" si="71"/>
        <v>r786: 	
C03360 + C00001 -&gt; C00870 + C00009 | (${Variables: E3_1_3_2_Kcat } * E3_1_3_2 * 	
C03360 * C00001) /(${Variables:E3_1_3_2_Km} + (E3_1_3_2 * 	
C03360 * C00001))</v>
      </c>
    </row>
    <row r="788" spans="1:11" ht="58" x14ac:dyDescent="0.35">
      <c r="A788" s="31" t="s">
        <v>3392</v>
      </c>
      <c r="B788" s="31" t="s">
        <v>3393</v>
      </c>
      <c r="C788" s="31" t="s">
        <v>14191</v>
      </c>
      <c r="D788" s="31">
        <v>787</v>
      </c>
      <c r="E788" s="31" t="str">
        <f t="shared" si="68"/>
        <v>E3_1_3_2</v>
      </c>
      <c r="F788" s="31" t="s">
        <v>10483</v>
      </c>
      <c r="G788" s="31" t="str">
        <f t="shared" si="69"/>
        <v xml:space="preserve">	
C00681 * C00001</v>
      </c>
      <c r="H788" s="31" t="s">
        <v>10484</v>
      </c>
      <c r="I788" s="31" t="str">
        <f t="shared" si="72"/>
        <v>C01885 * C00009</v>
      </c>
      <c r="J788" s="31" t="str">
        <f t="shared" si="70"/>
        <v>(${Variables: E3_1_3_2_Kcat } * E3_1_3_2 * 	
C00681 * C00001) /(${Variables:E3_1_3_2_Km} + (E3_1_3_2 * 	
C00681 * C00001))</v>
      </c>
      <c r="K788" s="31" t="str">
        <f t="shared" si="71"/>
        <v>r787: 	
C00681 + C00001 -&gt; C01885 + C00009 | (${Variables: E3_1_3_2_Kcat } * E3_1_3_2 * 	
C00681 * C00001) /(${Variables:E3_1_3_2_Km} + (E3_1_3_2 * 	
C00681 * C00001))</v>
      </c>
    </row>
    <row r="789" spans="1:11" ht="29" x14ac:dyDescent="0.35">
      <c r="A789" s="31" t="s">
        <v>3392</v>
      </c>
      <c r="B789" s="31" t="s">
        <v>3393</v>
      </c>
      <c r="C789" s="31" t="s">
        <v>14191</v>
      </c>
      <c r="D789" s="31">
        <v>788</v>
      </c>
      <c r="E789" s="31" t="str">
        <f t="shared" si="68"/>
        <v>E3_1_3_2</v>
      </c>
      <c r="F789" s="31" t="s">
        <v>10485</v>
      </c>
      <c r="G789" s="31" t="str">
        <f t="shared" si="69"/>
        <v>C00111 * C00001</v>
      </c>
      <c r="H789" s="31" t="s">
        <v>10486</v>
      </c>
      <c r="I789" s="31" t="str">
        <f t="shared" si="72"/>
        <v> C00184 * C00009</v>
      </c>
      <c r="J789" s="31" t="str">
        <f t="shared" si="70"/>
        <v>(${Variables: E3_1_3_2_Kcat } * E3_1_3_2 * C00111 * C00001) /(${Variables:E3_1_3_2_Km} + (E3_1_3_2 * C00111 * C00001))</v>
      </c>
      <c r="K789" s="31" t="str">
        <f t="shared" si="71"/>
        <v>r788: C00111 + C00001 -&gt;  C00184 + C00009 | (${Variables: E3_1_3_2_Kcat } * E3_1_3_2 * C00111 * C00001) /(${Variables:E3_1_3_2_Km} + (E3_1_3_2 * C00111 * C00001))</v>
      </c>
    </row>
    <row r="790" spans="1:11" ht="58" x14ac:dyDescent="0.35">
      <c r="A790" s="31" t="s">
        <v>7955</v>
      </c>
      <c r="B790" s="31" t="s">
        <v>7956</v>
      </c>
      <c r="C790" s="31" t="s">
        <v>14191</v>
      </c>
      <c r="D790" s="31">
        <v>789</v>
      </c>
      <c r="E790" s="31" t="str">
        <f t="shared" si="68"/>
        <v>E3_1_3_2</v>
      </c>
      <c r="F790" s="31" t="s">
        <v>10475</v>
      </c>
      <c r="G790" s="31" t="str">
        <f t="shared" si="69"/>
        <v xml:space="preserve">	
C01153 * C00001</v>
      </c>
      <c r="H790" s="31" t="s">
        <v>10476</v>
      </c>
      <c r="I790" s="31" t="str">
        <f t="shared" si="72"/>
        <v>C00069 * C00009</v>
      </c>
      <c r="J790" s="31" t="str">
        <f t="shared" si="70"/>
        <v>(${Variables: E3_1_3_2_Kcat } * E3_1_3_2 * 	
C01153 * C00001) /(${Variables:E3_1_3_2_Km} + (E3_1_3_2 * 	
C01153 * C00001))</v>
      </c>
      <c r="K790" s="31" t="str">
        <f t="shared" si="71"/>
        <v>r789: 	
C01153 + C00001 -&gt; C00069 + C00009 | (${Variables: E3_1_3_2_Kcat } * E3_1_3_2 * 	
C01153 * C00001) /(${Variables:E3_1_3_2_Km} + (E3_1_3_2 * 	
C01153 * C00001))</v>
      </c>
    </row>
    <row r="791" spans="1:11" ht="29" x14ac:dyDescent="0.35">
      <c r="A791" s="31" t="s">
        <v>7955</v>
      </c>
      <c r="B791" s="31" t="s">
        <v>7956</v>
      </c>
      <c r="C791" s="31" t="s">
        <v>14191</v>
      </c>
      <c r="D791" s="31">
        <v>790</v>
      </c>
      <c r="E791" s="31" t="str">
        <f t="shared" si="68"/>
        <v>E3_1_3_2</v>
      </c>
      <c r="F791" s="31" t="s">
        <v>10478</v>
      </c>
      <c r="G791" s="31" t="str">
        <f t="shared" si="69"/>
        <v>C00061 * C00001</v>
      </c>
      <c r="H791" s="31" t="s">
        <v>10479</v>
      </c>
      <c r="I791" s="31" t="str">
        <f t="shared" si="72"/>
        <v>C00255 * C00009</v>
      </c>
      <c r="J791" s="31" t="str">
        <f t="shared" si="70"/>
        <v>(${Variables: E3_1_3_2_Kcat } * E3_1_3_2 * C00061 * C00001) /(${Variables:E3_1_3_2_Km} + (E3_1_3_2 * C00061 * C00001))</v>
      </c>
      <c r="K791" s="31" t="str">
        <f t="shared" si="71"/>
        <v>r790: C00061 + C00001 -&gt; C00255 + C00009 | (${Variables: E3_1_3_2_Kcat } * E3_1_3_2 * C00061 * C00001) /(${Variables:E3_1_3_2_Km} + (E3_1_3_2 * C00061 * C00001))</v>
      </c>
    </row>
    <row r="792" spans="1:11" ht="58" x14ac:dyDescent="0.35">
      <c r="A792" s="31" t="s">
        <v>7955</v>
      </c>
      <c r="B792" s="31" t="s">
        <v>7956</v>
      </c>
      <c r="C792" s="31" t="s">
        <v>14191</v>
      </c>
      <c r="D792" s="31">
        <v>791</v>
      </c>
      <c r="E792" s="31" t="str">
        <f t="shared" si="68"/>
        <v>E3_1_3_2</v>
      </c>
      <c r="F792" s="31" t="s">
        <v>10480</v>
      </c>
      <c r="G792" s="31" t="str">
        <f t="shared" si="69"/>
        <v xml:space="preserve">	
C01081 * C00001</v>
      </c>
      <c r="H792" s="31" t="s">
        <v>10435</v>
      </c>
      <c r="I792" s="31" t="str">
        <f t="shared" si="72"/>
        <v>C00378 * C00009</v>
      </c>
      <c r="J792" s="31" t="str">
        <f t="shared" si="70"/>
        <v>(${Variables: E3_1_3_2_Kcat } * E3_1_3_2 * 	
C01081 * C00001) /(${Variables:E3_1_3_2_Km} + (E3_1_3_2 * 	
C01081 * C00001))</v>
      </c>
      <c r="K792" s="31" t="str">
        <f t="shared" si="71"/>
        <v>r791: 	
C01081 + C00001 -&gt; C00378 + C00009 | (${Variables: E3_1_3_2_Kcat } * E3_1_3_2 * 	
C01081 * C00001) /(${Variables:E3_1_3_2_Km} + (E3_1_3_2 * 	
C01081 * C00001))</v>
      </c>
    </row>
    <row r="793" spans="1:11" ht="58" x14ac:dyDescent="0.35">
      <c r="A793" s="31" t="s">
        <v>7955</v>
      </c>
      <c r="B793" s="31" t="s">
        <v>7956</v>
      </c>
      <c r="C793" s="31" t="s">
        <v>14191</v>
      </c>
      <c r="D793" s="31">
        <v>792</v>
      </c>
      <c r="E793" s="31" t="str">
        <f t="shared" si="68"/>
        <v>E3_1_3_2</v>
      </c>
      <c r="F793" s="31" t="s">
        <v>10437</v>
      </c>
      <c r="G793" s="31" t="str">
        <f t="shared" si="69"/>
        <v xml:space="preserve">	
C03360 * C00001</v>
      </c>
      <c r="H793" s="31" t="s">
        <v>10481</v>
      </c>
      <c r="I793" s="31" t="str">
        <f t="shared" si="72"/>
        <v>C00870 * C00009</v>
      </c>
      <c r="J793" s="31" t="str">
        <f t="shared" si="70"/>
        <v>(${Variables: E3_1_3_2_Kcat } * E3_1_3_2 * 	
C03360 * C00001) /(${Variables:E3_1_3_2_Km} + (E3_1_3_2 * 	
C03360 * C00001))</v>
      </c>
      <c r="K793" s="31" t="str">
        <f t="shared" si="71"/>
        <v>r792: 	
C03360 + C00001 -&gt; C00870 + C00009 | (${Variables: E3_1_3_2_Kcat } * E3_1_3_2 * 	
C03360 * C00001) /(${Variables:E3_1_3_2_Km} + (E3_1_3_2 * 	
C03360 * C00001))</v>
      </c>
    </row>
    <row r="794" spans="1:11" ht="58" x14ac:dyDescent="0.35">
      <c r="A794" s="31" t="s">
        <v>7955</v>
      </c>
      <c r="B794" s="31" t="s">
        <v>7956</v>
      </c>
      <c r="C794" s="31" t="s">
        <v>14191</v>
      </c>
      <c r="D794" s="31">
        <v>793</v>
      </c>
      <c r="E794" s="31" t="str">
        <f t="shared" si="68"/>
        <v>E3_1_3_2</v>
      </c>
      <c r="F794" s="31" t="s">
        <v>10483</v>
      </c>
      <c r="G794" s="31" t="str">
        <f t="shared" si="69"/>
        <v xml:space="preserve">	
C00681 * C00001</v>
      </c>
      <c r="H794" s="31" t="s">
        <v>10484</v>
      </c>
      <c r="I794" s="31" t="str">
        <f t="shared" si="72"/>
        <v>C01885 * C00009</v>
      </c>
      <c r="J794" s="31" t="str">
        <f t="shared" si="70"/>
        <v>(${Variables: E3_1_3_2_Kcat } * E3_1_3_2 * 	
C00681 * C00001) /(${Variables:E3_1_3_2_Km} + (E3_1_3_2 * 	
C00681 * C00001))</v>
      </c>
      <c r="K794" s="31" t="str">
        <f t="shared" si="71"/>
        <v>r793: 	
C00681 + C00001 -&gt; C01885 + C00009 | (${Variables: E3_1_3_2_Kcat } * E3_1_3_2 * 	
C00681 * C00001) /(${Variables:E3_1_3_2_Km} + (E3_1_3_2 * 	
C00681 * C00001))</v>
      </c>
    </row>
    <row r="795" spans="1:11" ht="29" x14ac:dyDescent="0.35">
      <c r="A795" s="31" t="s">
        <v>7955</v>
      </c>
      <c r="B795" s="31" t="s">
        <v>7956</v>
      </c>
      <c r="C795" s="31" t="s">
        <v>14191</v>
      </c>
      <c r="D795" s="31">
        <v>794</v>
      </c>
      <c r="E795" s="31" t="str">
        <f t="shared" si="68"/>
        <v>E3_1_3_2</v>
      </c>
      <c r="F795" s="31" t="s">
        <v>10485</v>
      </c>
      <c r="G795" s="31" t="str">
        <f t="shared" si="69"/>
        <v>C00111 * C00001</v>
      </c>
      <c r="H795" s="31" t="s">
        <v>10486</v>
      </c>
      <c r="I795" s="31" t="str">
        <f t="shared" si="72"/>
        <v> C00184 * C00009</v>
      </c>
      <c r="J795" s="31" t="str">
        <f t="shared" si="70"/>
        <v>(${Variables: E3_1_3_2_Kcat } * E3_1_3_2 * C00111 * C00001) /(${Variables:E3_1_3_2_Km} + (E3_1_3_2 * C00111 * C00001))</v>
      </c>
      <c r="K795" s="31" t="str">
        <f t="shared" si="71"/>
        <v>r794: C00111 + C00001 -&gt;  C00184 + C00009 | (${Variables: E3_1_3_2_Kcat } * E3_1_3_2 * C00111 * C00001) /(${Variables:E3_1_3_2_Km} + (E3_1_3_2 * C00111 * C00001))</v>
      </c>
    </row>
    <row r="796" spans="1:11" ht="58" x14ac:dyDescent="0.35">
      <c r="A796" s="31" t="s">
        <v>6926</v>
      </c>
      <c r="B796" s="31" t="s">
        <v>6927</v>
      </c>
      <c r="C796" s="31" t="s">
        <v>14192</v>
      </c>
      <c r="D796" s="31">
        <v>795</v>
      </c>
      <c r="E796" s="31" t="str">
        <f t="shared" si="68"/>
        <v>E3_1_3_3</v>
      </c>
      <c r="F796" s="31" t="s">
        <v>10489</v>
      </c>
      <c r="G796" s="31" t="str">
        <f t="shared" si="69"/>
        <v xml:space="preserve">	
C01005 * C00001</v>
      </c>
      <c r="H796" s="31" t="s">
        <v>10490</v>
      </c>
      <c r="I796" s="31" t="str">
        <f t="shared" si="72"/>
        <v>C00065 * C00009</v>
      </c>
      <c r="J796" s="31" t="str">
        <f t="shared" si="70"/>
        <v>(${Variables: E3_1_3_3_Kcat } * E3_1_3_3 * 	
C01005 * C00001) /(${Variables:E3_1_3_3_Km} + (E3_1_3_3 * 	
C01005 * C00001))</v>
      </c>
      <c r="K796" s="31" t="str">
        <f t="shared" si="71"/>
        <v>r795: 	
C01005 + C00001 -&gt; C00065 + C00009 | (${Variables: E3_1_3_3_Kcat } * E3_1_3_3 * 	
C01005 * C00001) /(${Variables:E3_1_3_3_Km} + (E3_1_3_3 * 	
C01005 * C00001))</v>
      </c>
    </row>
    <row r="797" spans="1:11" ht="29" x14ac:dyDescent="0.35">
      <c r="A797" s="31" t="s">
        <v>6926</v>
      </c>
      <c r="B797" s="31" t="s">
        <v>6927</v>
      </c>
      <c r="C797" s="31" t="s">
        <v>14192</v>
      </c>
      <c r="D797" s="31">
        <v>796</v>
      </c>
      <c r="E797" s="31" t="str">
        <f t="shared" si="68"/>
        <v>E3_1_3_3</v>
      </c>
      <c r="F797" s="31" t="s">
        <v>10492</v>
      </c>
      <c r="G797" s="31" t="str">
        <f t="shared" si="69"/>
        <v>C02532 * C00001</v>
      </c>
      <c r="H797" s="31" t="s">
        <v>14467</v>
      </c>
      <c r="I797" s="31" t="str">
        <f t="shared" si="72"/>
        <v>C00740 * C00009</v>
      </c>
      <c r="J797" s="31" t="str">
        <f t="shared" si="70"/>
        <v>(${Variables: E3_1_3_3_Kcat } * E3_1_3_3 * C02532 * C00001) /(${Variables:E3_1_3_3_Km} + (E3_1_3_3 * C02532 * C00001))</v>
      </c>
      <c r="K797" s="31" t="str">
        <f t="shared" si="71"/>
        <v>r796: C02532 + C00001 -&gt; C00740 + C00009 | (${Variables: E3_1_3_3_Kcat } * E3_1_3_3 * C02532 * C00001) /(${Variables:E3_1_3_3_Km} + (E3_1_3_3 * C02532 * C00001))</v>
      </c>
    </row>
    <row r="798" spans="1:11" ht="58" x14ac:dyDescent="0.35">
      <c r="A798" s="31" t="s">
        <v>6182</v>
      </c>
      <c r="B798" s="31" t="s">
        <v>6183</v>
      </c>
      <c r="C798" s="31" t="s">
        <v>14190</v>
      </c>
      <c r="D798" s="31">
        <v>797</v>
      </c>
      <c r="E798" s="31" t="str">
        <f t="shared" si="68"/>
        <v>E3_1_3_48</v>
      </c>
      <c r="F798" s="31" t="s">
        <v>10472</v>
      </c>
      <c r="G798" s="31" t="str">
        <f t="shared" si="69"/>
        <v xml:space="preserve">	
C01167 * C00001</v>
      </c>
      <c r="H798" s="31" t="s">
        <v>10473</v>
      </c>
      <c r="I798" s="31" t="str">
        <f t="shared" si="72"/>
        <v>C00585 * C00009</v>
      </c>
      <c r="J798" s="31" t="str">
        <f t="shared" si="70"/>
        <v>(${Variables: E3_1_3_48_Kcat } * E3_1_3_48 * 	
C01167 * C00001) /(${Variables:E3_1_3_48_Km} + (E3_1_3_48 * 	
C01167 * C00001))</v>
      </c>
      <c r="K798" s="32" t="str">
        <f t="shared" si="71"/>
        <v>r797: 	
C01167 + C00001 -&gt; C00585 + C00009 | (${Variables: E3_1_3_48_Kcat } * E3_1_3_48 * 	
C01167 * C00001) /(${Variables:E3_1_3_48_Km} + (E3_1_3_48 * 	
C01167 * C00001))</v>
      </c>
    </row>
    <row r="799" spans="1:11" ht="58" x14ac:dyDescent="0.35">
      <c r="A799" s="31" t="s">
        <v>2445</v>
      </c>
      <c r="B799" s="31" t="s">
        <v>2446</v>
      </c>
      <c r="C799" s="31" t="s">
        <v>14193</v>
      </c>
      <c r="D799" s="31">
        <v>798</v>
      </c>
      <c r="E799" s="31" t="str">
        <f t="shared" si="68"/>
        <v>E3_1_3_7</v>
      </c>
      <c r="F799" s="31" t="s">
        <v>10496</v>
      </c>
      <c r="G799" s="31" t="str">
        <f t="shared" si="69"/>
        <v xml:space="preserve">	
C00054 * C00001 </v>
      </c>
      <c r="H799" s="31" t="s">
        <v>10497</v>
      </c>
      <c r="I799" s="31" t="str">
        <f t="shared" si="72"/>
        <v> C00020 * C00009</v>
      </c>
      <c r="J799" s="31" t="str">
        <f t="shared" si="70"/>
        <v>(${Variables: E3_1_3_7_Kcat } * E3_1_3_7 * 	
C00054 * C00001 ) /(${Variables:E3_1_3_7_Km} + (E3_1_3_7 * 	
C00054 * C00001 ))</v>
      </c>
      <c r="K799" s="31" t="str">
        <f t="shared" si="71"/>
        <v>r798: 	
C00054 + C00001  -&gt;  C00020 + C00009 | (${Variables: E3_1_3_7_Kcat } * E3_1_3_7 * 	
C00054 * C00001 ) /(${Variables:E3_1_3_7_Km} + (E3_1_3_7 * 	
C00054 * C00001 ))</v>
      </c>
    </row>
    <row r="800" spans="1:11" ht="58" x14ac:dyDescent="0.35">
      <c r="A800" s="31" t="s">
        <v>2445</v>
      </c>
      <c r="B800" s="31" t="s">
        <v>2446</v>
      </c>
      <c r="C800" s="31" t="s">
        <v>14193</v>
      </c>
      <c r="D800" s="31">
        <v>799</v>
      </c>
      <c r="E800" s="31" t="str">
        <f t="shared" si="68"/>
        <v>E3_1_3_7</v>
      </c>
      <c r="F800" s="31" t="s">
        <v>10499</v>
      </c>
      <c r="G800" s="31" t="str">
        <f t="shared" si="69"/>
        <v xml:space="preserve">	
C00053 * C00001</v>
      </c>
      <c r="H800" s="31" t="s">
        <v>10500</v>
      </c>
      <c r="I800" s="31" t="str">
        <f t="shared" si="72"/>
        <v>C00224 * C00009</v>
      </c>
      <c r="J800" s="31" t="str">
        <f t="shared" si="70"/>
        <v>(${Variables: E3_1_3_7_Kcat } * E3_1_3_7 * 	
C00053 * C00001) /(${Variables:E3_1_3_7_Km} + (E3_1_3_7 * 	
C00053 * C00001))</v>
      </c>
      <c r="K800" s="31" t="str">
        <f t="shared" si="71"/>
        <v>r799: 	
C00053 + C00001 -&gt; C00224 + C00009 | (${Variables: E3_1_3_7_Kcat } * E3_1_3_7 * 	
C00053 * C00001) /(${Variables:E3_1_3_7_Km} + (E3_1_3_7 * 	
C00053 * C00001))</v>
      </c>
    </row>
    <row r="801" spans="1:11" ht="58" x14ac:dyDescent="0.35">
      <c r="A801" s="31" t="s">
        <v>2157</v>
      </c>
      <c r="B801" s="31" t="s">
        <v>2158</v>
      </c>
      <c r="C801" s="31" t="s">
        <v>14194</v>
      </c>
      <c r="D801" s="31">
        <v>800</v>
      </c>
      <c r="E801" s="31" t="str">
        <f t="shared" si="68"/>
        <v>E3_13_2_1</v>
      </c>
      <c r="F801" s="31" t="s">
        <v>10503</v>
      </c>
      <c r="G801" s="31" t="str">
        <f t="shared" si="69"/>
        <v xml:space="preserve">	
C00021 * C00001 </v>
      </c>
      <c r="H801" s="31" t="s">
        <v>10504</v>
      </c>
      <c r="I801" s="31" t="str">
        <f t="shared" si="72"/>
        <v> C00212 * C00155</v>
      </c>
      <c r="J801" s="31" t="str">
        <f t="shared" si="70"/>
        <v>(${Variables: E3_13_2_1_Kcat } * E3_13_2_1 * 	
C00021 * C00001 ) /(${Variables:E3_13_2_1_Km} + (E3_13_2_1 * 	
C00021 * C00001 ))</v>
      </c>
      <c r="K801" s="31" t="str">
        <f t="shared" si="71"/>
        <v>r800: 	
C00021 + C00001  -&gt;  C00212 + C00155 | (${Variables: E3_13_2_1_Kcat } * E3_13_2_1 * 	
C00021 * C00001 ) /(${Variables:E3_13_2_1_Km} + (E3_13_2_1 * 	
C00021 * C00001 ))</v>
      </c>
    </row>
    <row r="802" spans="1:11" ht="58" x14ac:dyDescent="0.35">
      <c r="A802" s="31" t="s">
        <v>5857</v>
      </c>
      <c r="B802" s="31" t="s">
        <v>5858</v>
      </c>
      <c r="C802" s="31" t="s">
        <v>14195</v>
      </c>
      <c r="D802" s="31">
        <v>801</v>
      </c>
      <c r="E802" s="31" t="str">
        <f t="shared" si="68"/>
        <v>E3_2_1_141</v>
      </c>
      <c r="F802" s="31" t="s">
        <v>10507</v>
      </c>
      <c r="G802" s="31" t="str">
        <f t="shared" si="69"/>
        <v xml:space="preserve">	
C06400 * C00001</v>
      </c>
      <c r="H802" s="31" t="s">
        <v>10508</v>
      </c>
      <c r="I802" s="31" t="str">
        <f t="shared" si="72"/>
        <v>C01083 * C01935</v>
      </c>
      <c r="J802" s="31" t="str">
        <f t="shared" si="70"/>
        <v>(${Variables: E3_2_1_141_Kcat } * E3_2_1_141 * 	
C06400 * C00001) /(${Variables:E3_2_1_141_Km} + (E3_2_1_141 * 	
C06400 * C00001))</v>
      </c>
      <c r="K802" s="31" t="str">
        <f t="shared" si="71"/>
        <v>r801: 	
C06400 + C00001 -&gt; C01083 + C01935 | (${Variables: E3_2_1_141_Kcat } * E3_2_1_141 * 	
C06400 * C00001) /(${Variables:E3_2_1_141_Km} + (E3_2_1_141 * 	
C06400 * C00001))</v>
      </c>
    </row>
    <row r="803" spans="1:11" ht="58" x14ac:dyDescent="0.35">
      <c r="A803" s="31" t="s">
        <v>323</v>
      </c>
      <c r="B803" s="31" t="s">
        <v>324</v>
      </c>
      <c r="C803" s="31" t="s">
        <v>14196</v>
      </c>
      <c r="D803" s="31">
        <v>802</v>
      </c>
      <c r="E803" s="31" t="str">
        <f t="shared" si="68"/>
        <v>E3_2_2_4</v>
      </c>
      <c r="F803" s="31" t="s">
        <v>10366</v>
      </c>
      <c r="G803" s="31" t="str">
        <f t="shared" si="69"/>
        <v xml:space="preserve">	
C00020 * C00001 </v>
      </c>
      <c r="H803" s="31" t="s">
        <v>10518</v>
      </c>
      <c r="I803" s="31" t="str">
        <f t="shared" si="72"/>
        <v> C00147 * C00117</v>
      </c>
      <c r="J803" s="31" t="str">
        <f t="shared" si="70"/>
        <v>(${Variables: E3_2_2_4_Kcat } * E3_2_2_4 * 	
C00020 * C00001 ) /(${Variables:E3_2_2_4_Km} + (E3_2_2_4 * 	
C00020 * C00001 ))</v>
      </c>
      <c r="K803" s="31" t="str">
        <f t="shared" si="71"/>
        <v>r802: 	
C00020 + C00001  -&gt;  C00147 + C00117 | (${Variables: E3_2_2_4_Kcat } * E3_2_2_4 * 	
C00020 * C00001 ) /(${Variables:E3_2_2_4_Km} + (E3_2_2_4 * 	
C00020 * C00001 ))</v>
      </c>
    </row>
    <row r="804" spans="1:11" ht="58" x14ac:dyDescent="0.35">
      <c r="A804" s="31" t="s">
        <v>6088</v>
      </c>
      <c r="B804" s="31" t="s">
        <v>6089</v>
      </c>
      <c r="C804" s="31" t="s">
        <v>14197</v>
      </c>
      <c r="D804" s="31">
        <v>803</v>
      </c>
      <c r="E804" s="31" t="str">
        <f t="shared" si="68"/>
        <v>E3_4_11_1</v>
      </c>
      <c r="F804" s="31" t="s">
        <v>10521</v>
      </c>
      <c r="G804" s="31" t="str">
        <f t="shared" si="69"/>
        <v xml:space="preserve">	
C01419 * C00001 </v>
      </c>
      <c r="H804" s="31" t="s">
        <v>10522</v>
      </c>
      <c r="I804" s="31" t="str">
        <f t="shared" si="72"/>
        <v>C00097 * C00037</v>
      </c>
      <c r="J804" s="31" t="str">
        <f t="shared" si="70"/>
        <v>(${Variables: E3_4_11_1_Kcat } * E3_4_11_1 * 	
C01419 * C00001 ) /(${Variables:E3_4_11_1_Km} + (E3_4_11_1 * 	
C01419 * C00001 ))</v>
      </c>
      <c r="K804" s="32" t="str">
        <f t="shared" si="71"/>
        <v>r803: 	
C01419 + C00001  -&gt; C00097 + C00037 | (${Variables: E3_4_11_1_Kcat } * E3_4_11_1 * 	
C01419 * C00001 ) /(${Variables:E3_4_11_1_Km} + (E3_4_11_1 * 	
C01419 * C00001 ))</v>
      </c>
    </row>
    <row r="805" spans="1:11" ht="58" x14ac:dyDescent="0.35">
      <c r="A805" s="31" t="s">
        <v>6088</v>
      </c>
      <c r="B805" s="31" t="s">
        <v>6089</v>
      </c>
      <c r="C805" s="31" t="s">
        <v>14197</v>
      </c>
      <c r="D805" s="31">
        <v>804</v>
      </c>
      <c r="E805" s="31" t="str">
        <f t="shared" si="68"/>
        <v>E3_4_11_1</v>
      </c>
      <c r="F805" s="31" t="s">
        <v>10524</v>
      </c>
      <c r="G805" s="31" t="str">
        <f t="shared" si="69"/>
        <v xml:space="preserve">	
C05729 * C00001</v>
      </c>
      <c r="H805" s="31" t="s">
        <v>10525</v>
      </c>
      <c r="I805" s="31" t="str">
        <f t="shared" si="72"/>
        <v>C05726 * C00037</v>
      </c>
      <c r="J805" s="31" t="str">
        <f t="shared" si="70"/>
        <v>(${Variables: E3_4_11_1_Kcat } * E3_4_11_1 * 	
C05729 * C00001) /(${Variables:E3_4_11_1_Km} + (E3_4_11_1 * 	
C05729 * C00001))</v>
      </c>
      <c r="K805" s="32" t="str">
        <f t="shared" si="71"/>
        <v>r804: 	
C05729 + C00001 -&gt; C05726 + C00037 | (${Variables: E3_4_11_1_Kcat } * E3_4_11_1 * 	
C05729 * C00001) /(${Variables:E3_4_11_1_Km} + (E3_4_11_1 * 	
C05729 * C00001))</v>
      </c>
    </row>
    <row r="806" spans="1:11" ht="29" x14ac:dyDescent="0.35">
      <c r="A806" s="31" t="s">
        <v>6683</v>
      </c>
      <c r="B806" s="31" t="s">
        <v>6684</v>
      </c>
      <c r="C806" s="31" t="s">
        <v>14198</v>
      </c>
      <c r="D806" s="31">
        <v>805</v>
      </c>
      <c r="E806" s="31" t="str">
        <f t="shared" si="68"/>
        <v>E3_4_11_2</v>
      </c>
      <c r="F806" s="31" t="s">
        <v>10528</v>
      </c>
      <c r="G806" s="31" t="str">
        <f t="shared" si="69"/>
        <v>C01419 * C00001 </v>
      </c>
      <c r="H806" s="31" t="s">
        <v>10522</v>
      </c>
      <c r="I806" s="31" t="str">
        <f t="shared" si="72"/>
        <v>C00097 * C00037</v>
      </c>
      <c r="J806" s="31" t="str">
        <f t="shared" si="70"/>
        <v>(${Variables: E3_4_11_2_Kcat } * E3_4_11_2 * C01419 * C00001 ) /(${Variables:E3_4_11_2_Km} + (E3_4_11_2 * C01419 * C00001 ))</v>
      </c>
      <c r="K806" s="31" t="str">
        <f t="shared" si="71"/>
        <v>r805: C01419 + C00001  -&gt; C00097 + C00037 | (${Variables: E3_4_11_2_Kcat } * E3_4_11_2 * C01419 * C00001 ) /(${Variables:E3_4_11_2_Km} + (E3_4_11_2 * C01419 * C00001 ))</v>
      </c>
    </row>
    <row r="807" spans="1:11" ht="29" x14ac:dyDescent="0.35">
      <c r="A807" s="31" t="s">
        <v>6683</v>
      </c>
      <c r="B807" s="31" t="s">
        <v>6684</v>
      </c>
      <c r="C807" s="31" t="s">
        <v>14198</v>
      </c>
      <c r="D807" s="31">
        <v>806</v>
      </c>
      <c r="E807" s="31" t="str">
        <f t="shared" si="68"/>
        <v>E3_4_11_2</v>
      </c>
      <c r="F807" s="31" t="s">
        <v>10529</v>
      </c>
      <c r="G807" s="31" t="str">
        <f t="shared" si="69"/>
        <v>C05729 * C00001</v>
      </c>
      <c r="H807" s="31" t="s">
        <v>10530</v>
      </c>
      <c r="I807" s="31" t="str">
        <f t="shared" si="72"/>
        <v> C05726 * C00037</v>
      </c>
      <c r="J807" s="31" t="str">
        <f t="shared" si="70"/>
        <v>(${Variables: E3_4_11_2_Kcat } * E3_4_11_2 * C05729 * C00001) /(${Variables:E3_4_11_2_Km} + (E3_4_11_2 * C05729 * C00001))</v>
      </c>
      <c r="K807" s="31" t="str">
        <f t="shared" si="71"/>
        <v>r806: C05729 + C00001 -&gt;  C05726 + C00037 | (${Variables: E3_4_11_2_Kcat } * E3_4_11_2 * C05729 * C00001) /(${Variables:E3_4_11_2_Km} + (E3_4_11_2 * C05729 * C00001))</v>
      </c>
    </row>
    <row r="808" spans="1:11" ht="58" x14ac:dyDescent="0.35">
      <c r="A808" s="31" t="s">
        <v>1136</v>
      </c>
      <c r="B808" s="31" t="s">
        <v>1137</v>
      </c>
      <c r="C808" s="31" t="s">
        <v>14199</v>
      </c>
      <c r="D808" s="31">
        <v>807</v>
      </c>
      <c r="E808" s="31" t="str">
        <f t="shared" si="68"/>
        <v>E3_5_1_10</v>
      </c>
      <c r="F808" s="31" t="s">
        <v>10543</v>
      </c>
      <c r="G808" s="31" t="str">
        <f t="shared" si="69"/>
        <v xml:space="preserve">	
C00234 * C00001</v>
      </c>
      <c r="H808" s="31" t="s">
        <v>10544</v>
      </c>
      <c r="I808" s="31" t="str">
        <f t="shared" si="72"/>
        <v>C00058 * C00101</v>
      </c>
      <c r="J808" s="31" t="str">
        <f t="shared" si="70"/>
        <v>(${Variables: E3_5_1_10_Kcat } * E3_5_1_10 * 	
C00234 * C00001) /(${Variables:E3_5_1_10_Km} + (E3_5_1_10 * 	
C00234 * C00001))</v>
      </c>
      <c r="K808" s="32" t="str">
        <f t="shared" si="71"/>
        <v>r807: 	
C00234 + C00001 -&gt; C00058 + C00101 | (${Variables: E3_5_1_10_Kcat } * E3_5_1_10 * 	
C00234 * C00001) /(${Variables:E3_5_1_10_Km} + (E3_5_1_10 * 	
C00234 * C00001))</v>
      </c>
    </row>
    <row r="809" spans="1:11" ht="58" x14ac:dyDescent="0.35">
      <c r="A809" s="31" t="s">
        <v>3136</v>
      </c>
      <c r="B809" s="31" t="s">
        <v>3137</v>
      </c>
      <c r="C809" s="31" t="s">
        <v>14200</v>
      </c>
      <c r="D809" s="31">
        <v>808</v>
      </c>
      <c r="E809" s="31" t="str">
        <f t="shared" si="68"/>
        <v>E3_5_1_103</v>
      </c>
      <c r="F809" s="31" t="s">
        <v>10547</v>
      </c>
      <c r="G809" s="31" t="str">
        <f t="shared" si="69"/>
        <v xml:space="preserve">	
C19784 * C00001 </v>
      </c>
      <c r="H809" s="31" t="s">
        <v>10548</v>
      </c>
      <c r="I809" s="31" t="str">
        <f t="shared" si="72"/>
        <v>C19702 * C00033</v>
      </c>
      <c r="J809" s="31" t="str">
        <f t="shared" si="70"/>
        <v>(${Variables: E3_5_1_103_Kcat } * E3_5_1_103 * 	
C19784 * C00001 ) /(${Variables:E3_5_1_103_Km} + (E3_5_1_103 * 	
C19784 * C00001 ))</v>
      </c>
      <c r="K809" s="31" t="str">
        <f t="shared" si="71"/>
        <v>r808: 	
C19784 + C00001  -&gt; C19702 + C00033 | (${Variables: E3_5_1_103_Kcat } * E3_5_1_103 * 	
C19784 * C00001 ) /(${Variables:E3_5_1_103_Km} + (E3_5_1_103 * 	
C19784 * C00001 ))</v>
      </c>
    </row>
    <row r="810" spans="1:11" ht="58" x14ac:dyDescent="0.35">
      <c r="A810" s="31" t="s">
        <v>4218</v>
      </c>
      <c r="B810" s="31" t="s">
        <v>4219</v>
      </c>
      <c r="C810" s="31" t="s">
        <v>14201</v>
      </c>
      <c r="D810" s="31">
        <v>809</v>
      </c>
      <c r="E810" s="31" t="str">
        <f t="shared" si="68"/>
        <v>E3_5_1_119</v>
      </c>
      <c r="F810" s="31" t="s">
        <v>10551</v>
      </c>
      <c r="G810" s="31" t="str">
        <f t="shared" si="69"/>
        <v xml:space="preserve">	
C21179 * C00001 </v>
      </c>
      <c r="H810" s="31" t="s">
        <v>10552</v>
      </c>
      <c r="I810" s="31" t="str">
        <f t="shared" si="72"/>
        <v xml:space="preserve"> C21177 * C00014</v>
      </c>
      <c r="J810" s="31" t="str">
        <f t="shared" si="70"/>
        <v>(${Variables: E3_5_1_119_Kcat } * E3_5_1_119 * 	
C21179 * C00001 ) /(${Variables:E3_5_1_119_Km} + (E3_5_1_119 * 	
C21179 * C00001 ))</v>
      </c>
      <c r="K810" s="31" t="str">
        <f t="shared" si="71"/>
        <v>r809: 	
C21179 + C00001  -&gt;  C21177 + C00014 | (${Variables: E3_5_1_119_Kcat } * E3_5_1_119 * 	
C21179 * C00001 ) /(${Variables:E3_5_1_119_Km} + (E3_5_1_119 * 	
C21179 * C00001 ))</v>
      </c>
    </row>
    <row r="811" spans="1:11" ht="58" x14ac:dyDescent="0.35">
      <c r="A811" s="31" t="s">
        <v>4218</v>
      </c>
      <c r="B811" s="31" t="s">
        <v>4219</v>
      </c>
      <c r="C811" s="31" t="s">
        <v>14201</v>
      </c>
      <c r="D811" s="31">
        <v>810</v>
      </c>
      <c r="E811" s="31" t="str">
        <f t="shared" si="68"/>
        <v>E3_5_1_119</v>
      </c>
      <c r="F811" s="31" t="s">
        <v>10554</v>
      </c>
      <c r="G811" s="31" t="str">
        <f t="shared" si="69"/>
        <v xml:space="preserve">	
C21178 * C00001 </v>
      </c>
      <c r="H811" s="31" t="s">
        <v>10555</v>
      </c>
      <c r="I811" s="31" t="str">
        <f t="shared" si="72"/>
        <v>C21177 * C02188</v>
      </c>
      <c r="J811" s="31" t="str">
        <f t="shared" si="70"/>
        <v>(${Variables: E3_5_1_119_Kcat } * E3_5_1_119 * 	
C21178 * C00001 ) /(${Variables:E3_5_1_119_Km} + (E3_5_1_119 * 	
C21178 * C00001 ))</v>
      </c>
      <c r="K811" s="31" t="str">
        <f t="shared" si="71"/>
        <v>r810: 	
C21178 + C00001  -&gt; C21177 + C02188 | (${Variables: E3_5_1_119_Kcat } * E3_5_1_119 * 	
C21178 * C00001 ) /(${Variables:E3_5_1_119_Km} + (E3_5_1_119 * 	
C21178 * C00001 ))</v>
      </c>
    </row>
    <row r="812" spans="1:11" ht="58" x14ac:dyDescent="0.35">
      <c r="A812" s="31" t="s">
        <v>3165</v>
      </c>
      <c r="B812" s="31" t="s">
        <v>3166</v>
      </c>
      <c r="C812" s="31" t="s">
        <v>14202</v>
      </c>
      <c r="D812" s="31">
        <v>811</v>
      </c>
      <c r="E812" s="31" t="str">
        <f t="shared" si="68"/>
        <v>E3_5_1_18</v>
      </c>
      <c r="F812" s="31" t="s">
        <v>10558</v>
      </c>
      <c r="G812" s="31" t="str">
        <f t="shared" si="69"/>
        <v xml:space="preserve">	
C04421 * C00001 </v>
      </c>
      <c r="H812" s="31" t="s">
        <v>10559</v>
      </c>
      <c r="I812" s="31" t="str">
        <f t="shared" si="72"/>
        <v>C00042 * C00666</v>
      </c>
      <c r="J812" s="31" t="str">
        <f t="shared" si="70"/>
        <v>(${Variables: E3_5_1_18_Kcat } * E3_5_1_18 * 	
C04421 * C00001 ) /(${Variables:E3_5_1_18_Km} + (E3_5_1_18 * 	
C04421 * C00001 ))</v>
      </c>
      <c r="K812" s="31" t="str">
        <f t="shared" si="71"/>
        <v>r811: 	
C04421 + C00001  -&gt; C00042 + C00666 | (${Variables: E3_5_1_18_Kcat } * E3_5_1_18 * 	
C04421 * C00001 ) /(${Variables:E3_5_1_18_Km} + (E3_5_1_18 * 	
C04421 * C00001 ))</v>
      </c>
    </row>
    <row r="813" spans="1:11" ht="58" x14ac:dyDescent="0.35">
      <c r="A813" s="31" t="s">
        <v>6821</v>
      </c>
      <c r="B813" s="31" t="s">
        <v>6822</v>
      </c>
      <c r="C813" s="31" t="s">
        <v>14203</v>
      </c>
      <c r="D813" s="31">
        <v>812</v>
      </c>
      <c r="E813" s="31" t="str">
        <f t="shared" si="68"/>
        <v>E3_5_1_2</v>
      </c>
      <c r="F813" s="31" t="s">
        <v>9841</v>
      </c>
      <c r="G813" s="31" t="str">
        <f t="shared" si="69"/>
        <v xml:space="preserve">	
C00064 * C00001</v>
      </c>
      <c r="H813" s="31" t="s">
        <v>10563</v>
      </c>
      <c r="I813" s="31" t="str">
        <f t="shared" si="72"/>
        <v>C00025 * C00014</v>
      </c>
      <c r="J813" s="31" t="str">
        <f t="shared" si="70"/>
        <v>(${Variables: E3_5_1_2_Kcat } * E3_5_1_2 * 	
C00064 * C00001) /(${Variables:E3_5_1_2_Km} + (E3_5_1_2 * 	
C00064 * C00001))</v>
      </c>
      <c r="K813" s="31" t="str">
        <f t="shared" si="71"/>
        <v>r812: 	
C00064 + C00001 -&gt; C00025 + C00014 | (${Variables: E3_5_1_2_Kcat } * E3_5_1_2 * 	
C00064 * C00001) /(${Variables:E3_5_1_2_Km} + (E3_5_1_2 * 	
C00064 * C00001))</v>
      </c>
    </row>
    <row r="814" spans="1:11" ht="29" x14ac:dyDescent="0.35">
      <c r="A814" s="31" t="s">
        <v>6821</v>
      </c>
      <c r="B814" s="31" t="s">
        <v>6822</v>
      </c>
      <c r="C814" s="31" t="s">
        <v>14203</v>
      </c>
      <c r="D814" s="31">
        <v>813</v>
      </c>
      <c r="E814" s="31" t="str">
        <f t="shared" si="68"/>
        <v>E3_5_1_2</v>
      </c>
      <c r="F814" s="31" t="s">
        <v>10565</v>
      </c>
      <c r="G814" s="31" t="str">
        <f t="shared" si="69"/>
        <v>C00819 * C00001</v>
      </c>
      <c r="H814" s="31" t="s">
        <v>10566</v>
      </c>
      <c r="I814" s="31" t="str">
        <f t="shared" si="72"/>
        <v>C00217 * C00014</v>
      </c>
      <c r="J814" s="31" t="str">
        <f t="shared" si="70"/>
        <v>(${Variables: E3_5_1_2_Kcat } * E3_5_1_2 * C00819 * C00001) /(${Variables:E3_5_1_2_Km} + (E3_5_1_2 * C00819 * C00001))</v>
      </c>
      <c r="K814" s="31" t="str">
        <f t="shared" si="71"/>
        <v>r813: C00819 + C00001 -&gt; C00217 + C00014 | (${Variables: E3_5_1_2_Kcat } * E3_5_1_2 * C00819 * C00001) /(${Variables:E3_5_1_2_Km} + (E3_5_1_2 * C00819 * C00001))</v>
      </c>
    </row>
    <row r="815" spans="1:11" ht="58" x14ac:dyDescent="0.35">
      <c r="A815" s="31" t="s">
        <v>6821</v>
      </c>
      <c r="B815" s="31" t="s">
        <v>6822</v>
      </c>
      <c r="C815" s="31" t="s">
        <v>14203</v>
      </c>
      <c r="D815" s="31">
        <v>814</v>
      </c>
      <c r="E815" s="31" t="str">
        <f t="shared" si="68"/>
        <v>E3_5_1_2</v>
      </c>
      <c r="F815" s="31" t="s">
        <v>10568</v>
      </c>
      <c r="G815" s="31" t="str">
        <f t="shared" si="69"/>
        <v xml:space="preserve">	
C00241 * C00001</v>
      </c>
      <c r="H815" s="31" t="s">
        <v>10569</v>
      </c>
      <c r="I815" s="31" t="str">
        <f t="shared" si="72"/>
        <v>C00060 * C00014</v>
      </c>
      <c r="J815" s="31" t="str">
        <f t="shared" si="70"/>
        <v>(${Variables: E3_5_1_2_Kcat } * E3_5_1_2 * 	
C00241 * C00001) /(${Variables:E3_5_1_2_Km} + (E3_5_1_2 * 	
C00241 * C00001))</v>
      </c>
      <c r="K815" s="31" t="str">
        <f t="shared" si="71"/>
        <v>r814: 	
C00241 + C00001 -&gt; C00060 + C00014 | (${Variables: E3_5_1_2_Kcat } * E3_5_1_2 * 	
C00241 * C00001) /(${Variables:E3_5_1_2_Km} + (E3_5_1_2 * 	
C00241 * C00001))</v>
      </c>
    </row>
    <row r="816" spans="1:11" ht="58" x14ac:dyDescent="0.35">
      <c r="A816" s="31" t="s">
        <v>2280</v>
      </c>
      <c r="B816" s="31" t="s">
        <v>2281</v>
      </c>
      <c r="C816" s="31" t="s">
        <v>14203</v>
      </c>
      <c r="D816" s="31">
        <v>815</v>
      </c>
      <c r="E816" s="31" t="str">
        <f t="shared" si="68"/>
        <v>E3_5_1_2</v>
      </c>
      <c r="F816" s="31" t="s">
        <v>9841</v>
      </c>
      <c r="G816" s="31" t="str">
        <f t="shared" si="69"/>
        <v xml:space="preserve">	
C00064 * C00001</v>
      </c>
      <c r="H816" s="31" t="s">
        <v>10563</v>
      </c>
      <c r="I816" s="31" t="str">
        <f t="shared" si="72"/>
        <v>C00025 * C00014</v>
      </c>
      <c r="J816" s="31" t="str">
        <f t="shared" si="70"/>
        <v>(${Variables: E3_5_1_2_Kcat } * E3_5_1_2 * 	
C00064 * C00001) /(${Variables:E3_5_1_2_Km} + (E3_5_1_2 * 	
C00064 * C00001))</v>
      </c>
      <c r="K816" s="31" t="str">
        <f t="shared" si="71"/>
        <v>r815: 	
C00064 + C00001 -&gt; C00025 + C00014 | (${Variables: E3_5_1_2_Kcat } * E3_5_1_2 * 	
C00064 * C00001) /(${Variables:E3_5_1_2_Km} + (E3_5_1_2 * 	
C00064 * C00001))</v>
      </c>
    </row>
    <row r="817" spans="1:11" ht="29" x14ac:dyDescent="0.35">
      <c r="A817" s="31" t="s">
        <v>2280</v>
      </c>
      <c r="B817" s="31" t="s">
        <v>2281</v>
      </c>
      <c r="C817" s="31" t="s">
        <v>14203</v>
      </c>
      <c r="D817" s="31">
        <v>816</v>
      </c>
      <c r="E817" s="31" t="str">
        <f t="shared" si="68"/>
        <v>E3_5_1_2</v>
      </c>
      <c r="F817" s="31" t="s">
        <v>10565</v>
      </c>
      <c r="G817" s="31" t="str">
        <f t="shared" si="69"/>
        <v>C00819 * C00001</v>
      </c>
      <c r="H817" s="31" t="s">
        <v>10566</v>
      </c>
      <c r="I817" s="31" t="str">
        <f t="shared" si="72"/>
        <v>C00217 * C00014</v>
      </c>
      <c r="J817" s="31" t="str">
        <f t="shared" si="70"/>
        <v>(${Variables: E3_5_1_2_Kcat } * E3_5_1_2 * C00819 * C00001) /(${Variables:E3_5_1_2_Km} + (E3_5_1_2 * C00819 * C00001))</v>
      </c>
      <c r="K817" s="31" t="str">
        <f t="shared" si="71"/>
        <v>r816: C00819 + C00001 -&gt; C00217 + C00014 | (${Variables: E3_5_1_2_Kcat } * E3_5_1_2 * C00819 * C00001) /(${Variables:E3_5_1_2_Km} + (E3_5_1_2 * C00819 * C00001))</v>
      </c>
    </row>
    <row r="818" spans="1:11" ht="58" x14ac:dyDescent="0.35">
      <c r="A818" s="31" t="s">
        <v>2280</v>
      </c>
      <c r="B818" s="31" t="s">
        <v>2281</v>
      </c>
      <c r="C818" s="31" t="s">
        <v>14203</v>
      </c>
      <c r="D818" s="31">
        <v>817</v>
      </c>
      <c r="E818" s="31" t="str">
        <f t="shared" si="68"/>
        <v>E3_5_1_2</v>
      </c>
      <c r="F818" s="31" t="s">
        <v>10568</v>
      </c>
      <c r="G818" s="31" t="str">
        <f t="shared" si="69"/>
        <v xml:space="preserve">	
C00241 * C00001</v>
      </c>
      <c r="H818" s="31" t="s">
        <v>10569</v>
      </c>
      <c r="I818" s="31" t="str">
        <f t="shared" si="72"/>
        <v>C00060 * C00014</v>
      </c>
      <c r="J818" s="31" t="str">
        <f t="shared" si="70"/>
        <v>(${Variables: E3_5_1_2_Kcat } * E3_5_1_2 * 	
C00241 * C00001) /(${Variables:E3_5_1_2_Km} + (E3_5_1_2 * 	
C00241 * C00001))</v>
      </c>
      <c r="K818" s="31" t="str">
        <f t="shared" si="71"/>
        <v>r817: 	
C00241 + C00001 -&gt; C00060 + C00014 | (${Variables: E3_5_1_2_Kcat } * E3_5_1_2 * 	
C00241 * C00001) /(${Variables:E3_5_1_2_Km} + (E3_5_1_2 * 	
C00241 * C00001))</v>
      </c>
    </row>
    <row r="819" spans="1:11" ht="58" x14ac:dyDescent="0.35">
      <c r="A819" s="31" t="s">
        <v>2280</v>
      </c>
      <c r="B819" s="31" t="s">
        <v>2281</v>
      </c>
      <c r="C819" s="31" t="s">
        <v>14204</v>
      </c>
      <c r="D819" s="31">
        <v>818</v>
      </c>
      <c r="E819" s="31" t="str">
        <f t="shared" si="68"/>
        <v>E4_3_3_6</v>
      </c>
      <c r="F819" s="31" t="s">
        <v>9841</v>
      </c>
      <c r="G819" s="31" t="str">
        <f t="shared" si="69"/>
        <v xml:space="preserve">	
C00064 * C00001</v>
      </c>
      <c r="H819" s="31" t="s">
        <v>10563</v>
      </c>
      <c r="I819" s="31" t="str">
        <f t="shared" si="72"/>
        <v>C00025 * C00014</v>
      </c>
      <c r="J819" s="31" t="str">
        <f t="shared" si="70"/>
        <v>(${Variables: E4_3_3_6_Kcat } * E4_3_3_6 * 	
C00064 * C00001) /(${Variables:E4_3_3_6_Km} + (E4_3_3_6 * 	
C00064 * C00001))</v>
      </c>
      <c r="K819" s="31" t="str">
        <f t="shared" si="71"/>
        <v>r818: 	
C00064 + C00001 -&gt; C00025 + C00014 | (${Variables: E4_3_3_6_Kcat } * E4_3_3_6 * 	
C00064 * C00001) /(${Variables:E4_3_3_6_Km} + (E4_3_3_6 * 	
C00064 * C00001))</v>
      </c>
    </row>
    <row r="820" spans="1:11" ht="29" x14ac:dyDescent="0.35">
      <c r="A820" s="31" t="s">
        <v>2280</v>
      </c>
      <c r="B820" s="31" t="s">
        <v>2281</v>
      </c>
      <c r="C820" s="31" t="s">
        <v>14204</v>
      </c>
      <c r="D820" s="31">
        <v>819</v>
      </c>
      <c r="E820" s="31" t="str">
        <f t="shared" si="68"/>
        <v>E4_3_3_6</v>
      </c>
      <c r="F820" s="31" t="s">
        <v>10572</v>
      </c>
      <c r="G820" s="31" t="str">
        <f t="shared" si="69"/>
        <v xml:space="preserve">C00117 * C00118 * C00014 </v>
      </c>
      <c r="H820" s="31" t="s">
        <v>14468</v>
      </c>
      <c r="I820" s="31" t="str">
        <f t="shared" si="72"/>
        <v xml:space="preserve"> C00018 * C00001 * C00009</v>
      </c>
      <c r="J820" s="31" t="str">
        <f t="shared" si="70"/>
        <v>(${Variables: E4_3_3_6_Kcat } * E4_3_3_6 * C00117 * C00118 * C00014 ) /(${Variables:E4_3_3_6_Km} + (E4_3_3_6 * C00117 * C00118 * C00014 ))</v>
      </c>
      <c r="K820" s="31" t="str">
        <f t="shared" si="71"/>
        <v>r819: C00117 + C00118 + C00014  -&gt;  C00018 + C00001 + C00009 | (${Variables: E4_3_3_6_Kcat } * E4_3_3_6 * C00117 * C00118 * C00014 ) /(${Variables:E4_3_3_6_Km} + (E4_3_3_6 * C00117 * C00118 * C00014 ))</v>
      </c>
    </row>
    <row r="821" spans="1:11" ht="58" x14ac:dyDescent="0.35">
      <c r="A821" s="31" t="s">
        <v>2280</v>
      </c>
      <c r="B821" s="31" t="s">
        <v>2281</v>
      </c>
      <c r="C821" s="31" t="s">
        <v>14204</v>
      </c>
      <c r="D821" s="31">
        <v>820</v>
      </c>
      <c r="E821" s="31" t="str">
        <f t="shared" si="68"/>
        <v>E4_3_3_6</v>
      </c>
      <c r="F821" s="31" t="s">
        <v>10575</v>
      </c>
      <c r="G821" s="31" t="str">
        <f t="shared" si="69"/>
        <v xml:space="preserve">	
C00117 * C00118 * C00064</v>
      </c>
      <c r="H821" s="31" t="s">
        <v>14469</v>
      </c>
      <c r="I821" s="31" t="str">
        <f t="shared" si="72"/>
        <v>C00018 * C00025 * C00001 * C00009</v>
      </c>
      <c r="J821" s="31" t="str">
        <f t="shared" si="70"/>
        <v>(${Variables: E4_3_3_6_Kcat } * E4_3_3_6 * 	
C00117 * C00118 * C00064) /(${Variables:E4_3_3_6_Km} + (E4_3_3_6 * 	
C00117 * C00118 * C00064))</v>
      </c>
      <c r="K821" s="31" t="str">
        <f t="shared" si="71"/>
        <v>r820: 	
C00117 + C00118 + C00064 -&gt; C00018 + C00025 + C00001 + C00009 | (${Variables: E4_3_3_6_Kcat } * E4_3_3_6 * 	
C00117 * C00118 * C00064) /(${Variables:E4_3_3_6_Km} + (E4_3_3_6 * 	
C00117 * C00118 * C00064))</v>
      </c>
    </row>
    <row r="822" spans="1:11" ht="58" x14ac:dyDescent="0.35">
      <c r="A822" s="31" t="s">
        <v>2280</v>
      </c>
      <c r="B822" s="31" t="s">
        <v>2281</v>
      </c>
      <c r="C822" s="31" t="s">
        <v>14204</v>
      </c>
      <c r="D822" s="31">
        <v>821</v>
      </c>
      <c r="E822" s="31" t="str">
        <f t="shared" si="68"/>
        <v>E4_3_3_6</v>
      </c>
      <c r="F822" s="31" t="s">
        <v>10578</v>
      </c>
      <c r="G822" s="31" t="str">
        <f t="shared" si="69"/>
        <v xml:space="preserve">	
C00118 * C00199 * C00064 </v>
      </c>
      <c r="H822" s="31" t="s">
        <v>14470</v>
      </c>
      <c r="I822" s="31" t="str">
        <f t="shared" si="72"/>
        <v>C00018 * C00025 * C00009 * C00001</v>
      </c>
      <c r="J822" s="31" t="str">
        <f t="shared" si="70"/>
        <v>(${Variables: E4_3_3_6_Kcat } * E4_3_3_6 * 	
C00118 * C00199 * C00064 ) /(${Variables:E4_3_3_6_Km} + (E4_3_3_6 * 	
C00118 * C00199 * C00064 ))</v>
      </c>
      <c r="K822" s="31" t="str">
        <f t="shared" si="71"/>
        <v>r821: 	
C00118 + C00199 + C00064  -&gt; C00018 + C00025 + C00009 + C00001 | (${Variables: E4_3_3_6_Kcat } * E4_3_3_6 * 	
C00118 * C00199 * C00064 ) /(${Variables:E4_3_3_6_Km} + (E4_3_3_6 * 	
C00118 * C00199 * C00064 ))</v>
      </c>
    </row>
    <row r="823" spans="1:11" ht="58" x14ac:dyDescent="0.35">
      <c r="A823" s="31" t="s">
        <v>7133</v>
      </c>
      <c r="B823" s="31" t="s">
        <v>7134</v>
      </c>
      <c r="C823" s="31" t="s">
        <v>14205</v>
      </c>
      <c r="D823" s="31">
        <v>822</v>
      </c>
      <c r="E823" s="31" t="str">
        <f t="shared" si="68"/>
        <v xml:space="preserve">E3_5_1_2 </v>
      </c>
      <c r="F823" s="31" t="s">
        <v>9841</v>
      </c>
      <c r="G823" s="31" t="str">
        <f t="shared" si="69"/>
        <v xml:space="preserve">	
C00064 * C00001</v>
      </c>
      <c r="H823" s="31" t="s">
        <v>10563</v>
      </c>
      <c r="I823" s="31" t="str">
        <f t="shared" si="72"/>
        <v>C00025 * C00014</v>
      </c>
      <c r="J823" s="31" t="str">
        <f t="shared" si="70"/>
        <v>(${Variables: E3_5_1_2 _Kcat } * E3_5_1_2  * 	
C00064 * C00001) /(${Variables:E3_5_1_2 _Km} + (E3_5_1_2  * 	
C00064 * C00001))</v>
      </c>
      <c r="K823" s="31" t="str">
        <f t="shared" si="71"/>
        <v>r822: 	
C00064 + C00001 -&gt; C00025 + C00014 | (${Variables: E3_5_1_2 _Kcat } * E3_5_1_2  * 	
C00064 * C00001) /(${Variables:E3_5_1_2 _Km} + (E3_5_1_2  * 	
C00064 * C00001))</v>
      </c>
    </row>
    <row r="824" spans="1:11" ht="29" x14ac:dyDescent="0.35">
      <c r="A824" s="31" t="s">
        <v>7133</v>
      </c>
      <c r="B824" s="31" t="s">
        <v>7134</v>
      </c>
      <c r="C824" s="31" t="s">
        <v>14205</v>
      </c>
      <c r="D824" s="31">
        <v>823</v>
      </c>
      <c r="E824" s="31" t="str">
        <f t="shared" si="68"/>
        <v xml:space="preserve">E3_5_1_2 </v>
      </c>
      <c r="F824" s="31" t="s">
        <v>10565</v>
      </c>
      <c r="G824" s="31" t="str">
        <f t="shared" si="69"/>
        <v>C00819 * C00001</v>
      </c>
      <c r="H824" s="31" t="s">
        <v>10566</v>
      </c>
      <c r="I824" s="31" t="str">
        <f t="shared" si="72"/>
        <v>C00217 * C00014</v>
      </c>
      <c r="J824" s="31" t="str">
        <f t="shared" si="70"/>
        <v>(${Variables: E3_5_1_2 _Kcat } * E3_5_1_2  * C00819 * C00001) /(${Variables:E3_5_1_2 _Km} + (E3_5_1_2  * C00819 * C00001))</v>
      </c>
      <c r="K824" s="31" t="str">
        <f t="shared" si="71"/>
        <v>r823: C00819 + C00001 -&gt; C00217 + C00014 | (${Variables: E3_5_1_2 _Kcat } * E3_5_1_2  * C00819 * C00001) /(${Variables:E3_5_1_2 _Km} + (E3_5_1_2  * C00819 * C00001))</v>
      </c>
    </row>
    <row r="825" spans="1:11" ht="58" x14ac:dyDescent="0.35">
      <c r="A825" s="31" t="s">
        <v>7133</v>
      </c>
      <c r="B825" s="31" t="s">
        <v>7134</v>
      </c>
      <c r="C825" s="31" t="s">
        <v>14205</v>
      </c>
      <c r="D825" s="31">
        <v>824</v>
      </c>
      <c r="E825" s="31" t="str">
        <f t="shared" si="68"/>
        <v xml:space="preserve">E3_5_1_2 </v>
      </c>
      <c r="F825" s="31" t="s">
        <v>10568</v>
      </c>
      <c r="G825" s="31" t="str">
        <f t="shared" si="69"/>
        <v xml:space="preserve">	
C00241 * C00001</v>
      </c>
      <c r="H825" s="31" t="s">
        <v>10569</v>
      </c>
      <c r="I825" s="31" t="str">
        <f t="shared" si="72"/>
        <v>C00060 * C00014</v>
      </c>
      <c r="J825" s="31" t="str">
        <f t="shared" si="70"/>
        <v>(${Variables: E3_5_1_2 _Kcat } * E3_5_1_2  * 	
C00241 * C00001) /(${Variables:E3_5_1_2 _Km} + (E3_5_1_2  * 	
C00241 * C00001))</v>
      </c>
      <c r="K825" s="31" t="str">
        <f t="shared" si="71"/>
        <v>r824: 	
C00241 + C00001 -&gt; C00060 + C00014 | (${Variables: E3_5_1_2 _Kcat } * E3_5_1_2  * 	
C00241 * C00001) /(${Variables:E3_5_1_2 _Km} + (E3_5_1_2  * 	
C00241 * C00001))</v>
      </c>
    </row>
    <row r="826" spans="1:11" ht="58" x14ac:dyDescent="0.35">
      <c r="A826" s="31" t="s">
        <v>7133</v>
      </c>
      <c r="B826" s="31" t="s">
        <v>7134</v>
      </c>
      <c r="C826" s="31" t="s">
        <v>14206</v>
      </c>
      <c r="D826" s="31">
        <v>825</v>
      </c>
      <c r="E826" s="31" t="str">
        <f t="shared" si="68"/>
        <v>E6_3_5_3</v>
      </c>
      <c r="F826" s="31" t="s">
        <v>10582</v>
      </c>
      <c r="G826" s="31" t="str">
        <f t="shared" si="69"/>
        <v xml:space="preserve">	
C00002 * C04376 * C00064 * C00001</v>
      </c>
      <c r="H826" s="31" t="s">
        <v>10583</v>
      </c>
      <c r="I826" s="31" t="str">
        <f t="shared" si="72"/>
        <v>C00008 * C00009 * C04640 * C00025</v>
      </c>
      <c r="J826" s="31" t="str">
        <f t="shared" si="70"/>
        <v>(${Variables: E6_3_5_3_Kcat } * E6_3_5_3 * 	
C00002 * C04376 * C00064 * C00001) /(${Variables:E6_3_5_3_Km} + (E6_3_5_3 * 	
C00002 * C04376 * C00064 * C00001))</v>
      </c>
      <c r="K826" s="32" t="str">
        <f t="shared" si="71"/>
        <v>r825: 	
C00002 + C04376 + C00064 + C00001 -&gt; C00008 + C00009 + C04640 + C00025 | (${Variables: E6_3_5_3_Kcat } * E6_3_5_3 * 	
C00002 * C04376 * C00064 * C00001) /(${Variables:E6_3_5_3_Km} + (E6_3_5_3 * 	
C00002 * C04376 * C00064 * C00001))</v>
      </c>
    </row>
    <row r="827" spans="1:11" ht="58" x14ac:dyDescent="0.35">
      <c r="A827" s="31" t="s">
        <v>7276</v>
      </c>
      <c r="B827" s="31" t="s">
        <v>7277</v>
      </c>
      <c r="C827" s="31" t="s">
        <v>14207</v>
      </c>
      <c r="D827" s="31">
        <v>826</v>
      </c>
      <c r="E827" s="31" t="str">
        <f t="shared" si="68"/>
        <v>E3_5_1_25</v>
      </c>
      <c r="F827" s="31" t="s">
        <v>10586</v>
      </c>
      <c r="G827" s="31" t="str">
        <f t="shared" si="69"/>
        <v xml:space="preserve">	
C00357 * C00001 </v>
      </c>
      <c r="H827" s="31" t="s">
        <v>10587</v>
      </c>
      <c r="I827" s="31" t="str">
        <f t="shared" si="72"/>
        <v>C00352 * C00033</v>
      </c>
      <c r="J827" s="31" t="str">
        <f t="shared" si="70"/>
        <v>(${Variables: E3_5_1_25_Kcat } * E3_5_1_25 * 	
C00357 * C00001 ) /(${Variables:E3_5_1_25_Km} + (E3_5_1_25 * 	
C00357 * C00001 ))</v>
      </c>
      <c r="K827" s="32" t="str">
        <f t="shared" si="71"/>
        <v>r826: 	
C00357 + C00001  -&gt; C00352 + C00033 | (${Variables: E3_5_1_25_Kcat } * E3_5_1_25 * 	
C00357 * C00001 ) /(${Variables:E3_5_1_25_Km} + (E3_5_1_25 * 	
C00357 * C00001 ))</v>
      </c>
    </row>
    <row r="828" spans="1:11" ht="29" x14ac:dyDescent="0.35">
      <c r="A828" s="31" t="s">
        <v>289</v>
      </c>
      <c r="B828" s="31" t="s">
        <v>290</v>
      </c>
      <c r="C828" s="31" t="s">
        <v>14208</v>
      </c>
      <c r="D828" s="31">
        <v>827</v>
      </c>
      <c r="E828" s="31" t="str">
        <f t="shared" si="68"/>
        <v>E3_5_1_5</v>
      </c>
      <c r="F828" s="31" t="s">
        <v>10590</v>
      </c>
      <c r="G828" s="31" t="str">
        <f t="shared" si="69"/>
        <v>C00014 * C00288</v>
      </c>
      <c r="H828" s="31" t="s">
        <v>10591</v>
      </c>
      <c r="I828" s="31" t="str">
        <f t="shared" si="72"/>
        <v> C01563 * C00001</v>
      </c>
      <c r="J828" s="31" t="str">
        <f t="shared" si="70"/>
        <v>(${Variables: E3_5_1_5_Kcat } * E3_5_1_5 * C00014 * C00288) /(${Variables:E3_5_1_5_Km} + (E3_5_1_5 * C00014 * C00288))</v>
      </c>
      <c r="K828" s="31" t="str">
        <f t="shared" si="71"/>
        <v>r827: C00014 + C00288 -&gt;  C01563 + C00001 | (${Variables: E3_5_1_5_Kcat } * E3_5_1_5 * C00014 * C00288) /(${Variables:E3_5_1_5_Km} + (E3_5_1_5 * C00014 * C00288))</v>
      </c>
    </row>
    <row r="829" spans="1:11" ht="29" x14ac:dyDescent="0.35">
      <c r="A829" s="31" t="s">
        <v>289</v>
      </c>
      <c r="B829" s="31" t="s">
        <v>290</v>
      </c>
      <c r="C829" s="31" t="s">
        <v>14208</v>
      </c>
      <c r="D829" s="31">
        <v>828</v>
      </c>
      <c r="E829" s="31" t="str">
        <f t="shared" si="68"/>
        <v>E3_5_1_5</v>
      </c>
      <c r="F829" s="31" t="s">
        <v>13915</v>
      </c>
      <c r="G829" s="31" t="str">
        <f t="shared" si="69"/>
        <v xml:space="preserve">C00086 *  C00001 </v>
      </c>
      <c r="H829" s="31" t="s">
        <v>14471</v>
      </c>
      <c r="I829" s="31" t="str">
        <f t="shared" si="72"/>
        <v>C00288 * C00014</v>
      </c>
      <c r="J829" s="31" t="str">
        <f t="shared" si="70"/>
        <v>(${Variables: E3_5_1_5_Kcat } * E3_5_1_5 * C00086 *  C00001 ) /(${Variables:E3_5_1_5_Km} + (E3_5_1_5 * C00086 *  C00001 ))</v>
      </c>
      <c r="K829" s="31" t="str">
        <f t="shared" si="71"/>
        <v>r828: C00086 +  C00001  -&gt; C00288 + C00014 | (${Variables: E3_5_1_5_Kcat } * E3_5_1_5 * C00086 *  C00001 ) /(${Variables:E3_5_1_5_Km} + (E3_5_1_5 * C00086 *  C00001 ))</v>
      </c>
    </row>
    <row r="830" spans="1:11" ht="29" x14ac:dyDescent="0.35">
      <c r="A830" s="31" t="s">
        <v>289</v>
      </c>
      <c r="B830" s="31" t="s">
        <v>290</v>
      </c>
      <c r="C830" s="31" t="s">
        <v>14208</v>
      </c>
      <c r="D830" s="31">
        <v>829</v>
      </c>
      <c r="E830" s="31" t="str">
        <f t="shared" si="68"/>
        <v>E3_5_1_5</v>
      </c>
      <c r="F830" s="31" t="s">
        <v>10595</v>
      </c>
      <c r="G830" s="31" t="str">
        <f t="shared" si="69"/>
        <v xml:space="preserve">C00086 * C00001 </v>
      </c>
      <c r="H830" s="31" t="s">
        <v>10596</v>
      </c>
      <c r="I830" s="31" t="str">
        <f t="shared" si="72"/>
        <v> C01563 * C00014</v>
      </c>
      <c r="J830" s="31" t="str">
        <f t="shared" si="70"/>
        <v>(${Variables: E3_5_1_5_Kcat } * E3_5_1_5 * C00086 * C00001 ) /(${Variables:E3_5_1_5_Km} + (E3_5_1_5 * C00086 * C00001 ))</v>
      </c>
      <c r="K830" s="31" t="str">
        <f t="shared" si="71"/>
        <v>r829: C00086 + C00001  -&gt;  C01563 + C00014 | (${Variables: E3_5_1_5_Kcat } * E3_5_1_5 * C00086 * C00001 ) /(${Variables:E3_5_1_5_Km} + (E3_5_1_5 * C00086 * C00001 ))</v>
      </c>
    </row>
    <row r="831" spans="1:11" ht="29" x14ac:dyDescent="0.35">
      <c r="A831" s="31" t="s">
        <v>289</v>
      </c>
      <c r="B831" s="31" t="s">
        <v>290</v>
      </c>
      <c r="C831" s="31" t="s">
        <v>14208</v>
      </c>
      <c r="D831" s="31">
        <v>830</v>
      </c>
      <c r="E831" s="31" t="str">
        <f t="shared" si="68"/>
        <v>E3_5_1_5</v>
      </c>
      <c r="F831" s="31" t="s">
        <v>10598</v>
      </c>
      <c r="G831" s="31" t="str">
        <f t="shared" si="69"/>
        <v>C00086 * C00001</v>
      </c>
      <c r="H831" s="31" t="s">
        <v>14472</v>
      </c>
      <c r="I831" s="31" t="str">
        <f t="shared" si="72"/>
        <v xml:space="preserve"> C00011 *  C00014</v>
      </c>
      <c r="J831" s="31" t="str">
        <f t="shared" si="70"/>
        <v>(${Variables: E3_5_1_5_Kcat } * E3_5_1_5 * C00086 * C00001) /(${Variables:E3_5_1_5_Km} + (E3_5_1_5 * C00086 * C00001))</v>
      </c>
      <c r="K831" s="31" t="str">
        <f t="shared" si="71"/>
        <v>r830: C00086 + C00001 -&gt;  C00011 +  C00014 | (${Variables: E3_5_1_5_Kcat } * E3_5_1_5 * C00086 * C00001) /(${Variables:E3_5_1_5_Km} + (E3_5_1_5 * C00086 * C00001))</v>
      </c>
    </row>
    <row r="832" spans="1:11" ht="58" x14ac:dyDescent="0.35">
      <c r="A832" s="31" t="s">
        <v>289</v>
      </c>
      <c r="B832" s="31" t="s">
        <v>290</v>
      </c>
      <c r="C832" s="31" t="s">
        <v>14208</v>
      </c>
      <c r="D832" s="31">
        <v>831</v>
      </c>
      <c r="E832" s="31" t="str">
        <f t="shared" si="68"/>
        <v>E3_5_1_5</v>
      </c>
      <c r="F832" s="31" t="s">
        <v>10568</v>
      </c>
      <c r="G832" s="31" t="str">
        <f t="shared" si="69"/>
        <v xml:space="preserve">	
C00241 * C00001</v>
      </c>
      <c r="H832" s="31" t="s">
        <v>10569</v>
      </c>
      <c r="I832" s="31" t="str">
        <f t="shared" si="72"/>
        <v>C00060 * C00014</v>
      </c>
      <c r="J832" s="31" t="str">
        <f t="shared" si="70"/>
        <v>(${Variables: E3_5_1_5_Kcat } * E3_5_1_5 * 	
C00241 * C00001) /(${Variables:E3_5_1_5_Km} + (E3_5_1_5 * 	
C00241 * C00001))</v>
      </c>
      <c r="K832" s="31" t="str">
        <f t="shared" si="71"/>
        <v>r831: 	
C00241 + C00001 -&gt; C00060 + C00014 | (${Variables: E3_5_1_5_Kcat } * E3_5_1_5 * 	
C00241 * C00001) /(${Variables:E3_5_1_5_Km} + (E3_5_1_5 * 	
C00241 * C00001))</v>
      </c>
    </row>
    <row r="833" spans="1:11" ht="29" x14ac:dyDescent="0.35">
      <c r="A833" s="31" t="s">
        <v>292</v>
      </c>
      <c r="B833" s="31" t="s">
        <v>293</v>
      </c>
      <c r="C833" s="31" t="s">
        <v>14208</v>
      </c>
      <c r="D833" s="31">
        <v>832</v>
      </c>
      <c r="E833" s="31" t="str">
        <f t="shared" si="68"/>
        <v>E3_5_1_5</v>
      </c>
      <c r="F833" s="31" t="s">
        <v>10590</v>
      </c>
      <c r="G833" s="31" t="str">
        <f t="shared" si="69"/>
        <v>C00014 * C00288</v>
      </c>
      <c r="H833" s="31" t="s">
        <v>10591</v>
      </c>
      <c r="I833" s="31" t="str">
        <f t="shared" si="72"/>
        <v> C01563 * C00001</v>
      </c>
      <c r="J833" s="31" t="str">
        <f t="shared" si="70"/>
        <v>(${Variables: E3_5_1_5_Kcat } * E3_5_1_5 * C00014 * C00288) /(${Variables:E3_5_1_5_Km} + (E3_5_1_5 * C00014 * C00288))</v>
      </c>
      <c r="K833" s="31" t="str">
        <f t="shared" si="71"/>
        <v>r832: C00014 + C00288 -&gt;  C01563 + C00001 | (${Variables: E3_5_1_5_Kcat } * E3_5_1_5 * C00014 * C00288) /(${Variables:E3_5_1_5_Km} + (E3_5_1_5 * C00014 * C00288))</v>
      </c>
    </row>
    <row r="834" spans="1:11" ht="29" x14ac:dyDescent="0.35">
      <c r="A834" s="31" t="s">
        <v>292</v>
      </c>
      <c r="B834" s="31" t="s">
        <v>293</v>
      </c>
      <c r="C834" s="31" t="s">
        <v>14208</v>
      </c>
      <c r="D834" s="31">
        <v>833</v>
      </c>
      <c r="E834" s="31" t="str">
        <f t="shared" ref="E834:E897" si="73">CONCATENATE("E",C834)</f>
        <v>E3_5_1_5</v>
      </c>
      <c r="F834" s="31" t="s">
        <v>13915</v>
      </c>
      <c r="G834" s="31" t="str">
        <f t="shared" ref="G834:G897" si="74">SUBSTITUTE(F834,"+","*")</f>
        <v xml:space="preserve">C00086 *  C00001 </v>
      </c>
      <c r="H834" s="31" t="s">
        <v>14471</v>
      </c>
      <c r="I834" s="31" t="str">
        <f t="shared" si="72"/>
        <v>C00288 * C00014</v>
      </c>
      <c r="J834" s="31" t="str">
        <f t="shared" ref="J834:J897" si="75">CONCATENATE("(${Variables: ",E834,"_Kcat ","} * ",E834," * ",G834,")"," /(${Variables:",E834,"_Km","} + (",E834," * ",G834,"))")</f>
        <v>(${Variables: E3_5_1_5_Kcat } * E3_5_1_5 * C00086 *  C00001 ) /(${Variables:E3_5_1_5_Km} + (E3_5_1_5 * C00086 *  C00001 ))</v>
      </c>
      <c r="K834" s="31" t="str">
        <f t="shared" ref="K834:K897" si="76">CONCATENATE("r",D834,": ",F834," -&gt; ",H834," | ",J834)</f>
        <v>r833: C00086 +  C00001  -&gt; C00288 + C00014 | (${Variables: E3_5_1_5_Kcat } * E3_5_1_5 * C00086 *  C00001 ) /(${Variables:E3_5_1_5_Km} + (E3_5_1_5 * C00086 *  C00001 ))</v>
      </c>
    </row>
    <row r="835" spans="1:11" ht="29" x14ac:dyDescent="0.35">
      <c r="A835" s="31" t="s">
        <v>292</v>
      </c>
      <c r="B835" s="31" t="s">
        <v>293</v>
      </c>
      <c r="C835" s="31" t="s">
        <v>14208</v>
      </c>
      <c r="D835" s="31">
        <v>834</v>
      </c>
      <c r="E835" s="31" t="str">
        <f t="shared" si="73"/>
        <v>E3_5_1_5</v>
      </c>
      <c r="F835" s="31" t="s">
        <v>10595</v>
      </c>
      <c r="G835" s="31" t="str">
        <f t="shared" si="74"/>
        <v xml:space="preserve">C00086 * C00001 </v>
      </c>
      <c r="H835" s="31" t="s">
        <v>10596</v>
      </c>
      <c r="I835" s="31" t="str">
        <f t="shared" si="72"/>
        <v> C01563 * C00014</v>
      </c>
      <c r="J835" s="31" t="str">
        <f t="shared" si="75"/>
        <v>(${Variables: E3_5_1_5_Kcat } * E3_5_1_5 * C00086 * C00001 ) /(${Variables:E3_5_1_5_Km} + (E3_5_1_5 * C00086 * C00001 ))</v>
      </c>
      <c r="K835" s="31" t="str">
        <f t="shared" si="76"/>
        <v>r834: C00086 + C00001  -&gt;  C01563 + C00014 | (${Variables: E3_5_1_5_Kcat } * E3_5_1_5 * C00086 * C00001 ) /(${Variables:E3_5_1_5_Km} + (E3_5_1_5 * C00086 * C00001 ))</v>
      </c>
    </row>
    <row r="836" spans="1:11" ht="29" x14ac:dyDescent="0.35">
      <c r="A836" s="31" t="s">
        <v>292</v>
      </c>
      <c r="B836" s="31" t="s">
        <v>293</v>
      </c>
      <c r="C836" s="31" t="s">
        <v>14208</v>
      </c>
      <c r="D836" s="31">
        <v>835</v>
      </c>
      <c r="E836" s="31" t="str">
        <f t="shared" si="73"/>
        <v>E3_5_1_5</v>
      </c>
      <c r="F836" s="31" t="s">
        <v>10598</v>
      </c>
      <c r="G836" s="31" t="str">
        <f t="shared" si="74"/>
        <v>C00086 * C00001</v>
      </c>
      <c r="H836" s="31" t="s">
        <v>14473</v>
      </c>
      <c r="I836" s="31" t="str">
        <f t="shared" ref="I836:I899" si="77">SUBSTITUTE(H836,"+","*")</f>
        <v> C00011 * C00014</v>
      </c>
      <c r="J836" s="31" t="str">
        <f t="shared" si="75"/>
        <v>(${Variables: E3_5_1_5_Kcat } * E3_5_1_5 * C00086 * C00001) /(${Variables:E3_5_1_5_Km} + (E3_5_1_5 * C00086 * C00001))</v>
      </c>
      <c r="K836" s="31" t="str">
        <f t="shared" si="76"/>
        <v>r835: C00086 + C00001 -&gt;  C00011 + C00014 | (${Variables: E3_5_1_5_Kcat } * E3_5_1_5 * C00086 * C00001) /(${Variables:E3_5_1_5_Km} + (E3_5_1_5 * C00086 * C00001))</v>
      </c>
    </row>
    <row r="837" spans="1:11" ht="58" x14ac:dyDescent="0.35">
      <c r="A837" s="31" t="s">
        <v>292</v>
      </c>
      <c r="B837" s="31" t="s">
        <v>293</v>
      </c>
      <c r="C837" s="31" t="s">
        <v>14208</v>
      </c>
      <c r="D837" s="31">
        <v>836</v>
      </c>
      <c r="E837" s="31" t="str">
        <f t="shared" si="73"/>
        <v>E3_5_1_5</v>
      </c>
      <c r="F837" s="31" t="s">
        <v>10568</v>
      </c>
      <c r="G837" s="31" t="str">
        <f t="shared" si="74"/>
        <v xml:space="preserve">	
C00241 * C00001</v>
      </c>
      <c r="H837" s="31" t="s">
        <v>10569</v>
      </c>
      <c r="I837" s="31" t="str">
        <f t="shared" si="77"/>
        <v>C00060 * C00014</v>
      </c>
      <c r="J837" s="31" t="str">
        <f t="shared" si="75"/>
        <v>(${Variables: E3_5_1_5_Kcat } * E3_5_1_5 * 	
C00241 * C00001) /(${Variables:E3_5_1_5_Km} + (E3_5_1_5 * 	
C00241 * C00001))</v>
      </c>
      <c r="K837" s="31" t="str">
        <f t="shared" si="76"/>
        <v>r836: 	
C00241 + C00001 -&gt; C00060 + C00014 | (${Variables: E3_5_1_5_Kcat } * E3_5_1_5 * 	
C00241 * C00001) /(${Variables:E3_5_1_5_Km} + (E3_5_1_5 * 	
C00241 * C00001))</v>
      </c>
    </row>
    <row r="838" spans="1:11" ht="29" x14ac:dyDescent="0.35">
      <c r="A838" s="31" t="s">
        <v>296</v>
      </c>
      <c r="B838" s="31" t="s">
        <v>297</v>
      </c>
      <c r="C838" s="31" t="s">
        <v>14208</v>
      </c>
      <c r="D838" s="31">
        <v>837</v>
      </c>
      <c r="E838" s="31" t="str">
        <f t="shared" si="73"/>
        <v>E3_5_1_5</v>
      </c>
      <c r="F838" s="31" t="s">
        <v>10590</v>
      </c>
      <c r="G838" s="31" t="str">
        <f t="shared" si="74"/>
        <v>C00014 * C00288</v>
      </c>
      <c r="H838" s="31" t="s">
        <v>10591</v>
      </c>
      <c r="I838" s="31" t="str">
        <f t="shared" si="77"/>
        <v> C01563 * C00001</v>
      </c>
      <c r="J838" s="31" t="str">
        <f t="shared" si="75"/>
        <v>(${Variables: E3_5_1_5_Kcat } * E3_5_1_5 * C00014 * C00288) /(${Variables:E3_5_1_5_Km} + (E3_5_1_5 * C00014 * C00288))</v>
      </c>
      <c r="K838" s="31" t="str">
        <f t="shared" si="76"/>
        <v>r837: C00014 + C00288 -&gt;  C01563 + C00001 | (${Variables: E3_5_1_5_Kcat } * E3_5_1_5 * C00014 * C00288) /(${Variables:E3_5_1_5_Km} + (E3_5_1_5 * C00014 * C00288))</v>
      </c>
    </row>
    <row r="839" spans="1:11" ht="29" x14ac:dyDescent="0.35">
      <c r="A839" s="31" t="s">
        <v>296</v>
      </c>
      <c r="B839" s="31" t="s">
        <v>297</v>
      </c>
      <c r="C839" s="31" t="s">
        <v>14208</v>
      </c>
      <c r="D839" s="31">
        <v>838</v>
      </c>
      <c r="E839" s="31" t="str">
        <f t="shared" si="73"/>
        <v>E3_5_1_5</v>
      </c>
      <c r="F839" s="31" t="s">
        <v>13915</v>
      </c>
      <c r="G839" s="31" t="str">
        <f t="shared" si="74"/>
        <v xml:space="preserve">C00086 *  C00001 </v>
      </c>
      <c r="H839" s="31" t="s">
        <v>14474</v>
      </c>
      <c r="I839" s="31" t="str">
        <f t="shared" si="77"/>
        <v>C00288 * C00014</v>
      </c>
      <c r="J839" s="31" t="str">
        <f t="shared" si="75"/>
        <v>(${Variables: E3_5_1_5_Kcat } * E3_5_1_5 * C00086 *  C00001 ) /(${Variables:E3_5_1_5_Km} + (E3_5_1_5 * C00086 *  C00001 ))</v>
      </c>
      <c r="K839" s="31" t="str">
        <f t="shared" si="76"/>
        <v>r838: C00086 +  C00001  -&gt; C00288 + C00014 | (${Variables: E3_5_1_5_Kcat } * E3_5_1_5 * C00086 *  C00001 ) /(${Variables:E3_5_1_5_Km} + (E3_5_1_5 * C00086 *  C00001 ))</v>
      </c>
    </row>
    <row r="840" spans="1:11" ht="29" x14ac:dyDescent="0.35">
      <c r="A840" s="31" t="s">
        <v>296</v>
      </c>
      <c r="B840" s="31" t="s">
        <v>297</v>
      </c>
      <c r="C840" s="31" t="s">
        <v>14208</v>
      </c>
      <c r="D840" s="31">
        <v>839</v>
      </c>
      <c r="E840" s="31" t="str">
        <f t="shared" si="73"/>
        <v>E3_5_1_5</v>
      </c>
      <c r="F840" s="31" t="s">
        <v>10595</v>
      </c>
      <c r="G840" s="31" t="str">
        <f t="shared" si="74"/>
        <v xml:space="preserve">C00086 * C00001 </v>
      </c>
      <c r="H840" s="31" t="s">
        <v>10596</v>
      </c>
      <c r="I840" s="31" t="str">
        <f t="shared" si="77"/>
        <v> C01563 * C00014</v>
      </c>
      <c r="J840" s="31" t="str">
        <f t="shared" si="75"/>
        <v>(${Variables: E3_5_1_5_Kcat } * E3_5_1_5 * C00086 * C00001 ) /(${Variables:E3_5_1_5_Km} + (E3_5_1_5 * C00086 * C00001 ))</v>
      </c>
      <c r="K840" s="31" t="str">
        <f t="shared" si="76"/>
        <v>r839: C00086 + C00001  -&gt;  C01563 + C00014 | (${Variables: E3_5_1_5_Kcat } * E3_5_1_5 * C00086 * C00001 ) /(${Variables:E3_5_1_5_Km} + (E3_5_1_5 * C00086 * C00001 ))</v>
      </c>
    </row>
    <row r="841" spans="1:11" ht="29" x14ac:dyDescent="0.35">
      <c r="A841" s="31" t="s">
        <v>296</v>
      </c>
      <c r="B841" s="31" t="s">
        <v>297</v>
      </c>
      <c r="C841" s="31" t="s">
        <v>14208</v>
      </c>
      <c r="D841" s="31">
        <v>840</v>
      </c>
      <c r="E841" s="31" t="str">
        <f t="shared" si="73"/>
        <v>E3_5_1_5</v>
      </c>
      <c r="F841" s="31" t="s">
        <v>10598</v>
      </c>
      <c r="G841" s="31" t="str">
        <f t="shared" si="74"/>
        <v>C00086 * C00001</v>
      </c>
      <c r="H841" s="31" t="s">
        <v>14473</v>
      </c>
      <c r="I841" s="31" t="str">
        <f t="shared" si="77"/>
        <v> C00011 * C00014</v>
      </c>
      <c r="J841" s="31" t="str">
        <f t="shared" si="75"/>
        <v>(${Variables: E3_5_1_5_Kcat } * E3_5_1_5 * C00086 * C00001) /(${Variables:E3_5_1_5_Km} + (E3_5_1_5 * C00086 * C00001))</v>
      </c>
      <c r="K841" s="31" t="str">
        <f t="shared" si="76"/>
        <v>r840: C00086 + C00001 -&gt;  C00011 + C00014 | (${Variables: E3_5_1_5_Kcat } * E3_5_1_5 * C00086 * C00001) /(${Variables:E3_5_1_5_Km} + (E3_5_1_5 * C00086 * C00001))</v>
      </c>
    </row>
    <row r="842" spans="1:11" ht="58" x14ac:dyDescent="0.35">
      <c r="A842" s="31" t="s">
        <v>296</v>
      </c>
      <c r="B842" s="31" t="s">
        <v>297</v>
      </c>
      <c r="C842" s="31" t="s">
        <v>14208</v>
      </c>
      <c r="D842" s="31">
        <v>841</v>
      </c>
      <c r="E842" s="31" t="str">
        <f t="shared" si="73"/>
        <v>E3_5_1_5</v>
      </c>
      <c r="F842" s="31" t="s">
        <v>10568</v>
      </c>
      <c r="G842" s="31" t="str">
        <f t="shared" si="74"/>
        <v xml:space="preserve">	
C00241 * C00001</v>
      </c>
      <c r="H842" s="31" t="s">
        <v>10569</v>
      </c>
      <c r="I842" s="31" t="str">
        <f t="shared" si="77"/>
        <v>C00060 * C00014</v>
      </c>
      <c r="J842" s="31" t="str">
        <f t="shared" si="75"/>
        <v>(${Variables: E3_5_1_5_Kcat } * E3_5_1_5 * 	
C00241 * C00001) /(${Variables:E3_5_1_5_Km} + (E3_5_1_5 * 	
C00241 * C00001))</v>
      </c>
      <c r="K842" s="31" t="str">
        <f t="shared" si="76"/>
        <v>r841: 	
C00241 + C00001 -&gt; C00060 + C00014 | (${Variables: E3_5_1_5_Kcat } * E3_5_1_5 * 	
C00241 * C00001) /(${Variables:E3_5_1_5_Km} + (E3_5_1_5 * 	
C00241 * C00001))</v>
      </c>
    </row>
    <row r="843" spans="1:11" ht="58" x14ac:dyDescent="0.35">
      <c r="A843" s="31" t="s">
        <v>4525</v>
      </c>
      <c r="B843" s="31" t="s">
        <v>4526</v>
      </c>
      <c r="C843" s="31" t="s">
        <v>14209</v>
      </c>
      <c r="D843" s="31">
        <v>842</v>
      </c>
      <c r="E843" s="31" t="str">
        <f t="shared" si="73"/>
        <v>E3_5_1_88</v>
      </c>
      <c r="F843" s="31" t="s">
        <v>10603</v>
      </c>
      <c r="G843" s="31" t="str">
        <f t="shared" si="74"/>
        <v xml:space="preserve">	
C11439 * C00001</v>
      </c>
      <c r="H843" s="31" t="s">
        <v>10604</v>
      </c>
      <c r="I843" s="31" t="str">
        <f t="shared" si="77"/>
        <v>C11440 * C00058</v>
      </c>
      <c r="J843" s="31" t="str">
        <f t="shared" si="75"/>
        <v>(${Variables: E3_5_1_88_Kcat } * E3_5_1_88 * 	
C11439 * C00001) /(${Variables:E3_5_1_88_Km} + (E3_5_1_88 * 	
C11439 * C00001))</v>
      </c>
      <c r="K843" s="32" t="str">
        <f t="shared" si="76"/>
        <v>r842: 	
C11439 + C00001 -&gt; C11440 + C00058 | (${Variables: E3_5_1_88_Kcat } * E3_5_1_88 * 	
C11439 * C00001) /(${Variables:E3_5_1_88_Km} + (E3_5_1_88 * 	
C11439 * C00001))</v>
      </c>
    </row>
    <row r="844" spans="1:11" ht="58" x14ac:dyDescent="0.35">
      <c r="A844" s="31" t="s">
        <v>4525</v>
      </c>
      <c r="B844" s="31" t="s">
        <v>4526</v>
      </c>
      <c r="C844" s="31" t="s">
        <v>14209</v>
      </c>
      <c r="D844" s="31">
        <v>843</v>
      </c>
      <c r="E844" s="31" t="str">
        <f t="shared" si="73"/>
        <v>E3_5_1_88</v>
      </c>
      <c r="F844" s="31" t="s">
        <v>10606</v>
      </c>
      <c r="G844" s="31" t="str">
        <f t="shared" si="74"/>
        <v xml:space="preserve">	
C04258 * C00001</v>
      </c>
      <c r="H844" s="31" t="s">
        <v>10607</v>
      </c>
      <c r="I844" s="31" t="str">
        <f t="shared" si="77"/>
        <v> C00058 * C03617</v>
      </c>
      <c r="J844" s="31" t="str">
        <f t="shared" si="75"/>
        <v>(${Variables: E3_5_1_88_Kcat } * E3_5_1_88 * 	
C04258 * C00001) /(${Variables:E3_5_1_88_Km} + (E3_5_1_88 * 	
C04258 * C00001))</v>
      </c>
      <c r="K844" s="32" t="str">
        <f t="shared" si="76"/>
        <v>r843: 	
C04258 + C00001 -&gt;  C00058 + C03617 | (${Variables: E3_5_1_88_Kcat } * E3_5_1_88 * 	
C04258 * C00001) /(${Variables:E3_5_1_88_Km} + (E3_5_1_88 * 	
C04258 * C00001))</v>
      </c>
    </row>
    <row r="845" spans="1:11" ht="58" x14ac:dyDescent="0.35">
      <c r="A845" s="31" t="s">
        <v>7516</v>
      </c>
      <c r="B845" s="31" t="s">
        <v>7517</v>
      </c>
      <c r="C845" s="31" t="s">
        <v>14209</v>
      </c>
      <c r="D845" s="31">
        <v>844</v>
      </c>
      <c r="E845" s="31" t="str">
        <f t="shared" si="73"/>
        <v>E3_5_1_88</v>
      </c>
      <c r="F845" s="31" t="s">
        <v>10603</v>
      </c>
      <c r="G845" s="31" t="str">
        <f t="shared" si="74"/>
        <v xml:space="preserve">	
C11439 * C00001</v>
      </c>
      <c r="H845" s="31" t="s">
        <v>10604</v>
      </c>
      <c r="I845" s="31" t="str">
        <f t="shared" si="77"/>
        <v>C11440 * C00058</v>
      </c>
      <c r="J845" s="31" t="str">
        <f t="shared" si="75"/>
        <v>(${Variables: E3_5_1_88_Kcat } * E3_5_1_88 * 	
C11439 * C00001) /(${Variables:E3_5_1_88_Km} + (E3_5_1_88 * 	
C11439 * C00001))</v>
      </c>
      <c r="K845" s="32" t="str">
        <f t="shared" si="76"/>
        <v>r844: 	
C11439 + C00001 -&gt; C11440 + C00058 | (${Variables: E3_5_1_88_Kcat } * E3_5_1_88 * 	
C11439 * C00001) /(${Variables:E3_5_1_88_Km} + (E3_5_1_88 * 	
C11439 * C00001))</v>
      </c>
    </row>
    <row r="846" spans="1:11" ht="58" x14ac:dyDescent="0.35">
      <c r="A846" s="31" t="s">
        <v>7516</v>
      </c>
      <c r="B846" s="31" t="s">
        <v>7517</v>
      </c>
      <c r="C846" s="31" t="s">
        <v>14209</v>
      </c>
      <c r="D846" s="31">
        <v>845</v>
      </c>
      <c r="E846" s="31" t="str">
        <f t="shared" si="73"/>
        <v>E3_5_1_88</v>
      </c>
      <c r="F846" s="31" t="s">
        <v>10606</v>
      </c>
      <c r="G846" s="31" t="str">
        <f t="shared" si="74"/>
        <v xml:space="preserve">	
C04258 * C00001</v>
      </c>
      <c r="H846" s="31" t="s">
        <v>10607</v>
      </c>
      <c r="I846" s="31" t="str">
        <f t="shared" si="77"/>
        <v> C00058 * C03617</v>
      </c>
      <c r="J846" s="31" t="str">
        <f t="shared" si="75"/>
        <v>(${Variables: E3_5_1_88_Kcat } * E3_5_1_88 * 	
C04258 * C00001) /(${Variables:E3_5_1_88_Km} + (E3_5_1_88 * 	
C04258 * C00001))</v>
      </c>
      <c r="K846" s="32" t="str">
        <f t="shared" si="76"/>
        <v>r845: 	
C04258 + C00001 -&gt;  C00058 + C03617 | (${Variables: E3_5_1_88_Kcat } * E3_5_1_88 * 	
C04258 * C00001) /(${Variables:E3_5_1_88_Km} + (E3_5_1_88 * 	
C04258 * C00001))</v>
      </c>
    </row>
    <row r="847" spans="1:11" ht="58" x14ac:dyDescent="0.35">
      <c r="A847" s="31" t="s">
        <v>4563</v>
      </c>
      <c r="B847" s="31" t="s">
        <v>4564</v>
      </c>
      <c r="C847" s="31" t="s">
        <v>14210</v>
      </c>
      <c r="D847" s="31">
        <v>846</v>
      </c>
      <c r="E847" s="31" t="str">
        <f t="shared" si="73"/>
        <v>E3_5_2_3</v>
      </c>
      <c r="F847" s="31" t="s">
        <v>10610</v>
      </c>
      <c r="G847" s="31" t="str">
        <f t="shared" si="74"/>
        <v xml:space="preserve">	
C00337 * C00001 </v>
      </c>
      <c r="H847" s="31" t="s">
        <v>10611</v>
      </c>
      <c r="I847" s="31" t="str">
        <f t="shared" si="77"/>
        <v> C00438</v>
      </c>
      <c r="J847" s="31" t="str">
        <f t="shared" si="75"/>
        <v>(${Variables: E3_5_2_3_Kcat } * E3_5_2_3 * 	
C00337 * C00001 ) /(${Variables:E3_5_2_3_Km} + (E3_5_2_3 * 	
C00337 * C00001 ))</v>
      </c>
      <c r="K847" s="32" t="str">
        <f t="shared" si="76"/>
        <v>r846: 	
C00337 + C00001  -&gt;  C00438 | (${Variables: E3_5_2_3_Kcat } * E3_5_2_3 * 	
C00337 * C00001 ) /(${Variables:E3_5_2_3_Km} + (E3_5_2_3 * 	
C00337 * C00001 ))</v>
      </c>
    </row>
    <row r="848" spans="1:11" ht="58" x14ac:dyDescent="0.35">
      <c r="A848" s="31" t="s">
        <v>2887</v>
      </c>
      <c r="B848" s="31" t="s">
        <v>2888</v>
      </c>
      <c r="C848" s="31" t="s">
        <v>14211</v>
      </c>
      <c r="D848" s="31">
        <v>847</v>
      </c>
      <c r="E848" s="31" t="str">
        <f t="shared" si="73"/>
        <v>E3_5_2_9</v>
      </c>
      <c r="F848" s="31" t="s">
        <v>13916</v>
      </c>
      <c r="G848" s="31" t="str">
        <f t="shared" si="74"/>
        <v xml:space="preserve">	
C00002 * C01879 * C00001 </v>
      </c>
      <c r="H848" s="31" t="s">
        <v>10614</v>
      </c>
      <c r="I848" s="31" t="str">
        <f t="shared" si="77"/>
        <v>C00008 * C00009 * C00025</v>
      </c>
      <c r="J848" s="31" t="str">
        <f t="shared" si="75"/>
        <v>(${Variables: E3_5_2_9_Kcat } * E3_5_2_9 * 	
C00002 * C01879 * C00001 ) /(${Variables:E3_5_2_9_Km} + (E3_5_2_9 * 	
C00002 * C01879 * C00001 ))</v>
      </c>
      <c r="K848" s="31" t="str">
        <f t="shared" si="76"/>
        <v>r847: 	
C00002 + C01879 + C00001  -&gt; C00008 + C00009 + C00025 | (${Variables: E3_5_2_9_Kcat } * E3_5_2_9 * 	
C00002 * C01879 * C00001 ) /(${Variables:E3_5_2_9_Km} + (E3_5_2_9 * 	
C00002 * C01879 * C00001 ))</v>
      </c>
    </row>
    <row r="849" spans="1:11" ht="29" x14ac:dyDescent="0.35">
      <c r="A849" s="31" t="s">
        <v>7782</v>
      </c>
      <c r="B849" s="31" t="s">
        <v>7783</v>
      </c>
      <c r="C849" s="31" t="s">
        <v>14212</v>
      </c>
      <c r="D849" s="31">
        <v>848</v>
      </c>
      <c r="E849" s="31" t="str">
        <f t="shared" si="73"/>
        <v>E3_5_4_13</v>
      </c>
      <c r="F849" s="31" t="s">
        <v>10617</v>
      </c>
      <c r="G849" s="31" t="str">
        <f t="shared" si="74"/>
        <v>C00458 * C00001</v>
      </c>
      <c r="H849" s="31" t="s">
        <v>10618</v>
      </c>
      <c r="I849" s="31" t="str">
        <f t="shared" si="77"/>
        <v>C00460 * C00014</v>
      </c>
      <c r="J849" s="31" t="str">
        <f t="shared" si="75"/>
        <v>(${Variables: E3_5_4_13_Kcat } * E3_5_4_13 * C00458 * C00001) /(${Variables:E3_5_4_13_Km} + (E3_5_4_13 * C00458 * C00001))</v>
      </c>
      <c r="K849" s="32" t="str">
        <f t="shared" si="76"/>
        <v>r848: C00458 + C00001 -&gt; C00460 + C00014 | (${Variables: E3_5_4_13_Kcat } * E3_5_4_13 * C00458 * C00001) /(${Variables:E3_5_4_13_Km} + (E3_5_4_13 * C00458 * C00001))</v>
      </c>
    </row>
    <row r="850" spans="1:11" ht="58" x14ac:dyDescent="0.35">
      <c r="A850" s="31" t="s">
        <v>7402</v>
      </c>
      <c r="B850" s="31" t="s">
        <v>7403</v>
      </c>
      <c r="C850" s="31" t="s">
        <v>14213</v>
      </c>
      <c r="D850" s="31">
        <v>849</v>
      </c>
      <c r="E850" s="31" t="str">
        <f t="shared" si="73"/>
        <v>E3_5_4_16</v>
      </c>
      <c r="F850" s="31" t="s">
        <v>10621</v>
      </c>
      <c r="G850" s="31" t="str">
        <f t="shared" si="74"/>
        <v xml:space="preserve">	
C00044 * C00001 </v>
      </c>
      <c r="H850" s="31" t="s">
        <v>10622</v>
      </c>
      <c r="I850" s="31" t="str">
        <f t="shared" si="77"/>
        <v> C04895 * C00058</v>
      </c>
      <c r="J850" s="31" t="str">
        <f t="shared" si="75"/>
        <v>(${Variables: E3_5_4_16_Kcat } * E3_5_4_16 * 	
C00044 * C00001 ) /(${Variables:E3_5_4_16_Km} + (E3_5_4_16 * 	
C00044 * C00001 ))</v>
      </c>
      <c r="K850" s="32" t="str">
        <f t="shared" si="76"/>
        <v>r849: 	
C00044 + C00001  -&gt;  C04895 + C00058 | (${Variables: E3_5_4_16_Kcat } * E3_5_4_16 * 	
C00044 * C00001 ) /(${Variables:E3_5_4_16_Km} + (E3_5_4_16 * 	
C00044 * C00001 ))</v>
      </c>
    </row>
    <row r="851" spans="1:11" ht="29" x14ac:dyDescent="0.35">
      <c r="A851" s="31" t="s">
        <v>7402</v>
      </c>
      <c r="B851" s="31" t="s">
        <v>7403</v>
      </c>
      <c r="C851" s="31" t="s">
        <v>14213</v>
      </c>
      <c r="D851" s="31">
        <v>850</v>
      </c>
      <c r="E851" s="31" t="str">
        <f t="shared" si="73"/>
        <v>E3_5_4_16</v>
      </c>
      <c r="F851" s="31" t="s">
        <v>10624</v>
      </c>
      <c r="G851" s="31" t="str">
        <f t="shared" si="74"/>
        <v>C00044 * C00001</v>
      </c>
      <c r="H851" s="31" t="s">
        <v>10625</v>
      </c>
      <c r="I851" s="31" t="str">
        <f t="shared" si="77"/>
        <v> C05922</v>
      </c>
      <c r="J851" s="31" t="str">
        <f t="shared" si="75"/>
        <v>(${Variables: E3_5_4_16_Kcat } * E3_5_4_16 * C00044 * C00001) /(${Variables:E3_5_4_16_Km} + (E3_5_4_16 * C00044 * C00001))</v>
      </c>
      <c r="K851" s="32" t="str">
        <f t="shared" si="76"/>
        <v>r850: C00044 + C00001 -&gt;  C05922 | (${Variables: E3_5_4_16_Kcat } * E3_5_4_16 * C00044 * C00001) /(${Variables:E3_5_4_16_Km} + (E3_5_4_16 * C00044 * C00001))</v>
      </c>
    </row>
    <row r="852" spans="1:11" ht="58" x14ac:dyDescent="0.35">
      <c r="A852" s="31" t="s">
        <v>7402</v>
      </c>
      <c r="B852" s="31" t="s">
        <v>7403</v>
      </c>
      <c r="C852" s="31" t="s">
        <v>14213</v>
      </c>
      <c r="D852" s="31">
        <v>851</v>
      </c>
      <c r="E852" s="31" t="str">
        <f t="shared" si="73"/>
        <v>E3_5_4_16</v>
      </c>
      <c r="F852" s="31" t="s">
        <v>10627</v>
      </c>
      <c r="G852" s="31" t="str">
        <f t="shared" si="74"/>
        <v xml:space="preserve">	
C04895 * C00001</v>
      </c>
      <c r="H852" s="31" t="s">
        <v>10628</v>
      </c>
      <c r="I852" s="31" t="str">
        <f t="shared" si="77"/>
        <v> C06148</v>
      </c>
      <c r="J852" s="31" t="str">
        <f t="shared" si="75"/>
        <v>(${Variables: E3_5_4_16_Kcat } * E3_5_4_16 * 	
C04895 * C00001) /(${Variables:E3_5_4_16_Km} + (E3_5_4_16 * 	
C04895 * C00001))</v>
      </c>
      <c r="K852" s="32" t="str">
        <f t="shared" si="76"/>
        <v>r851: 	
C04895 + C00001 -&gt;  C06148 | (${Variables: E3_5_4_16_Kcat } * E3_5_4_16 * 	
C04895 * C00001) /(${Variables:E3_5_4_16_Km} + (E3_5_4_16 * 	
C04895 * C00001))</v>
      </c>
    </row>
    <row r="853" spans="1:11" ht="58" x14ac:dyDescent="0.35">
      <c r="A853" s="31" t="s">
        <v>7402</v>
      </c>
      <c r="B853" s="31" t="s">
        <v>7403</v>
      </c>
      <c r="C853" s="31" t="s">
        <v>14213</v>
      </c>
      <c r="D853" s="31">
        <v>852</v>
      </c>
      <c r="E853" s="31" t="str">
        <f t="shared" si="73"/>
        <v>E3_5_4_16</v>
      </c>
      <c r="F853" s="31" t="s">
        <v>10630</v>
      </c>
      <c r="G853" s="31" t="str">
        <f t="shared" si="74"/>
        <v xml:space="preserve">	
C05922 * C00001</v>
      </c>
      <c r="H853" s="31" t="s">
        <v>10631</v>
      </c>
      <c r="I853" s="31" t="str">
        <f t="shared" si="77"/>
        <v>C05923 * C00058</v>
      </c>
      <c r="J853" s="31" t="str">
        <f t="shared" si="75"/>
        <v>(${Variables: E3_5_4_16_Kcat } * E3_5_4_16 * 	
C05922 * C00001) /(${Variables:E3_5_4_16_Km} + (E3_5_4_16 * 	
C05922 * C00001))</v>
      </c>
      <c r="K853" s="32" t="str">
        <f t="shared" si="76"/>
        <v>r852: 	
C05922 + C00001 -&gt; C05923 + C00058 | (${Variables: E3_5_4_16_Kcat } * E3_5_4_16 * 	
C05922 * C00001) /(${Variables:E3_5_4_16_Km} + (E3_5_4_16 * 	
C05922 * C00001))</v>
      </c>
    </row>
    <row r="854" spans="1:11" x14ac:dyDescent="0.35">
      <c r="A854" s="31" t="s">
        <v>7402</v>
      </c>
      <c r="B854" s="31" t="s">
        <v>7403</v>
      </c>
      <c r="C854" s="31" t="s">
        <v>14213</v>
      </c>
      <c r="D854" s="31">
        <v>853</v>
      </c>
      <c r="E854" s="31" t="str">
        <f t="shared" si="73"/>
        <v>E3_5_4_16</v>
      </c>
      <c r="F854" s="31" t="s">
        <v>10633</v>
      </c>
      <c r="G854" s="31" t="str">
        <f t="shared" si="74"/>
        <v>C05923</v>
      </c>
      <c r="H854" s="31" t="s">
        <v>10634</v>
      </c>
      <c r="I854" s="31" t="str">
        <f t="shared" si="77"/>
        <v>C06148</v>
      </c>
      <c r="J854" s="31" t="str">
        <f t="shared" si="75"/>
        <v>(${Variables: E3_5_4_16_Kcat } * E3_5_4_16 * C05923) /(${Variables:E3_5_4_16_Km} + (E3_5_4_16 * C05923))</v>
      </c>
      <c r="K854" s="32" t="str">
        <f t="shared" si="76"/>
        <v>r853: C05923 -&gt; C06148 | (${Variables: E3_5_4_16_Kcat } * E3_5_4_16 * C05923) /(${Variables:E3_5_4_16_Km} + (E3_5_4_16 * C05923))</v>
      </c>
    </row>
    <row r="855" spans="1:11" ht="58" x14ac:dyDescent="0.35">
      <c r="A855" s="31" t="s">
        <v>5770</v>
      </c>
      <c r="B855" s="31" t="s">
        <v>5771</v>
      </c>
      <c r="C855" s="31" t="s">
        <v>14214</v>
      </c>
      <c r="D855" s="31">
        <v>854</v>
      </c>
      <c r="E855" s="31" t="str">
        <f t="shared" si="73"/>
        <v>E3_5_4_19</v>
      </c>
      <c r="F855" s="31" t="s">
        <v>10637</v>
      </c>
      <c r="G855" s="31" t="str">
        <f t="shared" si="74"/>
        <v xml:space="preserve">	
C02741 * C00001</v>
      </c>
      <c r="H855" s="31" t="s">
        <v>10638</v>
      </c>
      <c r="I855" s="31" t="str">
        <f t="shared" si="77"/>
        <v>C04896</v>
      </c>
      <c r="J855" s="31" t="str">
        <f t="shared" si="75"/>
        <v>(${Variables: E3_5_4_19_Kcat } * E3_5_4_19 * 	
C02741 * C00001) /(${Variables:E3_5_4_19_Km} + (E3_5_4_19 * 	
C02741 * C00001))</v>
      </c>
      <c r="K855" s="31" t="str">
        <f t="shared" si="76"/>
        <v>r854: 	
C02741 + C00001 -&gt; C04896 | (${Variables: E3_5_4_19_Kcat } * E3_5_4_19 * 	
C02741 * C00001) /(${Variables:E3_5_4_19_Km} + (E3_5_4_19 * 	
C02741 * C00001))</v>
      </c>
    </row>
    <row r="856" spans="1:11" ht="58" x14ac:dyDescent="0.35">
      <c r="A856" s="31" t="s">
        <v>4503</v>
      </c>
      <c r="B856" s="31" t="s">
        <v>4504</v>
      </c>
      <c r="C856" s="31" t="s">
        <v>14215</v>
      </c>
      <c r="D856" s="31">
        <v>855</v>
      </c>
      <c r="E856" s="31" t="str">
        <f t="shared" si="73"/>
        <v xml:space="preserve">E3_5_4_25 </v>
      </c>
      <c r="F856" s="31" t="s">
        <v>13917</v>
      </c>
      <c r="G856" s="31" t="str">
        <f t="shared" si="74"/>
        <v xml:space="preserve">	
C00044 * C00001</v>
      </c>
      <c r="H856" s="31" t="s">
        <v>14475</v>
      </c>
      <c r="I856" s="31" t="str">
        <f t="shared" si="77"/>
        <v xml:space="preserve"> C00058 * C01304 *C00009</v>
      </c>
      <c r="J856" s="31" t="str">
        <f t="shared" si="75"/>
        <v>(${Variables: E3_5_4_25 _Kcat } * E3_5_4_25  * 	
C00044 * C00001) /(${Variables:E3_5_4_25 _Km} + (E3_5_4_25  * 	
C00044 * C00001))</v>
      </c>
      <c r="K856" s="31" t="str">
        <f t="shared" si="76"/>
        <v>r855: 	
C00044 + C00001 -&gt;  C00058 + C01304 +C00009 | (${Variables: E3_5_4_25 _Kcat } * E3_5_4_25  * 	
C00044 * C00001) /(${Variables:E3_5_4_25 _Km} + (E3_5_4_25  * 	
C00044 * C00001))</v>
      </c>
    </row>
    <row r="857" spans="1:11" ht="58" x14ac:dyDescent="0.35">
      <c r="A857" s="31" t="s">
        <v>4503</v>
      </c>
      <c r="B857" s="31" t="s">
        <v>4504</v>
      </c>
      <c r="C857" s="31" t="s">
        <v>14216</v>
      </c>
      <c r="D857" s="31">
        <v>856</v>
      </c>
      <c r="E857" s="31" t="str">
        <f t="shared" si="73"/>
        <v>E4_1_99_12</v>
      </c>
      <c r="F857" s="31" t="s">
        <v>10646</v>
      </c>
      <c r="G857" s="31" t="str">
        <f t="shared" si="74"/>
        <v xml:space="preserve">	
C00199</v>
      </c>
      <c r="H857" s="31" t="s">
        <v>10647</v>
      </c>
      <c r="I857" s="31" t="str">
        <f t="shared" si="77"/>
        <v> C15556 * C00058</v>
      </c>
      <c r="J857" s="31" t="str">
        <f t="shared" si="75"/>
        <v>(${Variables: E4_1_99_12_Kcat } * E4_1_99_12 * 	
C00199) /(${Variables:E4_1_99_12_Km} + (E4_1_99_12 * 	
C00199))</v>
      </c>
      <c r="K857" s="32" t="str">
        <f t="shared" si="76"/>
        <v>r856: 	
C00199 -&gt;  C15556 + C00058 | (${Variables: E4_1_99_12_Kcat } * E4_1_99_12 * 	
C00199) /(${Variables:E4_1_99_12_Km} + (E4_1_99_12 * 	
C00199))</v>
      </c>
    </row>
    <row r="858" spans="1:11" ht="29" x14ac:dyDescent="0.35">
      <c r="A858" s="31" t="s">
        <v>700</v>
      </c>
      <c r="B858" s="31" t="s">
        <v>701</v>
      </c>
      <c r="C858" s="31" t="s">
        <v>14217</v>
      </c>
      <c r="D858" s="31">
        <v>857</v>
      </c>
      <c r="E858" s="31" t="str">
        <f t="shared" si="73"/>
        <v>E3_5_4_33</v>
      </c>
      <c r="F858" s="31" t="s">
        <v>10650</v>
      </c>
      <c r="G858" s="31" t="str">
        <f t="shared" si="74"/>
        <v xml:space="preserve">C17324 * C00001 </v>
      </c>
      <c r="H858" s="31" t="s">
        <v>10651</v>
      </c>
      <c r="I858" s="31" t="str">
        <f t="shared" si="77"/>
        <v>C20451 * C00014</v>
      </c>
      <c r="J858" s="31" t="str">
        <f t="shared" si="75"/>
        <v>(${Variables: E3_5_4_33_Kcat } * E3_5_4_33 * C17324 * C00001 ) /(${Variables:E3_5_4_33_Km} + (E3_5_4_33 * C17324 * C00001 ))</v>
      </c>
      <c r="K858" s="31" t="str">
        <f t="shared" si="76"/>
        <v>r857: C17324 + C00001  -&gt; C20451 + C00014 | (${Variables: E3_5_4_33_Kcat } * E3_5_4_33 * C17324 * C00001 ) /(${Variables:E3_5_4_33_Km} + (E3_5_4_33 * C17324 * C00001 ))</v>
      </c>
    </row>
    <row r="859" spans="1:11" ht="58" x14ac:dyDescent="0.35">
      <c r="A859" s="31" t="s">
        <v>7273</v>
      </c>
      <c r="B859" s="31" t="s">
        <v>7274</v>
      </c>
      <c r="C859" s="31" t="s">
        <v>14218</v>
      </c>
      <c r="D859" s="31">
        <v>858</v>
      </c>
      <c r="E859" s="31" t="str">
        <f t="shared" si="73"/>
        <v>E3_5_99_6</v>
      </c>
      <c r="F859" s="31" t="s">
        <v>10654</v>
      </c>
      <c r="G859" s="31" t="str">
        <f t="shared" si="74"/>
        <v xml:space="preserve">	
C00352 * C00001</v>
      </c>
      <c r="H859" s="31" t="s">
        <v>10655</v>
      </c>
      <c r="I859" s="31" t="str">
        <f t="shared" si="77"/>
        <v>C00085 * C00014</v>
      </c>
      <c r="J859" s="31" t="str">
        <f t="shared" si="75"/>
        <v>(${Variables: E3_5_99_6_Kcat } * E3_5_99_6 * 	
C00352 * C00001) /(${Variables:E3_5_99_6_Km} + (E3_5_99_6 * 	
C00352 * C00001))</v>
      </c>
      <c r="K859" s="32" t="str">
        <f t="shared" si="76"/>
        <v>r858: 	
C00352 + C00001 -&gt; C00085 + C00014 | (${Variables: E3_5_99_6_Kcat } * E3_5_99_6 * 	
C00352 * C00001) /(${Variables:E3_5_99_6_Km} + (E3_5_99_6 * 	
C00352 * C00001))</v>
      </c>
    </row>
    <row r="860" spans="1:11" ht="29" x14ac:dyDescent="0.35">
      <c r="A860" s="31" t="s">
        <v>7421</v>
      </c>
      <c r="B860" s="31" t="s">
        <v>7422</v>
      </c>
      <c r="C860" s="31" t="s">
        <v>14219</v>
      </c>
      <c r="D860" s="31">
        <v>859</v>
      </c>
      <c r="E860" s="31" t="str">
        <f t="shared" si="73"/>
        <v>E3_6_1_1</v>
      </c>
      <c r="F860" s="31" t="s">
        <v>10658</v>
      </c>
      <c r="G860" s="31" t="str">
        <f t="shared" si="74"/>
        <v>C00013 * C00001</v>
      </c>
      <c r="H860" s="31" t="s">
        <v>14476</v>
      </c>
      <c r="I860" s="31" t="str">
        <f t="shared" si="77"/>
        <v>C00009</v>
      </c>
      <c r="J860" s="31" t="str">
        <f t="shared" si="75"/>
        <v>(${Variables: E3_6_1_1_Kcat } * E3_6_1_1 * C00013 * C00001) /(${Variables:E3_6_1_1_Km} + (E3_6_1_1 * C00013 * C00001))</v>
      </c>
      <c r="K860" s="32" t="str">
        <f t="shared" si="76"/>
        <v>r859: C00013 + C00001 -&gt; C00009 | (${Variables: E3_6_1_1_Kcat } * E3_6_1_1 * C00013 * C00001) /(${Variables:E3_6_1_1_Km} + (E3_6_1_1 * C00013 * C00001))</v>
      </c>
    </row>
    <row r="861" spans="1:11" ht="58" x14ac:dyDescent="0.35">
      <c r="A861" s="31" t="s">
        <v>5234</v>
      </c>
      <c r="B861" s="31" t="s">
        <v>5235</v>
      </c>
      <c r="C861" s="31" t="s">
        <v>14220</v>
      </c>
      <c r="D861" s="31">
        <v>860</v>
      </c>
      <c r="E861" s="31" t="str">
        <f t="shared" si="73"/>
        <v>E3_6_1_23</v>
      </c>
      <c r="F861" s="31" t="s">
        <v>10662</v>
      </c>
      <c r="G861" s="31" t="str">
        <f t="shared" si="74"/>
        <v xml:space="preserve">	
C00460 * C00001 </v>
      </c>
      <c r="H861" s="31" t="s">
        <v>10663</v>
      </c>
      <c r="I861" s="31" t="str">
        <f t="shared" si="77"/>
        <v>C00365 * C00013</v>
      </c>
      <c r="J861" s="31" t="str">
        <f t="shared" si="75"/>
        <v>(${Variables: E3_6_1_23_Kcat } * E3_6_1_23 * 	
C00460 * C00001 ) /(${Variables:E3_6_1_23_Km} + (E3_6_1_23 * 	
C00460 * C00001 ))</v>
      </c>
      <c r="K861" s="31" t="str">
        <f t="shared" si="76"/>
        <v>r860: 	
C00460 + C00001  -&gt; C00365 + C00013 | (${Variables: E3_6_1_23_Kcat } * E3_6_1_23 * 	
C00460 * C00001 ) /(${Variables:E3_6_1_23_Km} + (E3_6_1_23 * 	
C00460 * C00001 ))</v>
      </c>
    </row>
    <row r="862" spans="1:11" ht="58" x14ac:dyDescent="0.35">
      <c r="A862" s="31" t="s">
        <v>5234</v>
      </c>
      <c r="B862" s="31" t="s">
        <v>5235</v>
      </c>
      <c r="C862" s="31" t="s">
        <v>14220</v>
      </c>
      <c r="D862" s="31">
        <v>861</v>
      </c>
      <c r="E862" s="31" t="str">
        <f t="shared" si="73"/>
        <v>E3_6_1_23</v>
      </c>
      <c r="F862" s="31" t="s">
        <v>10665</v>
      </c>
      <c r="G862" s="31" t="str">
        <f t="shared" si="74"/>
        <v xml:space="preserve">	
C21751 * C00001 </v>
      </c>
      <c r="H862" s="31" t="s">
        <v>10666</v>
      </c>
      <c r="I862" s="31" t="str">
        <f t="shared" si="77"/>
        <v> C04242 * C00013</v>
      </c>
      <c r="J862" s="31" t="str">
        <f t="shared" si="75"/>
        <v>(${Variables: E3_6_1_23_Kcat } * E3_6_1_23 * 	
C21751 * C00001 ) /(${Variables:E3_6_1_23_Km} + (E3_6_1_23 * 	
C21751 * C00001 ))</v>
      </c>
      <c r="K862" s="31" t="str">
        <f t="shared" si="76"/>
        <v>r861: 	
C21751 + C00001  -&gt;  C04242 + C00013 | (${Variables: E3_6_1_23_Kcat } * E3_6_1_23 * 	
C21751 * C00001 ) /(${Variables:E3_6_1_23_Km} + (E3_6_1_23 * 	
C21751 * C00001 ))</v>
      </c>
    </row>
    <row r="863" spans="1:11" ht="58" x14ac:dyDescent="0.35">
      <c r="A863" s="31" t="s">
        <v>6156</v>
      </c>
      <c r="B863" s="31" t="s">
        <v>6157</v>
      </c>
      <c r="C863" s="31" t="s">
        <v>14221</v>
      </c>
      <c r="D863" s="31">
        <v>862</v>
      </c>
      <c r="E863" s="31" t="str">
        <f t="shared" si="73"/>
        <v>E3_6_1_25</v>
      </c>
      <c r="F863" s="31" t="s">
        <v>10669</v>
      </c>
      <c r="G863" s="31" t="str">
        <f t="shared" si="74"/>
        <v xml:space="preserve">	
C00536 * C00001</v>
      </c>
      <c r="H863" s="31" t="s">
        <v>10670</v>
      </c>
      <c r="I863" s="31" t="str">
        <f t="shared" si="77"/>
        <v>C00013 * C00009</v>
      </c>
      <c r="J863" s="31" t="str">
        <f t="shared" si="75"/>
        <v>(${Variables: E3_6_1_25_Kcat } * E3_6_1_25 * 	
C00536 * C00001) /(${Variables:E3_6_1_25_Km} + (E3_6_1_25 * 	
C00536 * C00001))</v>
      </c>
      <c r="K863" s="31" t="str">
        <f t="shared" si="76"/>
        <v>r862: 	
C00536 + C00001 -&gt; C00013 + C00009 | (${Variables: E3_6_1_25_Kcat } * E3_6_1_25 * 	
C00536 * C00001) /(${Variables:E3_6_1_25_Km} + (E3_6_1_25 * 	
C00536 * C00001))</v>
      </c>
    </row>
    <row r="864" spans="1:11" ht="29" x14ac:dyDescent="0.35">
      <c r="A864" s="31" t="s">
        <v>4275</v>
      </c>
      <c r="B864" s="31" t="s">
        <v>4276</v>
      </c>
      <c r="C864" s="31" t="s">
        <v>14222</v>
      </c>
      <c r="D864" s="31">
        <v>863</v>
      </c>
      <c r="E864" s="31" t="str">
        <f t="shared" si="73"/>
        <v>E3_6_1_27</v>
      </c>
      <c r="F864" s="31" t="s">
        <v>10673</v>
      </c>
      <c r="G864" s="31" t="str">
        <f t="shared" si="74"/>
        <v>C04574 * C00001</v>
      </c>
      <c r="H864" s="31" t="s">
        <v>10674</v>
      </c>
      <c r="I864" s="31" t="str">
        <f t="shared" si="77"/>
        <v>C17556 * C00009</v>
      </c>
      <c r="J864" s="31" t="str">
        <f t="shared" si="75"/>
        <v>(${Variables: E3_6_1_27_Kcat } * E3_6_1_27 * C04574 * C00001) /(${Variables:E3_6_1_27_Km} + (E3_6_1_27 * C04574 * C00001))</v>
      </c>
      <c r="K864" s="32" t="str">
        <f t="shared" si="76"/>
        <v>r863: C04574 + C00001 -&gt; C17556 + C00009 | (${Variables: E3_6_1_27_Kcat } * E3_6_1_27 * C04574 * C00001) /(${Variables:E3_6_1_27_Km} + (E3_6_1_27 * C04574 * C00001))</v>
      </c>
    </row>
    <row r="865" spans="1:11" ht="58" x14ac:dyDescent="0.35">
      <c r="A865" s="31" t="s">
        <v>4246</v>
      </c>
      <c r="B865" s="31" t="s">
        <v>4247</v>
      </c>
      <c r="C865" s="31" t="s">
        <v>14223</v>
      </c>
      <c r="D865" s="31">
        <v>864</v>
      </c>
      <c r="E865" s="31" t="str">
        <f t="shared" si="73"/>
        <v>E3_6_1_31</v>
      </c>
      <c r="F865" s="31" t="s">
        <v>10677</v>
      </c>
      <c r="G865" s="31" t="str">
        <f t="shared" si="74"/>
        <v xml:space="preserve">	
C02739 * C00001</v>
      </c>
      <c r="H865" s="31" t="s">
        <v>10678</v>
      </c>
      <c r="I865" s="31" t="str">
        <f t="shared" si="77"/>
        <v>C02741 * C00013</v>
      </c>
      <c r="J865" s="31" t="str">
        <f t="shared" si="75"/>
        <v>(${Variables: E3_6_1_31_Kcat } * E3_6_1_31 * 	
C02739 * C00001) /(${Variables:E3_6_1_31_Km} + (E3_6_1_31 * 	
C02739 * C00001))</v>
      </c>
      <c r="K865" s="32" t="str">
        <f t="shared" si="76"/>
        <v>r864: 	
C02739 + C00001 -&gt; C02741 + C00013 | (${Variables: E3_6_1_31_Kcat } * E3_6_1_31 * 	
C02739 * C00001) /(${Variables:E3_6_1_31_Km} + (E3_6_1_31 * 	
C02739 * C00001))</v>
      </c>
    </row>
    <row r="866" spans="1:11" ht="29" x14ac:dyDescent="0.35">
      <c r="A866" s="31" t="s">
        <v>6872</v>
      </c>
      <c r="B866" s="31" t="s">
        <v>6873</v>
      </c>
      <c r="C866" s="31" t="s">
        <v>14224</v>
      </c>
      <c r="D866" s="31">
        <v>865</v>
      </c>
      <c r="E866" s="31" t="str">
        <f t="shared" si="73"/>
        <v>E3_6_1_66</v>
      </c>
      <c r="F866" s="31" t="s">
        <v>10681</v>
      </c>
      <c r="G866" s="31" t="str">
        <f t="shared" si="74"/>
        <v xml:space="preserve">C00081 * C00001 </v>
      </c>
      <c r="H866" s="31" t="s">
        <v>9639</v>
      </c>
      <c r="I866" s="31" t="str">
        <f t="shared" si="77"/>
        <v>C00130 * C00013</v>
      </c>
      <c r="J866" s="31" t="str">
        <f t="shared" si="75"/>
        <v>(${Variables: E3_6_1_66_Kcat } * E3_6_1_66 * C00081 * C00001 ) /(${Variables:E3_6_1_66_Km} + (E3_6_1_66 * C00081 * C00001 ))</v>
      </c>
      <c r="K866" s="31" t="str">
        <f t="shared" si="76"/>
        <v>r865: C00081 + C00001  -&gt; C00130 + C00013 | (${Variables: E3_6_1_66_Kcat } * E3_6_1_66 * C00081 * C00001 ) /(${Variables:E3_6_1_66_Km} + (E3_6_1_66 * C00081 * C00001 ))</v>
      </c>
    </row>
    <row r="867" spans="1:11" ht="58" x14ac:dyDescent="0.35">
      <c r="A867" s="31" t="s">
        <v>6872</v>
      </c>
      <c r="B867" s="31" t="s">
        <v>6873</v>
      </c>
      <c r="C867" s="31" t="s">
        <v>14224</v>
      </c>
      <c r="D867" s="31">
        <v>866</v>
      </c>
      <c r="E867" s="31" t="str">
        <f t="shared" si="73"/>
        <v>E3_6_1_66</v>
      </c>
      <c r="F867" s="31" t="s">
        <v>10683</v>
      </c>
      <c r="G867" s="31" t="str">
        <f t="shared" si="74"/>
        <v xml:space="preserve">	
C00700 * C00001</v>
      </c>
      <c r="H867" s="31" t="s">
        <v>10684</v>
      </c>
      <c r="I867" s="31" t="str">
        <f t="shared" si="77"/>
        <v>C00655 * C00013</v>
      </c>
      <c r="J867" s="31" t="str">
        <f t="shared" si="75"/>
        <v>(${Variables: E3_6_1_66_Kcat } * E3_6_1_66 * 	
C00700 * C00001) /(${Variables:E3_6_1_66_Km} + (E3_6_1_66 * 	
C00700 * C00001))</v>
      </c>
      <c r="K867" s="31" t="str">
        <f t="shared" si="76"/>
        <v>r866: 	
C00700 + C00001 -&gt; C00655 + C00013 | (${Variables: E3_6_1_66_Kcat } * E3_6_1_66 * 	
C00700 * C00001) /(${Variables:E3_6_1_66_Km} + (E3_6_1_66 * 	
C00700 * C00001))</v>
      </c>
    </row>
    <row r="868" spans="1:11" ht="29" x14ac:dyDescent="0.35">
      <c r="A868" s="31" t="s">
        <v>6872</v>
      </c>
      <c r="B868" s="31" t="s">
        <v>6873</v>
      </c>
      <c r="C868" s="31" t="s">
        <v>14224</v>
      </c>
      <c r="D868" s="31">
        <v>867</v>
      </c>
      <c r="E868" s="31" t="str">
        <f t="shared" si="73"/>
        <v>E3_6_1_66</v>
      </c>
      <c r="F868" s="31" t="s">
        <v>10686</v>
      </c>
      <c r="G868" s="31" t="str">
        <f t="shared" si="74"/>
        <v>C01345 * C00001</v>
      </c>
      <c r="H868" s="31" t="s">
        <v>10687</v>
      </c>
      <c r="I868" s="31" t="str">
        <f t="shared" si="77"/>
        <v>C06196 * C00013</v>
      </c>
      <c r="J868" s="31" t="str">
        <f t="shared" si="75"/>
        <v>(${Variables: E3_6_1_66_Kcat } * E3_6_1_66 * C01345 * C00001) /(${Variables:E3_6_1_66_Km} + (E3_6_1_66 * C01345 * C00001))</v>
      </c>
      <c r="K868" s="31" t="str">
        <f t="shared" si="76"/>
        <v>r867: C01345 + C00001 -&gt; C06196 + C00013 | (${Variables: E3_6_1_66_Kcat } * E3_6_1_66 * C01345 * C00001) /(${Variables:E3_6_1_66_Km} + (E3_6_1_66 * C01345 * C00001))</v>
      </c>
    </row>
    <row r="869" spans="1:11" ht="58" x14ac:dyDescent="0.35">
      <c r="A869" s="31" t="s">
        <v>6872</v>
      </c>
      <c r="B869" s="31" t="s">
        <v>6873</v>
      </c>
      <c r="C869" s="31" t="s">
        <v>14224</v>
      </c>
      <c r="D869" s="31">
        <v>868</v>
      </c>
      <c r="E869" s="31" t="str">
        <f t="shared" si="73"/>
        <v>E3_6_1_66</v>
      </c>
      <c r="F869" s="31" t="s">
        <v>10689</v>
      </c>
      <c r="G869" s="31" t="str">
        <f t="shared" si="74"/>
        <v xml:space="preserve">	
C16617 * C00001</v>
      </c>
      <c r="H869" s="31" t="s">
        <v>10690</v>
      </c>
      <c r="I869" s="31" t="str">
        <f t="shared" si="77"/>
        <v>C04646 * C00013</v>
      </c>
      <c r="J869" s="31" t="str">
        <f t="shared" si="75"/>
        <v>(${Variables: E3_6_1_66_Kcat } * E3_6_1_66 * 	
C16617 * C00001) /(${Variables:E3_6_1_66_Km} + (E3_6_1_66 * 	
C16617 * C00001))</v>
      </c>
      <c r="K869" s="31" t="str">
        <f t="shared" si="76"/>
        <v>r868: 	
C16617 + C00001 -&gt; C04646 + C00013 | (${Variables: E3_6_1_66_Kcat } * E3_6_1_66 * 	
C16617 * C00001) /(${Variables:E3_6_1_66_Km} + (E3_6_1_66 * 	
C16617 * C00001))</v>
      </c>
    </row>
    <row r="870" spans="1:11" ht="29" x14ac:dyDescent="0.35">
      <c r="A870" s="31" t="s">
        <v>5698</v>
      </c>
      <c r="B870" s="31" t="s">
        <v>5699</v>
      </c>
      <c r="C870" s="31" t="s">
        <v>14225</v>
      </c>
      <c r="D870" s="31">
        <v>869</v>
      </c>
      <c r="E870" s="31" t="str">
        <f t="shared" si="73"/>
        <v>E3_6_1_7</v>
      </c>
      <c r="F870" s="31" t="s">
        <v>10693</v>
      </c>
      <c r="G870" s="31" t="str">
        <f t="shared" si="74"/>
        <v>C02133 * C00001</v>
      </c>
      <c r="H870" s="31" t="s">
        <v>10694</v>
      </c>
      <c r="I870" s="31" t="str">
        <f t="shared" si="77"/>
        <v> C00060 * C00009</v>
      </c>
      <c r="J870" s="31" t="str">
        <f t="shared" si="75"/>
        <v>(${Variables: E3_6_1_7_Kcat } * E3_6_1_7 * C02133 * C00001) /(${Variables:E3_6_1_7_Km} + (E3_6_1_7 * C02133 * C00001))</v>
      </c>
      <c r="K870" s="32" t="str">
        <f t="shared" si="76"/>
        <v>r869: C02133 + C00001 -&gt;  C00060 + C00009 | (${Variables: E3_6_1_7_Kcat } * E3_6_1_7 * C02133 * C00001) /(${Variables:E3_6_1_7_Km} + (E3_6_1_7 * C02133 * C00001))</v>
      </c>
    </row>
    <row r="871" spans="1:11" ht="58" x14ac:dyDescent="0.35">
      <c r="A871" s="31" t="s">
        <v>5698</v>
      </c>
      <c r="B871" s="31" t="s">
        <v>5699</v>
      </c>
      <c r="C871" s="31" t="s">
        <v>14225</v>
      </c>
      <c r="D871" s="31">
        <v>870</v>
      </c>
      <c r="E871" s="31" t="str">
        <f t="shared" si="73"/>
        <v>E3_6_1_7</v>
      </c>
      <c r="F871" s="31" t="s">
        <v>10696</v>
      </c>
      <c r="G871" s="31" t="str">
        <f t="shared" si="74"/>
        <v xml:space="preserve">	
C00227 * C00001</v>
      </c>
      <c r="H871" s="31" t="s">
        <v>10697</v>
      </c>
      <c r="I871" s="31" t="str">
        <f t="shared" si="77"/>
        <v>C00033 * C00009</v>
      </c>
      <c r="J871" s="31" t="str">
        <f t="shared" si="75"/>
        <v>(${Variables: E3_6_1_7_Kcat } * E3_6_1_7 * 	
C00227 * C00001) /(${Variables:E3_6_1_7_Km} + (E3_6_1_7 * 	
C00227 * C00001))</v>
      </c>
      <c r="K871" s="32" t="str">
        <f t="shared" si="76"/>
        <v>r870: 	
C00227 + C00001 -&gt; C00033 + C00009 | (${Variables: E3_6_1_7_Kcat } * E3_6_1_7 * 	
C00227 * C00001) /(${Variables:E3_6_1_7_Km} + (E3_6_1_7 * 	
C00227 * C00001))</v>
      </c>
    </row>
    <row r="872" spans="1:11" ht="29" x14ac:dyDescent="0.35">
      <c r="A872" s="31" t="s">
        <v>5698</v>
      </c>
      <c r="B872" s="31" t="s">
        <v>5699</v>
      </c>
      <c r="C872" s="31" t="s">
        <v>14225</v>
      </c>
      <c r="D872" s="31">
        <v>871</v>
      </c>
      <c r="E872" s="31" t="str">
        <f t="shared" si="73"/>
        <v>E3_6_1_7</v>
      </c>
      <c r="F872" s="31" t="s">
        <v>10699</v>
      </c>
      <c r="G872" s="31" t="str">
        <f t="shared" si="74"/>
        <v>C06206 * C00001</v>
      </c>
      <c r="H872" s="31" t="s">
        <v>10700</v>
      </c>
      <c r="I872" s="31" t="str">
        <f t="shared" si="77"/>
        <v> C00180 * C00009</v>
      </c>
      <c r="J872" s="31" t="str">
        <f t="shared" si="75"/>
        <v>(${Variables: E3_6_1_7_Kcat } * E3_6_1_7 * C06206 * C00001) /(${Variables:E3_6_1_7_Km} + (E3_6_1_7 * C06206 * C00001))</v>
      </c>
      <c r="K872" s="32" t="str">
        <f t="shared" si="76"/>
        <v>r871: C06206 + C00001 -&gt;  C00180 + C00009 | (${Variables: E3_6_1_7_Kcat } * E3_6_1_7 * C06206 * C00001) /(${Variables:E3_6_1_7_Km} + (E3_6_1_7 * C06206 * C00001))</v>
      </c>
    </row>
    <row r="873" spans="1:11" ht="58" x14ac:dyDescent="0.35">
      <c r="A873" s="31" t="s">
        <v>5698</v>
      </c>
      <c r="B873" s="31" t="s">
        <v>5699</v>
      </c>
      <c r="C873" s="31" t="s">
        <v>14225</v>
      </c>
      <c r="D873" s="31">
        <v>872</v>
      </c>
      <c r="E873" s="31" t="str">
        <f t="shared" si="73"/>
        <v>E3_6_1_7</v>
      </c>
      <c r="F873" s="31" t="s">
        <v>10702</v>
      </c>
      <c r="G873" s="31" t="str">
        <f t="shared" si="74"/>
        <v xml:space="preserve">	
C00236 * C00001 </v>
      </c>
      <c r="H873" s="31" t="s">
        <v>10703</v>
      </c>
      <c r="I873" s="31" t="str">
        <f t="shared" si="77"/>
        <v> C00197 * C00009</v>
      </c>
      <c r="J873" s="31" t="str">
        <f t="shared" si="75"/>
        <v>(${Variables: E3_6_1_7_Kcat } * E3_6_1_7 * 	
C00236 * C00001 ) /(${Variables:E3_6_1_7_Km} + (E3_6_1_7 * 	
C00236 * C00001 ))</v>
      </c>
      <c r="K873" s="32" t="str">
        <f t="shared" si="76"/>
        <v>r872: 	
C00236 + C00001  -&gt;  C00197 + C00009 | (${Variables: E3_6_1_7_Kcat } * E3_6_1_7 * 	
C00236 * C00001 ) /(${Variables:E3_6_1_7_Km} + (E3_6_1_7 * 	
C00236 * C00001 ))</v>
      </c>
    </row>
    <row r="874" spans="1:11" ht="29" x14ac:dyDescent="0.35">
      <c r="A874" s="31" t="s">
        <v>2039</v>
      </c>
      <c r="B874" s="31" t="s">
        <v>2040</v>
      </c>
      <c r="C874" s="31" t="s">
        <v>14226</v>
      </c>
      <c r="D874" s="31">
        <v>873</v>
      </c>
      <c r="E874" s="31" t="str">
        <f t="shared" si="73"/>
        <v>E3_6_1_9</v>
      </c>
      <c r="F874" s="31" t="s">
        <v>10705</v>
      </c>
      <c r="G874" s="31" t="str">
        <f t="shared" si="74"/>
        <v xml:space="preserve">C00201 * C00001 </v>
      </c>
      <c r="H874" s="31" t="s">
        <v>10706</v>
      </c>
      <c r="I874" s="31" t="str">
        <f t="shared" si="77"/>
        <v>C00215 * C00013</v>
      </c>
      <c r="J874" s="31" t="str">
        <f t="shared" si="75"/>
        <v>(${Variables: E3_6_1_9_Kcat } * E3_6_1_9 * C00201 * C00001 ) /(${Variables:E3_6_1_9_Km} + (E3_6_1_9 * C00201 * C00001 ))</v>
      </c>
      <c r="K874" s="31" t="str">
        <f t="shared" si="76"/>
        <v>r873: C00201 + C00001  -&gt; C00215 + C00013 | (${Variables: E3_6_1_9_Kcat } * E3_6_1_9 * C00201 * C00001 ) /(${Variables:E3_6_1_9_Km} + (E3_6_1_9 * C00201 * C00001 ))</v>
      </c>
    </row>
    <row r="875" spans="1:11" ht="29" x14ac:dyDescent="0.35">
      <c r="A875" s="31" t="s">
        <v>2039</v>
      </c>
      <c r="B875" s="31" t="s">
        <v>2040</v>
      </c>
      <c r="C875" s="31" t="s">
        <v>14226</v>
      </c>
      <c r="D875" s="31">
        <v>874</v>
      </c>
      <c r="E875" s="31" t="str">
        <f t="shared" si="73"/>
        <v>E3_6_1_9</v>
      </c>
      <c r="F875" s="31" t="s">
        <v>10709</v>
      </c>
      <c r="G875" s="31" t="str">
        <f t="shared" si="74"/>
        <v>C00002 * C00001</v>
      </c>
      <c r="H875" s="31" t="s">
        <v>10710</v>
      </c>
      <c r="I875" s="31" t="str">
        <f t="shared" si="77"/>
        <v>C00020 * C00013</v>
      </c>
      <c r="J875" s="31" t="str">
        <f t="shared" si="75"/>
        <v>(${Variables: E3_6_1_9_Kcat } * E3_6_1_9 * C00002 * C00001) /(${Variables:E3_6_1_9_Km} + (E3_6_1_9 * C00002 * C00001))</v>
      </c>
      <c r="K875" s="31" t="str">
        <f t="shared" si="76"/>
        <v>r874: C00002 + C00001 -&gt; C00020 + C00013 | (${Variables: E3_6_1_9_Kcat } * E3_6_1_9 * C00002 * C00001) /(${Variables:E3_6_1_9_Km} + (E3_6_1_9 * C00002 * C00001))</v>
      </c>
    </row>
    <row r="876" spans="1:11" ht="58" x14ac:dyDescent="0.35">
      <c r="A876" s="31" t="s">
        <v>2039</v>
      </c>
      <c r="B876" s="31" t="s">
        <v>2040</v>
      </c>
      <c r="C876" s="31" t="s">
        <v>14226</v>
      </c>
      <c r="D876" s="31">
        <v>875</v>
      </c>
      <c r="E876" s="31" t="str">
        <f t="shared" si="73"/>
        <v>E3_6_1_9</v>
      </c>
      <c r="F876" s="31" t="s">
        <v>10621</v>
      </c>
      <c r="G876" s="31" t="str">
        <f t="shared" si="74"/>
        <v xml:space="preserve">	
C00044 * C00001 </v>
      </c>
      <c r="H876" s="31" t="s">
        <v>10712</v>
      </c>
      <c r="I876" s="31" t="str">
        <f t="shared" si="77"/>
        <v> C00144 * C00013</v>
      </c>
      <c r="J876" s="31" t="str">
        <f t="shared" si="75"/>
        <v>(${Variables: E3_6_1_9_Kcat } * E3_6_1_9 * 	
C00044 * C00001 ) /(${Variables:E3_6_1_9_Km} + (E3_6_1_9 * 	
C00044 * C00001 ))</v>
      </c>
      <c r="K876" s="31" t="str">
        <f t="shared" si="76"/>
        <v>r875: 	
C00044 + C00001  -&gt;  C00144 + C00013 | (${Variables: E3_6_1_9_Kcat } * E3_6_1_9 * 	
C00044 * C00001 ) /(${Variables:E3_6_1_9_Km} + (E3_6_1_9 * 	
C00044 * C00001 ))</v>
      </c>
    </row>
    <row r="877" spans="1:11" ht="29" x14ac:dyDescent="0.35">
      <c r="A877" s="31" t="s">
        <v>2039</v>
      </c>
      <c r="B877" s="31" t="s">
        <v>2040</v>
      </c>
      <c r="C877" s="31" t="s">
        <v>14226</v>
      </c>
      <c r="D877" s="31">
        <v>876</v>
      </c>
      <c r="E877" s="31" t="str">
        <f t="shared" si="73"/>
        <v>E3_6_1_9</v>
      </c>
      <c r="F877" s="31" t="s">
        <v>10714</v>
      </c>
      <c r="G877" s="31" t="str">
        <f t="shared" si="74"/>
        <v>C00063 * C00001</v>
      </c>
      <c r="H877" s="31" t="s">
        <v>10715</v>
      </c>
      <c r="I877" s="31" t="str">
        <f t="shared" si="77"/>
        <v> C00055 * C00013</v>
      </c>
      <c r="J877" s="31" t="str">
        <f t="shared" si="75"/>
        <v>(${Variables: E3_6_1_9_Kcat } * E3_6_1_9 * C00063 * C00001) /(${Variables:E3_6_1_9_Km} + (E3_6_1_9 * C00063 * C00001))</v>
      </c>
      <c r="K877" s="31" t="str">
        <f t="shared" si="76"/>
        <v>r876: C00063 + C00001 -&gt;  C00055 + C00013 | (${Variables: E3_6_1_9_Kcat } * E3_6_1_9 * C00063 * C00001) /(${Variables:E3_6_1_9_Km} + (E3_6_1_9 * C00063 * C00001))</v>
      </c>
    </row>
    <row r="878" spans="1:11" ht="29" x14ac:dyDescent="0.35">
      <c r="A878" s="31" t="s">
        <v>2039</v>
      </c>
      <c r="B878" s="31" t="s">
        <v>2040</v>
      </c>
      <c r="C878" s="31" t="s">
        <v>14226</v>
      </c>
      <c r="D878" s="31">
        <v>877</v>
      </c>
      <c r="E878" s="31" t="str">
        <f t="shared" si="73"/>
        <v>E3_6_1_9</v>
      </c>
      <c r="F878" s="31" t="s">
        <v>10717</v>
      </c>
      <c r="G878" s="31" t="str">
        <f t="shared" si="74"/>
        <v>C00075 * C00001 </v>
      </c>
      <c r="H878" s="31" t="s">
        <v>10718</v>
      </c>
      <c r="I878" s="31" t="str">
        <f t="shared" si="77"/>
        <v>C00105 * C00013</v>
      </c>
      <c r="J878" s="31" t="str">
        <f t="shared" si="75"/>
        <v>(${Variables: E3_6_1_9_Kcat } * E3_6_1_9 * C00075 * C00001 ) /(${Variables:E3_6_1_9_Km} + (E3_6_1_9 * C00075 * C00001 ))</v>
      </c>
      <c r="K878" s="31" t="str">
        <f t="shared" si="76"/>
        <v>r877: C00075 + C00001  -&gt; C00105 + C00013 | (${Variables: E3_6_1_9_Kcat } * E3_6_1_9 * C00075 * C00001 ) /(${Variables:E3_6_1_9_Km} + (E3_6_1_9 * C00075 * C00001 ))</v>
      </c>
    </row>
    <row r="879" spans="1:11" ht="58" x14ac:dyDescent="0.35">
      <c r="A879" s="31" t="s">
        <v>2039</v>
      </c>
      <c r="B879" s="31" t="s">
        <v>2040</v>
      </c>
      <c r="C879" s="31" t="s">
        <v>14226</v>
      </c>
      <c r="D879" s="31">
        <v>878</v>
      </c>
      <c r="E879" s="31" t="str">
        <f t="shared" si="73"/>
        <v>E3_6_1_9</v>
      </c>
      <c r="F879" s="31" t="s">
        <v>10720</v>
      </c>
      <c r="G879" s="31" t="str">
        <f t="shared" si="74"/>
        <v xml:space="preserve">	
C00459 * C00001</v>
      </c>
      <c r="H879" s="31" t="s">
        <v>10721</v>
      </c>
      <c r="I879" s="31" t="str">
        <f t="shared" si="77"/>
        <v> C00364 * C00013</v>
      </c>
      <c r="J879" s="31" t="str">
        <f t="shared" si="75"/>
        <v>(${Variables: E3_6_1_9_Kcat } * E3_6_1_9 * 	
C00459 * C00001) /(${Variables:E3_6_1_9_Km} + (E3_6_1_9 * 	
C00459 * C00001))</v>
      </c>
      <c r="K879" s="31" t="str">
        <f t="shared" si="76"/>
        <v>r878: 	
C00459 + C00001 -&gt;  C00364 + C00013 | (${Variables: E3_6_1_9_Kcat } * E3_6_1_9 * 	
C00459 * C00001) /(${Variables:E3_6_1_9_Km} + (E3_6_1_9 * 	
C00459 * C00001))</v>
      </c>
    </row>
    <row r="880" spans="1:11" ht="58" x14ac:dyDescent="0.35">
      <c r="A880" s="31" t="s">
        <v>2039</v>
      </c>
      <c r="B880" s="31" t="s">
        <v>2040</v>
      </c>
      <c r="C880" s="31" t="s">
        <v>14226</v>
      </c>
      <c r="D880" s="31">
        <v>879</v>
      </c>
      <c r="E880" s="31" t="str">
        <f t="shared" si="73"/>
        <v>E3_6_1_9</v>
      </c>
      <c r="F880" s="31" t="s">
        <v>10723</v>
      </c>
      <c r="G880" s="31" t="str">
        <f t="shared" si="74"/>
        <v xml:space="preserve">	
C00003 * C00001</v>
      </c>
      <c r="H880" s="31" t="s">
        <v>10724</v>
      </c>
      <c r="I880" s="31" t="str">
        <f t="shared" si="77"/>
        <v> C00020 * C00455</v>
      </c>
      <c r="J880" s="31" t="str">
        <f t="shared" si="75"/>
        <v>(${Variables: E3_6_1_9_Kcat } * E3_6_1_9 * 	
C00003 * C00001) /(${Variables:E3_6_1_9_Km} + (E3_6_1_9 * 	
C00003 * C00001))</v>
      </c>
      <c r="K880" s="31" t="str">
        <f t="shared" si="76"/>
        <v>r879: 	
C00003 + C00001 -&gt;  C00020 + C00455 | (${Variables: E3_6_1_9_Kcat } * E3_6_1_9 * 	
C00003 * C00001) /(${Variables:E3_6_1_9_Km} + (E3_6_1_9 * 	
C00003 * C00001))</v>
      </c>
    </row>
    <row r="881" spans="1:11" ht="29" x14ac:dyDescent="0.35">
      <c r="A881" s="31" t="s">
        <v>2039</v>
      </c>
      <c r="B881" s="31" t="s">
        <v>2040</v>
      </c>
      <c r="C881" s="31" t="s">
        <v>14226</v>
      </c>
      <c r="D881" s="31">
        <v>880</v>
      </c>
      <c r="E881" s="31" t="str">
        <f t="shared" si="73"/>
        <v>E3_6_1_9</v>
      </c>
      <c r="F881" s="31" t="s">
        <v>10726</v>
      </c>
      <c r="G881" s="31" t="str">
        <f t="shared" si="74"/>
        <v>C00016 * C00001</v>
      </c>
      <c r="H881" s="31" t="s">
        <v>10727</v>
      </c>
      <c r="I881" s="31" t="str">
        <f t="shared" si="77"/>
        <v>C00020 * C00061</v>
      </c>
      <c r="J881" s="31" t="str">
        <f t="shared" si="75"/>
        <v>(${Variables: E3_6_1_9_Kcat } * E3_6_1_9 * C00016 * C00001) /(${Variables:E3_6_1_9_Km} + (E3_6_1_9 * C00016 * C00001))</v>
      </c>
      <c r="K881" s="31" t="str">
        <f t="shared" si="76"/>
        <v>r880: C00016 + C00001 -&gt; C00020 + C00061 | (${Variables: E3_6_1_9_Kcat } * E3_6_1_9 * C00016 * C00001) /(${Variables:E3_6_1_9_Km} + (E3_6_1_9 * C00016 * C00001))</v>
      </c>
    </row>
    <row r="882" spans="1:11" ht="29" x14ac:dyDescent="0.35">
      <c r="A882" s="31" t="s">
        <v>2039</v>
      </c>
      <c r="B882" s="31" t="s">
        <v>2040</v>
      </c>
      <c r="C882" s="31" t="s">
        <v>14226</v>
      </c>
      <c r="D882" s="31">
        <v>881</v>
      </c>
      <c r="E882" s="31" t="str">
        <f t="shared" si="73"/>
        <v>E3_6_1_9</v>
      </c>
      <c r="F882" s="31" t="s">
        <v>10729</v>
      </c>
      <c r="G882" s="31" t="str">
        <f t="shared" si="74"/>
        <v>C00029 * C00001</v>
      </c>
      <c r="H882" s="31" t="s">
        <v>10730</v>
      </c>
      <c r="I882" s="31" t="str">
        <f t="shared" si="77"/>
        <v> C00105 * C00103</v>
      </c>
      <c r="J882" s="31" t="str">
        <f t="shared" si="75"/>
        <v>(${Variables: E3_6_1_9_Kcat } * E3_6_1_9 * C00029 * C00001) /(${Variables:E3_6_1_9_Km} + (E3_6_1_9 * C00029 * C00001))</v>
      </c>
      <c r="K882" s="31" t="str">
        <f t="shared" si="76"/>
        <v>r881: C00029 + C00001 -&gt;  C00105 + C00103 | (${Variables: E3_6_1_9_Kcat } * E3_6_1_9 * C00029 * C00001) /(${Variables:E3_6_1_9_Km} + (E3_6_1_9 * C00029 * C00001))</v>
      </c>
    </row>
    <row r="883" spans="1:11" ht="58" x14ac:dyDescent="0.35">
      <c r="A883" s="31" t="s">
        <v>2039</v>
      </c>
      <c r="B883" s="31" t="s">
        <v>2040</v>
      </c>
      <c r="C883" s="31" t="s">
        <v>14226</v>
      </c>
      <c r="D883" s="31">
        <v>882</v>
      </c>
      <c r="E883" s="31" t="str">
        <f t="shared" si="73"/>
        <v>E3_6_1_9</v>
      </c>
      <c r="F883" s="31" t="s">
        <v>10732</v>
      </c>
      <c r="G883" s="31" t="str">
        <f t="shared" si="74"/>
        <v xml:space="preserve">	
C00857 * C00001</v>
      </c>
      <c r="H883" s="31" t="s">
        <v>10733</v>
      </c>
      <c r="I883" s="31" t="str">
        <f t="shared" si="77"/>
        <v>C00020 * C01185</v>
      </c>
      <c r="J883" s="31" t="str">
        <f t="shared" si="75"/>
        <v>(${Variables: E3_6_1_9_Kcat } * E3_6_1_9 * 	
C00857 * C00001) /(${Variables:E3_6_1_9_Km} + (E3_6_1_9 * 	
C00857 * C00001))</v>
      </c>
      <c r="K883" s="31" t="str">
        <f t="shared" si="76"/>
        <v>r882: 	
C00857 + C00001 -&gt; C00020 + C01185 | (${Variables: E3_6_1_9_Kcat } * E3_6_1_9 * 	
C00857 * C00001) /(${Variables:E3_6_1_9_Km} + (E3_6_1_9 * 	
C00857 * C00001))</v>
      </c>
    </row>
    <row r="884" spans="1:11" ht="58" x14ac:dyDescent="0.35">
      <c r="A884" s="31" t="s">
        <v>2039</v>
      </c>
      <c r="B884" s="31" t="s">
        <v>2040</v>
      </c>
      <c r="C884" s="31" t="s">
        <v>14226</v>
      </c>
      <c r="D884" s="31">
        <v>883</v>
      </c>
      <c r="E884" s="31" t="str">
        <f t="shared" si="73"/>
        <v>E3_6_1_9</v>
      </c>
      <c r="F884" s="31" t="s">
        <v>10735</v>
      </c>
      <c r="G884" s="31" t="str">
        <f t="shared" si="74"/>
        <v xml:space="preserve">	
C00882 * C00001</v>
      </c>
      <c r="H884" s="31" t="s">
        <v>10736</v>
      </c>
      <c r="I884" s="31" t="str">
        <f t="shared" si="77"/>
        <v>C01134 * C00020</v>
      </c>
      <c r="J884" s="31" t="str">
        <f t="shared" si="75"/>
        <v>(${Variables: E3_6_1_9_Kcat } * E3_6_1_9 * 	
C00882 * C00001) /(${Variables:E3_6_1_9_Km} + (E3_6_1_9 * 	
C00882 * C00001))</v>
      </c>
      <c r="K884" s="31" t="str">
        <f t="shared" si="76"/>
        <v>r883: 	
C00882 + C00001 -&gt; C01134 + C00020 | (${Variables: E3_6_1_9_Kcat } * E3_6_1_9 * 	
C00882 * C00001) /(${Variables:E3_6_1_9_Km} + (E3_6_1_9 * 	
C00882 * C00001))</v>
      </c>
    </row>
    <row r="885" spans="1:11" ht="29" x14ac:dyDescent="0.35">
      <c r="A885" s="31" t="s">
        <v>452</v>
      </c>
      <c r="B885" s="31" t="s">
        <v>453</v>
      </c>
      <c r="C885" s="31" t="s">
        <v>14227</v>
      </c>
      <c r="D885" s="31">
        <v>884</v>
      </c>
      <c r="E885" s="31" t="str">
        <f t="shared" si="73"/>
        <v>E5_6_2_5</v>
      </c>
      <c r="F885" s="31" t="s">
        <v>10744</v>
      </c>
      <c r="G885" s="31" t="str">
        <f t="shared" si="74"/>
        <v>C00002 * C00001</v>
      </c>
      <c r="H885" s="31" t="s">
        <v>10745</v>
      </c>
      <c r="I885" s="31" t="str">
        <f t="shared" si="77"/>
        <v>C00008 * C00009</v>
      </c>
      <c r="J885" s="31" t="str">
        <f t="shared" si="75"/>
        <v>(${Variables: E5_6_2_5_Kcat } * E5_6_2_5 * C00002 * C00001) /(${Variables:E5_6_2_5_Km} + (E5_6_2_5 * C00002 * C00001))</v>
      </c>
      <c r="K885" s="31" t="str">
        <f t="shared" si="76"/>
        <v>r884: C00002 + C00001 -&gt; C00008 + C00009 | (${Variables: E5_6_2_5_Kcat } * E5_6_2_5 * C00002 * C00001) /(${Variables:E5_6_2_5_Km} + (E5_6_2_5 * C00002 * C00001))</v>
      </c>
    </row>
    <row r="886" spans="1:11" ht="29" x14ac:dyDescent="0.35">
      <c r="A886" s="31" t="s">
        <v>452</v>
      </c>
      <c r="B886" s="31" t="s">
        <v>453</v>
      </c>
      <c r="C886" s="31" t="s">
        <v>14228</v>
      </c>
      <c r="D886" s="31">
        <v>885</v>
      </c>
      <c r="E886" s="31" t="str">
        <f t="shared" si="73"/>
        <v>E5_6_2_6</v>
      </c>
      <c r="F886" s="31" t="s">
        <v>10744</v>
      </c>
      <c r="G886" s="31" t="str">
        <f t="shared" si="74"/>
        <v>C00002 * C00001</v>
      </c>
      <c r="H886" s="31" t="s">
        <v>10745</v>
      </c>
      <c r="I886" s="31" t="str">
        <f t="shared" si="77"/>
        <v>C00008 * C00009</v>
      </c>
      <c r="J886" s="31" t="str">
        <f t="shared" si="75"/>
        <v>(${Variables: E5_6_2_6_Kcat } * E5_6_2_6 * C00002 * C00001) /(${Variables:E5_6_2_6_Km} + (E5_6_2_6 * C00002 * C00001))</v>
      </c>
      <c r="K886" s="31" t="str">
        <f t="shared" si="76"/>
        <v>r885: C00002 + C00001 -&gt; C00008 + C00009 | (${Variables: E5_6_2_6_Kcat } * E5_6_2_6 * C00002 * C00001) /(${Variables:E5_6_2_6_Km} + (E5_6_2_6 * C00002 * C00001))</v>
      </c>
    </row>
    <row r="887" spans="1:11" ht="29" x14ac:dyDescent="0.35">
      <c r="A887" s="31" t="s">
        <v>452</v>
      </c>
      <c r="B887" s="31" t="s">
        <v>453</v>
      </c>
      <c r="C887" s="31" t="s">
        <v>14229</v>
      </c>
      <c r="D887" s="31">
        <v>886</v>
      </c>
      <c r="E887" s="31" t="str">
        <f t="shared" si="73"/>
        <v>E5_6_2_7</v>
      </c>
      <c r="F887" s="31" t="s">
        <v>10744</v>
      </c>
      <c r="G887" s="31" t="str">
        <f t="shared" si="74"/>
        <v>C00002 * C00001</v>
      </c>
      <c r="H887" s="31" t="s">
        <v>10745</v>
      </c>
      <c r="I887" s="31" t="str">
        <f t="shared" si="77"/>
        <v>C00008 * C00009</v>
      </c>
      <c r="J887" s="31" t="str">
        <f t="shared" si="75"/>
        <v>(${Variables: E5_6_2_7_Kcat } * E5_6_2_7 * C00002 * C00001) /(${Variables:E5_6_2_7_Km} + (E5_6_2_7 * C00002 * C00001))</v>
      </c>
      <c r="K887" s="31" t="str">
        <f t="shared" si="76"/>
        <v>r886: C00002 + C00001 -&gt; C00008 + C00009 | (${Variables: E5_6_2_7_Kcat } * E5_6_2_7 * C00002 * C00001) /(${Variables:E5_6_2_7_Km} + (E5_6_2_7 * C00002 * C00001))</v>
      </c>
    </row>
    <row r="888" spans="1:11" ht="29" x14ac:dyDescent="0.35">
      <c r="A888" s="31" t="s">
        <v>5297</v>
      </c>
      <c r="B888" s="31" t="s">
        <v>5298</v>
      </c>
      <c r="C888" s="31" t="s">
        <v>14227</v>
      </c>
      <c r="D888" s="31">
        <v>887</v>
      </c>
      <c r="E888" s="31" t="str">
        <f t="shared" si="73"/>
        <v>E5_6_2_5</v>
      </c>
      <c r="F888" s="31" t="s">
        <v>10744</v>
      </c>
      <c r="G888" s="31" t="str">
        <f t="shared" si="74"/>
        <v>C00002 * C00001</v>
      </c>
      <c r="H888" s="31" t="s">
        <v>10745</v>
      </c>
      <c r="I888" s="31" t="str">
        <f t="shared" si="77"/>
        <v>C00008 * C00009</v>
      </c>
      <c r="J888" s="31" t="str">
        <f t="shared" si="75"/>
        <v>(${Variables: E5_6_2_5_Kcat } * E5_6_2_5 * C00002 * C00001) /(${Variables:E5_6_2_5_Km} + (E5_6_2_5 * C00002 * C00001))</v>
      </c>
      <c r="K888" s="31" t="str">
        <f t="shared" si="76"/>
        <v>r887: C00002 + C00001 -&gt; C00008 + C00009 | (${Variables: E5_6_2_5_Kcat } * E5_6_2_5 * C00002 * C00001) /(${Variables:E5_6_2_5_Km} + (E5_6_2_5 * C00002 * C00001))</v>
      </c>
    </row>
    <row r="889" spans="1:11" ht="29" x14ac:dyDescent="0.35">
      <c r="A889" s="31" t="s">
        <v>5297</v>
      </c>
      <c r="B889" s="31" t="s">
        <v>5298</v>
      </c>
      <c r="C889" s="31" t="s">
        <v>14228</v>
      </c>
      <c r="D889" s="31">
        <v>888</v>
      </c>
      <c r="E889" s="31" t="str">
        <f t="shared" si="73"/>
        <v>E5_6_2_6</v>
      </c>
      <c r="F889" s="31" t="s">
        <v>10744</v>
      </c>
      <c r="G889" s="31" t="str">
        <f t="shared" si="74"/>
        <v>C00002 * C00001</v>
      </c>
      <c r="H889" s="31" t="s">
        <v>10745</v>
      </c>
      <c r="I889" s="31" t="str">
        <f t="shared" si="77"/>
        <v>C00008 * C00009</v>
      </c>
      <c r="J889" s="31" t="str">
        <f t="shared" si="75"/>
        <v>(${Variables: E5_6_2_6_Kcat } * E5_6_2_6 * C00002 * C00001) /(${Variables:E5_6_2_6_Km} + (E5_6_2_6 * C00002 * C00001))</v>
      </c>
      <c r="K889" s="31" t="str">
        <f t="shared" si="76"/>
        <v>r888: C00002 + C00001 -&gt; C00008 + C00009 | (${Variables: E5_6_2_6_Kcat } * E5_6_2_6 * C00002 * C00001) /(${Variables:E5_6_2_6_Km} + (E5_6_2_6 * C00002 * C00001))</v>
      </c>
    </row>
    <row r="890" spans="1:11" ht="29" x14ac:dyDescent="0.35">
      <c r="A890" s="31" t="s">
        <v>5297</v>
      </c>
      <c r="B890" s="31" t="s">
        <v>5298</v>
      </c>
      <c r="C890" s="31" t="s">
        <v>14229</v>
      </c>
      <c r="D890" s="31">
        <v>889</v>
      </c>
      <c r="E890" s="31" t="str">
        <f t="shared" si="73"/>
        <v>E5_6_2_7</v>
      </c>
      <c r="F890" s="31" t="s">
        <v>10744</v>
      </c>
      <c r="G890" s="31" t="str">
        <f t="shared" si="74"/>
        <v>C00002 * C00001</v>
      </c>
      <c r="H890" s="31" t="s">
        <v>10745</v>
      </c>
      <c r="I890" s="31" t="str">
        <f t="shared" si="77"/>
        <v>C00008 * C00009</v>
      </c>
      <c r="J890" s="31" t="str">
        <f t="shared" si="75"/>
        <v>(${Variables: E5_6_2_7_Kcat } * E5_6_2_7 * C00002 * C00001) /(${Variables:E5_6_2_7_Km} + (E5_6_2_7 * C00002 * C00001))</v>
      </c>
      <c r="K890" s="31" t="str">
        <f t="shared" si="76"/>
        <v>r889: C00002 + C00001 -&gt; C00008 + C00009 | (${Variables: E5_6_2_7_Kcat } * E5_6_2_7 * C00002 * C00001) /(${Variables:E5_6_2_7_Km} + (E5_6_2_7 * C00002 * C00001))</v>
      </c>
    </row>
    <row r="891" spans="1:11" ht="29" x14ac:dyDescent="0.35">
      <c r="A891" s="31" t="s">
        <v>512</v>
      </c>
      <c r="B891" s="31" t="s">
        <v>513</v>
      </c>
      <c r="C891" s="31" t="s">
        <v>14230</v>
      </c>
      <c r="D891" s="31">
        <v>890</v>
      </c>
      <c r="E891" s="31" t="str">
        <f t="shared" si="73"/>
        <v>E3_7_1_22</v>
      </c>
      <c r="F891" s="31" t="s">
        <v>10750</v>
      </c>
      <c r="G891" s="31" t="str">
        <f t="shared" si="74"/>
        <v xml:space="preserve">C04287 * C00001 </v>
      </c>
      <c r="H891" s="31" t="s">
        <v>10751</v>
      </c>
      <c r="I891" s="31" t="str">
        <f t="shared" si="77"/>
        <v> C16737</v>
      </c>
      <c r="J891" s="31" t="str">
        <f t="shared" si="75"/>
        <v>(${Variables: E3_7_1_22_Kcat } * E3_7_1_22 * C04287 * C00001 ) /(${Variables:E3_7_1_22_Km} + (E3_7_1_22 * C04287 * C00001 ))</v>
      </c>
      <c r="K891" s="31" t="str">
        <f t="shared" si="76"/>
        <v>r890: C04287 + C00001  -&gt;  C16737 | (${Variables: E3_7_1_22_Kcat } * E3_7_1_22 * C04287 * C00001 ) /(${Variables:E3_7_1_22_Km} + (E3_7_1_22 * C04287 * C00001 ))</v>
      </c>
    </row>
    <row r="892" spans="1:11" ht="58" x14ac:dyDescent="0.35">
      <c r="A892" s="31" t="s">
        <v>436</v>
      </c>
      <c r="B892" s="31" t="s">
        <v>437</v>
      </c>
      <c r="C892" s="31" t="s">
        <v>14231</v>
      </c>
      <c r="D892" s="31">
        <v>891</v>
      </c>
      <c r="E892" s="31" t="str">
        <f t="shared" si="73"/>
        <v>E4_1_1_11</v>
      </c>
      <c r="F892" s="31" t="s">
        <v>10754</v>
      </c>
      <c r="G892" s="31" t="str">
        <f t="shared" si="74"/>
        <v xml:space="preserve">	
C00049 </v>
      </c>
      <c r="H892" s="31" t="s">
        <v>10755</v>
      </c>
      <c r="I892" s="31" t="str">
        <f t="shared" si="77"/>
        <v>C00099 * C00011</v>
      </c>
      <c r="J892" s="31" t="str">
        <f t="shared" si="75"/>
        <v>(${Variables: E4_1_1_11_Kcat } * E4_1_1_11 * 	
C00049 ) /(${Variables:E4_1_1_11_Km} + (E4_1_1_11 * 	
C00049 ))</v>
      </c>
      <c r="K892" s="32" t="str">
        <f t="shared" si="76"/>
        <v>r891: 	
C00049  -&gt; C00099 + C00011 | (${Variables: E4_1_1_11_Kcat } * E4_1_1_11 * 	
C00049 ) /(${Variables:E4_1_1_11_Km} + (E4_1_1_11 * 	
C00049 ))</v>
      </c>
    </row>
    <row r="893" spans="1:11" ht="29" x14ac:dyDescent="0.35">
      <c r="A893" s="31" t="s">
        <v>3357</v>
      </c>
      <c r="B893" s="31" t="s">
        <v>3358</v>
      </c>
      <c r="C893" s="31" t="s">
        <v>14232</v>
      </c>
      <c r="D893" s="31">
        <v>892</v>
      </c>
      <c r="E893" s="31" t="str">
        <f t="shared" si="73"/>
        <v>E4_1_1_20</v>
      </c>
      <c r="F893" s="31" t="s">
        <v>10758</v>
      </c>
      <c r="G893" s="31" t="str">
        <f t="shared" si="74"/>
        <v>C00680</v>
      </c>
      <c r="H893" s="31" t="s">
        <v>10759</v>
      </c>
      <c r="I893" s="31" t="str">
        <f t="shared" si="77"/>
        <v> C00047 * C00011</v>
      </c>
      <c r="J893" s="31" t="str">
        <f t="shared" si="75"/>
        <v>(${Variables: E4_1_1_20_Kcat } * E4_1_1_20 * C00680) /(${Variables:E4_1_1_20_Km} + (E4_1_1_20 * C00680))</v>
      </c>
      <c r="K893" s="32" t="str">
        <f t="shared" si="76"/>
        <v>r892: C00680 -&gt;  C00047 + C00011 | (${Variables: E4_1_1_20_Kcat } * E4_1_1_20 * C00680) /(${Variables:E4_1_1_20_Km} + (E4_1_1_20 * C00680))</v>
      </c>
    </row>
    <row r="894" spans="1:11" ht="29" x14ac:dyDescent="0.35">
      <c r="A894" s="31" t="s">
        <v>2064</v>
      </c>
      <c r="B894" s="31" t="s">
        <v>2065</v>
      </c>
      <c r="C894" s="31" t="s">
        <v>14233</v>
      </c>
      <c r="D894" s="31">
        <v>893</v>
      </c>
      <c r="E894" s="31" t="str">
        <f t="shared" si="73"/>
        <v xml:space="preserve">E4_1_1_21 </v>
      </c>
      <c r="F894" s="31" t="s">
        <v>10764</v>
      </c>
      <c r="G894" s="31" t="str">
        <f t="shared" si="74"/>
        <v>C04751 </v>
      </c>
      <c r="H894" s="31" t="s">
        <v>10765</v>
      </c>
      <c r="I894" s="31" t="str">
        <f t="shared" si="77"/>
        <v>C03373 * C00011</v>
      </c>
      <c r="J894" s="31" t="str">
        <f t="shared" si="75"/>
        <v>(${Variables: E4_1_1_21 _Kcat } * E4_1_1_21  * C04751 ) /(${Variables:E4_1_1_21 _Km} + (E4_1_1_21  * C04751 ))</v>
      </c>
      <c r="K894" s="32" t="str">
        <f t="shared" si="76"/>
        <v>r893: C04751  -&gt; C03373 + C00011 | (${Variables: E4_1_1_21 _Kcat } * E4_1_1_21  * C04751 ) /(${Variables:E4_1_1_21 _Km} + (E4_1_1_21  * C04751 ))</v>
      </c>
    </row>
    <row r="895" spans="1:11" ht="58" x14ac:dyDescent="0.35">
      <c r="A895" s="31" t="s">
        <v>2064</v>
      </c>
      <c r="B895" s="31" t="s">
        <v>2065</v>
      </c>
      <c r="C895" s="31" t="s">
        <v>14234</v>
      </c>
      <c r="D895" s="31">
        <v>894</v>
      </c>
      <c r="E895" s="31" t="str">
        <f t="shared" si="73"/>
        <v>E5_4_99_18</v>
      </c>
      <c r="F895" s="31" t="s">
        <v>10768</v>
      </c>
      <c r="G895" s="31" t="str">
        <f t="shared" si="74"/>
        <v xml:space="preserve">	
C15667 </v>
      </c>
      <c r="H895" s="31" t="s">
        <v>10769</v>
      </c>
      <c r="I895" s="31" t="str">
        <f t="shared" si="77"/>
        <v>C04751</v>
      </c>
      <c r="J895" s="31" t="str">
        <f t="shared" si="75"/>
        <v>(${Variables: E5_4_99_18_Kcat } * E5_4_99_18 * 	
C15667 ) /(${Variables:E5_4_99_18_Km} + (E5_4_99_18 * 	
C15667 ))</v>
      </c>
      <c r="K895" s="31" t="str">
        <f t="shared" si="76"/>
        <v>r894: 	
C15667  -&gt; C04751 | (${Variables: E5_4_99_18_Kcat } * E5_4_99_18 * 	
C15667 ) /(${Variables:E5_4_99_18_Km} + (E5_4_99_18 * 	
C15667 ))</v>
      </c>
    </row>
    <row r="896" spans="1:11" ht="58" x14ac:dyDescent="0.35">
      <c r="A896" s="31" t="s">
        <v>4552</v>
      </c>
      <c r="B896" s="31" t="s">
        <v>4553</v>
      </c>
      <c r="C896" s="31" t="s">
        <v>14235</v>
      </c>
      <c r="D896" s="31">
        <v>895</v>
      </c>
      <c r="E896" s="31" t="str">
        <f t="shared" si="73"/>
        <v>E4_1_1_23</v>
      </c>
      <c r="F896" s="31" t="s">
        <v>10772</v>
      </c>
      <c r="G896" s="31" t="str">
        <f t="shared" si="74"/>
        <v xml:space="preserve">	
C01103 </v>
      </c>
      <c r="H896" s="31" t="s">
        <v>10773</v>
      </c>
      <c r="I896" s="31" t="str">
        <f t="shared" si="77"/>
        <v>C00105 * C00011</v>
      </c>
      <c r="J896" s="31" t="str">
        <f t="shared" si="75"/>
        <v>(${Variables: E4_1_1_23_Kcat } * E4_1_1_23 * 	
C01103 ) /(${Variables:E4_1_1_23_Km} + (E4_1_1_23 * 	
C01103 ))</v>
      </c>
      <c r="K896" s="32" t="str">
        <f t="shared" si="76"/>
        <v>r895: 	
C01103  -&gt; C00105 + C00011 | (${Variables: E4_1_1_23_Kcat } * E4_1_1_23 * 	
C01103 ) /(${Variables:E4_1_1_23_Km} + (E4_1_1_23 * 	
C01103 ))</v>
      </c>
    </row>
    <row r="897" spans="1:11" ht="29" x14ac:dyDescent="0.35">
      <c r="A897" s="31" t="s">
        <v>4466</v>
      </c>
      <c r="B897" s="31" t="s">
        <v>4467</v>
      </c>
      <c r="C897" s="31" t="s">
        <v>14236</v>
      </c>
      <c r="D897" s="31">
        <v>896</v>
      </c>
      <c r="E897" s="31" t="str">
        <f t="shared" si="73"/>
        <v>E4_1_1_31</v>
      </c>
      <c r="F897" s="31" t="s">
        <v>10776</v>
      </c>
      <c r="G897" s="31" t="str">
        <f t="shared" si="74"/>
        <v xml:space="preserve">C00009 * C00036 </v>
      </c>
      <c r="H897" s="31" t="s">
        <v>10777</v>
      </c>
      <c r="I897" s="31" t="str">
        <f t="shared" si="77"/>
        <v>C00001 * C00074 * C00011</v>
      </c>
      <c r="J897" s="31" t="str">
        <f t="shared" si="75"/>
        <v>(${Variables: E4_1_1_31_Kcat } * E4_1_1_31 * C00009 * C00036 ) /(${Variables:E4_1_1_31_Km} + (E4_1_1_31 * C00009 * C00036 ))</v>
      </c>
      <c r="K897" s="32" t="str">
        <f t="shared" si="76"/>
        <v>r896: C00009 + C00036  -&gt; C00001 + C00074 + C00011 | (${Variables: E4_1_1_31_Kcat } * E4_1_1_31 * C00009 * C00036 ) /(${Variables:E4_1_1_31_Km} + (E4_1_1_31 * C00009 * C00036 ))</v>
      </c>
    </row>
    <row r="898" spans="1:11" ht="29" x14ac:dyDescent="0.35">
      <c r="A898" s="31" t="s">
        <v>7817</v>
      </c>
      <c r="B898" s="31" t="s">
        <v>7818</v>
      </c>
      <c r="C898" s="31" t="s">
        <v>14237</v>
      </c>
      <c r="D898" s="31">
        <v>897</v>
      </c>
      <c r="E898" s="31" t="str">
        <f t="shared" ref="E898:E961" si="78">CONCATENATE("E",C898)</f>
        <v>E4_1_1_32</v>
      </c>
      <c r="F898" s="31" t="s">
        <v>10780</v>
      </c>
      <c r="G898" s="31" t="str">
        <f t="shared" ref="G898:G961" si="79">SUBSTITUTE(F898,"+","*")</f>
        <v>C00044 * C00036 </v>
      </c>
      <c r="H898" s="31" t="s">
        <v>10781</v>
      </c>
      <c r="I898" s="31" t="str">
        <f t="shared" si="77"/>
        <v> C00035 * C00074 * C00011</v>
      </c>
      <c r="J898" s="31" t="str">
        <f t="shared" ref="J898:J961" si="80">CONCATENATE("(${Variables: ",E898,"_Kcat ","} * ",E898," * ",G898,")"," /(${Variables:",E898,"_Km","} + (",E898," * ",G898,"))")</f>
        <v>(${Variables: E4_1_1_32_Kcat } * E4_1_1_32 * C00044 * C00036 ) /(${Variables:E4_1_1_32_Km} + (E4_1_1_32 * C00044 * C00036 ))</v>
      </c>
      <c r="K898" s="31" t="str">
        <f t="shared" ref="K898:K961" si="81">CONCATENATE("r",D898,": ",F898," -&gt; ",H898," | ",J898)</f>
        <v>r897: C00044 + C00036  -&gt;  C00035 + C00074 + C00011 | (${Variables: E4_1_1_32_Kcat } * E4_1_1_32 * C00044 * C00036 ) /(${Variables:E4_1_1_32_Km} + (E4_1_1_32 * C00044 * C00036 ))</v>
      </c>
    </row>
    <row r="899" spans="1:11" ht="29" x14ac:dyDescent="0.35">
      <c r="A899" s="31" t="s">
        <v>7817</v>
      </c>
      <c r="B899" s="31" t="s">
        <v>7818</v>
      </c>
      <c r="C899" s="31" t="s">
        <v>14237</v>
      </c>
      <c r="D899" s="31">
        <v>898</v>
      </c>
      <c r="E899" s="31" t="str">
        <f t="shared" si="78"/>
        <v>E4_1_1_32</v>
      </c>
      <c r="F899" s="31" t="s">
        <v>10783</v>
      </c>
      <c r="G899" s="31" t="str">
        <f t="shared" si="79"/>
        <v>C00081 * C00036</v>
      </c>
      <c r="H899" s="31" t="s">
        <v>10784</v>
      </c>
      <c r="I899" s="31" t="str">
        <f t="shared" si="77"/>
        <v> C00104 * C00074 * C00011</v>
      </c>
      <c r="J899" s="31" t="str">
        <f t="shared" si="80"/>
        <v>(${Variables: E4_1_1_32_Kcat } * E4_1_1_32 * C00081 * C00036) /(${Variables:E4_1_1_32_Km} + (E4_1_1_32 * C00081 * C00036))</v>
      </c>
      <c r="K899" s="31" t="str">
        <f t="shared" si="81"/>
        <v>r898: C00081 + C00036 -&gt;  C00104 + C00074 + C00011 | (${Variables: E4_1_1_32_Kcat } * E4_1_1_32 * C00081 * C00036) /(${Variables:E4_1_1_32_Km} + (E4_1_1_32 * C00081 * C00036))</v>
      </c>
    </row>
    <row r="900" spans="1:11" ht="58" x14ac:dyDescent="0.35">
      <c r="A900" s="31" t="s">
        <v>4536</v>
      </c>
      <c r="B900" s="31" t="s">
        <v>4537</v>
      </c>
      <c r="C900" s="31" t="s">
        <v>14238</v>
      </c>
      <c r="D900" s="31">
        <v>899</v>
      </c>
      <c r="E900" s="31" t="str">
        <f t="shared" si="78"/>
        <v xml:space="preserve">E4_1_1_36 </v>
      </c>
      <c r="F900" s="31" t="s">
        <v>10789</v>
      </c>
      <c r="G900" s="31" t="str">
        <f t="shared" si="79"/>
        <v xml:space="preserve">	
C04352</v>
      </c>
      <c r="H900" s="31" t="s">
        <v>10790</v>
      </c>
      <c r="I900" s="31" t="str">
        <f t="shared" ref="I900:I963" si="82">SUBSTITUTE(H900,"+","*")</f>
        <v> C01134 * C00011</v>
      </c>
      <c r="J900" s="31" t="str">
        <f t="shared" si="80"/>
        <v>(${Variables: E4_1_1_36 _Kcat } * E4_1_1_36  * 	
C04352) /(${Variables:E4_1_1_36 _Km} + (E4_1_1_36  * 	
C04352))</v>
      </c>
      <c r="K900" s="32" t="str">
        <f t="shared" si="81"/>
        <v>r899: 	
C04352 -&gt;  C01134 + C00011 | (${Variables: E4_1_1_36 _Kcat } * E4_1_1_36  * 	
C04352) /(${Variables:E4_1_1_36 _Km} + (E4_1_1_36  * 	
C04352))</v>
      </c>
    </row>
    <row r="901" spans="1:11" ht="29" x14ac:dyDescent="0.35">
      <c r="A901" s="31" t="s">
        <v>4536</v>
      </c>
      <c r="B901" s="31" t="s">
        <v>4537</v>
      </c>
      <c r="C901" s="31" t="s">
        <v>14239</v>
      </c>
      <c r="D901" s="31">
        <v>900</v>
      </c>
      <c r="E901" s="31" t="str">
        <f t="shared" si="78"/>
        <v>E6_3_2_5</v>
      </c>
      <c r="F901" s="31" t="s">
        <v>10793</v>
      </c>
      <c r="G901" s="31" t="str">
        <f t="shared" si="79"/>
        <v>C00063 * C03492 * C00097</v>
      </c>
      <c r="H901" s="31" t="s">
        <v>10794</v>
      </c>
      <c r="I901" s="31" t="str">
        <f t="shared" si="82"/>
        <v>C00055 * C00013 * C04352</v>
      </c>
      <c r="J901" s="31" t="str">
        <f t="shared" si="80"/>
        <v>(${Variables: E6_3_2_5_Kcat } * E6_3_2_5 * C00063 * C03492 * C00097) /(${Variables:E6_3_2_5_Km} + (E6_3_2_5 * C00063 * C03492 * C00097))</v>
      </c>
      <c r="K901" s="31" t="str">
        <f t="shared" si="81"/>
        <v>r900: C00063 + C03492 + C00097 -&gt; C00055 + C00013 + C04352 | (${Variables: E6_3_2_5_Kcat } * E6_3_2_5 * C00063 * C03492 * C00097) /(${Variables:E6_3_2_5_Km} + (E6_3_2_5 * C00063 * C03492 * C00097))</v>
      </c>
    </row>
    <row r="902" spans="1:11" ht="29" x14ac:dyDescent="0.35">
      <c r="A902" s="31" t="s">
        <v>1270</v>
      </c>
      <c r="B902" s="31" t="s">
        <v>1271</v>
      </c>
      <c r="C902" s="31" t="s">
        <v>14240</v>
      </c>
      <c r="D902" s="31">
        <v>901</v>
      </c>
      <c r="E902" s="31" t="str">
        <f t="shared" si="78"/>
        <v>E4_1_1_37</v>
      </c>
      <c r="F902" s="31" t="s">
        <v>10797</v>
      </c>
      <c r="G902" s="31" t="str">
        <f t="shared" si="79"/>
        <v xml:space="preserve">C01051 </v>
      </c>
      <c r="H902" s="31" t="s">
        <v>14477</v>
      </c>
      <c r="I902" s="31" t="str">
        <f t="shared" si="82"/>
        <v> C03263 * C00011</v>
      </c>
      <c r="J902" s="31" t="str">
        <f t="shared" si="80"/>
        <v>(${Variables: E4_1_1_37_Kcat } * E4_1_1_37 * C01051 ) /(${Variables:E4_1_1_37_Km} + (E4_1_1_37 * C01051 ))</v>
      </c>
      <c r="K902" s="32" t="str">
        <f t="shared" si="81"/>
        <v>r901: C01051  -&gt;  C03263 + C00011 | (${Variables: E4_1_1_37_Kcat } * E4_1_1_37 * C01051 ) /(${Variables:E4_1_1_37_Km} + (E4_1_1_37 * C01051 ))</v>
      </c>
    </row>
    <row r="903" spans="1:11" ht="58" x14ac:dyDescent="0.35">
      <c r="A903" s="31" t="s">
        <v>1270</v>
      </c>
      <c r="B903" s="31" t="s">
        <v>1271</v>
      </c>
      <c r="C903" s="31" t="s">
        <v>14240</v>
      </c>
      <c r="D903" s="31">
        <v>902</v>
      </c>
      <c r="E903" s="31" t="str">
        <f t="shared" si="78"/>
        <v>E4_1_1_37</v>
      </c>
      <c r="F903" s="31" t="s">
        <v>10800</v>
      </c>
      <c r="G903" s="31" t="str">
        <f t="shared" si="79"/>
        <v xml:space="preserve">	
C05766</v>
      </c>
      <c r="H903" s="31" t="s">
        <v>14478</v>
      </c>
      <c r="I903" s="31" t="str">
        <f t="shared" si="82"/>
        <v>C05768 * C00011</v>
      </c>
      <c r="J903" s="31" t="str">
        <f t="shared" si="80"/>
        <v>(${Variables: E4_1_1_37_Kcat } * E4_1_1_37 * 	
C05766) /(${Variables:E4_1_1_37_Km} + (E4_1_1_37 * 	
C05766))</v>
      </c>
      <c r="K903" s="32" t="str">
        <f t="shared" si="81"/>
        <v>r902: 	
C05766 -&gt; C05768 + C00011 | (${Variables: E4_1_1_37_Kcat } * E4_1_1_37 * 	
C05766) /(${Variables:E4_1_1_37_Km} + (E4_1_1_37 * 	
C05766))</v>
      </c>
    </row>
    <row r="904" spans="1:11" ht="58" x14ac:dyDescent="0.35">
      <c r="A904" s="31" t="s">
        <v>6604</v>
      </c>
      <c r="B904" s="31" t="s">
        <v>6605</v>
      </c>
      <c r="C904" s="31" t="s">
        <v>14241</v>
      </c>
      <c r="D904" s="31">
        <v>903</v>
      </c>
      <c r="E904" s="31" t="str">
        <f t="shared" si="78"/>
        <v>E4_1_1_44</v>
      </c>
      <c r="F904" s="31" t="s">
        <v>10804</v>
      </c>
      <c r="G904" s="31" t="str">
        <f t="shared" si="79"/>
        <v xml:space="preserve">	
C01278</v>
      </c>
      <c r="H904" s="31" t="s">
        <v>10805</v>
      </c>
      <c r="I904" s="31" t="str">
        <f t="shared" si="82"/>
        <v>C03586 * C00011</v>
      </c>
      <c r="J904" s="31" t="str">
        <f t="shared" si="80"/>
        <v>(${Variables: E4_1_1_44_Kcat } * E4_1_1_44 * 	
C01278) /(${Variables:E4_1_1_44_Km} + (E4_1_1_44 * 	
C01278))</v>
      </c>
      <c r="K904" s="32" t="str">
        <f t="shared" si="81"/>
        <v>r903: 	
C01278 -&gt; C03586 + C00011 | (${Variables: E4_1_1_44_Kcat } * E4_1_1_44 * 	
C01278) /(${Variables:E4_1_1_44_Km} + (E4_1_1_44 * 	
C01278))</v>
      </c>
    </row>
    <row r="905" spans="1:11" ht="29" x14ac:dyDescent="0.35">
      <c r="A905" s="31" t="s">
        <v>8244</v>
      </c>
      <c r="B905" s="31" t="s">
        <v>8245</v>
      </c>
      <c r="C905" s="31" t="s">
        <v>14242</v>
      </c>
      <c r="D905" s="31">
        <v>904</v>
      </c>
      <c r="E905" s="31" t="str">
        <f t="shared" si="78"/>
        <v xml:space="preserve">E4_1_1_48 </v>
      </c>
      <c r="F905" s="31" t="s">
        <v>10810</v>
      </c>
      <c r="G905" s="31" t="str">
        <f t="shared" si="79"/>
        <v xml:space="preserve">C01302 </v>
      </c>
      <c r="H905" s="31" t="s">
        <v>10811</v>
      </c>
      <c r="I905" s="31" t="str">
        <f t="shared" si="82"/>
        <v> C03506 * C00011 * C00001</v>
      </c>
      <c r="J905" s="31" t="str">
        <f t="shared" si="80"/>
        <v>(${Variables: E4_1_1_48 _Kcat } * E4_1_1_48  * C01302 ) /(${Variables:E4_1_1_48 _Km} + (E4_1_1_48  * C01302 ))</v>
      </c>
      <c r="K905" s="32" t="str">
        <f t="shared" si="81"/>
        <v>r904: C01302  -&gt;  C03506 + C00011 + C00001 | (${Variables: E4_1_1_48 _Kcat } * E4_1_1_48  * C01302 ) /(${Variables:E4_1_1_48 _Km} + (E4_1_1_48  * C01302 ))</v>
      </c>
    </row>
    <row r="906" spans="1:11" ht="58" x14ac:dyDescent="0.35">
      <c r="A906" s="31" t="s">
        <v>8244</v>
      </c>
      <c r="B906" s="31" t="s">
        <v>8245</v>
      </c>
      <c r="C906" s="31" t="s">
        <v>14243</v>
      </c>
      <c r="D906" s="31">
        <v>905</v>
      </c>
      <c r="E906" s="31" t="str">
        <f t="shared" si="78"/>
        <v>E5_3_1_24</v>
      </c>
      <c r="F906" s="31" t="s">
        <v>10814</v>
      </c>
      <c r="G906" s="31" t="str">
        <f t="shared" si="79"/>
        <v xml:space="preserve">	
C04302</v>
      </c>
      <c r="H906" s="31" t="s">
        <v>10815</v>
      </c>
      <c r="I906" s="31" t="str">
        <f t="shared" si="82"/>
        <v>C01302</v>
      </c>
      <c r="J906" s="31" t="str">
        <f t="shared" si="80"/>
        <v>(${Variables: E5_3_1_24_Kcat } * E5_3_1_24 * 	
C04302) /(${Variables:E5_3_1_24_Km} + (E5_3_1_24 * 	
C04302))</v>
      </c>
      <c r="K906" s="32" t="str">
        <f t="shared" si="81"/>
        <v>r905: 	
C04302 -&gt; C01302 | (${Variables: E5_3_1_24_Kcat } * E5_3_1_24 * 	
C04302) /(${Variables:E5_3_1_24_Km} + (E5_3_1_24 * 	
C04302))</v>
      </c>
    </row>
    <row r="907" spans="1:11" ht="58" x14ac:dyDescent="0.35">
      <c r="A907" s="31" t="s">
        <v>3226</v>
      </c>
      <c r="B907" s="31" t="s">
        <v>3227</v>
      </c>
      <c r="C907" s="31" t="s">
        <v>14244</v>
      </c>
      <c r="D907" s="31">
        <v>906</v>
      </c>
      <c r="E907" s="31" t="str">
        <f t="shared" si="78"/>
        <v>E4_1_1_71</v>
      </c>
      <c r="F907" s="31" t="s">
        <v>10818</v>
      </c>
      <c r="G907" s="31" t="str">
        <f t="shared" si="79"/>
        <v xml:space="preserve">	
C00026</v>
      </c>
      <c r="H907" s="31" t="s">
        <v>10819</v>
      </c>
      <c r="I907" s="31" t="str">
        <f t="shared" si="82"/>
        <v>C00232 * C00011</v>
      </c>
      <c r="J907" s="31" t="str">
        <f t="shared" si="80"/>
        <v>(${Variables: E4_1_1_71_Kcat } * E4_1_1_71 * 	
C00026) /(${Variables:E4_1_1_71_Km} + (E4_1_1_71 * 	
C00026))</v>
      </c>
      <c r="K907" s="31" t="str">
        <f t="shared" si="81"/>
        <v>r906: 	
C00026 -&gt; C00232 + C00011 | (${Variables: E4_1_1_71_Kcat } * E4_1_1_71 * 	
C00026) /(${Variables:E4_1_1_71_Km} + (E4_1_1_71 * 	
C00026))</v>
      </c>
    </row>
    <row r="908" spans="1:11" ht="58" x14ac:dyDescent="0.35">
      <c r="A908" s="31" t="s">
        <v>7592</v>
      </c>
      <c r="B908" s="31" t="s">
        <v>7593</v>
      </c>
      <c r="C908" s="31" t="s">
        <v>14245</v>
      </c>
      <c r="D908" s="31">
        <v>907</v>
      </c>
      <c r="E908" s="31" t="str">
        <f t="shared" si="78"/>
        <v>E4_1_2_13</v>
      </c>
      <c r="F908" s="31" t="s">
        <v>10822</v>
      </c>
      <c r="G908" s="31" t="str">
        <f t="shared" si="79"/>
        <v xml:space="preserve">	
C00354 </v>
      </c>
      <c r="H908" s="31" t="s">
        <v>10823</v>
      </c>
      <c r="I908" s="31" t="str">
        <f t="shared" si="82"/>
        <v> C00111 * C00118</v>
      </c>
      <c r="J908" s="31" t="str">
        <f t="shared" si="80"/>
        <v>(${Variables: E4_1_2_13_Kcat } * E4_1_2_13 * 	
C00354 ) /(${Variables:E4_1_2_13_Km} + (E4_1_2_13 * 	
C00354 ))</v>
      </c>
      <c r="K908" s="32" t="str">
        <f t="shared" si="81"/>
        <v>r907: 	
C00354  -&gt;  C00111 + C00118 | (${Variables: E4_1_2_13_Kcat } * E4_1_2_13 * 	
C00354 ) /(${Variables:E4_1_2_13_Km} + (E4_1_2_13 * 	
C00354 ))</v>
      </c>
    </row>
    <row r="909" spans="1:11" ht="58" x14ac:dyDescent="0.35">
      <c r="A909" s="31" t="s">
        <v>7592</v>
      </c>
      <c r="B909" s="31" t="s">
        <v>7593</v>
      </c>
      <c r="C909" s="31" t="s">
        <v>14245</v>
      </c>
      <c r="D909" s="31">
        <v>908</v>
      </c>
      <c r="E909" s="31" t="str">
        <f t="shared" si="78"/>
        <v>E4_1_2_13</v>
      </c>
      <c r="F909" s="31" t="s">
        <v>10825</v>
      </c>
      <c r="G909" s="31" t="str">
        <f t="shared" si="79"/>
        <v xml:space="preserve">	
C05378 </v>
      </c>
      <c r="H909" s="31" t="s">
        <v>10826</v>
      </c>
      <c r="I909" s="31" t="str">
        <f t="shared" si="82"/>
        <v>C00111 * C00118</v>
      </c>
      <c r="J909" s="31" t="str">
        <f t="shared" si="80"/>
        <v>(${Variables: E4_1_2_13_Kcat } * E4_1_2_13 * 	
C05378 ) /(${Variables:E4_1_2_13_Km} + (E4_1_2_13 * 	
C05378 ))</v>
      </c>
      <c r="K909" s="32" t="str">
        <f t="shared" si="81"/>
        <v>r908: 	
C05378  -&gt; C00111 + C00118 | (${Variables: E4_1_2_13_Kcat } * E4_1_2_13 * 	
C05378 ) /(${Variables:E4_1_2_13_Km} + (E4_1_2_13 * 	
C05378 ))</v>
      </c>
    </row>
    <row r="910" spans="1:11" ht="29" x14ac:dyDescent="0.35">
      <c r="A910" s="31" t="s">
        <v>7592</v>
      </c>
      <c r="B910" s="31" t="s">
        <v>7593</v>
      </c>
      <c r="C910" s="31" t="s">
        <v>14245</v>
      </c>
      <c r="D910" s="31">
        <v>909</v>
      </c>
      <c r="E910" s="31" t="str">
        <f t="shared" si="78"/>
        <v>E4_1_2_13</v>
      </c>
      <c r="F910" s="31" t="s">
        <v>10828</v>
      </c>
      <c r="G910" s="31" t="str">
        <f t="shared" si="79"/>
        <v>C00447</v>
      </c>
      <c r="H910" s="31" t="s">
        <v>10829</v>
      </c>
      <c r="I910" s="31" t="str">
        <f t="shared" si="82"/>
        <v>C00111 * C00279</v>
      </c>
      <c r="J910" s="31" t="str">
        <f t="shared" si="80"/>
        <v>(${Variables: E4_1_2_13_Kcat } * E4_1_2_13 * C00447) /(${Variables:E4_1_2_13_Km} + (E4_1_2_13 * C00447))</v>
      </c>
      <c r="K910" s="32" t="str">
        <f t="shared" si="81"/>
        <v>r909: C00447 -&gt; C00111 + C00279 | (${Variables: E4_1_2_13_Kcat } * E4_1_2_13 * C00447) /(${Variables:E4_1_2_13_Km} + (E4_1_2_13 * C00447))</v>
      </c>
    </row>
    <row r="911" spans="1:11" ht="58" x14ac:dyDescent="0.35">
      <c r="A911" s="31" t="s">
        <v>7592</v>
      </c>
      <c r="B911" s="31" t="s">
        <v>7593</v>
      </c>
      <c r="C911" s="31" t="s">
        <v>14245</v>
      </c>
      <c r="D911" s="31">
        <v>910</v>
      </c>
      <c r="E911" s="31" t="str">
        <f t="shared" si="78"/>
        <v>E4_1_2_13</v>
      </c>
      <c r="F911" s="31" t="s">
        <v>10831</v>
      </c>
      <c r="G911" s="31" t="str">
        <f t="shared" si="79"/>
        <v xml:space="preserve">	
C01094</v>
      </c>
      <c r="H911" s="31" t="s">
        <v>10832</v>
      </c>
      <c r="I911" s="31" t="str">
        <f t="shared" si="82"/>
        <v>C00111 * C00577</v>
      </c>
      <c r="J911" s="31" t="str">
        <f t="shared" si="80"/>
        <v>(${Variables: E4_1_2_13_Kcat } * E4_1_2_13 * 	
C01094) /(${Variables:E4_1_2_13_Km} + (E4_1_2_13 * 	
C01094))</v>
      </c>
      <c r="K911" s="32" t="str">
        <f t="shared" si="81"/>
        <v>r910: 	
C01094 -&gt; C00111 + C00577 | (${Variables: E4_1_2_13_Kcat } * E4_1_2_13 * 	
C01094) /(${Variables:E4_1_2_13_Km} + (E4_1_2_13 * 	
C01094))</v>
      </c>
    </row>
    <row r="912" spans="1:11" ht="58" x14ac:dyDescent="0.35">
      <c r="A912" s="31" t="s">
        <v>7396</v>
      </c>
      <c r="B912" s="31" t="s">
        <v>7397</v>
      </c>
      <c r="C912" s="31" t="s">
        <v>14246</v>
      </c>
      <c r="D912" s="31">
        <v>911</v>
      </c>
      <c r="E912" s="31" t="str">
        <f t="shared" si="78"/>
        <v>E4_1_2_25</v>
      </c>
      <c r="F912" s="31" t="s">
        <v>10835</v>
      </c>
      <c r="G912" s="31" t="str">
        <f t="shared" si="79"/>
        <v xml:space="preserve">	
C04874 </v>
      </c>
      <c r="H912" s="31" t="s">
        <v>10836</v>
      </c>
      <c r="I912" s="31" t="str">
        <f t="shared" si="82"/>
        <v> C00266 * C01300</v>
      </c>
      <c r="J912" s="31" t="str">
        <f t="shared" si="80"/>
        <v>(${Variables: E4_1_2_25_Kcat } * E4_1_2_25 * 	
C04874 ) /(${Variables:E4_1_2_25_Km} + (E4_1_2_25 * 	
C04874 ))</v>
      </c>
      <c r="K912" s="32" t="str">
        <f t="shared" si="81"/>
        <v>r911: 	
C04874  -&gt;  C00266 + C01300 | (${Variables: E4_1_2_25_Kcat } * E4_1_2_25 * 	
C04874 ) /(${Variables:E4_1_2_25_Km} + (E4_1_2_25 * 	
C04874 ))</v>
      </c>
    </row>
    <row r="913" spans="1:11" ht="58" x14ac:dyDescent="0.35">
      <c r="A913" s="31" t="s">
        <v>1140</v>
      </c>
      <c r="B913" s="31" t="s">
        <v>1141</v>
      </c>
      <c r="C913" s="31" t="s">
        <v>14247</v>
      </c>
      <c r="D913" s="31">
        <v>912</v>
      </c>
      <c r="E913" s="31" t="str">
        <f t="shared" si="78"/>
        <v>E4_1_2_4</v>
      </c>
      <c r="F913" s="31" t="s">
        <v>10839</v>
      </c>
      <c r="G913" s="31" t="str">
        <f t="shared" si="79"/>
        <v xml:space="preserve">	
C00673</v>
      </c>
      <c r="H913" s="31" t="s">
        <v>10840</v>
      </c>
      <c r="I913" s="31" t="str">
        <f t="shared" si="82"/>
        <v>C00118 * C00084</v>
      </c>
      <c r="J913" s="31" t="str">
        <f t="shared" si="80"/>
        <v>(${Variables: E4_1_2_4_Kcat } * E4_1_2_4 * 	
C00673) /(${Variables:E4_1_2_4_Km} + (E4_1_2_4 * 	
C00673))</v>
      </c>
      <c r="K913" s="32" t="str">
        <f t="shared" si="81"/>
        <v>r912: 	
C00673 -&gt; C00118 + C00084 | (${Variables: E4_1_2_4_Kcat } * E4_1_2_4 * 	
C00673) /(${Variables:E4_1_2_4_Km} + (E4_1_2_4 * 	
C00673))</v>
      </c>
    </row>
    <row r="914" spans="1:11" ht="29" x14ac:dyDescent="0.35">
      <c r="A914" s="31" t="s">
        <v>6421</v>
      </c>
      <c r="B914" s="31" t="s">
        <v>6422</v>
      </c>
      <c r="C914" s="31" t="s">
        <v>14248</v>
      </c>
      <c r="D914" s="31">
        <v>913</v>
      </c>
      <c r="E914" s="31" t="str">
        <f t="shared" si="78"/>
        <v>E4_1_3_1</v>
      </c>
      <c r="F914" s="31" t="s">
        <v>10843</v>
      </c>
      <c r="G914" s="31" t="str">
        <f t="shared" si="79"/>
        <v>C00311</v>
      </c>
      <c r="H914" s="31" t="s">
        <v>10844</v>
      </c>
      <c r="I914" s="31" t="str">
        <f t="shared" si="82"/>
        <v> C00042 * C00048</v>
      </c>
      <c r="J914" s="31" t="str">
        <f t="shared" si="80"/>
        <v>(${Variables: E4_1_3_1_Kcat } * E4_1_3_1 * C00311) /(${Variables:E4_1_3_1_Km} + (E4_1_3_1 * C00311))</v>
      </c>
      <c r="K914" s="32" t="str">
        <f t="shared" si="81"/>
        <v>r913: C00311 -&gt;  C00042 + C00048 | (${Variables: E4_1_3_1_Kcat } * E4_1_3_1 * C00311) /(${Variables:E4_1_3_1_Km} + (E4_1_3_1 * C00311))</v>
      </c>
    </row>
    <row r="915" spans="1:11" ht="58" x14ac:dyDescent="0.35">
      <c r="A915" s="31" t="s">
        <v>8233</v>
      </c>
      <c r="B915" s="31" t="s">
        <v>8234</v>
      </c>
      <c r="C915" s="31" t="s">
        <v>14249</v>
      </c>
      <c r="D915" s="31">
        <v>914</v>
      </c>
      <c r="E915" s="31" t="str">
        <f t="shared" si="78"/>
        <v>E4_1_3_27</v>
      </c>
      <c r="F915" s="31" t="s">
        <v>10847</v>
      </c>
      <c r="G915" s="31" t="str">
        <f t="shared" si="79"/>
        <v xml:space="preserve">	
C00251 * C00064</v>
      </c>
      <c r="H915" s="31" t="s">
        <v>10848</v>
      </c>
      <c r="I915" s="31" t="str">
        <f t="shared" si="82"/>
        <v> C00108 * C00022 * C00025</v>
      </c>
      <c r="J915" s="31" t="str">
        <f t="shared" si="80"/>
        <v>(${Variables: E4_1_3_27_Kcat } * E4_1_3_27 * 	
C00251 * C00064) /(${Variables:E4_1_3_27_Km} + (E4_1_3_27 * 	
C00251 * C00064))</v>
      </c>
      <c r="K915" s="32" t="str">
        <f t="shared" si="81"/>
        <v>r914: 	
C00251 + C00064 -&gt;  C00108 + C00022 + C00025 | (${Variables: E4_1_3_27_Kcat } * E4_1_3_27 * 	
C00251 * C00064) /(${Variables:E4_1_3_27_Km} + (E4_1_3_27 * 	
C00251 * C00064))</v>
      </c>
    </row>
    <row r="916" spans="1:11" ht="58" x14ac:dyDescent="0.35">
      <c r="A916" s="31" t="s">
        <v>8233</v>
      </c>
      <c r="B916" s="31" t="s">
        <v>8234</v>
      </c>
      <c r="C916" s="31" t="s">
        <v>14249</v>
      </c>
      <c r="D916" s="31">
        <v>915</v>
      </c>
      <c r="E916" s="31" t="str">
        <f t="shared" si="78"/>
        <v>E4_1_3_27</v>
      </c>
      <c r="F916" s="31" t="s">
        <v>10850</v>
      </c>
      <c r="G916" s="31" t="str">
        <f t="shared" si="79"/>
        <v xml:space="preserve">	
C00251 * C00014</v>
      </c>
      <c r="H916" s="31" t="s">
        <v>10851</v>
      </c>
      <c r="I916" s="31" t="str">
        <f t="shared" si="82"/>
        <v>C00108 * C00022 * C00001</v>
      </c>
      <c r="J916" s="31" t="str">
        <f t="shared" si="80"/>
        <v>(${Variables: E4_1_3_27_Kcat } * E4_1_3_27 * 	
C00251 * C00014) /(${Variables:E4_1_3_27_Km} + (E4_1_3_27 * 	
C00251 * C00014))</v>
      </c>
      <c r="K916" s="32" t="str">
        <f t="shared" si="81"/>
        <v>r915: 	
C00251 + C00014 -&gt; C00108 + C00022 + C00001 | (${Variables: E4_1_3_27_Kcat } * E4_1_3_27 * 	
C00251 * C00014) /(${Variables:E4_1_3_27_Km} + (E4_1_3_27 * 	
C00251 * C00014))</v>
      </c>
    </row>
    <row r="917" spans="1:11" ht="58" x14ac:dyDescent="0.35">
      <c r="A917" s="31" t="s">
        <v>1919</v>
      </c>
      <c r="B917" s="31" t="s">
        <v>1920</v>
      </c>
      <c r="C917" s="31" t="s">
        <v>14250</v>
      </c>
      <c r="D917" s="31">
        <v>916</v>
      </c>
      <c r="E917" s="31" t="str">
        <f t="shared" si="78"/>
        <v>E4_1_3_30</v>
      </c>
      <c r="F917" s="31" t="s">
        <v>10854</v>
      </c>
      <c r="G917" s="31" t="str">
        <f t="shared" si="79"/>
        <v xml:space="preserve">	
C04593</v>
      </c>
      <c r="H917" s="31" t="s">
        <v>10855</v>
      </c>
      <c r="I917" s="31" t="str">
        <f t="shared" si="82"/>
        <v>C00022 * C00042</v>
      </c>
      <c r="J917" s="31" t="str">
        <f t="shared" si="80"/>
        <v>(${Variables: E4_1_3_30_Kcat } * E4_1_3_30 * 	
C04593) /(${Variables:E4_1_3_30_Km} + (E4_1_3_30 * 	
C04593))</v>
      </c>
      <c r="K917" s="31" t="str">
        <f t="shared" si="81"/>
        <v>r916: 	
C04593 -&gt; C00022 + C00042 | (${Variables: E4_1_3_30_Kcat } * E4_1_3_30 * 	
C04593) /(${Variables:E4_1_3_30_Km} + (E4_1_3_30 * 	
C04593))</v>
      </c>
    </row>
    <row r="918" spans="1:11" ht="58" x14ac:dyDescent="0.35">
      <c r="A918" s="31" t="s">
        <v>2014</v>
      </c>
      <c r="B918" s="31" t="s">
        <v>2015</v>
      </c>
      <c r="C918" s="31" t="s">
        <v>14250</v>
      </c>
      <c r="D918" s="31">
        <v>917</v>
      </c>
      <c r="E918" s="31" t="str">
        <f t="shared" si="78"/>
        <v>E4_1_3_30</v>
      </c>
      <c r="F918" s="31" t="s">
        <v>10854</v>
      </c>
      <c r="G918" s="31" t="str">
        <f t="shared" si="79"/>
        <v xml:space="preserve">	
C04593</v>
      </c>
      <c r="H918" s="31" t="s">
        <v>10855</v>
      </c>
      <c r="I918" s="31" t="str">
        <f t="shared" si="82"/>
        <v>C00022 * C00042</v>
      </c>
      <c r="J918" s="31" t="str">
        <f t="shared" si="80"/>
        <v>(${Variables: E4_1_3_30_Kcat } * E4_1_3_30 * 	
C04593) /(${Variables:E4_1_3_30_Km} + (E4_1_3_30 * 	
C04593))</v>
      </c>
      <c r="K918" s="31" t="str">
        <f t="shared" si="81"/>
        <v>r917: 	
C04593 -&gt; C00022 + C00042 | (${Variables: E4_1_3_30_Kcat } * E4_1_3_30 * 	
C04593) /(${Variables:E4_1_3_30_Km} + (E4_1_3_30 * 	
C04593))</v>
      </c>
    </row>
    <row r="919" spans="1:11" ht="58" x14ac:dyDescent="0.35">
      <c r="A919" s="31" t="s">
        <v>1345</v>
      </c>
      <c r="B919" s="31" t="s">
        <v>1346</v>
      </c>
      <c r="C919" s="31" t="s">
        <v>14251</v>
      </c>
      <c r="D919" s="31">
        <v>918</v>
      </c>
      <c r="E919" s="31" t="str">
        <f t="shared" si="78"/>
        <v>E4_1_3_36</v>
      </c>
      <c r="F919" s="31" t="s">
        <v>10858</v>
      </c>
      <c r="G919" s="31" t="str">
        <f t="shared" si="79"/>
        <v xml:space="preserve">	
C03160</v>
      </c>
      <c r="H919" s="31" t="s">
        <v>10859</v>
      </c>
      <c r="I919" s="31" t="str">
        <f t="shared" si="82"/>
        <v> C03657 * C00010</v>
      </c>
      <c r="J919" s="31" t="str">
        <f t="shared" si="80"/>
        <v>(${Variables: E4_1_3_36_Kcat } * E4_1_3_36 * 	
C03160) /(${Variables:E4_1_3_36_Km} + (E4_1_3_36 * 	
C03160))</v>
      </c>
      <c r="K919" s="31" t="str">
        <f t="shared" si="81"/>
        <v>r918: 	
C03160 -&gt;  C03657 + C00010 | (${Variables: E4_1_3_36_Kcat } * E4_1_3_36 * 	
C03160) /(${Variables:E4_1_3_36_Km} + (E4_1_3_36 * 	
C03160))</v>
      </c>
    </row>
    <row r="920" spans="1:11" ht="58" x14ac:dyDescent="0.35">
      <c r="A920" s="31" t="s">
        <v>1345</v>
      </c>
      <c r="B920" s="31" t="s">
        <v>1346</v>
      </c>
      <c r="C920" s="31" t="s">
        <v>14251</v>
      </c>
      <c r="D920" s="31">
        <v>919</v>
      </c>
      <c r="E920" s="31" t="str">
        <f t="shared" si="78"/>
        <v>E4_1_3_36</v>
      </c>
      <c r="F920" s="31" t="s">
        <v>10861</v>
      </c>
      <c r="G920" s="31" t="str">
        <f t="shared" si="79"/>
        <v xml:space="preserve">	
C03160 </v>
      </c>
      <c r="H920" s="31" t="s">
        <v>10862</v>
      </c>
      <c r="I920" s="31" t="str">
        <f t="shared" si="82"/>
        <v> C15547 * C00001</v>
      </c>
      <c r="J920" s="31" t="str">
        <f t="shared" si="80"/>
        <v>(${Variables: E4_1_3_36_Kcat } * E4_1_3_36 * 	
C03160 ) /(${Variables:E4_1_3_36_Km} + (E4_1_3_36 * 	
C03160 ))</v>
      </c>
      <c r="K920" s="31" t="str">
        <f t="shared" si="81"/>
        <v>r919: 	
C03160  -&gt;  C15547 + C00001 | (${Variables: E4_1_3_36_Kcat } * E4_1_3_36 * 	
C03160 ) /(${Variables:E4_1_3_36_Km} + (E4_1_3_36 * 	
C03160 ))</v>
      </c>
    </row>
    <row r="921" spans="1:11" ht="58" x14ac:dyDescent="0.35">
      <c r="A921" s="31" t="s">
        <v>7103</v>
      </c>
      <c r="B921" s="31" t="s">
        <v>7104</v>
      </c>
      <c r="C921" s="31" t="s">
        <v>14252</v>
      </c>
      <c r="D921" s="31">
        <v>920</v>
      </c>
      <c r="E921" s="31" t="str">
        <f t="shared" si="78"/>
        <v>E4_1_3_38</v>
      </c>
      <c r="F921" s="31" t="s">
        <v>10865</v>
      </c>
      <c r="G921" s="31" t="str">
        <f t="shared" si="79"/>
        <v xml:space="preserve">	
C11355 </v>
      </c>
      <c r="H921" s="31" t="s">
        <v>10866</v>
      </c>
      <c r="I921" s="31" t="str">
        <f t="shared" si="82"/>
        <v> C00568 * C00022</v>
      </c>
      <c r="J921" s="31" t="str">
        <f t="shared" si="80"/>
        <v>(${Variables: E4_1_3_38_Kcat } * E4_1_3_38 * 	
C11355 ) /(${Variables:E4_1_3_38_Km} + (E4_1_3_38 * 	
C11355 ))</v>
      </c>
      <c r="K921" s="32" t="str">
        <f t="shared" si="81"/>
        <v>r920: 	
C11355  -&gt;  C00568 + C00022 | (${Variables: E4_1_3_38_Kcat } * E4_1_3_38 * 	
C11355 ) /(${Variables:E4_1_3_38_Km} + (E4_1_3_38 * 	
C11355 ))</v>
      </c>
    </row>
    <row r="922" spans="1:11" ht="29" x14ac:dyDescent="0.35">
      <c r="A922" s="31" t="s">
        <v>3701</v>
      </c>
      <c r="B922" s="31" t="s">
        <v>3702</v>
      </c>
      <c r="C922" s="31" t="s">
        <v>14253</v>
      </c>
      <c r="D922" s="31">
        <v>921</v>
      </c>
      <c r="E922" s="31" t="str">
        <f t="shared" si="78"/>
        <v>E4_1_99_17</v>
      </c>
      <c r="F922" s="31" t="s">
        <v>10869</v>
      </c>
      <c r="G922" s="31" t="str">
        <f t="shared" si="79"/>
        <v>C03373 * C00019</v>
      </c>
      <c r="H922" s="31" t="s">
        <v>10870</v>
      </c>
      <c r="I922" s="31" t="str">
        <f t="shared" si="82"/>
        <v> C04556 * C05198 * C00073 * C00058 * C00237</v>
      </c>
      <c r="J922" s="31" t="str">
        <f t="shared" si="80"/>
        <v>(${Variables: E4_1_99_17_Kcat } * E4_1_99_17 * C03373 * C00019) /(${Variables:E4_1_99_17_Km} + (E4_1_99_17 * C03373 * C00019))</v>
      </c>
      <c r="K922" s="32" t="str">
        <f t="shared" si="81"/>
        <v>r921: C03373 + C00019 -&gt;  C04556 + C05198 + C00073 + C00058 + C00237 | (${Variables: E4_1_99_17_Kcat } * E4_1_99_17 * C03373 * C00019) /(${Variables:E4_1_99_17_Km} + (E4_1_99_17 * C03373 * C00019))</v>
      </c>
    </row>
    <row r="923" spans="1:11" ht="29" x14ac:dyDescent="0.35">
      <c r="A923" s="31" t="s">
        <v>3407</v>
      </c>
      <c r="B923" s="31" t="s">
        <v>3408</v>
      </c>
      <c r="C923" s="31" t="s">
        <v>14254</v>
      </c>
      <c r="D923" s="31">
        <v>922</v>
      </c>
      <c r="E923" s="31" t="str">
        <f t="shared" si="78"/>
        <v>E4_1_99_22</v>
      </c>
      <c r="F923" s="31" t="s">
        <v>10873</v>
      </c>
      <c r="G923" s="31" t="str">
        <f t="shared" si="79"/>
        <v xml:space="preserve">C00044 * C00019 * C00030 </v>
      </c>
      <c r="H923" s="31" t="s">
        <v>10874</v>
      </c>
      <c r="I923" s="31" t="str">
        <f t="shared" si="82"/>
        <v> C21310 * C05198 * C00073 * C00028</v>
      </c>
      <c r="J923" s="31" t="str">
        <f t="shared" si="80"/>
        <v>(${Variables: E4_1_99_22_Kcat } * E4_1_99_22 * C00044 * C00019 * C00030 ) /(${Variables:E4_1_99_22_Km} + (E4_1_99_22 * C00044 * C00019 * C00030 ))</v>
      </c>
      <c r="K923" s="31" t="str">
        <f t="shared" si="81"/>
        <v>r922: C00044 + C00019 + C00030  -&gt;  C21310 + C05198 + C00073 + C00028 | (${Variables: E4_1_99_22_Kcat } * E4_1_99_22 * C00044 * C00019 * C00030 ) /(${Variables:E4_1_99_22_Km} + (E4_1_99_22 * C00044 * C00019 * C00030 ))</v>
      </c>
    </row>
    <row r="924" spans="1:11" ht="58" x14ac:dyDescent="0.35">
      <c r="A924" s="31" t="s">
        <v>1238</v>
      </c>
      <c r="B924" s="31" t="s">
        <v>1239</v>
      </c>
      <c r="C924" s="31" t="s">
        <v>14255</v>
      </c>
      <c r="D924" s="31">
        <v>923</v>
      </c>
      <c r="E924" s="31" t="str">
        <f t="shared" si="78"/>
        <v>E4_2_1_10</v>
      </c>
      <c r="F924" s="31" t="s">
        <v>10877</v>
      </c>
      <c r="G924" s="31" t="str">
        <f t="shared" si="79"/>
        <v xml:space="preserve">	
C00944</v>
      </c>
      <c r="H924" s="31" t="s">
        <v>10878</v>
      </c>
      <c r="I924" s="31" t="str">
        <f t="shared" si="82"/>
        <v>C02637 * C00001</v>
      </c>
      <c r="J924" s="31" t="str">
        <f t="shared" si="80"/>
        <v>(${Variables: E4_2_1_10_Kcat } * E4_2_1_10 * 	
C00944) /(${Variables:E4_2_1_10_Km} + (E4_2_1_10 * 	
C00944))</v>
      </c>
      <c r="K924" s="32" t="str">
        <f t="shared" si="81"/>
        <v>r923: 	
C00944 -&gt; C02637 + C00001 | (${Variables: E4_2_1_10_Kcat } * E4_2_1_10 * 	
C00944) /(${Variables:E4_2_1_10_Km} + (E4_2_1_10 * 	
C00944))</v>
      </c>
    </row>
    <row r="925" spans="1:11" ht="58" x14ac:dyDescent="0.35">
      <c r="A925" s="31" t="s">
        <v>2805</v>
      </c>
      <c r="B925" s="31" t="s">
        <v>2806</v>
      </c>
      <c r="C925" s="31" t="s">
        <v>14256</v>
      </c>
      <c r="D925" s="31">
        <v>924</v>
      </c>
      <c r="E925" s="31" t="str">
        <f t="shared" si="78"/>
        <v>E4_2_1_11</v>
      </c>
      <c r="F925" s="31" t="s">
        <v>10881</v>
      </c>
      <c r="G925" s="31" t="str">
        <f t="shared" si="79"/>
        <v xml:space="preserve">	
C00631</v>
      </c>
      <c r="H925" s="31" t="s">
        <v>10882</v>
      </c>
      <c r="I925" s="31" t="str">
        <f t="shared" si="82"/>
        <v>C00074 * C00001</v>
      </c>
      <c r="J925" s="31" t="str">
        <f t="shared" si="80"/>
        <v>(${Variables: E4_2_1_11_Kcat } * E4_2_1_11 * 	
C00631) /(${Variables:E4_2_1_11_Km} + (E4_2_1_11 * 	
C00631))</v>
      </c>
      <c r="K925" s="32" t="str">
        <f t="shared" si="81"/>
        <v>r924: 	
C00631 -&gt; C00074 + C00001 | (${Variables: E4_2_1_11_Kcat } * E4_2_1_11 * 	
C00631) /(${Variables:E4_2_1_11_Km} + (E4_2_1_11 * 	
C00631))</v>
      </c>
    </row>
    <row r="926" spans="1:11" ht="58" x14ac:dyDescent="0.35">
      <c r="A926" s="31" t="s">
        <v>2805</v>
      </c>
      <c r="B926" s="31" t="s">
        <v>2806</v>
      </c>
      <c r="C926" s="31" t="s">
        <v>14256</v>
      </c>
      <c r="D926" s="31">
        <v>925</v>
      </c>
      <c r="E926" s="31" t="str">
        <f t="shared" si="78"/>
        <v>E4_2_1_11</v>
      </c>
      <c r="F926" s="31" t="s">
        <v>10884</v>
      </c>
      <c r="G926" s="31" t="str">
        <f t="shared" si="79"/>
        <v xml:space="preserve">	
C03356</v>
      </c>
      <c r="H926" s="31" t="s">
        <v>10885</v>
      </c>
      <c r="I926" s="31" t="str">
        <f t="shared" si="82"/>
        <v>C04309 * C00001</v>
      </c>
      <c r="J926" s="31" t="str">
        <f t="shared" si="80"/>
        <v>(${Variables: E4_2_1_11_Kcat } * E4_2_1_11 * 	
C03356) /(${Variables:E4_2_1_11_Km} + (E4_2_1_11 * 	
C03356))</v>
      </c>
      <c r="K926" s="32" t="str">
        <f t="shared" si="81"/>
        <v>r925: 	
C03356 -&gt; C04309 + C00001 | (${Variables: E4_2_1_11_Kcat } * E4_2_1_11 * 	
C03356) /(${Variables:E4_2_1_11_Km} + (E4_2_1_11 * 	
C03356))</v>
      </c>
    </row>
    <row r="927" spans="1:11" ht="29" x14ac:dyDescent="0.35">
      <c r="A927" s="31" t="s">
        <v>1354</v>
      </c>
      <c r="B927" s="31" t="s">
        <v>1355</v>
      </c>
      <c r="C927" s="31" t="s">
        <v>14257</v>
      </c>
      <c r="D927" s="31">
        <v>926</v>
      </c>
      <c r="E927" s="31" t="str">
        <f t="shared" si="78"/>
        <v>E4_2_1_113</v>
      </c>
      <c r="F927" s="31" t="s">
        <v>10888</v>
      </c>
      <c r="G927" s="31" t="str">
        <f t="shared" si="79"/>
        <v xml:space="preserve">C02730 * C00001 </v>
      </c>
      <c r="H927" s="31" t="s">
        <v>10889</v>
      </c>
      <c r="I927" s="31" t="str">
        <f t="shared" si="82"/>
        <v> C05817</v>
      </c>
      <c r="J927" s="31" t="str">
        <f t="shared" si="80"/>
        <v>(${Variables: E4_2_1_113_Kcat } * E4_2_1_113 * C02730 * C00001 ) /(${Variables:E4_2_1_113_Km} + (E4_2_1_113 * C02730 * C00001 ))</v>
      </c>
      <c r="K927" s="31" t="str">
        <f t="shared" si="81"/>
        <v>r926: C02730 + C00001  -&gt;  C05817 | (${Variables: E4_2_1_113_Kcat } * E4_2_1_113 * C02730 * C00001 ) /(${Variables:E4_2_1_113_Km} + (E4_2_1_113 * C02730 * C00001 ))</v>
      </c>
    </row>
    <row r="928" spans="1:11" ht="58" x14ac:dyDescent="0.35">
      <c r="A928" s="31" t="s">
        <v>1234</v>
      </c>
      <c r="B928" s="31" t="s">
        <v>1235</v>
      </c>
      <c r="C928" s="31" t="s">
        <v>14258</v>
      </c>
      <c r="D928" s="31">
        <v>927</v>
      </c>
      <c r="E928" s="31" t="str">
        <f t="shared" si="78"/>
        <v>E4_2_1_118</v>
      </c>
      <c r="F928" s="31" t="s">
        <v>10892</v>
      </c>
      <c r="G928" s="31" t="str">
        <f t="shared" si="79"/>
        <v xml:space="preserve">	
C02637</v>
      </c>
      <c r="H928" s="31" t="s">
        <v>10893</v>
      </c>
      <c r="I928" s="31" t="str">
        <f t="shared" si="82"/>
        <v>C00230 * C00001</v>
      </c>
      <c r="J928" s="31" t="str">
        <f t="shared" si="80"/>
        <v>(${Variables: E4_2_1_118_Kcat } * E4_2_1_118 * 	
C02637) /(${Variables:E4_2_1_118_Km} + (E4_2_1_118 * 	
C02637))</v>
      </c>
      <c r="K928" s="31" t="str">
        <f t="shared" si="81"/>
        <v>r927: 	
C02637 -&gt; C00230 + C00001 | (${Variables: E4_2_1_118_Kcat } * E4_2_1_118 * 	
C02637) /(${Variables:E4_2_1_118_Km} + (E4_2_1_118 * 	
C02637))</v>
      </c>
    </row>
    <row r="929" spans="1:11" ht="58" x14ac:dyDescent="0.35">
      <c r="A929" s="31" t="s">
        <v>5793</v>
      </c>
      <c r="B929" s="31" t="s">
        <v>5794</v>
      </c>
      <c r="C929" s="31" t="s">
        <v>14259</v>
      </c>
      <c r="D929" s="31">
        <v>928</v>
      </c>
      <c r="E929" s="31" t="str">
        <f t="shared" si="78"/>
        <v>E4_2_1_19</v>
      </c>
      <c r="F929" s="31" t="s">
        <v>10896</v>
      </c>
      <c r="G929" s="31" t="str">
        <f t="shared" si="79"/>
        <v xml:space="preserve">	
C04666 </v>
      </c>
      <c r="H929" s="31" t="s">
        <v>10897</v>
      </c>
      <c r="I929" s="31" t="str">
        <f t="shared" si="82"/>
        <v>C01267 * C00001</v>
      </c>
      <c r="J929" s="31" t="str">
        <f t="shared" si="80"/>
        <v>(${Variables: E4_2_1_19_Kcat } * E4_2_1_19 * 	
C04666 ) /(${Variables:E4_2_1_19_Km} + (E4_2_1_19 * 	
C04666 ))</v>
      </c>
      <c r="K929" s="32" t="str">
        <f t="shared" si="81"/>
        <v>r928: 	
C04666  -&gt; C01267 + C00001 | (${Variables: E4_2_1_19_Kcat } * E4_2_1_19 * 	
C04666 ) /(${Variables:E4_2_1_19_Km} + (E4_2_1_19 * 	
C04666 ))</v>
      </c>
    </row>
    <row r="930" spans="1:11" ht="58" x14ac:dyDescent="0.35">
      <c r="A930" s="31" t="s">
        <v>2897</v>
      </c>
      <c r="B930" s="31" t="s">
        <v>2898</v>
      </c>
      <c r="C930" s="31" t="s">
        <v>14260</v>
      </c>
      <c r="D930" s="31">
        <v>929</v>
      </c>
      <c r="E930" s="31" t="str">
        <f t="shared" si="78"/>
        <v>E4_2_1_2</v>
      </c>
      <c r="F930" s="31" t="s">
        <v>10900</v>
      </c>
      <c r="G930" s="31" t="str">
        <f t="shared" si="79"/>
        <v xml:space="preserve">	
C00149</v>
      </c>
      <c r="H930" s="31" t="s">
        <v>10901</v>
      </c>
      <c r="I930" s="31" t="str">
        <f t="shared" si="82"/>
        <v>C00122 * C00001</v>
      </c>
      <c r="J930" s="31" t="str">
        <f t="shared" si="80"/>
        <v>(${Variables: E4_2_1_2_Kcat } * E4_2_1_2 * 	
C00149) /(${Variables:E4_2_1_2_Km} + (E4_2_1_2 * 	
C00149))</v>
      </c>
      <c r="K930" s="32" t="str">
        <f t="shared" si="81"/>
        <v>r929: 	
C00149 -&gt; C00122 + C00001 | (${Variables: E4_2_1_2_Kcat } * E4_2_1_2 * 	
C00149) /(${Variables:E4_2_1_2_Km} + (E4_2_1_2 * 	
C00149))</v>
      </c>
    </row>
    <row r="931" spans="1:11" ht="58" x14ac:dyDescent="0.35">
      <c r="A931" s="31" t="s">
        <v>8248</v>
      </c>
      <c r="B931" s="31" t="s">
        <v>8249</v>
      </c>
      <c r="C931" s="31" t="s">
        <v>14261</v>
      </c>
      <c r="D931" s="31">
        <v>930</v>
      </c>
      <c r="E931" s="31" t="str">
        <f t="shared" si="78"/>
        <v>E4_2_1_20</v>
      </c>
      <c r="F931" s="31" t="s">
        <v>10904</v>
      </c>
      <c r="G931" s="31" t="str">
        <f t="shared" si="79"/>
        <v xml:space="preserve">	
C00065 * C00463</v>
      </c>
      <c r="H931" s="31" t="s">
        <v>10905</v>
      </c>
      <c r="I931" s="31" t="str">
        <f t="shared" si="82"/>
        <v>C00078 * C00001</v>
      </c>
      <c r="J931" s="31" t="str">
        <f t="shared" si="80"/>
        <v>(${Variables: E4_2_1_20_Kcat } * E4_2_1_20 * 	
C00065 * C00463) /(${Variables:E4_2_1_20_Km} + (E4_2_1_20 * 	
C00065 * C00463))</v>
      </c>
      <c r="K931" s="32" t="str">
        <f t="shared" si="81"/>
        <v>r930: 	
C00065 + C00463 -&gt; C00078 + C00001 | (${Variables: E4_2_1_20_Kcat } * E4_2_1_20 * 	
C00065 * C00463) /(${Variables:E4_2_1_20_Km} + (E4_2_1_20 * 	
C00065 * C00463))</v>
      </c>
    </row>
    <row r="932" spans="1:11" ht="58" x14ac:dyDescent="0.35">
      <c r="A932" s="31" t="s">
        <v>8248</v>
      </c>
      <c r="B932" s="31" t="s">
        <v>8249</v>
      </c>
      <c r="C932" s="31" t="s">
        <v>14261</v>
      </c>
      <c r="D932" s="31">
        <v>931</v>
      </c>
      <c r="E932" s="31" t="str">
        <f t="shared" si="78"/>
        <v>E4_2_1_20</v>
      </c>
      <c r="F932" s="31" t="s">
        <v>10907</v>
      </c>
      <c r="G932" s="31" t="str">
        <f t="shared" si="79"/>
        <v xml:space="preserve">	
C03506 </v>
      </c>
      <c r="H932" s="31" t="s">
        <v>10908</v>
      </c>
      <c r="I932" s="31" t="str">
        <f t="shared" si="82"/>
        <v> C00463 * C00118</v>
      </c>
      <c r="J932" s="31" t="str">
        <f t="shared" si="80"/>
        <v>(${Variables: E4_2_1_20_Kcat } * E4_2_1_20 * 	
C03506 ) /(${Variables:E4_2_1_20_Km} + (E4_2_1_20 * 	
C03506 ))</v>
      </c>
      <c r="K932" s="32" t="str">
        <f t="shared" si="81"/>
        <v>r931: 	
C03506  -&gt;  C00463 + C00118 | (${Variables: E4_2_1_20_Kcat } * E4_2_1_20 * 	
C03506 ) /(${Variables:E4_2_1_20_Km} + (E4_2_1_20 * 	
C03506 ))</v>
      </c>
    </row>
    <row r="933" spans="1:11" ht="58" x14ac:dyDescent="0.35">
      <c r="A933" s="31" t="s">
        <v>8248</v>
      </c>
      <c r="B933" s="31" t="s">
        <v>8249</v>
      </c>
      <c r="C933" s="31" t="s">
        <v>14261</v>
      </c>
      <c r="D933" s="31">
        <v>932</v>
      </c>
      <c r="E933" s="31" t="str">
        <f t="shared" si="78"/>
        <v>E4_2_1_20</v>
      </c>
      <c r="F933" s="31" t="s">
        <v>10910</v>
      </c>
      <c r="G933" s="31" t="str">
        <f t="shared" si="79"/>
        <v xml:space="preserve">	
C00065 * C03506</v>
      </c>
      <c r="H933" s="31" t="s">
        <v>10911</v>
      </c>
      <c r="I933" s="31" t="str">
        <f t="shared" si="82"/>
        <v> C00078 * C00118 * C00001</v>
      </c>
      <c r="J933" s="31" t="str">
        <f t="shared" si="80"/>
        <v>(${Variables: E4_2_1_20_Kcat } * E4_2_1_20 * 	
C00065 * C03506) /(${Variables:E4_2_1_20_Km} + (E4_2_1_20 * 	
C00065 * C03506))</v>
      </c>
      <c r="K933" s="32" t="str">
        <f t="shared" si="81"/>
        <v>r932: 	
C00065 + C03506 -&gt;  C00078 + C00118 + C00001 | (${Variables: E4_2_1_20_Kcat } * E4_2_1_20 * 	
C00065 * C03506) /(${Variables:E4_2_1_20_Km} + (E4_2_1_20 * 	
C00065 * C03506))</v>
      </c>
    </row>
    <row r="934" spans="1:11" ht="58" x14ac:dyDescent="0.35">
      <c r="A934" s="31" t="s">
        <v>8252</v>
      </c>
      <c r="B934" s="31" t="s">
        <v>8253</v>
      </c>
      <c r="C934" s="31" t="s">
        <v>14261</v>
      </c>
      <c r="D934" s="31">
        <v>933</v>
      </c>
      <c r="E934" s="31" t="str">
        <f t="shared" si="78"/>
        <v>E4_2_1_20</v>
      </c>
      <c r="F934" s="31" t="s">
        <v>10904</v>
      </c>
      <c r="G934" s="31" t="str">
        <f t="shared" si="79"/>
        <v xml:space="preserve">	
C00065 * C00463</v>
      </c>
      <c r="H934" s="31" t="s">
        <v>10905</v>
      </c>
      <c r="I934" s="31" t="str">
        <f t="shared" si="82"/>
        <v>C00078 * C00001</v>
      </c>
      <c r="J934" s="31" t="str">
        <f t="shared" si="80"/>
        <v>(${Variables: E4_2_1_20_Kcat } * E4_2_1_20 * 	
C00065 * C00463) /(${Variables:E4_2_1_20_Km} + (E4_2_1_20 * 	
C00065 * C00463))</v>
      </c>
      <c r="K934" s="32" t="str">
        <f t="shared" si="81"/>
        <v>r933: 	
C00065 + C00463 -&gt; C00078 + C00001 | (${Variables: E4_2_1_20_Kcat } * E4_2_1_20 * 	
C00065 * C00463) /(${Variables:E4_2_1_20_Km} + (E4_2_1_20 * 	
C00065 * C00463))</v>
      </c>
    </row>
    <row r="935" spans="1:11" ht="58" x14ac:dyDescent="0.35">
      <c r="A935" s="31" t="s">
        <v>8252</v>
      </c>
      <c r="B935" s="31" t="s">
        <v>8253</v>
      </c>
      <c r="C935" s="31" t="s">
        <v>14261</v>
      </c>
      <c r="D935" s="31">
        <v>934</v>
      </c>
      <c r="E935" s="31" t="str">
        <f t="shared" si="78"/>
        <v>E4_2_1_20</v>
      </c>
      <c r="F935" s="31" t="s">
        <v>10907</v>
      </c>
      <c r="G935" s="31" t="str">
        <f t="shared" si="79"/>
        <v xml:space="preserve">	
C03506 </v>
      </c>
      <c r="H935" s="31" t="s">
        <v>10908</v>
      </c>
      <c r="I935" s="31" t="str">
        <f t="shared" si="82"/>
        <v> C00463 * C00118</v>
      </c>
      <c r="J935" s="31" t="str">
        <f t="shared" si="80"/>
        <v>(${Variables: E4_2_1_20_Kcat } * E4_2_1_20 * 	
C03506 ) /(${Variables:E4_2_1_20_Km} + (E4_2_1_20 * 	
C03506 ))</v>
      </c>
      <c r="K935" s="32" t="str">
        <f t="shared" si="81"/>
        <v>r934: 	
C03506  -&gt;  C00463 + C00118 | (${Variables: E4_2_1_20_Kcat } * E4_2_1_20 * 	
C03506 ) /(${Variables:E4_2_1_20_Km} + (E4_2_1_20 * 	
C03506 ))</v>
      </c>
    </row>
    <row r="936" spans="1:11" ht="58" x14ac:dyDescent="0.35">
      <c r="A936" s="31" t="s">
        <v>8252</v>
      </c>
      <c r="B936" s="31" t="s">
        <v>8253</v>
      </c>
      <c r="C936" s="31" t="s">
        <v>14261</v>
      </c>
      <c r="D936" s="31">
        <v>935</v>
      </c>
      <c r="E936" s="31" t="str">
        <f t="shared" si="78"/>
        <v>E4_2_1_20</v>
      </c>
      <c r="F936" s="31" t="s">
        <v>10910</v>
      </c>
      <c r="G936" s="31" t="str">
        <f t="shared" si="79"/>
        <v xml:space="preserve">	
C00065 * C03506</v>
      </c>
      <c r="H936" s="31" t="s">
        <v>10911</v>
      </c>
      <c r="I936" s="31" t="str">
        <f t="shared" si="82"/>
        <v> C00078 * C00118 * C00001</v>
      </c>
      <c r="J936" s="31" t="str">
        <f t="shared" si="80"/>
        <v>(${Variables: E4_2_1_20_Kcat } * E4_2_1_20 * 	
C00065 * C03506) /(${Variables:E4_2_1_20_Km} + (E4_2_1_20 * 	
C00065 * C03506))</v>
      </c>
      <c r="K936" s="32" t="str">
        <f t="shared" si="81"/>
        <v>r935: 	
C00065 + C03506 -&gt;  C00078 + C00118 + C00001 | (${Variables: E4_2_1_20_Kcat } * E4_2_1_20 * 	
C00065 * C03506) /(${Variables:E4_2_1_20_Km} + (E4_2_1_20 * 	
C00065 * C03506))</v>
      </c>
    </row>
    <row r="937" spans="1:11" ht="58" x14ac:dyDescent="0.35">
      <c r="A937" s="31" t="s">
        <v>1260</v>
      </c>
      <c r="B937" s="31" t="s">
        <v>1261</v>
      </c>
      <c r="C937" s="31" t="s">
        <v>14262</v>
      </c>
      <c r="D937" s="31">
        <v>936</v>
      </c>
      <c r="E937" s="31" t="str">
        <f t="shared" si="78"/>
        <v>E4_2_1_24</v>
      </c>
      <c r="F937" s="31" t="s">
        <v>14401</v>
      </c>
      <c r="G937" s="31" t="str">
        <f t="shared" si="79"/>
        <v xml:space="preserve">	
 C00430</v>
      </c>
      <c r="H937" s="31" t="s">
        <v>14479</v>
      </c>
      <c r="I937" s="31" t="str">
        <f t="shared" si="82"/>
        <v>C00931 * C00001</v>
      </c>
      <c r="J937" s="31" t="str">
        <f t="shared" si="80"/>
        <v>(${Variables: E4_2_1_24_Kcat } * E4_2_1_24 * 	
 C00430) /(${Variables:E4_2_1_24_Km} + (E4_2_1_24 * 	
 C00430))</v>
      </c>
      <c r="K937" s="32" t="str">
        <f t="shared" si="81"/>
        <v>r936: 	
 C00430 -&gt; C00931 + C00001 | (${Variables: E4_2_1_24_Kcat } * E4_2_1_24 * 	
 C00430) /(${Variables:E4_2_1_24_Km} + (E4_2_1_24 * 	
 C00430))</v>
      </c>
    </row>
    <row r="938" spans="1:11" ht="58" x14ac:dyDescent="0.35">
      <c r="A938" s="31" t="s">
        <v>2012</v>
      </c>
      <c r="B938" s="31" t="s">
        <v>2013</v>
      </c>
      <c r="C938" s="31" t="s">
        <v>14263</v>
      </c>
      <c r="D938" s="31">
        <v>937</v>
      </c>
      <c r="E938" s="31" t="str">
        <f t="shared" si="78"/>
        <v xml:space="preserve">E4_2_1_3 </v>
      </c>
      <c r="F938" s="31" t="s">
        <v>10919</v>
      </c>
      <c r="G938" s="31" t="str">
        <f t="shared" si="79"/>
        <v xml:space="preserve">	
C00158</v>
      </c>
      <c r="H938" s="31" t="s">
        <v>10920</v>
      </c>
      <c r="I938" s="31" t="str">
        <f t="shared" si="82"/>
        <v> C00311</v>
      </c>
      <c r="J938" s="31" t="str">
        <f t="shared" si="80"/>
        <v>(${Variables: E4_2_1_3 _Kcat } * E4_2_1_3  * 	
C00158) /(${Variables:E4_2_1_3 _Km} + (E4_2_1_3  * 	
C00158))</v>
      </c>
      <c r="K938" s="32" t="str">
        <f t="shared" si="81"/>
        <v>r937: 	
C00158 -&gt;  C00311 | (${Variables: E4_2_1_3 _Kcat } * E4_2_1_3  * 	
C00158) /(${Variables:E4_2_1_3 _Km} + (E4_2_1_3  * 	
C00158))</v>
      </c>
    </row>
    <row r="939" spans="1:11" ht="58" x14ac:dyDescent="0.35">
      <c r="A939" s="31" t="s">
        <v>2012</v>
      </c>
      <c r="B939" s="31" t="s">
        <v>2013</v>
      </c>
      <c r="C939" s="31" t="s">
        <v>14263</v>
      </c>
      <c r="D939" s="31">
        <v>938</v>
      </c>
      <c r="E939" s="31" t="str">
        <f t="shared" si="78"/>
        <v xml:space="preserve">E4_2_1_3 </v>
      </c>
      <c r="F939" s="31" t="s">
        <v>10922</v>
      </c>
      <c r="G939" s="31" t="str">
        <f t="shared" si="79"/>
        <v xml:space="preserve">	
C00158 </v>
      </c>
      <c r="H939" s="31" t="s">
        <v>10923</v>
      </c>
      <c r="I939" s="31" t="str">
        <f t="shared" si="82"/>
        <v> C00417 * C00001</v>
      </c>
      <c r="J939" s="31" t="str">
        <f t="shared" si="80"/>
        <v>(${Variables: E4_2_1_3 _Kcat } * E4_2_1_3  * 	
C00158 ) /(${Variables:E4_2_1_3 _Km} + (E4_2_1_3  * 	
C00158 ))</v>
      </c>
      <c r="K939" s="32" t="str">
        <f t="shared" si="81"/>
        <v>r938: 	
C00158  -&gt;  C00417 + C00001 | (${Variables: E4_2_1_3 _Kcat } * E4_2_1_3  * 	
C00158 ) /(${Variables:E4_2_1_3 _Km} + (E4_2_1_3  * 	
C00158 ))</v>
      </c>
    </row>
    <row r="940" spans="1:11" ht="29" x14ac:dyDescent="0.35">
      <c r="A940" s="31" t="s">
        <v>2012</v>
      </c>
      <c r="B940" s="31" t="s">
        <v>2013</v>
      </c>
      <c r="C940" s="31" t="s">
        <v>14263</v>
      </c>
      <c r="D940" s="31">
        <v>939</v>
      </c>
      <c r="E940" s="31" t="str">
        <f t="shared" si="78"/>
        <v xml:space="preserve">E4_2_1_3 </v>
      </c>
      <c r="F940" s="31" t="s">
        <v>10925</v>
      </c>
      <c r="G940" s="31" t="str">
        <f t="shared" si="79"/>
        <v>C00311 </v>
      </c>
      <c r="H940" s="31" t="s">
        <v>10926</v>
      </c>
      <c r="I940" s="31" t="str">
        <f t="shared" si="82"/>
        <v>C00417 * C00001</v>
      </c>
      <c r="J940" s="31" t="str">
        <f t="shared" si="80"/>
        <v>(${Variables: E4_2_1_3 _Kcat } * E4_2_1_3  * C00311 ) /(${Variables:E4_2_1_3 _Km} + (E4_2_1_3  * C00311 ))</v>
      </c>
      <c r="K940" s="32" t="str">
        <f t="shared" si="81"/>
        <v>r939: C00311  -&gt; C00417 + C00001 | (${Variables: E4_2_1_3 _Kcat } * E4_2_1_3  * C00311 ) /(${Variables:E4_2_1_3 _Km} + (E4_2_1_3  * C00311 ))</v>
      </c>
    </row>
    <row r="941" spans="1:11" ht="58" x14ac:dyDescent="0.35">
      <c r="A941" s="31" t="s">
        <v>2012</v>
      </c>
      <c r="B941" s="31" t="s">
        <v>2013</v>
      </c>
      <c r="C941" s="31" t="s">
        <v>14264</v>
      </c>
      <c r="D941" s="31">
        <v>940</v>
      </c>
      <c r="E941" s="31" t="str">
        <f t="shared" si="78"/>
        <v>E4_2_1_79</v>
      </c>
      <c r="F941" s="31" t="s">
        <v>10929</v>
      </c>
      <c r="G941" s="31" t="str">
        <f t="shared" si="79"/>
        <v xml:space="preserve">	
C02225</v>
      </c>
      <c r="H941" s="31" t="s">
        <v>10930</v>
      </c>
      <c r="I941" s="31" t="str">
        <f t="shared" si="82"/>
        <v>C04225 * C00001</v>
      </c>
      <c r="J941" s="31" t="str">
        <f t="shared" si="80"/>
        <v>(${Variables: E4_2_1_79_Kcat } * E4_2_1_79 * 	
C02225) /(${Variables:E4_2_1_79_Km} + (E4_2_1_79 * 	
C02225))</v>
      </c>
      <c r="K941" s="31" t="str">
        <f t="shared" si="81"/>
        <v>r940: 	
C02225 -&gt; C04225 + C00001 | (${Variables: E4_2_1_79_Kcat } * E4_2_1_79 * 	
C02225) /(${Variables:E4_2_1_79_Km} + (E4_2_1_79 * 	
C02225))</v>
      </c>
    </row>
    <row r="942" spans="1:11" ht="29" x14ac:dyDescent="0.35">
      <c r="A942" s="31" t="s">
        <v>3724</v>
      </c>
      <c r="B942" s="31" t="s">
        <v>3725</v>
      </c>
      <c r="C942" s="31" t="s">
        <v>14265</v>
      </c>
      <c r="D942" s="31">
        <v>941</v>
      </c>
      <c r="E942" s="31" t="str">
        <f t="shared" si="78"/>
        <v>E4_2_1_33</v>
      </c>
      <c r="F942" s="31" t="s">
        <v>10933</v>
      </c>
      <c r="G942" s="31" t="str">
        <f t="shared" si="79"/>
        <v>C02504</v>
      </c>
      <c r="H942" s="31" t="s">
        <v>10934</v>
      </c>
      <c r="I942" s="31" t="str">
        <f t="shared" si="82"/>
        <v> C02631 * C00001</v>
      </c>
      <c r="J942" s="31" t="str">
        <f t="shared" si="80"/>
        <v>(${Variables: E4_2_1_33_Kcat } * E4_2_1_33 * C02504) /(${Variables:E4_2_1_33_Km} + (E4_2_1_33 * C02504))</v>
      </c>
      <c r="K942" s="32" t="str">
        <f t="shared" si="81"/>
        <v>r941: C02504 -&gt;  C02631 + C00001 | (${Variables: E4_2_1_33_Kcat } * E4_2_1_33 * C02504) /(${Variables:E4_2_1_33_Km} + (E4_2_1_33 * C02504))</v>
      </c>
    </row>
    <row r="943" spans="1:11" ht="58" x14ac:dyDescent="0.35">
      <c r="A943" s="31" t="s">
        <v>3724</v>
      </c>
      <c r="B943" s="31" t="s">
        <v>3725</v>
      </c>
      <c r="C943" s="31" t="s">
        <v>14265</v>
      </c>
      <c r="D943" s="31">
        <v>942</v>
      </c>
      <c r="E943" s="31" t="str">
        <f t="shared" si="78"/>
        <v>E4_2_1_33</v>
      </c>
      <c r="F943" s="31" t="s">
        <v>10936</v>
      </c>
      <c r="G943" s="31" t="str">
        <f t="shared" si="79"/>
        <v xml:space="preserve">	
C04411</v>
      </c>
      <c r="H943" s="31" t="s">
        <v>10937</v>
      </c>
      <c r="I943" s="31" t="str">
        <f t="shared" si="82"/>
        <v>C02631 * C00001</v>
      </c>
      <c r="J943" s="31" t="str">
        <f t="shared" si="80"/>
        <v>(${Variables: E4_2_1_33_Kcat } * E4_2_1_33 * 	
C04411) /(${Variables:E4_2_1_33_Km} + (E4_2_1_33 * 	
C04411))</v>
      </c>
      <c r="K943" s="32" t="str">
        <f t="shared" si="81"/>
        <v>r942: 	
C04411 -&gt; C02631 + C00001 | (${Variables: E4_2_1_33_Kcat } * E4_2_1_33 * 	
C04411) /(${Variables:E4_2_1_33_Km} + (E4_2_1_33 * 	
C04411))</v>
      </c>
    </row>
    <row r="944" spans="1:11" ht="58" x14ac:dyDescent="0.35">
      <c r="A944" s="31" t="s">
        <v>3724</v>
      </c>
      <c r="B944" s="31" t="s">
        <v>3725</v>
      </c>
      <c r="C944" s="31" t="s">
        <v>14265</v>
      </c>
      <c r="D944" s="31">
        <v>943</v>
      </c>
      <c r="E944" s="31" t="str">
        <f t="shared" si="78"/>
        <v>E4_2_1_33</v>
      </c>
      <c r="F944" s="31" t="s">
        <v>10936</v>
      </c>
      <c r="G944" s="31" t="str">
        <f t="shared" si="79"/>
        <v xml:space="preserve">	
C04411</v>
      </c>
      <c r="H944" s="31" t="s">
        <v>10939</v>
      </c>
      <c r="I944" s="31" t="str">
        <f t="shared" si="82"/>
        <v> C02504</v>
      </c>
      <c r="J944" s="31" t="str">
        <f t="shared" si="80"/>
        <v>(${Variables: E4_2_1_33_Kcat } * E4_2_1_33 * 	
C04411) /(${Variables:E4_2_1_33_Km} + (E4_2_1_33 * 	
C04411))</v>
      </c>
      <c r="K944" s="32" t="str">
        <f t="shared" si="81"/>
        <v>r943: 	
C04411 -&gt;  C02504 | (${Variables: E4_2_1_33_Kcat } * E4_2_1_33 * 	
C04411) /(${Variables:E4_2_1_33_Km} + (E4_2_1_33 * 	
C04411))</v>
      </c>
    </row>
    <row r="945" spans="1:11" ht="29" x14ac:dyDescent="0.35">
      <c r="A945" s="31" t="s">
        <v>3728</v>
      </c>
      <c r="B945" s="31" t="s">
        <v>3729</v>
      </c>
      <c r="C945" s="31" t="s">
        <v>14265</v>
      </c>
      <c r="D945" s="31">
        <v>944</v>
      </c>
      <c r="E945" s="31" t="str">
        <f t="shared" si="78"/>
        <v>E4_2_1_33</v>
      </c>
      <c r="F945" s="31" t="s">
        <v>10933</v>
      </c>
      <c r="G945" s="31" t="str">
        <f t="shared" si="79"/>
        <v>C02504</v>
      </c>
      <c r="H945" s="31" t="s">
        <v>10934</v>
      </c>
      <c r="I945" s="31" t="str">
        <f t="shared" si="82"/>
        <v> C02631 * C00001</v>
      </c>
      <c r="J945" s="31" t="str">
        <f t="shared" si="80"/>
        <v>(${Variables: E4_2_1_33_Kcat } * E4_2_1_33 * C02504) /(${Variables:E4_2_1_33_Km} + (E4_2_1_33 * C02504))</v>
      </c>
      <c r="K945" s="32" t="str">
        <f t="shared" si="81"/>
        <v>r944: C02504 -&gt;  C02631 + C00001 | (${Variables: E4_2_1_33_Kcat } * E4_2_1_33 * C02504) /(${Variables:E4_2_1_33_Km} + (E4_2_1_33 * C02504))</v>
      </c>
    </row>
    <row r="946" spans="1:11" ht="58" x14ac:dyDescent="0.35">
      <c r="A946" s="31" t="s">
        <v>3728</v>
      </c>
      <c r="B946" s="31" t="s">
        <v>3729</v>
      </c>
      <c r="C946" s="31" t="s">
        <v>14265</v>
      </c>
      <c r="D946" s="31">
        <v>945</v>
      </c>
      <c r="E946" s="31" t="str">
        <f t="shared" si="78"/>
        <v>E4_2_1_33</v>
      </c>
      <c r="F946" s="31" t="s">
        <v>10936</v>
      </c>
      <c r="G946" s="31" t="str">
        <f t="shared" si="79"/>
        <v xml:space="preserve">	
C04411</v>
      </c>
      <c r="H946" s="31" t="s">
        <v>10937</v>
      </c>
      <c r="I946" s="31" t="str">
        <f t="shared" si="82"/>
        <v>C02631 * C00001</v>
      </c>
      <c r="J946" s="31" t="str">
        <f t="shared" si="80"/>
        <v>(${Variables: E4_2_1_33_Kcat } * E4_2_1_33 * 	
C04411) /(${Variables:E4_2_1_33_Km} + (E4_2_1_33 * 	
C04411))</v>
      </c>
      <c r="K946" s="32" t="str">
        <f t="shared" si="81"/>
        <v>r945: 	
C04411 -&gt; C02631 + C00001 | (${Variables: E4_2_1_33_Kcat } * E4_2_1_33 * 	
C04411) /(${Variables:E4_2_1_33_Km} + (E4_2_1_33 * 	
C04411))</v>
      </c>
    </row>
    <row r="947" spans="1:11" ht="58" x14ac:dyDescent="0.35">
      <c r="A947" s="31" t="s">
        <v>3728</v>
      </c>
      <c r="B947" s="31" t="s">
        <v>3729</v>
      </c>
      <c r="C947" s="31" t="s">
        <v>14265</v>
      </c>
      <c r="D947" s="31">
        <v>946</v>
      </c>
      <c r="E947" s="31" t="str">
        <f t="shared" si="78"/>
        <v>E4_2_1_33</v>
      </c>
      <c r="F947" s="31" t="s">
        <v>10936</v>
      </c>
      <c r="G947" s="31" t="str">
        <f t="shared" si="79"/>
        <v xml:space="preserve">	
C04411</v>
      </c>
      <c r="H947" s="31" t="s">
        <v>10939</v>
      </c>
      <c r="I947" s="31" t="str">
        <f t="shared" si="82"/>
        <v> C02504</v>
      </c>
      <c r="J947" s="31" t="str">
        <f t="shared" si="80"/>
        <v>(${Variables: E4_2_1_33_Kcat } * E4_2_1_33 * 	
C04411) /(${Variables:E4_2_1_33_Km} + (E4_2_1_33 * 	
C04411))</v>
      </c>
      <c r="K947" s="32" t="str">
        <f t="shared" si="81"/>
        <v>r946: 	
C04411 -&gt;  C02504 | (${Variables: E4_2_1_33_Kcat } * E4_2_1_33 * 	
C04411) /(${Variables:E4_2_1_33_Km} + (E4_2_1_33 * 	
C04411))</v>
      </c>
    </row>
    <row r="948" spans="1:11" ht="58" x14ac:dyDescent="0.35">
      <c r="A948" s="31" t="s">
        <v>1003</v>
      </c>
      <c r="B948" s="31" t="s">
        <v>1004</v>
      </c>
      <c r="C948" s="31" t="s">
        <v>14266</v>
      </c>
      <c r="D948" s="31">
        <v>947</v>
      </c>
      <c r="E948" s="31" t="str">
        <f t="shared" si="78"/>
        <v>E4_2_1_46</v>
      </c>
      <c r="F948" s="31" t="s">
        <v>10942</v>
      </c>
      <c r="G948" s="31" t="str">
        <f t="shared" si="79"/>
        <v xml:space="preserve">	
C00842</v>
      </c>
      <c r="H948" s="31" t="s">
        <v>10943</v>
      </c>
      <c r="I948" s="31" t="str">
        <f t="shared" si="82"/>
        <v> C11907 * C00001</v>
      </c>
      <c r="J948" s="31" t="str">
        <f t="shared" si="80"/>
        <v>(${Variables: E4_2_1_46_Kcat } * E4_2_1_46 * 	
C00842) /(${Variables:E4_2_1_46_Km} + (E4_2_1_46 * 	
C00842))</v>
      </c>
      <c r="K948" s="31" t="str">
        <f t="shared" si="81"/>
        <v>r947: 	
C00842 -&gt;  C11907 + C00001 | (${Variables: E4_2_1_46_Kcat } * E4_2_1_46 * 	
C00842) /(${Variables:E4_2_1_46_Km} + (E4_2_1_46 * 	
C00842))</v>
      </c>
    </row>
    <row r="949" spans="1:11" ht="58" x14ac:dyDescent="0.35">
      <c r="A949" s="31" t="s">
        <v>972</v>
      </c>
      <c r="B949" s="31" t="s">
        <v>973</v>
      </c>
      <c r="C949" s="31" t="s">
        <v>14267</v>
      </c>
      <c r="D949" s="31">
        <v>948</v>
      </c>
      <c r="E949" s="31" t="str">
        <f t="shared" si="78"/>
        <v>E4_2_1_47</v>
      </c>
      <c r="F949" s="31" t="s">
        <v>10946</v>
      </c>
      <c r="G949" s="31" t="str">
        <f t="shared" si="79"/>
        <v xml:space="preserve">	
C00096</v>
      </c>
      <c r="H949" s="31" t="s">
        <v>10947</v>
      </c>
      <c r="I949" s="31" t="str">
        <f t="shared" si="82"/>
        <v>C01222 * C00001</v>
      </c>
      <c r="J949" s="31" t="str">
        <f t="shared" si="80"/>
        <v>(${Variables: E4_2_1_47_Kcat } * E4_2_1_47 * 	
C00096) /(${Variables:E4_2_1_47_Km} + (E4_2_1_47 * 	
C00096))</v>
      </c>
      <c r="K949" s="32" t="str">
        <f t="shared" si="81"/>
        <v>r948: 	
C00096 -&gt; C01222 + C00001 | (${Variables: E4_2_1_47_Kcat } * E4_2_1_47 * 	
C00096) /(${Variables:E4_2_1_47_Km} + (E4_2_1_47 * 	
C00096))</v>
      </c>
    </row>
    <row r="950" spans="1:11" ht="58" x14ac:dyDescent="0.35">
      <c r="A950" s="31" t="s">
        <v>7906</v>
      </c>
      <c r="B950" s="31" t="s">
        <v>7907</v>
      </c>
      <c r="C950" s="31" t="s">
        <v>14268</v>
      </c>
      <c r="D950" s="31">
        <v>949</v>
      </c>
      <c r="E950" s="31" t="str">
        <f t="shared" si="78"/>
        <v>E4_2_1_51</v>
      </c>
      <c r="F950" s="31" t="s">
        <v>10950</v>
      </c>
      <c r="G950" s="31" t="str">
        <f t="shared" si="79"/>
        <v xml:space="preserve">	
C00254 </v>
      </c>
      <c r="H950" s="31" t="s">
        <v>10951</v>
      </c>
      <c r="I950" s="31" t="str">
        <f t="shared" si="82"/>
        <v> C00166 * C00001 * C00011</v>
      </c>
      <c r="J950" s="31" t="str">
        <f t="shared" si="80"/>
        <v>(${Variables: E4_2_1_51_Kcat } * E4_2_1_51 * 	
C00254 ) /(${Variables:E4_2_1_51_Km} + (E4_2_1_51 * 	
C00254 ))</v>
      </c>
      <c r="K950" s="32" t="str">
        <f t="shared" si="81"/>
        <v>r949: 	
C00254  -&gt;  C00166 + C00001 + C00011 | (${Variables: E4_2_1_51_Kcat } * E4_2_1_51 * 	
C00254 ) /(${Variables:E4_2_1_51_Km} + (E4_2_1_51 * 	
C00254 ))</v>
      </c>
    </row>
    <row r="951" spans="1:11" ht="58" x14ac:dyDescent="0.35">
      <c r="A951" s="31" t="s">
        <v>7906</v>
      </c>
      <c r="B951" s="31" t="s">
        <v>7907</v>
      </c>
      <c r="C951" s="31" t="s">
        <v>14268</v>
      </c>
      <c r="D951" s="31">
        <v>950</v>
      </c>
      <c r="E951" s="31" t="str">
        <f t="shared" si="78"/>
        <v>E4_2_1_51</v>
      </c>
      <c r="F951" s="31" t="s">
        <v>10953</v>
      </c>
      <c r="G951" s="31" t="str">
        <f t="shared" si="79"/>
        <v xml:space="preserve">	
C00826 </v>
      </c>
      <c r="H951" s="31" t="s">
        <v>10954</v>
      </c>
      <c r="I951" s="31" t="str">
        <f t="shared" si="82"/>
        <v> C00079 * C00001 * C00011</v>
      </c>
      <c r="J951" s="31" t="str">
        <f t="shared" si="80"/>
        <v>(${Variables: E4_2_1_51_Kcat } * E4_2_1_51 * 	
C00826 ) /(${Variables:E4_2_1_51_Km} + (E4_2_1_51 * 	
C00826 ))</v>
      </c>
      <c r="K951" s="32" t="str">
        <f t="shared" si="81"/>
        <v>r950: 	
C00826  -&gt;  C00079 + C00001 + C00011 | (${Variables: E4_2_1_51_Kcat } * E4_2_1_51 * 	
C00826 ) /(${Variables:E4_2_1_51_Km} + (E4_2_1_51 * 	
C00826 ))</v>
      </c>
    </row>
    <row r="952" spans="1:11" ht="29" x14ac:dyDescent="0.35">
      <c r="A952" s="31" t="s">
        <v>3603</v>
      </c>
      <c r="B952" s="31" t="s">
        <v>3604</v>
      </c>
      <c r="C952" s="31" t="s">
        <v>14269</v>
      </c>
      <c r="D952" s="31">
        <v>951</v>
      </c>
      <c r="E952" s="31" t="str">
        <f t="shared" si="78"/>
        <v>E4_2_1_9</v>
      </c>
      <c r="F952" s="31" t="s">
        <v>10957</v>
      </c>
      <c r="G952" s="31" t="str">
        <f t="shared" si="79"/>
        <v>C04039</v>
      </c>
      <c r="H952" s="31" t="s">
        <v>10958</v>
      </c>
      <c r="I952" s="31" t="str">
        <f t="shared" si="82"/>
        <v>C00141 * C00001</v>
      </c>
      <c r="J952" s="31" t="str">
        <f t="shared" si="80"/>
        <v>(${Variables: E4_2_1_9_Kcat } * E4_2_1_9 * C04039) /(${Variables:E4_2_1_9_Km} + (E4_2_1_9 * C04039))</v>
      </c>
      <c r="K952" s="32" t="str">
        <f t="shared" si="81"/>
        <v>r951: C04039 -&gt; C00141 + C00001 | (${Variables: E4_2_1_9_Kcat } * E4_2_1_9 * C04039) /(${Variables:E4_2_1_9_Km} + (E4_2_1_9 * C04039))</v>
      </c>
    </row>
    <row r="953" spans="1:11" ht="58" x14ac:dyDescent="0.35">
      <c r="A953" s="31" t="s">
        <v>3603</v>
      </c>
      <c r="B953" s="31" t="s">
        <v>3604</v>
      </c>
      <c r="C953" s="31" t="s">
        <v>14269</v>
      </c>
      <c r="D953" s="31">
        <v>952</v>
      </c>
      <c r="E953" s="31" t="str">
        <f t="shared" si="78"/>
        <v>E4_2_1_9</v>
      </c>
      <c r="F953" s="31" t="s">
        <v>10960</v>
      </c>
      <c r="G953" s="31" t="str">
        <f t="shared" si="79"/>
        <v xml:space="preserve">	
C04272</v>
      </c>
      <c r="H953" s="31" t="s">
        <v>10961</v>
      </c>
      <c r="I953" s="31" t="str">
        <f t="shared" si="82"/>
        <v>C00141 * C00001</v>
      </c>
      <c r="J953" s="31" t="str">
        <f t="shared" si="80"/>
        <v>(${Variables: E4_2_1_9_Kcat } * E4_2_1_9 * 	
C04272) /(${Variables:E4_2_1_9_Km} + (E4_2_1_9 * 	
C04272))</v>
      </c>
      <c r="K953" s="32" t="str">
        <f t="shared" si="81"/>
        <v>r952: 	
C04272 -&gt; C00141 + C00001 | (${Variables: E4_2_1_9_Kcat } * E4_2_1_9 * 	
C04272) /(${Variables:E4_2_1_9_Km} + (E4_2_1_9 * 	
C04272))</v>
      </c>
    </row>
    <row r="954" spans="1:11" ht="29" x14ac:dyDescent="0.35">
      <c r="A954" s="31" t="s">
        <v>3603</v>
      </c>
      <c r="B954" s="31" t="s">
        <v>3604</v>
      </c>
      <c r="C954" s="31" t="s">
        <v>14269</v>
      </c>
      <c r="D954" s="31">
        <v>953</v>
      </c>
      <c r="E954" s="31" t="str">
        <f t="shared" si="78"/>
        <v>E4_2_1_9</v>
      </c>
      <c r="F954" s="31" t="s">
        <v>10963</v>
      </c>
      <c r="G954" s="31" t="str">
        <f t="shared" si="79"/>
        <v>C06007</v>
      </c>
      <c r="H954" s="31" t="s">
        <v>10964</v>
      </c>
      <c r="I954" s="31" t="str">
        <f t="shared" si="82"/>
        <v>C00671 * C00001</v>
      </c>
      <c r="J954" s="31" t="str">
        <f t="shared" si="80"/>
        <v>(${Variables: E4_2_1_9_Kcat } * E4_2_1_9 * C06007) /(${Variables:E4_2_1_9_Km} + (E4_2_1_9 * C06007))</v>
      </c>
      <c r="K954" s="32" t="str">
        <f t="shared" si="81"/>
        <v>r953: C06007 -&gt; C00671 + C00001 | (${Variables: E4_2_1_9_Kcat } * E4_2_1_9 * C06007) /(${Variables:E4_2_1_9_Km} + (E4_2_1_9 * C06007))</v>
      </c>
    </row>
    <row r="955" spans="1:11" ht="58" x14ac:dyDescent="0.35">
      <c r="A955" s="31" t="s">
        <v>1348</v>
      </c>
      <c r="B955" s="31" t="s">
        <v>1349</v>
      </c>
      <c r="C955" s="31" t="s">
        <v>14270</v>
      </c>
      <c r="D955" s="31">
        <v>954</v>
      </c>
      <c r="E955" s="31" t="str">
        <f t="shared" si="78"/>
        <v>E4_2_1_96</v>
      </c>
      <c r="F955" s="31" t="s">
        <v>10967</v>
      </c>
      <c r="G955" s="31" t="str">
        <f t="shared" si="79"/>
        <v xml:space="preserve">	
C15522</v>
      </c>
      <c r="H955" s="31" t="s">
        <v>10968</v>
      </c>
      <c r="I955" s="31" t="str">
        <f t="shared" si="82"/>
        <v> C00268 * C00001</v>
      </c>
      <c r="J955" s="31" t="str">
        <f t="shared" si="80"/>
        <v>(${Variables: E4_2_1_96_Kcat } * E4_2_1_96 * 	
C15522) /(${Variables:E4_2_1_96_Km} + (E4_2_1_96 * 	
C15522))</v>
      </c>
      <c r="K955" s="32" t="str">
        <f t="shared" si="81"/>
        <v>r954: 	
C15522 -&gt;  C00268 + C00001 | (${Variables: E4_2_1_96_Kcat } * E4_2_1_96 * 	
C15522) /(${Variables:E4_2_1_96_Km} + (E4_2_1_96 * 	
C15522))</v>
      </c>
    </row>
    <row r="956" spans="1:11" ht="58" x14ac:dyDescent="0.35">
      <c r="A956" s="31" t="s">
        <v>6129</v>
      </c>
      <c r="B956" s="31" t="s">
        <v>6130</v>
      </c>
      <c r="C956" s="31" t="s">
        <v>14271</v>
      </c>
      <c r="D956" s="31">
        <v>955</v>
      </c>
      <c r="E956" s="31" t="str">
        <f t="shared" si="78"/>
        <v>E4_2_3_1</v>
      </c>
      <c r="F956" s="31" t="s">
        <v>10971</v>
      </c>
      <c r="G956" s="31" t="str">
        <f t="shared" si="79"/>
        <v xml:space="preserve">	
C01102 * C00001 </v>
      </c>
      <c r="H956" s="31" t="s">
        <v>10972</v>
      </c>
      <c r="I956" s="31" t="str">
        <f t="shared" si="82"/>
        <v>C00188 * C00009</v>
      </c>
      <c r="J956" s="31" t="str">
        <f t="shared" si="80"/>
        <v>(${Variables: E4_2_3_1_Kcat } * E4_2_3_1 * 	
C01102 * C00001 ) /(${Variables:E4_2_3_1_Km} + (E4_2_3_1 * 	
C01102 * C00001 ))</v>
      </c>
      <c r="K956" s="32" t="str">
        <f t="shared" si="81"/>
        <v>r955: 	
C01102 + C00001  -&gt; C00188 + C00009 | (${Variables: E4_2_3_1_Kcat } * E4_2_3_1 * 	
C01102 * C00001 ) /(${Variables:E4_2_3_1_Km} + (E4_2_3_1 * 	
C01102 * C00001 ))</v>
      </c>
    </row>
    <row r="957" spans="1:11" ht="58" x14ac:dyDescent="0.35">
      <c r="A957" s="31" t="s">
        <v>6129</v>
      </c>
      <c r="B957" s="31" t="s">
        <v>6130</v>
      </c>
      <c r="C957" s="31" t="s">
        <v>14271</v>
      </c>
      <c r="D957" s="31">
        <v>956</v>
      </c>
      <c r="E957" s="31" t="str">
        <f t="shared" si="78"/>
        <v>E4_2_3_1</v>
      </c>
      <c r="F957" s="31" t="s">
        <v>10974</v>
      </c>
      <c r="G957" s="31" t="str">
        <f t="shared" si="79"/>
        <v xml:space="preserve">	
C06055 * C00001 </v>
      </c>
      <c r="H957" s="31" t="s">
        <v>10975</v>
      </c>
      <c r="I957" s="31" t="str">
        <f t="shared" si="82"/>
        <v> C06056 * C00009</v>
      </c>
      <c r="J957" s="31" t="str">
        <f t="shared" si="80"/>
        <v>(${Variables: E4_2_3_1_Kcat } * E4_2_3_1 * 	
C06055 * C00001 ) /(${Variables:E4_2_3_1_Km} + (E4_2_3_1 * 	
C06055 * C00001 ))</v>
      </c>
      <c r="K957" s="32" t="str">
        <f t="shared" si="81"/>
        <v>r956: 	
C06055 + C00001  -&gt;  C06056 + C00009 | (${Variables: E4_2_3_1_Kcat } * E4_2_3_1 * 	
C06055 * C00001 ) /(${Variables:E4_2_3_1_Km} + (E4_2_3_1 * 	
C06055 * C00001 ))</v>
      </c>
    </row>
    <row r="958" spans="1:11" ht="58" x14ac:dyDescent="0.35">
      <c r="A958" s="31" t="s">
        <v>4594</v>
      </c>
      <c r="B958" s="31" t="s">
        <v>4595</v>
      </c>
      <c r="C958" s="31" t="s">
        <v>14272</v>
      </c>
      <c r="D958" s="31">
        <v>957</v>
      </c>
      <c r="E958" s="31" t="str">
        <f t="shared" si="78"/>
        <v>E4_2_3_4</v>
      </c>
      <c r="F958" s="31" t="s">
        <v>10978</v>
      </c>
      <c r="G958" s="31" t="str">
        <f t="shared" si="79"/>
        <v xml:space="preserve">	
C04691</v>
      </c>
      <c r="H958" s="31" t="s">
        <v>10979</v>
      </c>
      <c r="I958" s="31" t="str">
        <f t="shared" si="82"/>
        <v> C00944 * C00009</v>
      </c>
      <c r="J958" s="31" t="str">
        <f t="shared" si="80"/>
        <v>(${Variables: E4_2_3_4_Kcat } * E4_2_3_4 * 	
C04691) /(${Variables:E4_2_3_4_Km} + (E4_2_3_4 * 	
C04691))</v>
      </c>
      <c r="K958" s="32" t="str">
        <f t="shared" si="81"/>
        <v>r957: 	
C04691 -&gt;  C00944 + C00009 | (${Variables: E4_2_3_4_Kcat } * E4_2_3_4 * 	
C04691) /(${Variables:E4_2_3_4_Km} + (E4_2_3_4 * 	
C04691))</v>
      </c>
    </row>
    <row r="959" spans="1:11" ht="58" x14ac:dyDescent="0.35">
      <c r="A959" s="31" t="s">
        <v>4601</v>
      </c>
      <c r="B959" s="31" t="s">
        <v>4602</v>
      </c>
      <c r="C959" s="31" t="s">
        <v>14273</v>
      </c>
      <c r="D959" s="31">
        <v>958</v>
      </c>
      <c r="E959" s="31" t="str">
        <f t="shared" si="78"/>
        <v>E4_2_3_5</v>
      </c>
      <c r="F959" s="31" t="s">
        <v>10982</v>
      </c>
      <c r="G959" s="31" t="str">
        <f t="shared" si="79"/>
        <v xml:space="preserve">	
C01269 </v>
      </c>
      <c r="H959" s="31" t="s">
        <v>10983</v>
      </c>
      <c r="I959" s="31" t="str">
        <f t="shared" si="82"/>
        <v>C00251 * C00009</v>
      </c>
      <c r="J959" s="31" t="str">
        <f t="shared" si="80"/>
        <v>(${Variables: E4_2_3_5_Kcat } * E4_2_3_5 * 	
C01269 ) /(${Variables:E4_2_3_5_Km} + (E4_2_3_5 * 	
C01269 ))</v>
      </c>
      <c r="K959" s="32" t="str">
        <f t="shared" si="81"/>
        <v>r958: 	
C01269  -&gt; C00251 + C00009 | (${Variables: E4_2_3_5_Kcat } * E4_2_3_5 * 	
C01269 ) /(${Variables:E4_2_3_5_Km} + (E4_2_3_5 * 	
C01269 ))</v>
      </c>
    </row>
    <row r="960" spans="1:11" ht="58" x14ac:dyDescent="0.35">
      <c r="A960" s="31" t="s">
        <v>4239</v>
      </c>
      <c r="B960" s="31" t="s">
        <v>4240</v>
      </c>
      <c r="C960" s="31" t="s">
        <v>14274</v>
      </c>
      <c r="D960" s="31">
        <v>959</v>
      </c>
      <c r="E960" s="31" t="str">
        <f t="shared" si="78"/>
        <v>E4_3_1_1</v>
      </c>
      <c r="F960" s="31" t="s">
        <v>10754</v>
      </c>
      <c r="G960" s="31" t="str">
        <f t="shared" si="79"/>
        <v xml:space="preserve">	
C00049 </v>
      </c>
      <c r="H960" s="31" t="s">
        <v>10986</v>
      </c>
      <c r="I960" s="31" t="str">
        <f t="shared" si="82"/>
        <v>C00122 * C00014</v>
      </c>
      <c r="J960" s="31" t="str">
        <f t="shared" si="80"/>
        <v>(${Variables: E4_3_1_1_Kcat } * E4_3_1_1 * 	
C00049 ) /(${Variables:E4_3_1_1_Km} + (E4_3_1_1 * 	
C00049 ))</v>
      </c>
      <c r="K960" s="31" t="str">
        <f t="shared" si="81"/>
        <v>r959: 	
C00049  -&gt; C00122 + C00014 | (${Variables: E4_3_1_1_Kcat } * E4_3_1_1 * 	
C00049 ) /(${Variables:E4_3_1_1_Km} + (E4_3_1_1 * 	
C00049 ))</v>
      </c>
    </row>
    <row r="961" spans="1:11" ht="58" x14ac:dyDescent="0.35">
      <c r="A961" s="31" t="s">
        <v>4657</v>
      </c>
      <c r="B961" s="31" t="s">
        <v>4658</v>
      </c>
      <c r="C961" s="31" t="s">
        <v>14275</v>
      </c>
      <c r="D961" s="31">
        <v>960</v>
      </c>
      <c r="E961" s="31" t="str">
        <f t="shared" si="78"/>
        <v>E4_3_1_17</v>
      </c>
      <c r="F961" s="31" t="s">
        <v>10989</v>
      </c>
      <c r="G961" s="31" t="str">
        <f t="shared" si="79"/>
        <v xml:space="preserve">	
C00065 </v>
      </c>
      <c r="H961" s="31" t="s">
        <v>10990</v>
      </c>
      <c r="I961" s="31" t="str">
        <f t="shared" si="82"/>
        <v>C00022 * C00014</v>
      </c>
      <c r="J961" s="31" t="str">
        <f t="shared" si="80"/>
        <v>(${Variables: E4_3_1_17_Kcat } * E4_3_1_17 * 	
C00065 ) /(${Variables:E4_3_1_17_Km} + (E4_3_1_17 * 	
C00065 ))</v>
      </c>
      <c r="K961" s="32" t="str">
        <f t="shared" si="81"/>
        <v>r960: 	
C00065  -&gt; C00022 + C00014 | (${Variables: E4_3_1_17_Kcat } * E4_3_1_17 * 	
C00065 ) /(${Variables:E4_3_1_17_Km} + (E4_3_1_17 * 	
C00065 ))</v>
      </c>
    </row>
    <row r="962" spans="1:11" ht="58" x14ac:dyDescent="0.35">
      <c r="A962" s="31" t="s">
        <v>4657</v>
      </c>
      <c r="B962" s="31" t="s">
        <v>4658</v>
      </c>
      <c r="C962" s="31" t="s">
        <v>14275</v>
      </c>
      <c r="D962" s="31">
        <v>961</v>
      </c>
      <c r="E962" s="31" t="str">
        <f t="shared" ref="E962:E1025" si="83">CONCATENATE("E",C962)</f>
        <v>E4_3_1_17</v>
      </c>
      <c r="F962" s="31" t="s">
        <v>10989</v>
      </c>
      <c r="G962" s="31" t="str">
        <f t="shared" ref="G962:G1025" si="84">SUBSTITUTE(F962,"+","*")</f>
        <v xml:space="preserve">	
C00065 </v>
      </c>
      <c r="H962" s="31" t="s">
        <v>10992</v>
      </c>
      <c r="I962" s="31" t="str">
        <f t="shared" si="82"/>
        <v>C02218 * C00001</v>
      </c>
      <c r="J962" s="31" t="str">
        <f t="shared" ref="J962:J1025" si="85">CONCATENATE("(${Variables: ",E962,"_Kcat ","} * ",E962," * ",G962,")"," /(${Variables:",E962,"_Km","} + (",E962," * ",G962,"))")</f>
        <v>(${Variables: E4_3_1_17_Kcat } * E4_3_1_17 * 	
C00065 ) /(${Variables:E4_3_1_17_Km} + (E4_3_1_17 * 	
C00065 ))</v>
      </c>
      <c r="K962" s="32" t="str">
        <f t="shared" ref="K962:K1025" si="86">CONCATENATE("r",D962,": ",F962," -&gt; ",H962," | ",J962)</f>
        <v>r961: 	
C00065  -&gt; C02218 + C00001 | (${Variables: E4_3_1_17_Kcat } * E4_3_1_17 * 	
C00065 ) /(${Variables:E4_3_1_17_Km} + (E4_3_1_17 * 	
C00065 ))</v>
      </c>
    </row>
    <row r="963" spans="1:11" ht="58" x14ac:dyDescent="0.35">
      <c r="A963" s="31" t="s">
        <v>4657</v>
      </c>
      <c r="B963" s="31" t="s">
        <v>4658</v>
      </c>
      <c r="C963" s="31" t="s">
        <v>14275</v>
      </c>
      <c r="D963" s="31">
        <v>962</v>
      </c>
      <c r="E963" s="31" t="str">
        <f t="shared" si="83"/>
        <v>E4_3_1_17</v>
      </c>
      <c r="F963" s="31" t="s">
        <v>10994</v>
      </c>
      <c r="G963" s="31" t="str">
        <f t="shared" si="84"/>
        <v xml:space="preserve">	
C20904 * C00001 </v>
      </c>
      <c r="H963" s="31" t="s">
        <v>10995</v>
      </c>
      <c r="I963" s="31" t="str">
        <f t="shared" si="82"/>
        <v> C00022 * C00014</v>
      </c>
      <c r="J963" s="31" t="str">
        <f t="shared" si="85"/>
        <v>(${Variables: E4_3_1_17_Kcat } * E4_3_1_17 * 	
C20904 * C00001 ) /(${Variables:E4_3_1_17_Km} + (E4_3_1_17 * 	
C20904 * C00001 ))</v>
      </c>
      <c r="K963" s="32" t="str">
        <f t="shared" si="86"/>
        <v>r962: 	
C20904 + C00001  -&gt;  C00022 + C00014 | (${Variables: E4_3_1_17_Kcat } * E4_3_1_17 * 	
C20904 * C00001 ) /(${Variables:E4_3_1_17_Km} + (E4_3_1_17 * 	
C20904 * C00001 ))</v>
      </c>
    </row>
    <row r="964" spans="1:11" ht="58" x14ac:dyDescent="0.35">
      <c r="A964" s="31" t="s">
        <v>4657</v>
      </c>
      <c r="B964" s="31" t="s">
        <v>4658</v>
      </c>
      <c r="C964" s="31" t="s">
        <v>14275</v>
      </c>
      <c r="D964" s="31">
        <v>963</v>
      </c>
      <c r="E964" s="31" t="str">
        <f t="shared" si="83"/>
        <v>E4_3_1_17</v>
      </c>
      <c r="F964" s="31" t="s">
        <v>10997</v>
      </c>
      <c r="G964" s="31" t="str">
        <f t="shared" si="84"/>
        <v xml:space="preserve">	
C02218 </v>
      </c>
      <c r="H964" s="31" t="s">
        <v>10998</v>
      </c>
      <c r="I964" s="31" t="str">
        <f t="shared" ref="I964:I1027" si="87">SUBSTITUTE(H964,"+","*")</f>
        <v xml:space="preserve"> C20904</v>
      </c>
      <c r="J964" s="31" t="str">
        <f t="shared" si="85"/>
        <v>(${Variables: E4_3_1_17_Kcat } * E4_3_1_17 * 	
C02218 ) /(${Variables:E4_3_1_17_Km} + (E4_3_1_17 * 	
C02218 ))</v>
      </c>
      <c r="K964" s="32" t="str">
        <f t="shared" si="86"/>
        <v>r963: 	
C02218  -&gt;  C20904 | (${Variables: E4_3_1_17_Kcat } * E4_3_1_17 * 	
C02218 ) /(${Variables:E4_3_1_17_Km} + (E4_3_1_17 * 	
C02218 ))</v>
      </c>
    </row>
    <row r="965" spans="1:11" ht="58" x14ac:dyDescent="0.35">
      <c r="A965" s="31" t="s">
        <v>4657</v>
      </c>
      <c r="B965" s="31" t="s">
        <v>4658</v>
      </c>
      <c r="C965" s="31" t="s">
        <v>14275</v>
      </c>
      <c r="D965" s="31">
        <v>964</v>
      </c>
      <c r="E965" s="31" t="str">
        <f t="shared" si="83"/>
        <v>E4_3_1_17</v>
      </c>
      <c r="F965" s="31" t="s">
        <v>11000</v>
      </c>
      <c r="G965" s="31" t="str">
        <f t="shared" si="84"/>
        <v xml:space="preserve">	
C05167</v>
      </c>
      <c r="H965" s="31" t="s">
        <v>11001</v>
      </c>
      <c r="I965" s="31" t="str">
        <f t="shared" si="87"/>
        <v>C00161 * C00014</v>
      </c>
      <c r="J965" s="31" t="str">
        <f t="shared" si="85"/>
        <v>(${Variables: E4_3_1_17_Kcat } * E4_3_1_17 * 	
C05167) /(${Variables:E4_3_1_17_Km} + (E4_3_1_17 * 	
C05167))</v>
      </c>
      <c r="K965" s="32" t="str">
        <f t="shared" si="86"/>
        <v>r964: 	
C05167 -&gt; C00161 + C00014 | (${Variables: E4_3_1_17_Kcat } * E4_3_1_17 * 	
C05167) /(${Variables:E4_3_1_17_Km} + (E4_3_1_17 * 	
C05167))</v>
      </c>
    </row>
    <row r="966" spans="1:11" ht="58" x14ac:dyDescent="0.35">
      <c r="A966" s="31" t="s">
        <v>5861</v>
      </c>
      <c r="B966" s="31" t="s">
        <v>5862</v>
      </c>
      <c r="C966" s="31" t="s">
        <v>14276</v>
      </c>
      <c r="D966" s="31">
        <v>965</v>
      </c>
      <c r="E966" s="31" t="str">
        <f t="shared" si="83"/>
        <v>E4_3_1_19</v>
      </c>
      <c r="F966" s="31" t="s">
        <v>11004</v>
      </c>
      <c r="G966" s="31" t="str">
        <f t="shared" si="84"/>
        <v xml:space="preserve">	
C00188 </v>
      </c>
      <c r="H966" s="31" t="s">
        <v>11005</v>
      </c>
      <c r="I966" s="31" t="str">
        <f t="shared" si="87"/>
        <v>C00109 * C00014</v>
      </c>
      <c r="J966" s="31" t="str">
        <f t="shared" si="85"/>
        <v>(${Variables: E4_3_1_19_Kcat } * E4_3_1_19 * 	
C00188 ) /(${Variables:E4_3_1_19_Km} + (E4_3_1_19 * 	
C00188 ))</v>
      </c>
      <c r="K966" s="32" t="str">
        <f t="shared" si="86"/>
        <v>r965: 	
C00188  -&gt; C00109 + C00014 | (${Variables: E4_3_1_19_Kcat } * E4_3_1_19 * 	
C00188 ) /(${Variables:E4_3_1_19_Km} + (E4_3_1_19 * 	
C00188 ))</v>
      </c>
    </row>
    <row r="967" spans="1:11" ht="58" x14ac:dyDescent="0.35">
      <c r="A967" s="31" t="s">
        <v>5861</v>
      </c>
      <c r="B967" s="31" t="s">
        <v>5862</v>
      </c>
      <c r="C967" s="31" t="s">
        <v>14276</v>
      </c>
      <c r="D967" s="31">
        <v>966</v>
      </c>
      <c r="E967" s="31" t="str">
        <f t="shared" si="83"/>
        <v>E4_3_1_19</v>
      </c>
      <c r="F967" s="31" t="s">
        <v>11007</v>
      </c>
      <c r="G967" s="31" t="str">
        <f t="shared" si="84"/>
        <v xml:space="preserve">	
C20905 * C00001 </v>
      </c>
      <c r="H967" s="31" t="s">
        <v>11008</v>
      </c>
      <c r="I967" s="31" t="str">
        <f t="shared" si="87"/>
        <v> C00109 * C00014</v>
      </c>
      <c r="J967" s="31" t="str">
        <f t="shared" si="85"/>
        <v>(${Variables: E4_3_1_19_Kcat } * E4_3_1_19 * 	
C20905 * C00001 ) /(${Variables:E4_3_1_19_Km} + (E4_3_1_19 * 	
C20905 * C00001 ))</v>
      </c>
      <c r="K967" s="32" t="str">
        <f t="shared" si="86"/>
        <v>r966: 	
C20905 + C00001  -&gt;  C00109 + C00014 | (${Variables: E4_3_1_19_Kcat } * E4_3_1_19 * 	
C20905 * C00001 ) /(${Variables:E4_3_1_19_Km} + (E4_3_1_19 * 	
C20905 * C00001 ))</v>
      </c>
    </row>
    <row r="968" spans="1:11" ht="58" x14ac:dyDescent="0.35">
      <c r="A968" s="31" t="s">
        <v>5861</v>
      </c>
      <c r="B968" s="31" t="s">
        <v>5862</v>
      </c>
      <c r="C968" s="31" t="s">
        <v>14276</v>
      </c>
      <c r="D968" s="31">
        <v>967</v>
      </c>
      <c r="E968" s="31" t="str">
        <f t="shared" si="83"/>
        <v>E4_3_1_19</v>
      </c>
      <c r="F968" s="31" t="s">
        <v>11010</v>
      </c>
      <c r="G968" s="31" t="str">
        <f t="shared" si="84"/>
        <v xml:space="preserve">	
C17234</v>
      </c>
      <c r="H968" s="31" t="s">
        <v>11011</v>
      </c>
      <c r="I968" s="31" t="str">
        <f t="shared" si="87"/>
        <v>C20905</v>
      </c>
      <c r="J968" s="31" t="str">
        <f t="shared" si="85"/>
        <v>(${Variables: E4_3_1_19_Kcat } * E4_3_1_19 * 	
C17234) /(${Variables:E4_3_1_19_Km} + (E4_3_1_19 * 	
C17234))</v>
      </c>
      <c r="K968" s="32" t="str">
        <f t="shared" si="86"/>
        <v>r967: 	
C17234 -&gt; C20905 | (${Variables: E4_3_1_19_Kcat } * E4_3_1_19 * 	
C17234) /(${Variables:E4_3_1_19_Km} + (E4_3_1_19 * 	
C17234))</v>
      </c>
    </row>
    <row r="969" spans="1:11" ht="29" x14ac:dyDescent="0.35">
      <c r="A969" s="31" t="s">
        <v>5861</v>
      </c>
      <c r="B969" s="31" t="s">
        <v>5862</v>
      </c>
      <c r="C969" s="31" t="s">
        <v>14276</v>
      </c>
      <c r="D969" s="31">
        <v>968</v>
      </c>
      <c r="E969" s="31" t="str">
        <f t="shared" si="83"/>
        <v>E4_3_1_19</v>
      </c>
      <c r="F969" s="31" t="s">
        <v>11012</v>
      </c>
      <c r="G969" s="31" t="str">
        <f t="shared" si="84"/>
        <v xml:space="preserve">C00065 </v>
      </c>
      <c r="H969" s="31" t="s">
        <v>11013</v>
      </c>
      <c r="I969" s="31" t="str">
        <f t="shared" si="87"/>
        <v>C00022 * C00014</v>
      </c>
      <c r="J969" s="31" t="str">
        <f t="shared" si="85"/>
        <v>(${Variables: E4_3_1_19_Kcat } * E4_3_1_19 * C00065 ) /(${Variables:E4_3_1_19_Km} + (E4_3_1_19 * C00065 ))</v>
      </c>
      <c r="K969" s="32" t="str">
        <f t="shared" si="86"/>
        <v>r968: C00065  -&gt; C00022 + C00014 | (${Variables: E4_3_1_19_Kcat } * E4_3_1_19 * C00065 ) /(${Variables:E4_3_1_19_Km} + (E4_3_1_19 * C00065 ))</v>
      </c>
    </row>
    <row r="970" spans="1:11" ht="58" x14ac:dyDescent="0.35">
      <c r="A970" s="31" t="s">
        <v>5861</v>
      </c>
      <c r="B970" s="31" t="s">
        <v>5862</v>
      </c>
      <c r="C970" s="31" t="s">
        <v>14276</v>
      </c>
      <c r="D970" s="31">
        <v>969</v>
      </c>
      <c r="E970" s="31" t="str">
        <f t="shared" si="83"/>
        <v>E4_3_1_19</v>
      </c>
      <c r="F970" s="31" t="s">
        <v>11014</v>
      </c>
      <c r="G970" s="31" t="str">
        <f t="shared" si="84"/>
        <v xml:space="preserve">	
C05167 </v>
      </c>
      <c r="H970" s="31" t="s">
        <v>11015</v>
      </c>
      <c r="I970" s="31" t="str">
        <f t="shared" si="87"/>
        <v> C00161 * C00014</v>
      </c>
      <c r="J970" s="31" t="str">
        <f t="shared" si="85"/>
        <v>(${Variables: E4_3_1_19_Kcat } * E4_3_1_19 * 	
C05167 ) /(${Variables:E4_3_1_19_Km} + (E4_3_1_19 * 	
C05167 ))</v>
      </c>
      <c r="K970" s="32" t="str">
        <f t="shared" si="86"/>
        <v>r969: 	
C05167  -&gt;  C00161 + C00014 | (${Variables: E4_3_1_19_Kcat } * E4_3_1_19 * 	
C05167 ) /(${Variables:E4_3_1_19_Km} + (E4_3_1_19 * 	
C05167 ))</v>
      </c>
    </row>
    <row r="971" spans="1:11" ht="58" x14ac:dyDescent="0.35">
      <c r="A971" s="31" t="s">
        <v>3955</v>
      </c>
      <c r="B971" s="31" t="s">
        <v>3956</v>
      </c>
      <c r="C971" s="31" t="s">
        <v>14277</v>
      </c>
      <c r="D971" s="31">
        <v>970</v>
      </c>
      <c r="E971" s="31" t="str">
        <f t="shared" si="83"/>
        <v>E4_3_2_1</v>
      </c>
      <c r="F971" s="31" t="s">
        <v>11018</v>
      </c>
      <c r="G971" s="31" t="str">
        <f t="shared" si="84"/>
        <v xml:space="preserve">	
C03406</v>
      </c>
      <c r="H971" s="31" t="s">
        <v>11019</v>
      </c>
      <c r="I971" s="31" t="str">
        <f t="shared" si="87"/>
        <v> C00122 * C00062</v>
      </c>
      <c r="J971" s="31" t="str">
        <f t="shared" si="85"/>
        <v>(${Variables: E4_3_2_1_Kcat } * E4_3_2_1 * 	
C03406) /(${Variables:E4_3_2_1_Km} + (E4_3_2_1 * 	
C03406))</v>
      </c>
      <c r="K971" s="32" t="str">
        <f t="shared" si="86"/>
        <v>r970: 	
C03406 -&gt;  C00122 + C00062 | (${Variables: E4_3_2_1_Kcat } * E4_3_2_1 * 	
C03406) /(${Variables:E4_3_2_1_Km} + (E4_3_2_1 * 	
C03406))</v>
      </c>
    </row>
    <row r="972" spans="1:11" ht="29" x14ac:dyDescent="0.35">
      <c r="A972" s="31" t="s">
        <v>5774</v>
      </c>
      <c r="B972" s="31" t="s">
        <v>5775</v>
      </c>
      <c r="C972" s="31" t="s">
        <v>14278</v>
      </c>
      <c r="D972" s="31">
        <v>971</v>
      </c>
      <c r="E972" s="31" t="str">
        <f t="shared" si="83"/>
        <v>E4_3_2_10</v>
      </c>
      <c r="F972" s="31" t="s">
        <v>11020</v>
      </c>
      <c r="G972" s="31" t="str">
        <f t="shared" si="84"/>
        <v xml:space="preserve">C00064 * C00001 </v>
      </c>
      <c r="H972" s="31" t="s">
        <v>10563</v>
      </c>
      <c r="I972" s="31" t="str">
        <f t="shared" si="87"/>
        <v>C00025 * C00014</v>
      </c>
      <c r="J972" s="31" t="str">
        <f t="shared" si="85"/>
        <v>(${Variables: E4_3_2_10_Kcat } * E4_3_2_10 * C00064 * C00001 ) /(${Variables:E4_3_2_10_Km} + (E4_3_2_10 * C00064 * C00001 ))</v>
      </c>
      <c r="K972" s="31" t="str">
        <f t="shared" si="86"/>
        <v>r971: C00064 + C00001  -&gt; C00025 + C00014 | (${Variables: E4_3_2_10_Kcat } * E4_3_2_10 * C00064 * C00001 ) /(${Variables:E4_3_2_10_Km} + (E4_3_2_10 * C00064 * C00001 ))</v>
      </c>
    </row>
    <row r="973" spans="1:11" ht="58" x14ac:dyDescent="0.35">
      <c r="A973" s="31" t="s">
        <v>5774</v>
      </c>
      <c r="B973" s="31" t="s">
        <v>5775</v>
      </c>
      <c r="C973" s="31" t="s">
        <v>14278</v>
      </c>
      <c r="D973" s="31">
        <v>972</v>
      </c>
      <c r="E973" s="31" t="str">
        <f t="shared" si="83"/>
        <v>E4_3_2_10</v>
      </c>
      <c r="F973" s="31" t="s">
        <v>11022</v>
      </c>
      <c r="G973" s="31" t="str">
        <f t="shared" si="84"/>
        <v xml:space="preserve">	
C04916 * C00064 </v>
      </c>
      <c r="H973" s="31" t="s">
        <v>11023</v>
      </c>
      <c r="I973" s="31" t="str">
        <f t="shared" si="87"/>
        <v>C04666 * C04677 * C00025</v>
      </c>
      <c r="J973" s="31" t="str">
        <f t="shared" si="85"/>
        <v>(${Variables: E4_3_2_10_Kcat } * E4_3_2_10 * 	
C04916 * C00064 ) /(${Variables:E4_3_2_10_Km} + (E4_3_2_10 * 	
C04916 * C00064 ))</v>
      </c>
      <c r="K973" s="31" t="str">
        <f t="shared" si="86"/>
        <v>r972: 	
C04916 + C00064  -&gt; C04666 + C04677 + C00025 | (${Variables: E4_3_2_10_Kcat } * E4_3_2_10 * 	
C04916 * C00064 ) /(${Variables:E4_3_2_10_Km} + (E4_3_2_10 * 	
C04916 * C00064 ))</v>
      </c>
    </row>
    <row r="974" spans="1:11" ht="58" x14ac:dyDescent="0.35">
      <c r="A974" s="31" t="s">
        <v>5774</v>
      </c>
      <c r="B974" s="31" t="s">
        <v>5775</v>
      </c>
      <c r="C974" s="31" t="s">
        <v>14278</v>
      </c>
      <c r="D974" s="31">
        <v>973</v>
      </c>
      <c r="E974" s="31" t="str">
        <f t="shared" si="83"/>
        <v>E4_3_2_10</v>
      </c>
      <c r="F974" s="31" t="s">
        <v>11025</v>
      </c>
      <c r="G974" s="31" t="str">
        <f t="shared" si="84"/>
        <v xml:space="preserve">	
C04916 * C00014 </v>
      </c>
      <c r="H974" s="31" t="s">
        <v>11026</v>
      </c>
      <c r="I974" s="31" t="str">
        <f t="shared" si="87"/>
        <v> C04677 * C04666 * C00001</v>
      </c>
      <c r="J974" s="31" t="str">
        <f t="shared" si="85"/>
        <v>(${Variables: E4_3_2_10_Kcat } * E4_3_2_10 * 	
C04916 * C00014 ) /(${Variables:E4_3_2_10_Km} + (E4_3_2_10 * 	
C04916 * C00014 ))</v>
      </c>
      <c r="K974" s="31" t="str">
        <f t="shared" si="86"/>
        <v>r973: 	
C04916 + C00014  -&gt;  C04677 + C04666 + C00001 | (${Variables: E4_3_2_10_Kcat } * E4_3_2_10 * 	
C04916 * C00014 ) /(${Variables:E4_3_2_10_Km} + (E4_3_2_10 * 	
C04916 * C00014 ))</v>
      </c>
    </row>
    <row r="975" spans="1:11" ht="29" x14ac:dyDescent="0.35">
      <c r="A975" s="31" t="s">
        <v>5784</v>
      </c>
      <c r="B975" s="31" t="s">
        <v>5785</v>
      </c>
      <c r="C975" s="31" t="s">
        <v>14278</v>
      </c>
      <c r="D975" s="31">
        <v>974</v>
      </c>
      <c r="E975" s="31" t="str">
        <f t="shared" si="83"/>
        <v>E4_3_2_10</v>
      </c>
      <c r="F975" s="31" t="s">
        <v>11020</v>
      </c>
      <c r="G975" s="31" t="str">
        <f t="shared" si="84"/>
        <v xml:space="preserve">C00064 * C00001 </v>
      </c>
      <c r="H975" s="31" t="s">
        <v>10563</v>
      </c>
      <c r="I975" s="31" t="str">
        <f t="shared" si="87"/>
        <v>C00025 * C00014</v>
      </c>
      <c r="J975" s="31" t="str">
        <f t="shared" si="85"/>
        <v>(${Variables: E4_3_2_10_Kcat } * E4_3_2_10 * C00064 * C00001 ) /(${Variables:E4_3_2_10_Km} + (E4_3_2_10 * C00064 * C00001 ))</v>
      </c>
      <c r="K975" s="31" t="str">
        <f t="shared" si="86"/>
        <v>r974: C00064 + C00001  -&gt; C00025 + C00014 | (${Variables: E4_3_2_10_Kcat } * E4_3_2_10 * C00064 * C00001 ) /(${Variables:E4_3_2_10_Km} + (E4_3_2_10 * C00064 * C00001 ))</v>
      </c>
    </row>
    <row r="976" spans="1:11" ht="58" x14ac:dyDescent="0.35">
      <c r="A976" s="31" t="s">
        <v>5784</v>
      </c>
      <c r="B976" s="31" t="s">
        <v>5785</v>
      </c>
      <c r="C976" s="31" t="s">
        <v>14278</v>
      </c>
      <c r="D976" s="31">
        <v>975</v>
      </c>
      <c r="E976" s="31" t="str">
        <f t="shared" si="83"/>
        <v>E4_3_2_10</v>
      </c>
      <c r="F976" s="31" t="s">
        <v>11022</v>
      </c>
      <c r="G976" s="31" t="str">
        <f t="shared" si="84"/>
        <v xml:space="preserve">	
C04916 * C00064 </v>
      </c>
      <c r="H976" s="31" t="s">
        <v>11023</v>
      </c>
      <c r="I976" s="31" t="str">
        <f t="shared" si="87"/>
        <v>C04666 * C04677 * C00025</v>
      </c>
      <c r="J976" s="31" t="str">
        <f t="shared" si="85"/>
        <v>(${Variables: E4_3_2_10_Kcat } * E4_3_2_10 * 	
C04916 * C00064 ) /(${Variables:E4_3_2_10_Km} + (E4_3_2_10 * 	
C04916 * C00064 ))</v>
      </c>
      <c r="K976" s="31" t="str">
        <f t="shared" si="86"/>
        <v>r975: 	
C04916 + C00064  -&gt; C04666 + C04677 + C00025 | (${Variables: E4_3_2_10_Kcat } * E4_3_2_10 * 	
C04916 * C00064 ) /(${Variables:E4_3_2_10_Km} + (E4_3_2_10 * 	
C04916 * C00064 ))</v>
      </c>
    </row>
    <row r="977" spans="1:11" ht="58" x14ac:dyDescent="0.35">
      <c r="A977" s="31" t="s">
        <v>5784</v>
      </c>
      <c r="B977" s="31" t="s">
        <v>5785</v>
      </c>
      <c r="C977" s="31" t="s">
        <v>14278</v>
      </c>
      <c r="D977" s="31">
        <v>976</v>
      </c>
      <c r="E977" s="31" t="str">
        <f t="shared" si="83"/>
        <v>E4_3_2_10</v>
      </c>
      <c r="F977" s="31" t="s">
        <v>11025</v>
      </c>
      <c r="G977" s="31" t="str">
        <f t="shared" si="84"/>
        <v xml:space="preserve">	
C04916 * C00014 </v>
      </c>
      <c r="H977" s="31" t="s">
        <v>11026</v>
      </c>
      <c r="I977" s="31" t="str">
        <f t="shared" si="87"/>
        <v> C04677 * C04666 * C00001</v>
      </c>
      <c r="J977" s="31" t="str">
        <f t="shared" si="85"/>
        <v>(${Variables: E4_3_2_10_Kcat } * E4_3_2_10 * 	
C04916 * C00014 ) /(${Variables:E4_3_2_10_Km} + (E4_3_2_10 * 	
C04916 * C00014 ))</v>
      </c>
      <c r="K977" s="31" t="str">
        <f t="shared" si="86"/>
        <v>r976: 	
C04916 + C00014  -&gt;  C04677 + C04666 + C00001 | (${Variables: E4_3_2_10_Kcat } * E4_3_2_10 * 	
C04916 * C00014 ) /(${Variables:E4_3_2_10_Km} + (E4_3_2_10 * 	
C04916 * C00014 ))</v>
      </c>
    </row>
    <row r="978" spans="1:11" ht="58" x14ac:dyDescent="0.35">
      <c r="A978" s="31" t="s">
        <v>7158</v>
      </c>
      <c r="B978" s="31" t="s">
        <v>7159</v>
      </c>
      <c r="C978" s="31" t="s">
        <v>14279</v>
      </c>
      <c r="D978" s="31">
        <v>977</v>
      </c>
      <c r="E978" s="31" t="str">
        <f t="shared" si="83"/>
        <v>E4_3_2_2</v>
      </c>
      <c r="F978" s="31" t="s">
        <v>11030</v>
      </c>
      <c r="G978" s="31" t="str">
        <f t="shared" si="84"/>
        <v xml:space="preserve">	
C03794 </v>
      </c>
      <c r="H978" s="31" t="s">
        <v>11031</v>
      </c>
      <c r="I978" s="31" t="str">
        <f t="shared" si="87"/>
        <v>C00122 * C00020</v>
      </c>
      <c r="J978" s="31" t="str">
        <f t="shared" si="85"/>
        <v>(${Variables: E4_3_2_2_Kcat } * E4_3_2_2 * 	
C03794 ) /(${Variables:E4_3_2_2_Km} + (E4_3_2_2 * 	
C03794 ))</v>
      </c>
      <c r="K978" s="32" t="str">
        <f t="shared" si="86"/>
        <v>r977: 	
C03794  -&gt; C00122 + C00020 | (${Variables: E4_3_2_2_Kcat } * E4_3_2_2 * 	
C03794 ) /(${Variables:E4_3_2_2_Km} + (E4_3_2_2 * 	
C03794 ))</v>
      </c>
    </row>
    <row r="979" spans="1:11" ht="58" x14ac:dyDescent="0.35">
      <c r="A979" s="31" t="s">
        <v>7158</v>
      </c>
      <c r="B979" s="31" t="s">
        <v>7159</v>
      </c>
      <c r="C979" s="31" t="s">
        <v>14279</v>
      </c>
      <c r="D979" s="31">
        <v>978</v>
      </c>
      <c r="E979" s="31" t="str">
        <f t="shared" si="83"/>
        <v>E4_3_2_2</v>
      </c>
      <c r="F979" s="31" t="s">
        <v>11033</v>
      </c>
      <c r="G979" s="31" t="str">
        <f t="shared" si="84"/>
        <v xml:space="preserve">	
C04823 </v>
      </c>
      <c r="H979" s="31" t="s">
        <v>11034</v>
      </c>
      <c r="I979" s="31" t="str">
        <f t="shared" si="87"/>
        <v> C00122 * C04677</v>
      </c>
      <c r="J979" s="31" t="str">
        <f t="shared" si="85"/>
        <v>(${Variables: E4_3_2_2_Kcat } * E4_3_2_2 * 	
C04823 ) /(${Variables:E4_3_2_2_Km} + (E4_3_2_2 * 	
C04823 ))</v>
      </c>
      <c r="K979" s="32" t="str">
        <f t="shared" si="86"/>
        <v>r978: 	
C04823  -&gt;  C00122 + C04677 | (${Variables: E4_3_2_2_Kcat } * E4_3_2_2 * 	
C04823 ) /(${Variables:E4_3_2_2_Km} + (E4_3_2_2 * 	
C04823 ))</v>
      </c>
    </row>
    <row r="980" spans="1:11" ht="58" x14ac:dyDescent="0.35">
      <c r="A980" s="31" t="s">
        <v>7158</v>
      </c>
      <c r="B980" s="31" t="s">
        <v>7159</v>
      </c>
      <c r="C980" s="31" t="s">
        <v>14279</v>
      </c>
      <c r="D980" s="31">
        <v>979</v>
      </c>
      <c r="E980" s="31" t="str">
        <f t="shared" si="83"/>
        <v>E4_3_2_2</v>
      </c>
      <c r="F980" s="31" t="s">
        <v>11036</v>
      </c>
      <c r="G980" s="31" t="str">
        <f t="shared" si="84"/>
        <v xml:space="preserve">	
C22395 </v>
      </c>
      <c r="H980" s="31" t="s">
        <v>11037</v>
      </c>
      <c r="I980" s="31" t="str">
        <f t="shared" si="87"/>
        <v xml:space="preserve"> C22441 * C00122</v>
      </c>
      <c r="J980" s="31" t="str">
        <f t="shared" si="85"/>
        <v>(${Variables: E4_3_2_2_Kcat } * E4_3_2_2 * 	
C22395 ) /(${Variables:E4_3_2_2_Km} + (E4_3_2_2 * 	
C22395 ))</v>
      </c>
      <c r="K980" s="32" t="str">
        <f t="shared" si="86"/>
        <v>r979: 	
C22395  -&gt;  C22441 + C00122 | (${Variables: E4_3_2_2_Kcat } * E4_3_2_2 * 	
C22395 ) /(${Variables:E4_3_2_2_Km} + (E4_3_2_2 * 	
C22395 ))</v>
      </c>
    </row>
    <row r="981" spans="1:11" ht="29" x14ac:dyDescent="0.35">
      <c r="A981" s="31" t="s">
        <v>5428</v>
      </c>
      <c r="B981" s="31" t="s">
        <v>5429</v>
      </c>
      <c r="C981" s="31" t="s">
        <v>14280</v>
      </c>
      <c r="D981" s="31">
        <v>980</v>
      </c>
      <c r="E981" s="31" t="str">
        <f t="shared" si="83"/>
        <v>E4_3_3_7</v>
      </c>
      <c r="F981" s="31" t="s">
        <v>11040</v>
      </c>
      <c r="G981" s="31" t="str">
        <f t="shared" si="84"/>
        <v>C00441 * C00022</v>
      </c>
      <c r="H981" s="31" t="s">
        <v>11041</v>
      </c>
      <c r="I981" s="31" t="str">
        <f t="shared" si="87"/>
        <v xml:space="preserve"> C20258 * C00001</v>
      </c>
      <c r="J981" s="31" t="str">
        <f t="shared" si="85"/>
        <v>(${Variables: E4_3_3_7_Kcat } * E4_3_3_7 * C00441 * C00022) /(${Variables:E4_3_3_7_Km} + (E4_3_3_7 * C00441 * C00022))</v>
      </c>
      <c r="K981" s="32" t="str">
        <f t="shared" si="86"/>
        <v>r980: C00441 + C00022 -&gt;  C20258 + C00001 | (${Variables: E4_3_3_7_Kcat } * E4_3_3_7 * C00441 * C00022) /(${Variables:E4_3_3_7_Km} + (E4_3_3_7 * C00441 * C00022))</v>
      </c>
    </row>
    <row r="982" spans="1:11" ht="58" x14ac:dyDescent="0.35">
      <c r="A982" s="31" t="s">
        <v>6364</v>
      </c>
      <c r="B982" s="31" t="s">
        <v>6365</v>
      </c>
      <c r="C982" s="31" t="s">
        <v>14281</v>
      </c>
      <c r="D982" s="31">
        <v>981</v>
      </c>
      <c r="E982" s="31" t="str">
        <f t="shared" si="83"/>
        <v>E4_4_1_13</v>
      </c>
      <c r="F982" s="31" t="s">
        <v>11044</v>
      </c>
      <c r="G982" s="31" t="str">
        <f t="shared" si="84"/>
        <v xml:space="preserve">	
C02882 * C00001</v>
      </c>
      <c r="H982" s="31" t="s">
        <v>11045</v>
      </c>
      <c r="I982" s="31" t="str">
        <f t="shared" si="87"/>
        <v>C00145 * C00014 * C00022</v>
      </c>
      <c r="J982" s="31" t="str">
        <f t="shared" si="85"/>
        <v>(${Variables: E4_4_1_13_Kcat } * E4_4_1_13 * 	
C02882 * C00001) /(${Variables:E4_4_1_13_Km} + (E4_4_1_13 * 	
C02882 * C00001))</v>
      </c>
      <c r="K982" s="31" t="str">
        <f t="shared" si="86"/>
        <v>r981: 	
C02882 + C00001 -&gt; C00145 + C00014 + C00022 | (${Variables: E4_4_1_13_Kcat } * E4_4_1_13 * 	
C02882 * C00001) /(${Variables:E4_4_1_13_Km} + (E4_4_1_13 * 	
C02882 * C00001))</v>
      </c>
    </row>
    <row r="983" spans="1:11" ht="58" x14ac:dyDescent="0.35">
      <c r="A983" s="31" t="s">
        <v>6364</v>
      </c>
      <c r="B983" s="31" t="s">
        <v>6365</v>
      </c>
      <c r="C983" s="31" t="s">
        <v>14281</v>
      </c>
      <c r="D983" s="31">
        <v>982</v>
      </c>
      <c r="E983" s="31" t="str">
        <f t="shared" si="83"/>
        <v>E4_4_1_13</v>
      </c>
      <c r="F983" s="31" t="s">
        <v>11047</v>
      </c>
      <c r="G983" s="31" t="str">
        <f t="shared" si="84"/>
        <v xml:space="preserve">	
C02291 * C00001</v>
      </c>
      <c r="H983" s="31" t="s">
        <v>11048</v>
      </c>
      <c r="I983" s="31" t="str">
        <f t="shared" si="87"/>
        <v>C00155 * C00014 * C00022</v>
      </c>
      <c r="J983" s="31" t="str">
        <f t="shared" si="85"/>
        <v>(${Variables: E4_4_1_13_Kcat } * E4_4_1_13 * 	
C02291 * C00001) /(${Variables:E4_4_1_13_Km} + (E4_4_1_13 * 	
C02291 * C00001))</v>
      </c>
      <c r="K983" s="31" t="str">
        <f t="shared" si="86"/>
        <v>r982: 	
C02291 + C00001 -&gt; C00155 + C00014 + C00022 | (${Variables: E4_4_1_13_Kcat } * E4_4_1_13 * 	
C02291 * C00001) /(${Variables:E4_4_1_13_Km} + (E4_4_1_13 * 	
C02291 * C00001))</v>
      </c>
    </row>
    <row r="984" spans="1:11" ht="58" x14ac:dyDescent="0.35">
      <c r="A984" s="31" t="s">
        <v>6364</v>
      </c>
      <c r="B984" s="31" t="s">
        <v>6365</v>
      </c>
      <c r="C984" s="31" t="s">
        <v>14281</v>
      </c>
      <c r="D984" s="31">
        <v>983</v>
      </c>
      <c r="E984" s="31" t="str">
        <f t="shared" si="83"/>
        <v>E4_4_1_13</v>
      </c>
      <c r="F984" s="31" t="s">
        <v>11050</v>
      </c>
      <c r="G984" s="31" t="str">
        <f t="shared" si="84"/>
        <v xml:space="preserve">	
C00491 * C00001</v>
      </c>
      <c r="H984" s="31" t="s">
        <v>11051</v>
      </c>
      <c r="I984" s="31" t="str">
        <f t="shared" si="87"/>
        <v> C00022 * C00014 * C01962</v>
      </c>
      <c r="J984" s="31" t="str">
        <f t="shared" si="85"/>
        <v>(${Variables: E4_4_1_13_Kcat } * E4_4_1_13 * 	
C00491 * C00001) /(${Variables:E4_4_1_13_Km} + (E4_4_1_13 * 	
C00491 * C00001))</v>
      </c>
      <c r="K984" s="31" t="str">
        <f t="shared" si="86"/>
        <v>r983: 	
C00491 + C00001 -&gt;  C00022 + C00014 + C01962 | (${Variables: E4_4_1_13_Kcat } * E4_4_1_13 * 	
C00491 * C00001) /(${Variables:E4_4_1_13_Km} + (E4_4_1_13 * 	
C00491 * C00001))</v>
      </c>
    </row>
    <row r="985" spans="1:11" ht="58" x14ac:dyDescent="0.35">
      <c r="A985" s="31" t="s">
        <v>6364</v>
      </c>
      <c r="B985" s="31" t="s">
        <v>6365</v>
      </c>
      <c r="C985" s="31" t="s">
        <v>14281</v>
      </c>
      <c r="D985" s="31">
        <v>984</v>
      </c>
      <c r="E985" s="31" t="str">
        <f t="shared" si="83"/>
        <v>E4_4_1_13</v>
      </c>
      <c r="F985" s="31" t="s">
        <v>11053</v>
      </c>
      <c r="G985" s="31" t="str">
        <f t="shared" si="84"/>
        <v xml:space="preserve">	
C02749 * C00001 </v>
      </c>
      <c r="H985" s="31" t="s">
        <v>11054</v>
      </c>
      <c r="I985" s="31" t="str">
        <f t="shared" si="87"/>
        <v> C00812 * C00014 * C00022</v>
      </c>
      <c r="J985" s="31" t="str">
        <f t="shared" si="85"/>
        <v>(${Variables: E4_4_1_13_Kcat } * E4_4_1_13 * 	
C02749 * C00001 ) /(${Variables:E4_4_1_13_Km} + (E4_4_1_13 * 	
C02749 * C00001 ))</v>
      </c>
      <c r="K985" s="31" t="str">
        <f t="shared" si="86"/>
        <v>r984: 	
C02749 + C00001  -&gt;  C00812 + C00014 + C00022 | (${Variables: E4_4_1_13_Kcat } * E4_4_1_13 * 	
C02749 * C00001 ) /(${Variables:E4_4_1_13_Km} + (E4_4_1_13 * 	
C02749 * C00001 ))</v>
      </c>
    </row>
    <row r="986" spans="1:11" ht="58" x14ac:dyDescent="0.35">
      <c r="A986" s="31" t="s">
        <v>6364</v>
      </c>
      <c r="B986" s="31" t="s">
        <v>6365</v>
      </c>
      <c r="C986" s="31" t="s">
        <v>14281</v>
      </c>
      <c r="D986" s="31">
        <v>985</v>
      </c>
      <c r="E986" s="31" t="str">
        <f t="shared" si="83"/>
        <v>E4_4_1_13</v>
      </c>
      <c r="F986" s="31" t="s">
        <v>11044</v>
      </c>
      <c r="G986" s="31" t="str">
        <f t="shared" si="84"/>
        <v xml:space="preserve">	
C02882 * C00001</v>
      </c>
      <c r="H986" s="31" t="s">
        <v>11056</v>
      </c>
      <c r="I986" s="31" t="str">
        <f t="shared" si="87"/>
        <v>C01336 * C00014 * C00022</v>
      </c>
      <c r="J986" s="31" t="str">
        <f t="shared" si="85"/>
        <v>(${Variables: E4_4_1_13_Kcat } * E4_4_1_13 * 	
C02882 * C00001) /(${Variables:E4_4_1_13_Km} + (E4_4_1_13 * 	
C02882 * C00001))</v>
      </c>
      <c r="K986" s="31" t="str">
        <f t="shared" si="86"/>
        <v>r985: 	
C02882 + C00001 -&gt; C01336 + C00014 + C00022 | (${Variables: E4_4_1_13_Kcat } * E4_4_1_13 * 	
C02882 * C00001) /(${Variables:E4_4_1_13_Km} + (E4_4_1_13 * 	
C02882 * C00001))</v>
      </c>
    </row>
    <row r="987" spans="1:11" ht="58" x14ac:dyDescent="0.35">
      <c r="A987" s="31" t="s">
        <v>6364</v>
      </c>
      <c r="B987" s="31" t="s">
        <v>6365</v>
      </c>
      <c r="C987" s="31" t="s">
        <v>14281</v>
      </c>
      <c r="D987" s="31">
        <v>986</v>
      </c>
      <c r="E987" s="31" t="str">
        <f t="shared" si="83"/>
        <v>E4_4_1_13</v>
      </c>
      <c r="F987" s="31" t="s">
        <v>11058</v>
      </c>
      <c r="G987" s="31" t="str">
        <f t="shared" si="84"/>
        <v xml:space="preserve">	
C00097 * C00001 </v>
      </c>
      <c r="H987" s="31" t="s">
        <v>11059</v>
      </c>
      <c r="I987" s="31" t="str">
        <f t="shared" si="87"/>
        <v>C00283 * C00022 * C00014</v>
      </c>
      <c r="J987" s="31" t="str">
        <f t="shared" si="85"/>
        <v>(${Variables: E4_4_1_13_Kcat } * E4_4_1_13 * 	
C00097 * C00001 ) /(${Variables:E4_4_1_13_Km} + (E4_4_1_13 * 	
C00097 * C00001 ))</v>
      </c>
      <c r="K987" s="31" t="str">
        <f t="shared" si="86"/>
        <v>r986: 	
C00097 + C00001  -&gt; C00283 + C00022 + C00014 | (${Variables: E4_4_1_13_Kcat } * E4_4_1_13 * 	
C00097 * C00001 ) /(${Variables:E4_4_1_13_Km} + (E4_4_1_13 * 	
C00097 * C00001 ))</v>
      </c>
    </row>
    <row r="988" spans="1:11" ht="58" x14ac:dyDescent="0.35">
      <c r="A988" s="31" t="s">
        <v>6364</v>
      </c>
      <c r="B988" s="31" t="s">
        <v>6365</v>
      </c>
      <c r="C988" s="31" t="s">
        <v>14281</v>
      </c>
      <c r="D988" s="31">
        <v>987</v>
      </c>
      <c r="E988" s="31" t="str">
        <f t="shared" si="83"/>
        <v>E4_4_1_13</v>
      </c>
      <c r="F988" s="31" t="s">
        <v>11061</v>
      </c>
      <c r="G988" s="31" t="str">
        <f t="shared" si="84"/>
        <v xml:space="preserve">	
C05699 * C00001</v>
      </c>
      <c r="H988" s="31" t="s">
        <v>11062</v>
      </c>
      <c r="I988" s="31" t="str">
        <f t="shared" si="87"/>
        <v>C05698 * C00014 * C00022</v>
      </c>
      <c r="J988" s="31" t="str">
        <f t="shared" si="85"/>
        <v>(${Variables: E4_4_1_13_Kcat } * E4_4_1_13 * 	
C05699 * C00001) /(${Variables:E4_4_1_13_Km} + (E4_4_1_13 * 	
C05699 * C00001))</v>
      </c>
      <c r="K988" s="31" t="str">
        <f t="shared" si="86"/>
        <v>r987: 	
C05699 + C00001 -&gt; C05698 + C00014 + C00022 | (${Variables: E4_4_1_13_Kcat } * E4_4_1_13 * 	
C05699 * C00001) /(${Variables:E4_4_1_13_Km} + (E4_4_1_13 * 	
C05699 * C00001))</v>
      </c>
    </row>
    <row r="989" spans="1:11" ht="58" x14ac:dyDescent="0.35">
      <c r="A989" s="31" t="s">
        <v>6364</v>
      </c>
      <c r="B989" s="31" t="s">
        <v>6365</v>
      </c>
      <c r="C989" s="31" t="s">
        <v>14281</v>
      </c>
      <c r="D989" s="31">
        <v>988</v>
      </c>
      <c r="E989" s="31" t="str">
        <f t="shared" si="83"/>
        <v>E4_4_1_13</v>
      </c>
      <c r="F989" s="31" t="s">
        <v>11064</v>
      </c>
      <c r="G989" s="31" t="str">
        <f t="shared" si="84"/>
        <v xml:space="preserve">	
C05689 * C00001 </v>
      </c>
      <c r="H989" s="31" t="s">
        <v>11065</v>
      </c>
      <c r="I989" s="31" t="str">
        <f t="shared" si="87"/>
        <v> C00022 * C00014 * C05703</v>
      </c>
      <c r="J989" s="31" t="str">
        <f t="shared" si="85"/>
        <v>(${Variables: E4_4_1_13_Kcat } * E4_4_1_13 * 	
C05689 * C00001 ) /(${Variables:E4_4_1_13_Km} + (E4_4_1_13 * 	
C05689 * C00001 ))</v>
      </c>
      <c r="K989" s="31" t="str">
        <f t="shared" si="86"/>
        <v>r988: 	
C05689 + C00001  -&gt;  C00022 + C00014 + C05703 | (${Variables: E4_4_1_13_Kcat } * E4_4_1_13 * 	
C05689 * C00001 ) /(${Variables:E4_4_1_13_Km} + (E4_4_1_13 * 	
C05689 * C00001 ))</v>
      </c>
    </row>
    <row r="990" spans="1:11" ht="58" x14ac:dyDescent="0.35">
      <c r="A990" s="31" t="s">
        <v>7308</v>
      </c>
      <c r="B990" s="31" t="s">
        <v>7309</v>
      </c>
      <c r="C990" s="31" t="s">
        <v>14282</v>
      </c>
      <c r="D990" s="31">
        <v>989</v>
      </c>
      <c r="E990" s="31" t="str">
        <f t="shared" si="83"/>
        <v>E4_6_1_12</v>
      </c>
      <c r="F990" s="31" t="s">
        <v>11068</v>
      </c>
      <c r="G990" s="31" t="str">
        <f t="shared" si="84"/>
        <v xml:space="preserve">	
C11436</v>
      </c>
      <c r="H990" s="31" t="s">
        <v>11069</v>
      </c>
      <c r="I990" s="31" t="str">
        <f t="shared" si="87"/>
        <v>C11453 * C00055</v>
      </c>
      <c r="J990" s="31" t="str">
        <f t="shared" si="85"/>
        <v>(${Variables: E4_6_1_12_Kcat } * E4_6_1_12 * 	
C11436) /(${Variables:E4_6_1_12_Km} + (E4_6_1_12 * 	
C11436))</v>
      </c>
      <c r="K990" s="32" t="str">
        <f t="shared" si="86"/>
        <v>r989: 	
C11436 -&gt; C11453 + C00055 | (${Variables: E4_6_1_12_Kcat } * E4_6_1_12 * 	
C11436) /(${Variables:E4_6_1_12_Km} + (E4_6_1_12 * 	
C11436))</v>
      </c>
    </row>
    <row r="991" spans="1:11" ht="58" x14ac:dyDescent="0.35">
      <c r="A991" s="31" t="s">
        <v>644</v>
      </c>
      <c r="B991" s="31" t="s">
        <v>645</v>
      </c>
      <c r="C991" s="31" t="s">
        <v>14283</v>
      </c>
      <c r="D991" s="31">
        <v>990</v>
      </c>
      <c r="E991" s="31" t="str">
        <f t="shared" si="83"/>
        <v>E4_6_1_17</v>
      </c>
      <c r="F991" s="31" t="s">
        <v>11072</v>
      </c>
      <c r="G991" s="31" t="str">
        <f t="shared" si="84"/>
        <v xml:space="preserve">	
C21310 * C00001 </v>
      </c>
      <c r="H991" s="31" t="s">
        <v>11073</v>
      </c>
      <c r="I991" s="31" t="str">
        <f t="shared" si="87"/>
        <v>C18239 * C00013</v>
      </c>
      <c r="J991" s="31" t="str">
        <f t="shared" si="85"/>
        <v>(${Variables: E4_6_1_17_Kcat } * E4_6_1_17 * 	
C21310 * C00001 ) /(${Variables:E4_6_1_17_Km} + (E4_6_1_17 * 	
C21310 * C00001 ))</v>
      </c>
      <c r="K991" s="31" t="str">
        <f t="shared" si="86"/>
        <v>r990: 	
C21310 + C00001  -&gt; C18239 + C00013 | (${Variables: E4_6_1_17_Kcat } * E4_6_1_17 * 	
C21310 * C00001 ) /(${Variables:E4_6_1_17_Km} + (E4_6_1_17 * 	
C21310 * C00001 ))</v>
      </c>
    </row>
    <row r="992" spans="1:11" ht="58" x14ac:dyDescent="0.35">
      <c r="A992" s="31" t="s">
        <v>4330</v>
      </c>
      <c r="B992" s="31" t="s">
        <v>4331</v>
      </c>
      <c r="C992" s="31" t="s">
        <v>14284</v>
      </c>
      <c r="D992" s="31">
        <v>991</v>
      </c>
      <c r="E992" s="31" t="str">
        <f t="shared" si="83"/>
        <v>E4_98_1_1</v>
      </c>
      <c r="F992" s="31" t="s">
        <v>11076</v>
      </c>
      <c r="G992" s="31" t="str">
        <f t="shared" si="84"/>
        <v xml:space="preserve">	
C02191 * C14818 </v>
      </c>
      <c r="H992" s="31" t="s">
        <v>14480</v>
      </c>
      <c r="I992" s="31" t="str">
        <f t="shared" si="87"/>
        <v> C00032 * C00080</v>
      </c>
      <c r="J992" s="31" t="str">
        <f t="shared" si="85"/>
        <v>(${Variables: E4_98_1_1_Kcat } * E4_98_1_1 * 	
C02191 * C14818 ) /(${Variables:E4_98_1_1_Km} + (E4_98_1_1 * 	
C02191 * C14818 ))</v>
      </c>
      <c r="K992" s="32" t="str">
        <f t="shared" si="86"/>
        <v>r991: 	
C02191 + C14818  -&gt;  C00032 + C00080 | (${Variables: E4_98_1_1_Kcat } * E4_98_1_1 * 	
C02191 * C14818 ) /(${Variables:E4_98_1_1_Km} + (E4_98_1_1 * 	
C02191 * C14818 ))</v>
      </c>
    </row>
    <row r="993" spans="1:11" ht="58" x14ac:dyDescent="0.35">
      <c r="A993" s="31" t="s">
        <v>6792</v>
      </c>
      <c r="B993" s="31" t="s">
        <v>6793</v>
      </c>
      <c r="C993" s="31" t="s">
        <v>14285</v>
      </c>
      <c r="D993" s="31">
        <v>992</v>
      </c>
      <c r="E993" s="31" t="str">
        <f t="shared" si="83"/>
        <v>E4_99_1_12</v>
      </c>
      <c r="F993" s="31" t="s">
        <v>11080</v>
      </c>
      <c r="G993" s="31" t="str">
        <f t="shared" si="84"/>
        <v xml:space="preserve">	
C21769</v>
      </c>
      <c r="H993" s="31" t="s">
        <v>11081</v>
      </c>
      <c r="I993" s="31" t="str">
        <f t="shared" si="87"/>
        <v> C21767 * C19609</v>
      </c>
      <c r="J993" s="31" t="str">
        <f t="shared" si="85"/>
        <v>(${Variables: E4_99_1_12_Kcat } * E4_99_1_12 * 	
C21769) /(${Variables:E4_99_1_12_Km} + (E4_99_1_12 * 	
C21769))</v>
      </c>
      <c r="K993" s="31" t="str">
        <f t="shared" si="86"/>
        <v>r992: 	
C21769 -&gt;  C21767 + C19609 | (${Variables: E4_99_1_12_Kcat } * E4_99_1_12 * 	
C21769) /(${Variables:E4_99_1_12_Km} + (E4_99_1_12 * 	
C21769))</v>
      </c>
    </row>
    <row r="994" spans="1:11" ht="58" x14ac:dyDescent="0.35">
      <c r="A994" s="31" t="s">
        <v>1722</v>
      </c>
      <c r="B994" s="31" t="s">
        <v>1723</v>
      </c>
      <c r="C994" s="31" t="s">
        <v>14286</v>
      </c>
      <c r="D994" s="31">
        <v>993</v>
      </c>
      <c r="E994" s="31" t="str">
        <f t="shared" si="83"/>
        <v>E5_1_1_1</v>
      </c>
      <c r="F994" s="31" t="s">
        <v>11084</v>
      </c>
      <c r="G994" s="31" t="str">
        <f t="shared" si="84"/>
        <v xml:space="preserve">	
C00041</v>
      </c>
      <c r="H994" s="31" t="s">
        <v>11085</v>
      </c>
      <c r="I994" s="31" t="str">
        <f t="shared" si="87"/>
        <v>C00133</v>
      </c>
      <c r="J994" s="31" t="str">
        <f t="shared" si="85"/>
        <v>(${Variables: E5_1_1_1_Kcat } * E5_1_1_1 * 	
C00041) /(${Variables:E5_1_1_1_Km} + (E5_1_1_1 * 	
C00041))</v>
      </c>
      <c r="K994" s="32" t="str">
        <f t="shared" si="86"/>
        <v>r993: 	
C00041 -&gt; C00133 | (${Variables: E5_1_1_1_Kcat } * E5_1_1_1 * 	
C00041) /(${Variables:E5_1_1_1_Km} + (E5_1_1_1 * 	
C00041))</v>
      </c>
    </row>
    <row r="995" spans="1:11" ht="58" x14ac:dyDescent="0.35">
      <c r="A995" s="31" t="s">
        <v>6893</v>
      </c>
      <c r="B995" s="31" t="s">
        <v>6894</v>
      </c>
      <c r="C995" s="31" t="s">
        <v>14287</v>
      </c>
      <c r="D995" s="31">
        <v>994</v>
      </c>
      <c r="E995" s="31" t="str">
        <f t="shared" si="83"/>
        <v>E5_1_1_3</v>
      </c>
      <c r="F995" s="31" t="s">
        <v>11088</v>
      </c>
      <c r="G995" s="31" t="str">
        <f t="shared" si="84"/>
        <v xml:space="preserve">	
C00025 </v>
      </c>
      <c r="H995" s="31" t="s">
        <v>11089</v>
      </c>
      <c r="I995" s="31" t="str">
        <f t="shared" si="87"/>
        <v>C00217</v>
      </c>
      <c r="J995" s="31" t="str">
        <f t="shared" si="85"/>
        <v>(${Variables: E5_1_1_3_Kcat } * E5_1_1_3 * 	
C00025 ) /(${Variables:E5_1_1_3_Km} + (E5_1_1_3 * 	
C00025 ))</v>
      </c>
      <c r="K995" s="32" t="str">
        <f t="shared" si="86"/>
        <v>r994: 	
C00025  -&gt; C00217 | (${Variables: E5_1_1_3_Kcat } * E5_1_1_3 * 	
C00025 ) /(${Variables:E5_1_1_3_Km} + (E5_1_1_3 * 	
C00025 ))</v>
      </c>
    </row>
    <row r="996" spans="1:11" ht="58" x14ac:dyDescent="0.35">
      <c r="A996" s="31" t="s">
        <v>5344</v>
      </c>
      <c r="B996" s="31" t="s">
        <v>5345</v>
      </c>
      <c r="C996" s="31" t="s">
        <v>14288</v>
      </c>
      <c r="D996" s="31">
        <v>995</v>
      </c>
      <c r="E996" s="31" t="str">
        <f t="shared" si="83"/>
        <v>E5_1_1_7</v>
      </c>
      <c r="F996" s="31" t="s">
        <v>11092</v>
      </c>
      <c r="G996" s="31" t="str">
        <f t="shared" si="84"/>
        <v xml:space="preserve">	
C00666</v>
      </c>
      <c r="H996" s="31" t="s">
        <v>11093</v>
      </c>
      <c r="I996" s="31" t="str">
        <f t="shared" si="87"/>
        <v> C00680</v>
      </c>
      <c r="J996" s="31" t="str">
        <f t="shared" si="85"/>
        <v>(${Variables: E5_1_1_7_Kcat } * E5_1_1_7 * 	
C00666) /(${Variables:E5_1_1_7_Km} + (E5_1_1_7 * 	
C00666))</v>
      </c>
      <c r="K996" s="31" t="str">
        <f t="shared" si="86"/>
        <v>r995: 	
C00666 -&gt;  C00680 | (${Variables: E5_1_1_7_Kcat } * E5_1_1_7 * 	
C00666) /(${Variables:E5_1_1_7_Km} + (E5_1_1_7 * 	
C00666))</v>
      </c>
    </row>
    <row r="997" spans="1:11" ht="58" x14ac:dyDescent="0.35">
      <c r="A997" s="31" t="s">
        <v>4514</v>
      </c>
      <c r="B997" s="31" t="s">
        <v>4515</v>
      </c>
      <c r="C997" s="31" t="s">
        <v>14289</v>
      </c>
      <c r="D997" s="31">
        <v>996</v>
      </c>
      <c r="E997" s="31" t="str">
        <f t="shared" si="83"/>
        <v>E5_1_3_1</v>
      </c>
      <c r="F997" s="31" t="s">
        <v>10646</v>
      </c>
      <c r="G997" s="31" t="str">
        <f t="shared" si="84"/>
        <v xml:space="preserve">	
C00199</v>
      </c>
      <c r="H997" s="31" t="s">
        <v>11096</v>
      </c>
      <c r="I997" s="31" t="str">
        <f t="shared" si="87"/>
        <v> C00231</v>
      </c>
      <c r="J997" s="31" t="str">
        <f t="shared" si="85"/>
        <v>(${Variables: E5_1_3_1_Kcat } * E5_1_3_1 * 	
C00199) /(${Variables:E5_1_3_1_Km} + (E5_1_3_1 * 	
C00199))</v>
      </c>
      <c r="K997" s="32" t="str">
        <f t="shared" si="86"/>
        <v>r996: 	
C00199 -&gt;  C00231 | (${Variables: E5_1_3_1_Kcat } * E5_1_3_1 * 	
C00199) /(${Variables:E5_1_3_1_Km} + (E5_1_3_1 * 	
C00199))</v>
      </c>
    </row>
    <row r="998" spans="1:11" x14ac:dyDescent="0.35">
      <c r="A998" s="31" t="s">
        <v>6413</v>
      </c>
      <c r="B998" s="31" t="s">
        <v>6414</v>
      </c>
      <c r="C998" s="31" t="s">
        <v>14290</v>
      </c>
      <c r="D998" s="31">
        <v>997</v>
      </c>
      <c r="E998" s="31" t="str">
        <f t="shared" si="83"/>
        <v>E5_1_3_15</v>
      </c>
      <c r="F998" s="31" t="s">
        <v>11099</v>
      </c>
      <c r="G998" s="31" t="str">
        <f t="shared" si="84"/>
        <v>C00668 </v>
      </c>
      <c r="H998" s="31" t="s">
        <v>11100</v>
      </c>
      <c r="I998" s="31" t="str">
        <f t="shared" si="87"/>
        <v> C01172</v>
      </c>
      <c r="J998" s="31" t="str">
        <f t="shared" si="85"/>
        <v>(${Variables: E5_1_3_15_Kcat } * E5_1_3_15 * C00668 ) /(${Variables:E5_1_3_15_Km} + (E5_1_3_15 * C00668 ))</v>
      </c>
      <c r="K998" s="31" t="str">
        <f t="shared" si="86"/>
        <v>r997: C00668  -&gt;  C01172 | (${Variables: E5_1_3_15_Kcat } * E5_1_3_15 * C00668 ) /(${Variables:E5_1_3_15_Km} + (E5_1_3_15 * C00668 ))</v>
      </c>
    </row>
    <row r="999" spans="1:11" ht="58" x14ac:dyDescent="0.35">
      <c r="A999" s="31" t="s">
        <v>5279</v>
      </c>
      <c r="B999" s="31" t="s">
        <v>5280</v>
      </c>
      <c r="C999" s="31" t="s">
        <v>14291</v>
      </c>
      <c r="D999" s="31">
        <v>998</v>
      </c>
      <c r="E999" s="31" t="str">
        <f t="shared" si="83"/>
        <v>E5_1_3_2</v>
      </c>
      <c r="F999" s="31" t="s">
        <v>11103</v>
      </c>
      <c r="G999" s="31" t="str">
        <f t="shared" si="84"/>
        <v xml:space="preserve">	
C00029 </v>
      </c>
      <c r="H999" s="31" t="s">
        <v>11104</v>
      </c>
      <c r="I999" s="31" t="str">
        <f t="shared" si="87"/>
        <v> C00052</v>
      </c>
      <c r="J999" s="31" t="str">
        <f t="shared" si="85"/>
        <v>(${Variables: E5_1_3_2_Kcat } * E5_1_3_2 * 	
C00029 ) /(${Variables:E5_1_3_2_Km} + (E5_1_3_2 * 	
C00029 ))</v>
      </c>
      <c r="K999" s="32" t="str">
        <f t="shared" si="86"/>
        <v>r998: 	
C00029  -&gt;  C00052 | (${Variables: E5_1_3_2_Kcat } * E5_1_3_2 * 	
C00029 ) /(${Variables:E5_1_3_2_Km} + (E5_1_3_2 * 	
C00029 ))</v>
      </c>
    </row>
    <row r="1000" spans="1:11" ht="58" x14ac:dyDescent="0.35">
      <c r="A1000" s="31" t="s">
        <v>5279</v>
      </c>
      <c r="B1000" s="31" t="s">
        <v>5280</v>
      </c>
      <c r="C1000" s="31" t="s">
        <v>14291</v>
      </c>
      <c r="D1000" s="31">
        <v>999</v>
      </c>
      <c r="E1000" s="31" t="str">
        <f t="shared" si="83"/>
        <v>E5_1_3_2</v>
      </c>
      <c r="F1000" s="31" t="s">
        <v>11106</v>
      </c>
      <c r="G1000" s="31" t="str">
        <f t="shared" si="84"/>
        <v xml:space="preserve">	
C00043 </v>
      </c>
      <c r="H1000" s="31" t="s">
        <v>11107</v>
      </c>
      <c r="I1000" s="31" t="str">
        <f t="shared" si="87"/>
        <v> C00203</v>
      </c>
      <c r="J1000" s="31" t="str">
        <f t="shared" si="85"/>
        <v>(${Variables: E5_1_3_2_Kcat } * E5_1_3_2 * 	
C00043 ) /(${Variables:E5_1_3_2_Km} + (E5_1_3_2 * 	
C00043 ))</v>
      </c>
      <c r="K1000" s="32" t="str">
        <f t="shared" si="86"/>
        <v>r999: 	
C00043  -&gt;  C00203 | (${Variables: E5_1_3_2_Kcat } * E5_1_3_2 * 	
C00043 ) /(${Variables:E5_1_3_2_Km} + (E5_1_3_2 * 	
C00043 ))</v>
      </c>
    </row>
    <row r="1001" spans="1:11" ht="58" x14ac:dyDescent="0.35">
      <c r="A1001" s="31" t="s">
        <v>5279</v>
      </c>
      <c r="B1001" s="31" t="s">
        <v>5280</v>
      </c>
      <c r="C1001" s="31" t="s">
        <v>14291</v>
      </c>
      <c r="D1001" s="31">
        <v>1000</v>
      </c>
      <c r="E1001" s="31" t="str">
        <f t="shared" si="83"/>
        <v>E5_1_3_2</v>
      </c>
      <c r="F1001" s="31" t="s">
        <v>10942</v>
      </c>
      <c r="G1001" s="31" t="str">
        <f t="shared" si="84"/>
        <v xml:space="preserve">	
C00842</v>
      </c>
      <c r="H1001" s="31" t="s">
        <v>11109</v>
      </c>
      <c r="I1001" s="31" t="str">
        <f t="shared" si="87"/>
        <v> C02097</v>
      </c>
      <c r="J1001" s="31" t="str">
        <f t="shared" si="85"/>
        <v>(${Variables: E5_1_3_2_Kcat } * E5_1_3_2 * 	
C00842) /(${Variables:E5_1_3_2_Km} + (E5_1_3_2 * 	
C00842))</v>
      </c>
      <c r="K1001" s="32" t="str">
        <f t="shared" si="86"/>
        <v>r1000: 	
C00842 -&gt;  C02097 | (${Variables: E5_1_3_2_Kcat } * E5_1_3_2 * 	
C00842) /(${Variables:E5_1_3_2_Km} + (E5_1_3_2 * 	
C00842))</v>
      </c>
    </row>
    <row r="1002" spans="1:11" ht="58" x14ac:dyDescent="0.35">
      <c r="A1002" s="31" t="s">
        <v>7285</v>
      </c>
      <c r="B1002" s="31" t="s">
        <v>7286</v>
      </c>
      <c r="C1002" s="31" t="s">
        <v>14292</v>
      </c>
      <c r="D1002" s="31">
        <v>1001</v>
      </c>
      <c r="E1002" s="31" t="str">
        <f t="shared" si="83"/>
        <v>E5_1_3_9</v>
      </c>
      <c r="F1002" s="31" t="s">
        <v>11112</v>
      </c>
      <c r="G1002" s="31" t="str">
        <f t="shared" si="84"/>
        <v xml:space="preserve">	
C00686</v>
      </c>
      <c r="H1002" s="31" t="s">
        <v>11113</v>
      </c>
      <c r="I1002" s="31" t="str">
        <f t="shared" si="87"/>
        <v> C04136</v>
      </c>
      <c r="J1002" s="31" t="str">
        <f t="shared" si="85"/>
        <v>(${Variables: E5_1_3_9_Kcat } * E5_1_3_9 * 	
C00686) /(${Variables:E5_1_3_9_Km} + (E5_1_3_9 * 	
C00686))</v>
      </c>
      <c r="K1002" s="31" t="str">
        <f t="shared" si="86"/>
        <v>r1001: 	
C00686 -&gt;  C04136 | (${Variables: E5_1_3_9_Kcat } * E5_1_3_9 * 	
C00686) /(${Variables:E5_1_3_9_Km} + (E5_1_3_9 * 	
C00686))</v>
      </c>
    </row>
    <row r="1003" spans="1:11" ht="58" x14ac:dyDescent="0.35">
      <c r="A1003" s="31" t="s">
        <v>7285</v>
      </c>
      <c r="B1003" s="31" t="s">
        <v>7286</v>
      </c>
      <c r="C1003" s="31" t="s">
        <v>14292</v>
      </c>
      <c r="D1003" s="31">
        <v>1002</v>
      </c>
      <c r="E1003" s="31" t="str">
        <f t="shared" si="83"/>
        <v>E5_1_3_9</v>
      </c>
      <c r="F1003" s="31" t="s">
        <v>11115</v>
      </c>
      <c r="G1003" s="31" t="str">
        <f t="shared" si="84"/>
        <v xml:space="preserve">	
C00357 </v>
      </c>
      <c r="H1003" s="31" t="s">
        <v>11116</v>
      </c>
      <c r="I1003" s="31" t="str">
        <f t="shared" si="87"/>
        <v> C04257</v>
      </c>
      <c r="J1003" s="31" t="str">
        <f t="shared" si="85"/>
        <v>(${Variables: E5_1_3_9_Kcat } * E5_1_3_9 * 	
C00357 ) /(${Variables:E5_1_3_9_Km} + (E5_1_3_9 * 	
C00357 ))</v>
      </c>
      <c r="K1003" s="31" t="str">
        <f t="shared" si="86"/>
        <v>r1002: 	
C00357  -&gt;  C04257 | (${Variables: E5_1_3_9_Kcat } * E5_1_3_9 * 	
C00357 ) /(${Variables:E5_1_3_9_Km} + (E5_1_3_9 * 	
C00357 ))</v>
      </c>
    </row>
    <row r="1004" spans="1:11" ht="58" x14ac:dyDescent="0.35">
      <c r="A1004" s="31" t="s">
        <v>3470</v>
      </c>
      <c r="B1004" s="31" t="s">
        <v>3471</v>
      </c>
      <c r="C1004" s="31" t="s">
        <v>14293</v>
      </c>
      <c r="D1004" s="31">
        <v>1003</v>
      </c>
      <c r="E1004" s="31" t="str">
        <f t="shared" si="83"/>
        <v>E5_1_99_1</v>
      </c>
      <c r="F1004" s="31" t="s">
        <v>11119</v>
      </c>
      <c r="G1004" s="31" t="str">
        <f t="shared" si="84"/>
        <v xml:space="preserve">	
C01213</v>
      </c>
      <c r="H1004" s="31" t="s">
        <v>11120</v>
      </c>
      <c r="I1004" s="31" t="str">
        <f t="shared" si="87"/>
        <v> C00683</v>
      </c>
      <c r="J1004" s="31" t="str">
        <f t="shared" si="85"/>
        <v>(${Variables: E5_1_99_1_Kcat } * E5_1_99_1 * 	
C01213) /(${Variables:E5_1_99_1_Km} + (E5_1_99_1 * 	
C01213))</v>
      </c>
      <c r="K1004" s="31" t="str">
        <f t="shared" si="86"/>
        <v>r1003: 	
C01213 -&gt;  C00683 | (${Variables: E5_1_99_1_Kcat } * E5_1_99_1 * 	
C01213) /(${Variables:E5_1_99_1_Km} + (E5_1_99_1 * 	
C01213))</v>
      </c>
    </row>
    <row r="1005" spans="1:11" ht="58" x14ac:dyDescent="0.35">
      <c r="A1005" s="31" t="s">
        <v>3470</v>
      </c>
      <c r="B1005" s="31" t="s">
        <v>3471</v>
      </c>
      <c r="C1005" s="31" t="s">
        <v>14293</v>
      </c>
      <c r="D1005" s="31">
        <v>1004</v>
      </c>
      <c r="E1005" s="31" t="str">
        <f t="shared" si="83"/>
        <v>E5_1_99_1</v>
      </c>
      <c r="F1005" s="31" t="s">
        <v>11122</v>
      </c>
      <c r="G1005" s="31" t="str">
        <f t="shared" si="84"/>
        <v xml:space="preserve">	
C18026</v>
      </c>
      <c r="H1005" s="31" t="s">
        <v>11123</v>
      </c>
      <c r="I1005" s="31" t="str">
        <f t="shared" si="87"/>
        <v xml:space="preserve"> C20238</v>
      </c>
      <c r="J1005" s="31" t="str">
        <f t="shared" si="85"/>
        <v>(${Variables: E5_1_99_1_Kcat } * E5_1_99_1 * 	
C18026) /(${Variables:E5_1_99_1_Km} + (E5_1_99_1 * 	
C18026))</v>
      </c>
      <c r="K1005" s="31" t="str">
        <f t="shared" si="86"/>
        <v>r1004: 	
C18026 -&gt;  C20238 | (${Variables: E5_1_99_1_Kcat } * E5_1_99_1 * 	
C18026) /(${Variables:E5_1_99_1_Km} + (E5_1_99_1 * 	
C18026))</v>
      </c>
    </row>
    <row r="1006" spans="1:11" ht="58" x14ac:dyDescent="0.35">
      <c r="A1006" s="31" t="s">
        <v>8211</v>
      </c>
      <c r="B1006" s="31" t="s">
        <v>8212</v>
      </c>
      <c r="C1006" s="31" t="s">
        <v>14294</v>
      </c>
      <c r="D1006" s="31">
        <v>1005</v>
      </c>
      <c r="E1006" s="31" t="str">
        <f t="shared" si="83"/>
        <v>E5_2_1_4</v>
      </c>
      <c r="F1006" s="31" t="s">
        <v>11126</v>
      </c>
      <c r="G1006" s="31" t="str">
        <f t="shared" si="84"/>
        <v xml:space="preserve">	
C02167 </v>
      </c>
      <c r="H1006" s="31" t="s">
        <v>11127</v>
      </c>
      <c r="I1006" s="31" t="str">
        <f t="shared" si="87"/>
        <v>C02514</v>
      </c>
      <c r="J1006" s="31" t="str">
        <f t="shared" si="85"/>
        <v>(${Variables: E5_2_1_4_Kcat } * E5_2_1_4 * 	
C02167 ) /(${Variables:E5_2_1_4_Km} + (E5_2_1_4 * 	
C02167 ))</v>
      </c>
      <c r="K1006" s="31" t="str">
        <f t="shared" si="86"/>
        <v>r1005: 	
C02167  -&gt; C02514 | (${Variables: E5_2_1_4_Kcat } * E5_2_1_4 * 	
C02167 ) /(${Variables:E5_2_1_4_Km} + (E5_2_1_4 * 	
C02167 ))</v>
      </c>
    </row>
    <row r="1007" spans="1:11" ht="58" x14ac:dyDescent="0.35">
      <c r="A1007" s="31" t="s">
        <v>133</v>
      </c>
      <c r="B1007" s="31" t="s">
        <v>134</v>
      </c>
      <c r="C1007" s="31" t="s">
        <v>14295</v>
      </c>
      <c r="D1007" s="31">
        <v>1006</v>
      </c>
      <c r="E1007" s="31" t="str">
        <f t="shared" si="83"/>
        <v>E5_2_1_8</v>
      </c>
      <c r="F1007" s="31" t="s">
        <v>11131</v>
      </c>
      <c r="G1007" s="31" t="str">
        <f t="shared" si="84"/>
        <v xml:space="preserve">	
C03798 </v>
      </c>
      <c r="H1007" s="31" t="s">
        <v>11132</v>
      </c>
      <c r="I1007" s="31" t="str">
        <f t="shared" si="87"/>
        <v>C03633</v>
      </c>
      <c r="J1007" s="31" t="str">
        <f t="shared" si="85"/>
        <v>(${Variables: E5_2_1_8_Kcat } * E5_2_1_8 * 	
C03798 ) /(${Variables:E5_2_1_8_Km} + (E5_2_1_8 * 	
C03798 ))</v>
      </c>
      <c r="K1007" s="32" t="str">
        <f t="shared" si="86"/>
        <v>r1006: 	
C03798  -&gt; C03633 | (${Variables: E5_2_1_8_Kcat } * E5_2_1_8 * 	
C03798 ) /(${Variables:E5_2_1_8_Km} + (E5_2_1_8 * 	
C03798 ))</v>
      </c>
    </row>
    <row r="1008" spans="1:11" x14ac:dyDescent="0.35">
      <c r="A1008" s="31" t="s">
        <v>4668</v>
      </c>
      <c r="B1008" s="31" t="s">
        <v>4669</v>
      </c>
      <c r="C1008" s="31" t="s">
        <v>14295</v>
      </c>
      <c r="D1008" s="31">
        <v>1007</v>
      </c>
      <c r="E1008" s="31" t="str">
        <f t="shared" si="83"/>
        <v>E5_2_1_8</v>
      </c>
      <c r="F1008" s="31" t="s">
        <v>11130</v>
      </c>
      <c r="G1008" s="31" t="str">
        <f t="shared" si="84"/>
        <v>C03798 </v>
      </c>
      <c r="H1008" s="31" t="s">
        <v>11132</v>
      </c>
      <c r="I1008" s="31" t="str">
        <f t="shared" si="87"/>
        <v>C03633</v>
      </c>
      <c r="J1008" s="31" t="str">
        <f t="shared" si="85"/>
        <v>(${Variables: E5_2_1_8_Kcat } * E5_2_1_8 * C03798 ) /(${Variables:E5_2_1_8_Km} + (E5_2_1_8 * C03798 ))</v>
      </c>
      <c r="K1008" s="32" t="str">
        <f t="shared" si="86"/>
        <v>r1007: C03798  -&gt; C03633 | (${Variables: E5_2_1_8_Kcat } * E5_2_1_8 * C03798 ) /(${Variables:E5_2_1_8_Km} + (E5_2_1_8 * C03798 ))</v>
      </c>
    </row>
    <row r="1009" spans="1:11" ht="58" x14ac:dyDescent="0.35">
      <c r="A1009" s="31" t="s">
        <v>6659</v>
      </c>
      <c r="B1009" s="31" t="s">
        <v>6660</v>
      </c>
      <c r="C1009" s="31" t="s">
        <v>14295</v>
      </c>
      <c r="D1009" s="31">
        <v>1008</v>
      </c>
      <c r="E1009" s="31" t="str">
        <f t="shared" si="83"/>
        <v>E5_2_1_8</v>
      </c>
      <c r="F1009" s="31" t="s">
        <v>11131</v>
      </c>
      <c r="G1009" s="31" t="str">
        <f t="shared" si="84"/>
        <v xml:space="preserve">	
C03798 </v>
      </c>
      <c r="H1009" s="31" t="s">
        <v>11132</v>
      </c>
      <c r="I1009" s="31" t="str">
        <f t="shared" si="87"/>
        <v>C03633</v>
      </c>
      <c r="J1009" s="31" t="str">
        <f t="shared" si="85"/>
        <v>(${Variables: E5_2_1_8_Kcat } * E5_2_1_8 * 	
C03798 ) /(${Variables:E5_2_1_8_Km} + (E5_2_1_8 * 	
C03798 ))</v>
      </c>
      <c r="K1009" s="32" t="str">
        <f t="shared" si="86"/>
        <v>r1008: 	
C03798  -&gt; C03633 | (${Variables: E5_2_1_8_Kcat } * E5_2_1_8 * 	
C03798 ) /(${Variables:E5_2_1_8_Km} + (E5_2_1_8 * 	
C03798 ))</v>
      </c>
    </row>
    <row r="1010" spans="1:11" x14ac:dyDescent="0.35">
      <c r="A1010" s="31" t="s">
        <v>4470</v>
      </c>
      <c r="B1010" s="31" t="s">
        <v>4471</v>
      </c>
      <c r="C1010" s="31" t="s">
        <v>14296</v>
      </c>
      <c r="D1010" s="31">
        <v>1009</v>
      </c>
      <c r="E1010" s="31" t="str">
        <f t="shared" si="83"/>
        <v>E5_3_1_1</v>
      </c>
      <c r="F1010" s="31" t="s">
        <v>11135</v>
      </c>
      <c r="G1010" s="31" t="str">
        <f t="shared" si="84"/>
        <v>C00118</v>
      </c>
      <c r="H1010" s="31" t="s">
        <v>11136</v>
      </c>
      <c r="I1010" s="31" t="str">
        <f t="shared" si="87"/>
        <v> C00111</v>
      </c>
      <c r="J1010" s="31" t="str">
        <f t="shared" si="85"/>
        <v>(${Variables: E5_3_1_1_Kcat } * E5_3_1_1 * C00118) /(${Variables:E5_3_1_1_Km} + (E5_3_1_1 * C00118))</v>
      </c>
      <c r="K1010" s="32" t="str">
        <f t="shared" si="86"/>
        <v>r1009: C00118 -&gt;  C00111 | (${Variables: E5_3_1_1_Kcat } * E5_3_1_1 * C00118) /(${Variables:E5_3_1_1_Km} + (E5_3_1_1 * C00118))</v>
      </c>
    </row>
    <row r="1011" spans="1:11" ht="58" x14ac:dyDescent="0.35">
      <c r="A1011" s="31" t="s">
        <v>6831</v>
      </c>
      <c r="B1011" s="31" t="s">
        <v>6832</v>
      </c>
      <c r="C1011" s="31" t="s">
        <v>14297</v>
      </c>
      <c r="D1011" s="31">
        <v>1010</v>
      </c>
      <c r="E1011" s="31" t="str">
        <f t="shared" si="83"/>
        <v>E5_3_1_12</v>
      </c>
      <c r="F1011" s="31" t="s">
        <v>11139</v>
      </c>
      <c r="G1011" s="31" t="str">
        <f t="shared" si="84"/>
        <v xml:space="preserve">	
C00191 </v>
      </c>
      <c r="H1011" s="31" t="s">
        <v>11140</v>
      </c>
      <c r="I1011" s="31" t="str">
        <f t="shared" si="87"/>
        <v> C00905</v>
      </c>
      <c r="J1011" s="31" t="str">
        <f t="shared" si="85"/>
        <v>(${Variables: E5_3_1_12_Kcat } * E5_3_1_12 * 	
C00191 ) /(${Variables:E5_3_1_12_Km} + (E5_3_1_12 * 	
C00191 ))</v>
      </c>
      <c r="K1011" s="31" t="str">
        <f t="shared" si="86"/>
        <v>r1010: 	
C00191  -&gt;  C00905 | (${Variables: E5_3_1_12_Kcat } * E5_3_1_12 * 	
C00191 ) /(${Variables:E5_3_1_12_Km} + (E5_3_1_12 * 	
C00191 ))</v>
      </c>
    </row>
    <row r="1012" spans="1:11" ht="58" x14ac:dyDescent="0.35">
      <c r="A1012" s="31" t="s">
        <v>6831</v>
      </c>
      <c r="B1012" s="31" t="s">
        <v>6832</v>
      </c>
      <c r="C1012" s="31" t="s">
        <v>14297</v>
      </c>
      <c r="D1012" s="31">
        <v>1011</v>
      </c>
      <c r="E1012" s="31" t="str">
        <f t="shared" si="83"/>
        <v>E5_3_1_12</v>
      </c>
      <c r="F1012" s="31" t="s">
        <v>11142</v>
      </c>
      <c r="G1012" s="31" t="str">
        <f t="shared" si="84"/>
        <v xml:space="preserve">	
C00333</v>
      </c>
      <c r="H1012" s="31" t="s">
        <v>11143</v>
      </c>
      <c r="I1012" s="31" t="str">
        <f t="shared" si="87"/>
        <v> C00558</v>
      </c>
      <c r="J1012" s="31" t="str">
        <f t="shared" si="85"/>
        <v>(${Variables: E5_3_1_12_Kcat } * E5_3_1_12 * 	
C00333) /(${Variables:E5_3_1_12_Km} + (E5_3_1_12 * 	
C00333))</v>
      </c>
      <c r="K1012" s="31" t="str">
        <f t="shared" si="86"/>
        <v>r1011: 	
C00333 -&gt;  C00558 | (${Variables: E5_3_1_12_Kcat } * E5_3_1_12 * 	
C00333) /(${Variables:E5_3_1_12_Km} + (E5_3_1_12 * 	
C00333))</v>
      </c>
    </row>
    <row r="1013" spans="1:11" ht="29" x14ac:dyDescent="0.35">
      <c r="A1013" s="31" t="s">
        <v>5780</v>
      </c>
      <c r="B1013" s="31" t="s">
        <v>5781</v>
      </c>
      <c r="C1013" s="31" t="s">
        <v>14298</v>
      </c>
      <c r="D1013" s="31">
        <v>1012</v>
      </c>
      <c r="E1013" s="31" t="str">
        <f t="shared" si="83"/>
        <v xml:space="preserve">E5_3_1_16 </v>
      </c>
      <c r="F1013" s="31" t="s">
        <v>10638</v>
      </c>
      <c r="G1013" s="31" t="str">
        <f t="shared" si="84"/>
        <v>C04896</v>
      </c>
      <c r="H1013" s="31" t="s">
        <v>11147</v>
      </c>
      <c r="I1013" s="31" t="str">
        <f t="shared" si="87"/>
        <v>C04916</v>
      </c>
      <c r="J1013" s="31" t="str">
        <f t="shared" si="85"/>
        <v>(${Variables: E5_3_1_16 _Kcat } * E5_3_1_16  * C04896) /(${Variables:E5_3_1_16 _Km} + (E5_3_1_16  * C04896))</v>
      </c>
      <c r="K1013" s="32" t="str">
        <f t="shared" si="86"/>
        <v>r1012: C04896 -&gt; C04916 | (${Variables: E5_3_1_16 _Kcat } * E5_3_1_16  * C04896) /(${Variables:E5_3_1_16 _Km} + (E5_3_1_16  * C04896))</v>
      </c>
    </row>
    <row r="1014" spans="1:11" ht="58" x14ac:dyDescent="0.35">
      <c r="A1014" s="31" t="s">
        <v>5780</v>
      </c>
      <c r="B1014" s="31" t="s">
        <v>5781</v>
      </c>
      <c r="C1014" s="31" t="s">
        <v>14243</v>
      </c>
      <c r="D1014" s="31">
        <v>1013</v>
      </c>
      <c r="E1014" s="31" t="str">
        <f t="shared" si="83"/>
        <v>E5_3_1_24</v>
      </c>
      <c r="F1014" s="31" t="s">
        <v>10814</v>
      </c>
      <c r="G1014" s="31" t="str">
        <f t="shared" si="84"/>
        <v xml:space="preserve">	
C04302</v>
      </c>
      <c r="H1014" s="31" t="s">
        <v>11148</v>
      </c>
      <c r="I1014" s="31" t="str">
        <f t="shared" si="87"/>
        <v> C01302</v>
      </c>
      <c r="J1014" s="31" t="str">
        <f t="shared" si="85"/>
        <v>(${Variables: E5_3_1_24_Kcat } * E5_3_1_24 * 	
C04302) /(${Variables:E5_3_1_24_Km} + (E5_3_1_24 * 	
C04302))</v>
      </c>
      <c r="K1014" s="32" t="str">
        <f t="shared" si="86"/>
        <v>r1013: 	
C04302 -&gt;  C01302 | (${Variables: E5_3_1_24_Kcat } * E5_3_1_24 * 	
C04302) /(${Variables:E5_3_1_24_Km} + (E5_3_1_24 * 	
C04302))</v>
      </c>
    </row>
    <row r="1015" spans="1:11" ht="58" x14ac:dyDescent="0.35">
      <c r="A1015" s="31" t="s">
        <v>508</v>
      </c>
      <c r="B1015" s="31" t="s">
        <v>509</v>
      </c>
      <c r="C1015" s="31" t="s">
        <v>14299</v>
      </c>
      <c r="D1015" s="31">
        <v>1014</v>
      </c>
      <c r="E1015" s="31" t="str">
        <f t="shared" si="83"/>
        <v>E5_3_1_30</v>
      </c>
      <c r="F1015" s="31" t="s">
        <v>11151</v>
      </c>
      <c r="G1015" s="31" t="str">
        <f t="shared" si="84"/>
        <v xml:space="preserve">	
C16737</v>
      </c>
      <c r="H1015" s="31" t="s">
        <v>11152</v>
      </c>
      <c r="I1015" s="31" t="str">
        <f t="shared" si="87"/>
        <v xml:space="preserve"> C06892</v>
      </c>
      <c r="J1015" s="31" t="str">
        <f t="shared" si="85"/>
        <v>(${Variables: E5_3_1_30_Kcat } * E5_3_1_30 * 	
C16737) /(${Variables:E5_3_1_30_Km} + (E5_3_1_30 * 	
C16737))</v>
      </c>
      <c r="K1015" s="31" t="str">
        <f t="shared" si="86"/>
        <v>r1014: 	
C16737 -&gt;  C06892 | (${Variables: E5_3_1_30_Kcat } * E5_3_1_30 * 	
C16737) /(${Variables:E5_3_1_30_Km} + (E5_3_1_30 * 	
C16737))</v>
      </c>
    </row>
    <row r="1016" spans="1:11" ht="58" x14ac:dyDescent="0.35">
      <c r="A1016" s="31" t="s">
        <v>6675</v>
      </c>
      <c r="B1016" s="31" t="s">
        <v>6676</v>
      </c>
      <c r="C1016" s="31" t="s">
        <v>14300</v>
      </c>
      <c r="D1016" s="31">
        <v>1015</v>
      </c>
      <c r="E1016" s="31" t="str">
        <f t="shared" si="83"/>
        <v>E5_3_1_6</v>
      </c>
      <c r="F1016" s="31" t="s">
        <v>11155</v>
      </c>
      <c r="G1016" s="31" t="str">
        <f t="shared" si="84"/>
        <v xml:space="preserve">	
C00117 </v>
      </c>
      <c r="H1016" s="31" t="s">
        <v>11156</v>
      </c>
      <c r="I1016" s="31" t="str">
        <f t="shared" si="87"/>
        <v>C00199</v>
      </c>
      <c r="J1016" s="31" t="str">
        <f t="shared" si="85"/>
        <v>(${Variables: E5_3_1_6_Kcat } * E5_3_1_6 * 	
C00117 ) /(${Variables:E5_3_1_6_Km} + (E5_3_1_6 * 	
C00117 ))</v>
      </c>
      <c r="K1016" s="32" t="str">
        <f t="shared" si="86"/>
        <v>r1015: 	
C00117  -&gt; C00199 | (${Variables: E5_3_1_6_Kcat } * E5_3_1_6 * 	
C00117 ) /(${Variables:E5_3_1_6_Km} + (E5_3_1_6 * 	
C00117 ))</v>
      </c>
    </row>
    <row r="1017" spans="1:11" ht="58" x14ac:dyDescent="0.35">
      <c r="A1017" s="31" t="s">
        <v>6675</v>
      </c>
      <c r="B1017" s="31" t="s">
        <v>6676</v>
      </c>
      <c r="C1017" s="31" t="s">
        <v>14300</v>
      </c>
      <c r="D1017" s="31">
        <v>1016</v>
      </c>
      <c r="E1017" s="31" t="str">
        <f t="shared" si="83"/>
        <v>E5_3_1_6</v>
      </c>
      <c r="F1017" s="31" t="s">
        <v>11158</v>
      </c>
      <c r="G1017" s="31" t="str">
        <f t="shared" si="84"/>
        <v xml:space="preserve">	
C02962 </v>
      </c>
      <c r="H1017" s="31" t="s">
        <v>11159</v>
      </c>
      <c r="I1017" s="31" t="str">
        <f t="shared" si="87"/>
        <v>C18096</v>
      </c>
      <c r="J1017" s="31" t="str">
        <f t="shared" si="85"/>
        <v>(${Variables: E5_3_1_6_Kcat } * E5_3_1_6 * 	
C02962 ) /(${Variables:E5_3_1_6_Km} + (E5_3_1_6 * 	
C02962 ))</v>
      </c>
      <c r="K1017" s="32" t="str">
        <f t="shared" si="86"/>
        <v>r1016: 	
C02962  -&gt; C18096 | (${Variables: E5_3_1_6_Kcat } * E5_3_1_6 * 	
C02962 ) /(${Variables:E5_3_1_6_Km} + (E5_3_1_6 * 	
C02962 ))</v>
      </c>
    </row>
    <row r="1018" spans="1:11" ht="58" x14ac:dyDescent="0.35">
      <c r="A1018" s="31" t="s">
        <v>2149</v>
      </c>
      <c r="B1018" s="31" t="s">
        <v>2150</v>
      </c>
      <c r="C1018" s="31" t="s">
        <v>14301</v>
      </c>
      <c r="D1018" s="31">
        <v>1017</v>
      </c>
      <c r="E1018" s="31" t="str">
        <f t="shared" si="83"/>
        <v>E5_3_1_8</v>
      </c>
      <c r="F1018" s="31" t="s">
        <v>11162</v>
      </c>
      <c r="G1018" s="31" t="str">
        <f t="shared" si="84"/>
        <v xml:space="preserve">	
C00275</v>
      </c>
      <c r="H1018" s="31" t="s">
        <v>11163</v>
      </c>
      <c r="I1018" s="31" t="str">
        <f t="shared" si="87"/>
        <v xml:space="preserve"> C00085</v>
      </c>
      <c r="J1018" s="31" t="str">
        <f t="shared" si="85"/>
        <v>(${Variables: E5_3_1_8_Kcat } * E5_3_1_8 * 	
C00275) /(${Variables:E5_3_1_8_Km} + (E5_3_1_8 * 	
C00275))</v>
      </c>
      <c r="K1018" s="32" t="str">
        <f t="shared" si="86"/>
        <v>r1017: 	
C00275 -&gt;  C00085 | (${Variables: E5_3_1_8_Kcat } * E5_3_1_8 * 	
C00275) /(${Variables:E5_3_1_8_Km} + (E5_3_1_8 * 	
C00275))</v>
      </c>
    </row>
    <row r="1019" spans="1:11" ht="58" x14ac:dyDescent="0.35">
      <c r="A1019" s="31" t="s">
        <v>2149</v>
      </c>
      <c r="B1019" s="31" t="s">
        <v>2150</v>
      </c>
      <c r="C1019" s="31" t="s">
        <v>14301</v>
      </c>
      <c r="D1019" s="31">
        <v>1018</v>
      </c>
      <c r="E1019" s="31" t="str">
        <f t="shared" si="83"/>
        <v>E5_3_1_8</v>
      </c>
      <c r="F1019" s="31" t="s">
        <v>11165</v>
      </c>
      <c r="G1019" s="31" t="str">
        <f t="shared" si="84"/>
        <v xml:space="preserve">	
C00275 </v>
      </c>
      <c r="H1019" s="31" t="s">
        <v>11166</v>
      </c>
      <c r="I1019" s="31" t="str">
        <f t="shared" si="87"/>
        <v>C05345</v>
      </c>
      <c r="J1019" s="31" t="str">
        <f t="shared" si="85"/>
        <v>(${Variables: E5_3_1_8_Kcat } * E5_3_1_8 * 	
C00275 ) /(${Variables:E5_3_1_8_Km} + (E5_3_1_8 * 	
C00275 ))</v>
      </c>
      <c r="K1019" s="32" t="str">
        <f t="shared" si="86"/>
        <v>r1018: 	
C00275  -&gt; C05345 | (${Variables: E5_3_1_8_Kcat } * E5_3_1_8 * 	
C00275 ) /(${Variables:E5_3_1_8_Km} + (E5_3_1_8 * 	
C00275 ))</v>
      </c>
    </row>
    <row r="1020" spans="1:11" ht="58" x14ac:dyDescent="0.35">
      <c r="A1020" s="31" t="s">
        <v>2464</v>
      </c>
      <c r="B1020" s="31" t="s">
        <v>2465</v>
      </c>
      <c r="C1020" s="31" t="s">
        <v>14302</v>
      </c>
      <c r="D1020" s="31">
        <v>1019</v>
      </c>
      <c r="E1020" s="31" t="str">
        <f t="shared" si="83"/>
        <v>E5_3_1_9</v>
      </c>
      <c r="F1020" s="31" t="s">
        <v>11169</v>
      </c>
      <c r="G1020" s="31" t="str">
        <f t="shared" si="84"/>
        <v xml:space="preserve">	
C00668 </v>
      </c>
      <c r="H1020" s="31" t="s">
        <v>11166</v>
      </c>
      <c r="I1020" s="31" t="str">
        <f t="shared" si="87"/>
        <v>C05345</v>
      </c>
      <c r="J1020" s="31" t="str">
        <f t="shared" si="85"/>
        <v>(${Variables: E5_3_1_9_Kcat } * E5_3_1_9 * 	
C00668 ) /(${Variables:E5_3_1_9_Km} + (E5_3_1_9 * 	
C00668 ))</v>
      </c>
      <c r="K1020" s="32" t="str">
        <f t="shared" si="86"/>
        <v>r1019: 	
C00668  -&gt; C05345 | (${Variables: E5_3_1_9_Kcat } * E5_3_1_9 * 	
C00668 ) /(${Variables:E5_3_1_9_Km} + (E5_3_1_9 * 	
C00668 ))</v>
      </c>
    </row>
    <row r="1021" spans="1:11" ht="58" x14ac:dyDescent="0.35">
      <c r="A1021" s="31" t="s">
        <v>2464</v>
      </c>
      <c r="B1021" s="31" t="s">
        <v>2465</v>
      </c>
      <c r="C1021" s="31" t="s">
        <v>14302</v>
      </c>
      <c r="D1021" s="31">
        <v>1020</v>
      </c>
      <c r="E1021" s="31" t="str">
        <f t="shared" si="83"/>
        <v>E5_3_1_9</v>
      </c>
      <c r="F1021" s="31" t="s">
        <v>11171</v>
      </c>
      <c r="G1021" s="31" t="str">
        <f t="shared" si="84"/>
        <v xml:space="preserve">	
C00092</v>
      </c>
      <c r="H1021" s="31" t="s">
        <v>11172</v>
      </c>
      <c r="I1021" s="31" t="str">
        <f t="shared" si="87"/>
        <v>C00085</v>
      </c>
      <c r="J1021" s="31" t="str">
        <f t="shared" si="85"/>
        <v>(${Variables: E5_3_1_9_Kcat } * E5_3_1_9 * 	
C00092) /(${Variables:E5_3_1_9_Km} + (E5_3_1_9 * 	
C00092))</v>
      </c>
      <c r="K1021" s="32" t="str">
        <f t="shared" si="86"/>
        <v>r1020: 	
C00092 -&gt; C00085 | (${Variables: E5_3_1_9_Kcat } * E5_3_1_9 * 	
C00092) /(${Variables:E5_3_1_9_Km} + (E5_3_1_9 * 	
C00092))</v>
      </c>
    </row>
    <row r="1022" spans="1:11" ht="58" x14ac:dyDescent="0.35">
      <c r="A1022" s="31" t="s">
        <v>2464</v>
      </c>
      <c r="B1022" s="31" t="s">
        <v>2465</v>
      </c>
      <c r="C1022" s="31" t="s">
        <v>14302</v>
      </c>
      <c r="D1022" s="31">
        <v>1021</v>
      </c>
      <c r="E1022" s="31" t="str">
        <f t="shared" si="83"/>
        <v>E5_3_1_9</v>
      </c>
      <c r="F1022" s="31" t="s">
        <v>11169</v>
      </c>
      <c r="G1022" s="31" t="str">
        <f t="shared" si="84"/>
        <v xml:space="preserve">	
C00668 </v>
      </c>
      <c r="H1022" s="31" t="s">
        <v>11173</v>
      </c>
      <c r="I1022" s="31" t="str">
        <f t="shared" si="87"/>
        <v>C01172</v>
      </c>
      <c r="J1022" s="31" t="str">
        <f t="shared" si="85"/>
        <v>(${Variables: E5_3_1_9_Kcat } * E5_3_1_9 * 	
C00668 ) /(${Variables:E5_3_1_9_Km} + (E5_3_1_9 * 	
C00668 ))</v>
      </c>
      <c r="K1022" s="32" t="str">
        <f t="shared" si="86"/>
        <v>r1021: 	
C00668  -&gt; C01172 | (${Variables: E5_3_1_9_Kcat } * E5_3_1_9 * 	
C00668 ) /(${Variables:E5_3_1_9_Km} + (E5_3_1_9 * 	
C00668 ))</v>
      </c>
    </row>
    <row r="1023" spans="1:11" ht="58" x14ac:dyDescent="0.35">
      <c r="A1023" s="31" t="s">
        <v>2464</v>
      </c>
      <c r="B1023" s="31" t="s">
        <v>2465</v>
      </c>
      <c r="C1023" s="31" t="s">
        <v>14302</v>
      </c>
      <c r="D1023" s="31">
        <v>1022</v>
      </c>
      <c r="E1023" s="31" t="str">
        <f t="shared" si="83"/>
        <v>E5_3_1_9</v>
      </c>
      <c r="F1023" s="31" t="s">
        <v>11175</v>
      </c>
      <c r="G1023" s="31" t="str">
        <f t="shared" si="84"/>
        <v xml:space="preserve">	
C01172 </v>
      </c>
      <c r="H1023" s="31" t="s">
        <v>11166</v>
      </c>
      <c r="I1023" s="31" t="str">
        <f t="shared" si="87"/>
        <v>C05345</v>
      </c>
      <c r="J1023" s="31" t="str">
        <f t="shared" si="85"/>
        <v>(${Variables: E5_3_1_9_Kcat } * E5_3_1_9 * 	
C01172 ) /(${Variables:E5_3_1_9_Km} + (E5_3_1_9 * 	
C01172 ))</v>
      </c>
      <c r="K1023" s="32" t="str">
        <f t="shared" si="86"/>
        <v>r1022: 	
C01172  -&gt; C05345 | (${Variables: E5_3_1_9_Kcat } * E5_3_1_9 * 	
C01172 ) /(${Variables:E5_3_1_9_Km} + (E5_3_1_9 * 	
C01172 ))</v>
      </c>
    </row>
    <row r="1024" spans="1:11" ht="58" x14ac:dyDescent="0.35">
      <c r="A1024" s="31" t="s">
        <v>2464</v>
      </c>
      <c r="B1024" s="31" t="s">
        <v>2465</v>
      </c>
      <c r="C1024" s="31" t="s">
        <v>14302</v>
      </c>
      <c r="D1024" s="31">
        <v>1023</v>
      </c>
      <c r="E1024" s="31" t="str">
        <f t="shared" si="83"/>
        <v>E5_3_1_9</v>
      </c>
      <c r="F1024" s="31" t="s">
        <v>11177</v>
      </c>
      <c r="G1024" s="31" t="str">
        <f t="shared" si="84"/>
        <v xml:space="preserve">	
C00668</v>
      </c>
      <c r="H1024" s="31" t="s">
        <v>11172</v>
      </c>
      <c r="I1024" s="31" t="str">
        <f t="shared" si="87"/>
        <v>C00085</v>
      </c>
      <c r="J1024" s="31" t="str">
        <f t="shared" si="85"/>
        <v>(${Variables: E5_3_1_9_Kcat } * E5_3_1_9 * 	
C00668) /(${Variables:E5_3_1_9_Km} + (E5_3_1_9 * 	
C00668))</v>
      </c>
      <c r="K1024" s="32" t="str">
        <f t="shared" si="86"/>
        <v>r1023: 	
C00668 -&gt; C00085 | (${Variables: E5_3_1_9_Kcat } * E5_3_1_9 * 	
C00668) /(${Variables:E5_3_1_9_Km} + (E5_3_1_9 * 	
C00668))</v>
      </c>
    </row>
    <row r="1025" spans="1:11" ht="58" x14ac:dyDescent="0.35">
      <c r="A1025" s="31" t="s">
        <v>6354</v>
      </c>
      <c r="B1025" s="31" t="s">
        <v>6355</v>
      </c>
      <c r="C1025" s="31" t="s">
        <v>14303</v>
      </c>
      <c r="D1025" s="31">
        <v>1024</v>
      </c>
      <c r="E1025" s="31" t="str">
        <f t="shared" si="83"/>
        <v>E5_3_3_2</v>
      </c>
      <c r="F1025" s="31" t="s">
        <v>11180</v>
      </c>
      <c r="G1025" s="31" t="str">
        <f t="shared" si="84"/>
        <v xml:space="preserve">	
C00129 </v>
      </c>
      <c r="H1025" s="31" t="s">
        <v>11181</v>
      </c>
      <c r="I1025" s="31" t="str">
        <f t="shared" si="87"/>
        <v>C00235</v>
      </c>
      <c r="J1025" s="31" t="str">
        <f t="shared" si="85"/>
        <v>(${Variables: E5_3_3_2_Kcat } * E5_3_3_2 * 	
C00129 ) /(${Variables:E5_3_3_2_Km} + (E5_3_3_2 * 	
C00129 ))</v>
      </c>
      <c r="K1025" s="32" t="str">
        <f t="shared" si="86"/>
        <v>r1024: 	
C00129  -&gt; C00235 | (${Variables: E5_3_3_2_Kcat } * E5_3_3_2 * 	
C00129 ) /(${Variables:E5_3_3_2_Km} + (E5_3_3_2 * 	
C00129 ))</v>
      </c>
    </row>
    <row r="1026" spans="1:11" ht="58" x14ac:dyDescent="0.35">
      <c r="A1026" s="31" t="s">
        <v>6621</v>
      </c>
      <c r="B1026" s="31" t="s">
        <v>6622</v>
      </c>
      <c r="C1026" s="31" t="s">
        <v>14304</v>
      </c>
      <c r="D1026" s="31">
        <v>1025</v>
      </c>
      <c r="E1026" s="31" t="str">
        <f t="shared" ref="E1026:E1089" si="88">CONCATENATE("E",C1026)</f>
        <v>E5_3_3_4</v>
      </c>
      <c r="F1026" s="31" t="s">
        <v>11184</v>
      </c>
      <c r="G1026" s="31" t="str">
        <f t="shared" ref="G1026:G1038" si="89">SUBSTITUTE(F1026,"+","*")</f>
        <v xml:space="preserve">	
C14610</v>
      </c>
      <c r="H1026" s="31" t="s">
        <v>11185</v>
      </c>
      <c r="I1026" s="31" t="str">
        <f t="shared" si="87"/>
        <v>C03586</v>
      </c>
      <c r="J1026" s="31" t="str">
        <f t="shared" ref="J1026:J1089" si="90">CONCATENATE("(${Variables: ",E1026,"_Kcat ","} * ",E1026," * ",G1026,")"," /(${Variables:",E1026,"_Km","} + (",E1026," * ",G1026,"))")</f>
        <v>(${Variables: E5_3_3_4_Kcat } * E5_3_3_4 * 	
C14610) /(${Variables:E5_3_3_4_Km} + (E5_3_3_4 * 	
C14610))</v>
      </c>
      <c r="K1026" s="31" t="str">
        <f t="shared" ref="K1026:K1089" si="91">CONCATENATE("r",D1026,": ",F1026," -&gt; ",H1026," | ",J1026)</f>
        <v>r1025: 	
C14610 -&gt; C03586 | (${Variables: E5_3_3_4_Kcat } * E5_3_3_4 * 	
C14610) /(${Variables:E5_3_3_4_Km} + (E5_3_3_4 * 	
C14610))</v>
      </c>
    </row>
    <row r="1027" spans="1:11" ht="58" x14ac:dyDescent="0.35">
      <c r="A1027" s="31" t="s">
        <v>6621</v>
      </c>
      <c r="B1027" s="31" t="s">
        <v>6622</v>
      </c>
      <c r="C1027" s="31" t="s">
        <v>14304</v>
      </c>
      <c r="D1027" s="31">
        <v>1026</v>
      </c>
      <c r="E1027" s="31" t="str">
        <f t="shared" si="88"/>
        <v>E5_3_3_4</v>
      </c>
      <c r="F1027" s="31" t="s">
        <v>11187</v>
      </c>
      <c r="G1027" s="31" t="str">
        <f t="shared" si="89"/>
        <v xml:space="preserve">	
C04105</v>
      </c>
      <c r="H1027" s="31" t="s">
        <v>11185</v>
      </c>
      <c r="I1027" s="31" t="str">
        <f t="shared" si="87"/>
        <v>C03586</v>
      </c>
      <c r="J1027" s="31" t="str">
        <f t="shared" si="90"/>
        <v>(${Variables: E5_3_3_4_Kcat } * E5_3_3_4 * 	
C04105) /(${Variables:E5_3_3_4_Km} + (E5_3_3_4 * 	
C04105))</v>
      </c>
      <c r="K1027" s="31" t="str">
        <f t="shared" si="91"/>
        <v>r1026: 	
C04105 -&gt; C03586 | (${Variables: E5_3_3_4_Kcat } * E5_3_3_4 * 	
C04105) /(${Variables:E5_3_3_4_Km} + (E5_3_3_4 * 	
C04105))</v>
      </c>
    </row>
    <row r="1028" spans="1:11" ht="58" x14ac:dyDescent="0.35">
      <c r="A1028" s="31" t="s">
        <v>1709</v>
      </c>
      <c r="B1028" s="31" t="s">
        <v>1710</v>
      </c>
      <c r="C1028" s="31" t="s">
        <v>14305</v>
      </c>
      <c r="D1028" s="31">
        <v>1027</v>
      </c>
      <c r="E1028" s="31" t="str">
        <f t="shared" si="88"/>
        <v>E5_4_2_10</v>
      </c>
      <c r="F1028" s="31" t="s">
        <v>11190</v>
      </c>
      <c r="G1028" s="31" t="str">
        <f t="shared" si="89"/>
        <v xml:space="preserve">	
C06156 </v>
      </c>
      <c r="H1028" s="31" t="s">
        <v>11191</v>
      </c>
      <c r="I1028" s="31" t="str">
        <f t="shared" ref="I1028:I1086" si="92">SUBSTITUTE(H1028,"+","*")</f>
        <v> C00352</v>
      </c>
      <c r="J1028" s="31" t="str">
        <f t="shared" si="90"/>
        <v>(${Variables: E5_4_2_10_Kcat } * E5_4_2_10 * 	
C06156 ) /(${Variables:E5_4_2_10_Km} + (E5_4_2_10 * 	
C06156 ))</v>
      </c>
      <c r="K1028" s="32" t="str">
        <f t="shared" si="91"/>
        <v>r1027: 	
C06156  -&gt;  C00352 | (${Variables: E5_4_2_10_Kcat } * E5_4_2_10 * 	
C06156 ) /(${Variables:E5_4_2_10_Km} + (E5_4_2_10 * 	
C06156 ))</v>
      </c>
    </row>
    <row r="1029" spans="1:11" ht="58" x14ac:dyDescent="0.35">
      <c r="A1029" s="31" t="s">
        <v>1187</v>
      </c>
      <c r="B1029" s="31" t="s">
        <v>1188</v>
      </c>
      <c r="C1029" s="31" t="s">
        <v>14306</v>
      </c>
      <c r="D1029" s="31">
        <v>1028</v>
      </c>
      <c r="E1029" s="31" t="str">
        <f t="shared" si="88"/>
        <v>E5_4_2_11</v>
      </c>
      <c r="F1029" s="31" t="s">
        <v>11193</v>
      </c>
      <c r="G1029" s="31" t="str">
        <f t="shared" si="89"/>
        <v xml:space="preserve">	
C01159 * C00615 </v>
      </c>
      <c r="H1029" s="31" t="s">
        <v>11194</v>
      </c>
      <c r="I1029" s="31" t="str">
        <f t="shared" si="92"/>
        <v> C00197 * C04262</v>
      </c>
      <c r="J1029" s="31" t="str">
        <f>CONCATENATE("(${Variables: ",E1029,"_Kcat ","} * ",E1029," * ",G1029,")"," /(${Variables:",E1029,"_Km","} + (",E1029," * ",G1029,"))")</f>
        <v>(${Variables: E5_4_2_11_Kcat } * E5_4_2_11 * 	
C01159 * C00615 ) /(${Variables:E5_4_2_11_Km} + (E5_4_2_11 * 	
C01159 * C00615 ))</v>
      </c>
      <c r="K1029" s="32" t="str">
        <f t="shared" si="91"/>
        <v>r1028: 	
C01159 + C00615  -&gt;  C00197 + C04262 | (${Variables: E5_4_2_11_Kcat } * E5_4_2_11 * 	
C01159 * C00615 ) /(${Variables:E5_4_2_11_Km} + (E5_4_2_11 * 	
C01159 * C00615 ))</v>
      </c>
    </row>
    <row r="1030" spans="1:11" ht="58" x14ac:dyDescent="0.35">
      <c r="A1030" s="31" t="s">
        <v>1187</v>
      </c>
      <c r="B1030" s="31" t="s">
        <v>1188</v>
      </c>
      <c r="C1030" s="31" t="s">
        <v>14306</v>
      </c>
      <c r="D1030" s="31">
        <v>1029</v>
      </c>
      <c r="E1030" s="31" t="str">
        <f t="shared" si="88"/>
        <v>E5_4_2_11</v>
      </c>
      <c r="F1030" s="31" t="s">
        <v>10881</v>
      </c>
      <c r="G1030" s="31" t="str">
        <f t="shared" si="89"/>
        <v xml:space="preserve">	
C00631</v>
      </c>
      <c r="H1030" s="31" t="s">
        <v>11196</v>
      </c>
      <c r="I1030" s="31" t="str">
        <f t="shared" si="92"/>
        <v> C00197</v>
      </c>
      <c r="J1030" s="31" t="str">
        <f t="shared" si="90"/>
        <v>(${Variables: E5_4_2_11_Kcat } * E5_4_2_11 * 	
C00631) /(${Variables:E5_4_2_11_Km} + (E5_4_2_11 * 	
C00631))</v>
      </c>
      <c r="K1030" s="32" t="str">
        <f t="shared" si="91"/>
        <v>r1029: 	
C00631 -&gt;  C00197 | (${Variables: E5_4_2_11_Kcat } * E5_4_2_11 * 	
C00631) /(${Variables:E5_4_2_11_Km} + (E5_4_2_11 * 	
C00631))</v>
      </c>
    </row>
    <row r="1031" spans="1:11" ht="58" x14ac:dyDescent="0.35">
      <c r="A1031" s="31" t="s">
        <v>6984</v>
      </c>
      <c r="B1031" s="31" t="s">
        <v>6985</v>
      </c>
      <c r="C1031" s="31" t="s">
        <v>14307</v>
      </c>
      <c r="D1031" s="31">
        <v>1030</v>
      </c>
      <c r="E1031" s="31" t="str">
        <f t="shared" si="88"/>
        <v>E5_4_2_2</v>
      </c>
      <c r="F1031" s="31" t="s">
        <v>11200</v>
      </c>
      <c r="G1031" s="31" t="str">
        <f t="shared" si="89"/>
        <v xml:space="preserve">	
C00103 </v>
      </c>
      <c r="H1031" s="31" t="s">
        <v>11201</v>
      </c>
      <c r="I1031" s="31" t="str">
        <f t="shared" si="92"/>
        <v> C00092</v>
      </c>
      <c r="J1031" s="31" t="str">
        <f t="shared" si="90"/>
        <v>(${Variables: E5_4_2_2_Kcat } * E5_4_2_2 * 	
C00103 ) /(${Variables:E5_4_2_2_Km} + (E5_4_2_2 * 	
C00103 ))</v>
      </c>
      <c r="K1031" s="32" t="str">
        <f t="shared" si="91"/>
        <v>r1030: 	
C00103  -&gt;  C00092 | (${Variables: E5_4_2_2_Kcat } * E5_4_2_2 * 	
C00103 ) /(${Variables:E5_4_2_2_Km} + (E5_4_2_2 * 	
C00103 ))</v>
      </c>
    </row>
    <row r="1032" spans="1:11" ht="58" x14ac:dyDescent="0.35">
      <c r="A1032" s="31" t="s">
        <v>6984</v>
      </c>
      <c r="B1032" s="31" t="s">
        <v>6985</v>
      </c>
      <c r="C1032" s="31" t="s">
        <v>14307</v>
      </c>
      <c r="D1032" s="31">
        <v>1031</v>
      </c>
      <c r="E1032" s="31" t="str">
        <f t="shared" si="88"/>
        <v>E5_4_2_2</v>
      </c>
      <c r="F1032" s="31" t="s">
        <v>11200</v>
      </c>
      <c r="G1032" s="31" t="str">
        <f t="shared" si="89"/>
        <v xml:space="preserve">	
C00103 </v>
      </c>
      <c r="H1032" s="31" t="s">
        <v>11203</v>
      </c>
      <c r="I1032" s="31" t="str">
        <f t="shared" si="92"/>
        <v> C00668</v>
      </c>
      <c r="J1032" s="31" t="str">
        <f t="shared" si="90"/>
        <v>(${Variables: E5_4_2_2_Kcat } * E5_4_2_2 * 	
C00103 ) /(${Variables:E5_4_2_2_Km} + (E5_4_2_2 * 	
C00103 ))</v>
      </c>
      <c r="K1032" s="32" t="str">
        <f t="shared" si="91"/>
        <v>r1031: 	
C00103  -&gt;  C00668 | (${Variables: E5_4_2_2_Kcat } * E5_4_2_2 * 	
C00103 ) /(${Variables:E5_4_2_2_Km} + (E5_4_2_2 * 	
C00103 ))</v>
      </c>
    </row>
    <row r="1033" spans="1:11" ht="58" x14ac:dyDescent="0.35">
      <c r="A1033" s="31" t="s">
        <v>6984</v>
      </c>
      <c r="B1033" s="31" t="s">
        <v>6985</v>
      </c>
      <c r="C1033" s="31" t="s">
        <v>14307</v>
      </c>
      <c r="D1033" s="31">
        <v>1032</v>
      </c>
      <c r="E1033" s="31" t="str">
        <f t="shared" si="88"/>
        <v>E5_4_2_2</v>
      </c>
      <c r="F1033" s="31" t="s">
        <v>11205</v>
      </c>
      <c r="G1033" s="31" t="str">
        <f t="shared" si="89"/>
        <v xml:space="preserve">	
C00620 </v>
      </c>
      <c r="H1033" s="31" t="s">
        <v>11206</v>
      </c>
      <c r="I1033" s="31" t="str">
        <f t="shared" si="92"/>
        <v>C00117</v>
      </c>
      <c r="J1033" s="31" t="str">
        <f t="shared" si="90"/>
        <v>(${Variables: E5_4_2_2_Kcat } * E5_4_2_2 * 	
C00620 ) /(${Variables:E5_4_2_2_Km} + (E5_4_2_2 * 	
C00620 ))</v>
      </c>
      <c r="K1033" s="32" t="str">
        <f t="shared" si="91"/>
        <v>r1032: 	
C00620  -&gt; C00117 | (${Variables: E5_4_2_2_Kcat } * E5_4_2_2 * 	
C00620 ) /(${Variables:E5_4_2_2_Km} + (E5_4_2_2 * 	
C00620 ))</v>
      </c>
    </row>
    <row r="1034" spans="1:11" x14ac:dyDescent="0.35">
      <c r="A1034" s="31" t="s">
        <v>6984</v>
      </c>
      <c r="B1034" s="31" t="s">
        <v>6985</v>
      </c>
      <c r="C1034" s="31" t="s">
        <v>14307</v>
      </c>
      <c r="D1034" s="31">
        <v>1033</v>
      </c>
      <c r="E1034" s="31" t="str">
        <f t="shared" si="88"/>
        <v>E5_4_2_2</v>
      </c>
      <c r="F1034" s="31" t="s">
        <v>11208</v>
      </c>
      <c r="G1034" s="31" t="str">
        <f t="shared" si="89"/>
        <v>C01171</v>
      </c>
      <c r="H1034" s="31" t="s">
        <v>11209</v>
      </c>
      <c r="I1034" s="31" t="str">
        <f t="shared" si="92"/>
        <v>C03735</v>
      </c>
      <c r="J1034" s="31" t="str">
        <f t="shared" si="90"/>
        <v>(${Variables: E5_4_2_2_Kcat } * E5_4_2_2 * C01171) /(${Variables:E5_4_2_2_Km} + (E5_4_2_2 * C01171))</v>
      </c>
      <c r="K1034" s="32" t="str">
        <f t="shared" si="91"/>
        <v>r1033: C01171 -&gt; C03735 | (${Variables: E5_4_2_2_Kcat } * E5_4_2_2 * C01171) /(${Variables:E5_4_2_2_Km} + (E5_4_2_2 * C01171))</v>
      </c>
    </row>
    <row r="1035" spans="1:11" ht="58" x14ac:dyDescent="0.35">
      <c r="A1035" s="31" t="s">
        <v>1277</v>
      </c>
      <c r="B1035" s="31" t="s">
        <v>1278</v>
      </c>
      <c r="C1035" s="31" t="s">
        <v>14308</v>
      </c>
      <c r="D1035" s="31">
        <v>1034</v>
      </c>
      <c r="E1035" s="31" t="str">
        <f t="shared" si="88"/>
        <v>E5_4_3_8</v>
      </c>
      <c r="F1035" s="31" t="s">
        <v>11212</v>
      </c>
      <c r="G1035" s="31" t="str">
        <f t="shared" si="89"/>
        <v xml:space="preserve">	
C00430 </v>
      </c>
      <c r="H1035" s="31" t="s">
        <v>11213</v>
      </c>
      <c r="I1035" s="31" t="str">
        <f t="shared" si="92"/>
        <v>C03741</v>
      </c>
      <c r="J1035" s="31" t="str">
        <f t="shared" si="90"/>
        <v>(${Variables: E5_4_3_8_Kcat } * E5_4_3_8 * 	
C00430 ) /(${Variables:E5_4_3_8_Km} + (E5_4_3_8 * 	
C00430 ))</v>
      </c>
      <c r="K1035" s="32" t="str">
        <f t="shared" si="91"/>
        <v>r1034: 	
C00430  -&gt; C03741 | (${Variables: E5_4_3_8_Kcat } * E5_4_3_8 * 	
C00430 ) /(${Variables:E5_4_3_8_Km} + (E5_4_3_8 * 	
C00430 ))</v>
      </c>
    </row>
    <row r="1036" spans="1:11" ht="58" x14ac:dyDescent="0.35">
      <c r="A1036" s="31" t="s">
        <v>3664</v>
      </c>
      <c r="B1036" s="31" t="s">
        <v>3665</v>
      </c>
      <c r="C1036" s="31" t="s">
        <v>14309</v>
      </c>
      <c r="D1036" s="31">
        <v>1035</v>
      </c>
      <c r="E1036" s="31" t="str">
        <f t="shared" si="88"/>
        <v>E5_4_4_2</v>
      </c>
      <c r="F1036" s="31" t="s">
        <v>11216</v>
      </c>
      <c r="G1036" s="31" t="str">
        <f t="shared" si="89"/>
        <v xml:space="preserve">	
C00251</v>
      </c>
      <c r="H1036" s="31" t="s">
        <v>11217</v>
      </c>
      <c r="I1036" s="31" t="str">
        <f t="shared" si="92"/>
        <v xml:space="preserve"> C00885</v>
      </c>
      <c r="J1036" s="31" t="str">
        <f t="shared" si="90"/>
        <v>(${Variables: E5_4_4_2_Kcat } * E5_4_4_2 * 	
C00251) /(${Variables:E5_4_4_2_Km} + (E5_4_4_2 * 	
C00251))</v>
      </c>
      <c r="K1036" s="31" t="str">
        <f t="shared" si="91"/>
        <v>r1035: 	
C00251 -&gt;  C00885 | (${Variables: E5_4_4_2_Kcat } * E5_4_4_2 * 	
C00251) /(${Variables:E5_4_4_2_Km} + (E5_4_4_2 * 	
C00251))</v>
      </c>
    </row>
    <row r="1037" spans="1:11" ht="58" x14ac:dyDescent="0.35">
      <c r="A1037" s="31" t="s">
        <v>1659</v>
      </c>
      <c r="B1037" s="31" t="s">
        <v>1660</v>
      </c>
      <c r="C1037" s="31" t="s">
        <v>14310</v>
      </c>
      <c r="D1037" s="31">
        <v>1036</v>
      </c>
      <c r="E1037" s="31" t="str">
        <f t="shared" si="88"/>
        <v>E5_4_99_12</v>
      </c>
      <c r="F1037" s="31" t="s">
        <v>11220</v>
      </c>
      <c r="G1037" s="31" t="str">
        <f t="shared" si="89"/>
        <v xml:space="preserve">	
C00868 </v>
      </c>
      <c r="H1037" s="31" t="s">
        <v>11221</v>
      </c>
      <c r="I1037" s="31" t="str">
        <f t="shared" si="92"/>
        <v> C02764</v>
      </c>
      <c r="J1037" s="31" t="str">
        <f t="shared" si="90"/>
        <v>(${Variables: E5_4_99_12_Kcat } * E5_4_99_12 * 	
C00868 ) /(${Variables:E5_4_99_12_Km} + (E5_4_99_12 * 	
C00868 ))</v>
      </c>
      <c r="K1037" s="31" t="str">
        <f t="shared" si="91"/>
        <v>r1036: 	
C00868  -&gt;  C02764 | (${Variables: E5_4_99_12_Kcat } * E5_4_99_12 * 	
C00868 ) /(${Variables:E5_4_99_12_Km} + (E5_4_99_12 * 	
C00868 ))</v>
      </c>
    </row>
    <row r="1038" spans="1:11" ht="58" x14ac:dyDescent="0.35">
      <c r="A1038" s="31" t="s">
        <v>5836</v>
      </c>
      <c r="B1038" s="31" t="s">
        <v>5837</v>
      </c>
      <c r="C1038" s="31" t="s">
        <v>14311</v>
      </c>
      <c r="D1038" s="31">
        <v>1037</v>
      </c>
      <c r="E1038" s="31" t="str">
        <f t="shared" si="88"/>
        <v>E5_4_99_15</v>
      </c>
      <c r="F1038" s="31" t="s">
        <v>11224</v>
      </c>
      <c r="G1038" s="31" t="str">
        <f t="shared" si="89"/>
        <v xml:space="preserve">	
C01935</v>
      </c>
      <c r="H1038" s="31" t="s">
        <v>11225</v>
      </c>
      <c r="I1038" s="31" t="str">
        <f t="shared" si="92"/>
        <v> C06400</v>
      </c>
      <c r="J1038" s="31" t="str">
        <f t="shared" si="90"/>
        <v>(${Variables: E5_4_99_15_Kcat } * E5_4_99_15 * 	
C01935) /(${Variables:E5_4_99_15_Km} + (E5_4_99_15 * 	
C01935))</v>
      </c>
      <c r="K1038" s="31" t="str">
        <f t="shared" si="91"/>
        <v>r1037: 	
C01935 -&gt;  C06400 | (${Variables: E5_4_99_15_Kcat } * E5_4_99_15 * 	
C01935) /(${Variables:E5_4_99_15_Km} + (E5_4_99_15 * 	
C01935))</v>
      </c>
    </row>
    <row r="1039" spans="1:11" ht="58" x14ac:dyDescent="0.35">
      <c r="A1039" s="31" t="s">
        <v>5836</v>
      </c>
      <c r="B1039" s="31" t="s">
        <v>5837</v>
      </c>
      <c r="C1039" s="31" t="s">
        <v>14311</v>
      </c>
      <c r="D1039" s="31">
        <v>1038</v>
      </c>
      <c r="E1039" s="31" t="str">
        <f t="shared" si="88"/>
        <v>E5_4_99_15</v>
      </c>
      <c r="F1039" s="31" t="s">
        <v>9541</v>
      </c>
      <c r="G1039" s="31" t="s">
        <v>9541</v>
      </c>
      <c r="H1039" s="31" t="s">
        <v>12844</v>
      </c>
      <c r="I1039" s="31" t="str">
        <f t="shared" si="92"/>
        <v>G10589</v>
      </c>
      <c r="J1039" s="31" t="str">
        <f t="shared" si="90"/>
        <v>(${Variables: E5_4_99_15_Kcat } * E5_4_99_15 * 	
G10495) /(${Variables:E5_4_99_15_Km} + (E5_4_99_15 * 	
G10495))</v>
      </c>
      <c r="K1039" s="31" t="str">
        <f t="shared" si="91"/>
        <v>r1038: 	
G10495 -&gt; G10589 | (${Variables: E5_4_99_15_Kcat } * E5_4_99_15 * 	
G10495) /(${Variables:E5_4_99_15_Km} + (E5_4_99_15 * 	
G10495))</v>
      </c>
    </row>
    <row r="1040" spans="1:11" ht="58" x14ac:dyDescent="0.35">
      <c r="A1040" s="31" t="s">
        <v>6347</v>
      </c>
      <c r="B1040" s="31" t="s">
        <v>6348</v>
      </c>
      <c r="C1040" s="31" t="s">
        <v>14312</v>
      </c>
      <c r="D1040" s="31">
        <v>1039</v>
      </c>
      <c r="E1040" s="31" t="str">
        <f t="shared" si="88"/>
        <v>E5_4_99_16</v>
      </c>
      <c r="F1040" s="31" t="s">
        <v>11230</v>
      </c>
      <c r="G1040" s="31" t="str">
        <f>SUBSTITUTE(F1040,"+","*")</f>
        <v xml:space="preserve">	
C00208</v>
      </c>
      <c r="H1040" s="31" t="s">
        <v>11231</v>
      </c>
      <c r="I1040" s="31" t="str">
        <f t="shared" si="92"/>
        <v>C01083</v>
      </c>
      <c r="J1040" s="31" t="str">
        <f t="shared" si="90"/>
        <v>(${Variables: E5_4_99_16_Kcat } * E5_4_99_16 * 	
C00208) /(${Variables:E5_4_99_16_Km} + (E5_4_99_16 * 	
C00208))</v>
      </c>
      <c r="K1040" s="31" t="str">
        <f t="shared" si="91"/>
        <v>r1039: 	
C00208 -&gt; C01083 | (${Variables: E5_4_99_16_Kcat } * E5_4_99_16 * 	
C00208) /(${Variables:E5_4_99_16_Km} + (E5_4_99_16 * 	
C00208))</v>
      </c>
    </row>
    <row r="1041" spans="1:11" ht="58" x14ac:dyDescent="0.35">
      <c r="A1041" s="31" t="s">
        <v>6347</v>
      </c>
      <c r="B1041" s="31" t="s">
        <v>6348</v>
      </c>
      <c r="C1041" s="31" t="s">
        <v>14312</v>
      </c>
      <c r="D1041" s="31">
        <v>1040</v>
      </c>
      <c r="E1041" s="31" t="str">
        <f t="shared" si="88"/>
        <v>E5_4_99_16</v>
      </c>
      <c r="F1041" s="31" t="s">
        <v>11233</v>
      </c>
      <c r="G1041" s="31" t="str">
        <f t="shared" ref="G1041:G1104" si="93">SUBSTITUTE(F1041,"+","*")</f>
        <v xml:space="preserve">	
G00275 </v>
      </c>
      <c r="H1041" s="31" t="s">
        <v>11234</v>
      </c>
      <c r="I1041" s="31" t="str">
        <f t="shared" si="92"/>
        <v>G00293</v>
      </c>
      <c r="J1041" s="31" t="str">
        <f t="shared" si="90"/>
        <v>(${Variables: E5_4_99_16_Kcat } * E5_4_99_16 * 	
G00275 ) /(${Variables:E5_4_99_16_Km} + (E5_4_99_16 * 	
G00275 ))</v>
      </c>
      <c r="K1041" s="31" t="str">
        <f t="shared" si="91"/>
        <v>r1040: 	
G00275  -&gt; G00293 | (${Variables: E5_4_99_16_Kcat } * E5_4_99_16 * 	
G00275 ) /(${Variables:E5_4_99_16_Km} + (E5_4_99_16 * 	
G00275 ))</v>
      </c>
    </row>
    <row r="1042" spans="1:11" ht="58" x14ac:dyDescent="0.35">
      <c r="A1042" s="31" t="s">
        <v>4309</v>
      </c>
      <c r="B1042" s="31" t="s">
        <v>4310</v>
      </c>
      <c r="C1042" s="31" t="s">
        <v>14313</v>
      </c>
      <c r="D1042" s="31">
        <v>1041</v>
      </c>
      <c r="E1042" s="31" t="str">
        <f t="shared" si="88"/>
        <v>E5_4_99_2</v>
      </c>
      <c r="F1042" s="31" t="s">
        <v>11237</v>
      </c>
      <c r="G1042" s="31" t="str">
        <f t="shared" si="93"/>
        <v xml:space="preserve">	
C01213 </v>
      </c>
      <c r="H1042" s="31" t="s">
        <v>11238</v>
      </c>
      <c r="I1042" s="31" t="str">
        <f t="shared" si="92"/>
        <v> C00091</v>
      </c>
      <c r="J1042" s="31" t="str">
        <f t="shared" si="90"/>
        <v>(${Variables: E5_4_99_2_Kcat } * E5_4_99_2 * 	
C01213 ) /(${Variables:E5_4_99_2_Km} + (E5_4_99_2 * 	
C01213 ))</v>
      </c>
      <c r="K1042" s="32" t="str">
        <f t="shared" si="91"/>
        <v>r1041: 	
C01213  -&gt;  C00091 | (${Variables: E5_4_99_2_Kcat } * E5_4_99_2 * 	
C01213 ) /(${Variables:E5_4_99_2_Km} + (E5_4_99_2 * 	
C01213 ))</v>
      </c>
    </row>
    <row r="1043" spans="1:11" ht="58" x14ac:dyDescent="0.35">
      <c r="A1043" s="31" t="s">
        <v>2469</v>
      </c>
      <c r="B1043" s="31" t="s">
        <v>2470</v>
      </c>
      <c r="C1043" s="31" t="s">
        <v>14314</v>
      </c>
      <c r="D1043" s="31">
        <v>1042</v>
      </c>
      <c r="E1043" s="31" t="str">
        <f t="shared" si="88"/>
        <v>E5_4_99_5</v>
      </c>
      <c r="F1043" s="31" t="s">
        <v>11242</v>
      </c>
      <c r="G1043" s="31" t="str">
        <f t="shared" si="93"/>
        <v xml:space="preserve">	
C00251 </v>
      </c>
      <c r="H1043" s="31" t="s">
        <v>11243</v>
      </c>
      <c r="I1043" s="31" t="str">
        <f t="shared" si="92"/>
        <v> C00254</v>
      </c>
      <c r="J1043" s="31" t="str">
        <f t="shared" si="90"/>
        <v>(${Variables: E5_4_99_5_Kcat } * E5_4_99_5 * 	
C00251 ) /(${Variables:E5_4_99_5_Km} + (E5_4_99_5 * 	
C00251 ))</v>
      </c>
      <c r="K1043" s="32" t="str">
        <f t="shared" si="91"/>
        <v>r1042: 	
C00251  -&gt;  C00254 | (${Variables: E5_4_99_5_Kcat } * E5_4_99_5 * 	
C00251 ) /(${Variables:E5_4_99_5_Km} + (E5_4_99_5 * 	
C00251 ))</v>
      </c>
    </row>
    <row r="1044" spans="1:11" ht="58" x14ac:dyDescent="0.35">
      <c r="A1044" s="31" t="s">
        <v>3567</v>
      </c>
      <c r="B1044" s="31" t="s">
        <v>3568</v>
      </c>
      <c r="C1044" s="31" t="s">
        <v>14315</v>
      </c>
      <c r="D1044" s="31">
        <v>1043</v>
      </c>
      <c r="E1044" s="31" t="str">
        <f t="shared" si="88"/>
        <v>E5_4_99_62</v>
      </c>
      <c r="F1044" s="31" t="s">
        <v>11247</v>
      </c>
      <c r="G1044" s="31" t="str">
        <f t="shared" si="93"/>
        <v xml:space="preserve">	
C08353</v>
      </c>
      <c r="H1044" s="31" t="s">
        <v>11248</v>
      </c>
      <c r="I1044" s="31" t="str">
        <f t="shared" si="92"/>
        <v> C16639</v>
      </c>
      <c r="J1044" s="31" t="str">
        <f t="shared" si="90"/>
        <v>(${Variables: E5_4_99_62_Kcat } * E5_4_99_62 * 	
C08353) /(${Variables:E5_4_99_62_Km} + (E5_4_99_62 * 	
C08353))</v>
      </c>
      <c r="K1044" s="31" t="str">
        <f t="shared" si="91"/>
        <v>r1043: 	
C08353 -&gt;  C16639 | (${Variables: E5_4_99_62_Kcat } * E5_4_99_62 * 	
C08353) /(${Variables:E5_4_99_62_Km} + (E5_4_99_62 * 	
C08353))</v>
      </c>
    </row>
    <row r="1045" spans="1:11" ht="58" x14ac:dyDescent="0.35">
      <c r="A1045" s="31" t="s">
        <v>7880</v>
      </c>
      <c r="B1045" s="31" t="s">
        <v>7881</v>
      </c>
      <c r="C1045" s="31" t="s">
        <v>14316</v>
      </c>
      <c r="D1045" s="31">
        <v>1044</v>
      </c>
      <c r="E1045" s="31" t="str">
        <f t="shared" si="88"/>
        <v>E5_4_99_9</v>
      </c>
      <c r="F1045" s="31" t="s">
        <v>11251</v>
      </c>
      <c r="G1045" s="31" t="str">
        <f t="shared" si="93"/>
        <v xml:space="preserve">	
C00052</v>
      </c>
      <c r="H1045" s="31" t="s">
        <v>11252</v>
      </c>
      <c r="I1045" s="31" t="str">
        <f t="shared" si="92"/>
        <v> C03733</v>
      </c>
      <c r="J1045" s="31" t="str">
        <f t="shared" si="90"/>
        <v>(${Variables: E5_4_99_9_Kcat } * E5_4_99_9 * 	
C00052) /(${Variables:E5_4_99_9_Km} + (E5_4_99_9 * 	
C00052))</v>
      </c>
      <c r="K1045" s="31" t="str">
        <f t="shared" si="91"/>
        <v>r1044: 	
C00052 -&gt;  C03733 | (${Variables: E5_4_99_9_Kcat } * E5_4_99_9 * 	
C00052) /(${Variables:E5_4_99_9_Km} + (E5_4_99_9 * 	
C00052))</v>
      </c>
    </row>
    <row r="1046" spans="1:11" ht="58" x14ac:dyDescent="0.35">
      <c r="A1046" s="31" t="s">
        <v>7880</v>
      </c>
      <c r="B1046" s="31" t="s">
        <v>7881</v>
      </c>
      <c r="C1046" s="31" t="s">
        <v>14316</v>
      </c>
      <c r="D1046" s="31">
        <v>1045</v>
      </c>
      <c r="E1046" s="31" t="str">
        <f t="shared" si="88"/>
        <v>E5_4_99_9</v>
      </c>
      <c r="F1046" s="31" t="s">
        <v>11254</v>
      </c>
      <c r="G1046" s="31" t="str">
        <f t="shared" si="93"/>
        <v xml:space="preserve">	
C00935</v>
      </c>
      <c r="H1046" s="31" t="s">
        <v>11255</v>
      </c>
      <c r="I1046" s="31" t="str">
        <f t="shared" si="92"/>
        <v> C18094</v>
      </c>
      <c r="J1046" s="31" t="str">
        <f t="shared" si="90"/>
        <v>(${Variables: E5_4_99_9_Kcat } * E5_4_99_9 * 	
C00935) /(${Variables:E5_4_99_9_Km} + (E5_4_99_9 * 	
C00935))</v>
      </c>
      <c r="K1046" s="31" t="str">
        <f t="shared" si="91"/>
        <v>r1045: 	
C00935 -&gt;  C18094 | (${Variables: E5_4_99_9_Kcat } * E5_4_99_9 * 	
C00935) /(${Variables:E5_4_99_9_Km} + (E5_4_99_9 * 	
C00935))</v>
      </c>
    </row>
    <row r="1047" spans="1:11" ht="58" x14ac:dyDescent="0.35">
      <c r="A1047" s="31" t="s">
        <v>5645</v>
      </c>
      <c r="B1047" s="31" t="s">
        <v>5646</v>
      </c>
      <c r="C1047" s="31" t="s">
        <v>14317</v>
      </c>
      <c r="D1047" s="31">
        <v>1046</v>
      </c>
      <c r="E1047" s="31" t="str">
        <f t="shared" si="88"/>
        <v>E5_5_1_2</v>
      </c>
      <c r="F1047" s="31" t="s">
        <v>11258</v>
      </c>
      <c r="G1047" s="31" t="str">
        <f t="shared" si="93"/>
        <v xml:space="preserve">	
C01278 </v>
      </c>
      <c r="H1047" s="31" t="s">
        <v>8908</v>
      </c>
      <c r="I1047" s="31" t="str">
        <f t="shared" si="92"/>
        <v> C01163</v>
      </c>
      <c r="J1047" s="31" t="str">
        <f t="shared" si="90"/>
        <v>(${Variables: E5_5_1_2_Kcat } * E5_5_1_2 * 	
C01278 ) /(${Variables:E5_5_1_2_Km} + (E5_5_1_2 * 	
C01278 ))</v>
      </c>
      <c r="K1047" s="31" t="str">
        <f t="shared" si="91"/>
        <v>r1046: 	
C01278  -&gt;  C01163 | (${Variables: E5_5_1_2_Kcat } * E5_5_1_2 * 	
C01278 ) /(${Variables:E5_5_1_2_Km} + (E5_5_1_2 * 	
C01278 ))</v>
      </c>
    </row>
    <row r="1048" spans="1:11" ht="58" x14ac:dyDescent="0.35">
      <c r="A1048" s="31" t="s">
        <v>6608</v>
      </c>
      <c r="B1048" s="31" t="s">
        <v>6609</v>
      </c>
      <c r="C1048" s="31" t="s">
        <v>14317</v>
      </c>
      <c r="D1048" s="31">
        <v>1047</v>
      </c>
      <c r="E1048" s="31" t="str">
        <f t="shared" si="88"/>
        <v>E5_5_1_2</v>
      </c>
      <c r="F1048" s="31" t="s">
        <v>11258</v>
      </c>
      <c r="G1048" s="31" t="str">
        <f t="shared" si="93"/>
        <v xml:space="preserve">	
C01278 </v>
      </c>
      <c r="H1048" s="31" t="s">
        <v>8908</v>
      </c>
      <c r="I1048" s="31" t="str">
        <f t="shared" si="92"/>
        <v> C01163</v>
      </c>
      <c r="J1048" s="31" t="str">
        <f t="shared" si="90"/>
        <v>(${Variables: E5_5_1_2_Kcat } * E5_5_1_2 * 	
C01278 ) /(${Variables:E5_5_1_2_Km} + (E5_5_1_2 * 	
C01278 ))</v>
      </c>
      <c r="K1048" s="31" t="str">
        <f t="shared" si="91"/>
        <v>r1047: 	
C01278  -&gt;  C01163 | (${Variables: E5_5_1_2_Kcat } * E5_5_1_2 * 	
C01278 ) /(${Variables:E5_5_1_2_Km} + (E5_5_1_2 * 	
C01278 ))</v>
      </c>
    </row>
    <row r="1049" spans="1:11" ht="58" x14ac:dyDescent="0.35">
      <c r="A1049" s="31" t="s">
        <v>8148</v>
      </c>
      <c r="B1049" s="31" t="s">
        <v>8149</v>
      </c>
      <c r="C1049" s="31" t="s">
        <v>14318</v>
      </c>
      <c r="D1049" s="31">
        <v>1048</v>
      </c>
      <c r="E1049" s="31" t="str">
        <f t="shared" si="88"/>
        <v>E5_5_1_4</v>
      </c>
      <c r="F1049" s="31" t="s">
        <v>11171</v>
      </c>
      <c r="G1049" s="31" t="str">
        <f t="shared" si="93"/>
        <v xml:space="preserve">	
C00092</v>
      </c>
      <c r="H1049" s="31" t="s">
        <v>11261</v>
      </c>
      <c r="I1049" s="31" t="str">
        <f t="shared" si="92"/>
        <v> C04006</v>
      </c>
      <c r="J1049" s="31" t="str">
        <f t="shared" si="90"/>
        <v>(${Variables: E5_5_1_4_Kcat } * E5_5_1_4 * 	
C00092) /(${Variables:E5_5_1_4_Km} + (E5_5_1_4 * 	
C00092))</v>
      </c>
      <c r="K1049" s="31" t="str">
        <f t="shared" si="91"/>
        <v>r1048: 	
C00092 -&gt;  C04006 | (${Variables: E5_5_1_4_Kcat } * E5_5_1_4 * 	
C00092) /(${Variables:E5_5_1_4_Km} + (E5_5_1_4 * 	
C00092))</v>
      </c>
    </row>
    <row r="1050" spans="1:11" ht="29" x14ac:dyDescent="0.35">
      <c r="A1050" s="31" t="s">
        <v>4222</v>
      </c>
      <c r="B1050" s="31" t="s">
        <v>4223</v>
      </c>
      <c r="C1050" s="31" t="s">
        <v>14319</v>
      </c>
      <c r="D1050" s="31">
        <v>1049</v>
      </c>
      <c r="E1050" s="31" t="str">
        <f t="shared" si="88"/>
        <v>E5_6_1_5</v>
      </c>
      <c r="F1050" s="31" t="s">
        <v>11263</v>
      </c>
      <c r="G1050" s="31" t="str">
        <f t="shared" si="93"/>
        <v>C00002 * C00001 * C00403</v>
      </c>
      <c r="H1050" s="31" t="s">
        <v>10745</v>
      </c>
      <c r="I1050" s="31" t="str">
        <f t="shared" si="92"/>
        <v>C00008 * C00009</v>
      </c>
      <c r="J1050" s="31" t="str">
        <f t="shared" si="90"/>
        <v>(${Variables: E5_6_1_5_Kcat } * E5_6_1_5 * C00002 * C00001 * C00403) /(${Variables:E5_6_1_5_Km} + (E5_6_1_5 * C00002 * C00001 * C00403))</v>
      </c>
      <c r="K1050" s="31" t="str">
        <f t="shared" si="91"/>
        <v>r1049: C00002 + C00001 + C00403 -&gt; C00008 + C00009 | (${Variables: E5_6_1_5_Kcat } * E5_6_1_5 * C00002 * C00001 * C00403) /(${Variables:E5_6_1_5_Km} + (E5_6_1_5 * C00002 * C00001 * C00403))</v>
      </c>
    </row>
    <row r="1051" spans="1:11" ht="58" x14ac:dyDescent="0.35">
      <c r="A1051" s="31" t="s">
        <v>3968</v>
      </c>
      <c r="B1051" s="31" t="s">
        <v>3969</v>
      </c>
      <c r="C1051" s="31" t="s">
        <v>14320</v>
      </c>
      <c r="D1051" s="31">
        <v>1050</v>
      </c>
      <c r="E1051" s="31" t="str">
        <f t="shared" si="88"/>
        <v>E6_1_1_1</v>
      </c>
      <c r="F1051" s="31" t="s">
        <v>11268</v>
      </c>
      <c r="G1051" s="31" t="str">
        <f t="shared" si="93"/>
        <v xml:space="preserve">	
C00002 * C00082 * C00787</v>
      </c>
      <c r="H1051" s="31" t="s">
        <v>11269</v>
      </c>
      <c r="I1051" s="31" t="str">
        <f t="shared" si="92"/>
        <v>C00020 * C00013 * C02839</v>
      </c>
      <c r="J1051" s="31" t="str">
        <f t="shared" si="90"/>
        <v>(${Variables: E6_1_1_1_Kcat } * E6_1_1_1 * 	
C00002 * C00082 * C00787) /(${Variables:E6_1_1_1_Km} + (E6_1_1_1 * 	
C00002 * C00082 * C00787))</v>
      </c>
      <c r="K1051" s="32" t="str">
        <f t="shared" si="91"/>
        <v>r1050: 	
C00002 + C00082 + C00787 -&gt; C00020 + C00013 + C02839 | (${Variables: E6_1_1_1_Kcat } * E6_1_1_1 * 	
C00002 * C00082 * C00787) /(${Variables:E6_1_1_1_Km} + (E6_1_1_1 * 	
C00002 * C00082 * C00787))</v>
      </c>
    </row>
    <row r="1052" spans="1:11" ht="58" x14ac:dyDescent="0.35">
      <c r="A1052" s="31" t="s">
        <v>2590</v>
      </c>
      <c r="B1052" s="31" t="s">
        <v>2591</v>
      </c>
      <c r="C1052" s="31" t="s">
        <v>14321</v>
      </c>
      <c r="D1052" s="31">
        <v>1051</v>
      </c>
      <c r="E1052" s="31" t="str">
        <f t="shared" si="88"/>
        <v>E6_1_1_10</v>
      </c>
      <c r="F1052" s="31" t="s">
        <v>11272</v>
      </c>
      <c r="G1052" s="31" t="str">
        <f t="shared" si="93"/>
        <v xml:space="preserve">	
C00002 * C00073 * C01647</v>
      </c>
      <c r="H1052" s="31" t="s">
        <v>11273</v>
      </c>
      <c r="I1052" s="31" t="str">
        <f t="shared" si="92"/>
        <v>C00020 * C00013 * C02430</v>
      </c>
      <c r="J1052" s="31" t="str">
        <f t="shared" si="90"/>
        <v>(${Variables: E6_1_1_10_Kcat } * E6_1_1_10 * 	
C00002 * C00073 * C01647) /(${Variables:E6_1_1_10_Km} + (E6_1_1_10 * 	
C00002 * C00073 * C01647))</v>
      </c>
      <c r="K1052" s="32" t="str">
        <f t="shared" si="91"/>
        <v>r1051: 	
C00002 + C00073 + C01647 -&gt; C00020 + C00013 + C02430 | (${Variables: E6_1_1_10_Kcat } * E6_1_1_10 * 	
C00002 * C00073 * C01647) /(${Variables:E6_1_1_10_Km} + (E6_1_1_10 * 	
C00002 * C00073 * C01647))</v>
      </c>
    </row>
    <row r="1053" spans="1:11" ht="29" x14ac:dyDescent="0.35">
      <c r="A1053" s="31" t="s">
        <v>2590</v>
      </c>
      <c r="B1053" s="31" t="s">
        <v>2591</v>
      </c>
      <c r="C1053" s="31" t="s">
        <v>14321</v>
      </c>
      <c r="D1053" s="31">
        <v>1052</v>
      </c>
      <c r="E1053" s="31" t="str">
        <f t="shared" si="88"/>
        <v>E6_1_1_10</v>
      </c>
      <c r="F1053" s="31" t="s">
        <v>11275</v>
      </c>
      <c r="G1053" s="31" t="str">
        <f t="shared" si="93"/>
        <v xml:space="preserve">C00002 * C05335 * C01647 </v>
      </c>
      <c r="H1053" s="31" t="s">
        <v>11276</v>
      </c>
      <c r="I1053" s="31" t="str">
        <f t="shared" si="92"/>
        <v>C00020 * C00013 * C05336</v>
      </c>
      <c r="J1053" s="31" t="str">
        <f t="shared" si="90"/>
        <v>(${Variables: E6_1_1_10_Kcat } * E6_1_1_10 * C00002 * C05335 * C01647 ) /(${Variables:E6_1_1_10_Km} + (E6_1_1_10 * C00002 * C05335 * C01647 ))</v>
      </c>
      <c r="K1053" s="32" t="str">
        <f t="shared" si="91"/>
        <v>r1052: C00002 + C05335 + C01647  -&gt; C00020 + C00013 + C05336 | (${Variables: E6_1_1_10_Kcat } * E6_1_1_10 * C00002 * C05335 * C01647 ) /(${Variables:E6_1_1_10_Km} + (E6_1_1_10 * C00002 * C05335 * C01647 ))</v>
      </c>
    </row>
    <row r="1054" spans="1:11" ht="29" x14ac:dyDescent="0.35">
      <c r="A1054" s="31" t="s">
        <v>7894</v>
      </c>
      <c r="B1054" s="31" t="s">
        <v>7895</v>
      </c>
      <c r="C1054" s="31" t="s">
        <v>14322</v>
      </c>
      <c r="D1054" s="31">
        <v>1053</v>
      </c>
      <c r="E1054" s="31" t="str">
        <f t="shared" si="88"/>
        <v>E6_1_1_11</v>
      </c>
      <c r="F1054" s="31" t="s">
        <v>11279</v>
      </c>
      <c r="G1054" s="31" t="str">
        <f t="shared" si="93"/>
        <v xml:space="preserve">C00002 * C00065 * C01650 </v>
      </c>
      <c r="H1054" s="31" t="s">
        <v>11280</v>
      </c>
      <c r="I1054" s="31" t="str">
        <f t="shared" si="92"/>
        <v>C00020 * C00013 * C02553</v>
      </c>
      <c r="J1054" s="31" t="str">
        <f t="shared" si="90"/>
        <v>(${Variables: E6_1_1_11_Kcat } * E6_1_1_11 * C00002 * C00065 * C01650 ) /(${Variables:E6_1_1_11_Km} + (E6_1_1_11 * C00002 * C00065 * C01650 ))</v>
      </c>
      <c r="K1054" s="32" t="str">
        <f t="shared" si="91"/>
        <v>r1053: C00002 + C00065 + C01650  -&gt; C00020 + C00013 + C02553 | (${Variables: E6_1_1_11_Kcat } * E6_1_1_11 * C00002 * C00065 * C01650 ) /(${Variables:E6_1_1_11_Km} + (E6_1_1_11 * C00002 * C00065 * C01650 ))</v>
      </c>
    </row>
    <row r="1055" spans="1:11" ht="29" x14ac:dyDescent="0.35">
      <c r="A1055" s="31" t="s">
        <v>7894</v>
      </c>
      <c r="B1055" s="31" t="s">
        <v>7895</v>
      </c>
      <c r="C1055" s="31" t="s">
        <v>14322</v>
      </c>
      <c r="D1055" s="31">
        <v>1054</v>
      </c>
      <c r="E1055" s="31" t="str">
        <f t="shared" si="88"/>
        <v>E6_1_1_11</v>
      </c>
      <c r="F1055" s="31" t="s">
        <v>11282</v>
      </c>
      <c r="G1055" s="31" t="str">
        <f t="shared" si="93"/>
        <v xml:space="preserve">C00002 * C00065 * C16636 </v>
      </c>
      <c r="H1055" s="31" t="s">
        <v>11283</v>
      </c>
      <c r="I1055" s="31" t="str">
        <f t="shared" si="92"/>
        <v>C00020 * C00013 * C06481</v>
      </c>
      <c r="J1055" s="31" t="str">
        <f t="shared" si="90"/>
        <v>(${Variables: E6_1_1_11_Kcat } * E6_1_1_11 * C00002 * C00065 * C16636 ) /(${Variables:E6_1_1_11_Km} + (E6_1_1_11 * C00002 * C00065 * C16636 ))</v>
      </c>
      <c r="K1055" s="32" t="str">
        <f t="shared" si="91"/>
        <v>r1054: C00002 + C00065 + C16636  -&gt; C00020 + C00013 + C06481 | (${Variables: E6_1_1_11_Kcat } * E6_1_1_11 * C00002 * C00065 * C16636 ) /(${Variables:E6_1_1_11_Km} + (E6_1_1_11 * C00002 * C00065 * C16636 ))</v>
      </c>
    </row>
    <row r="1056" spans="1:11" ht="29" x14ac:dyDescent="0.35">
      <c r="A1056" s="31" t="s">
        <v>4637</v>
      </c>
      <c r="B1056" s="31" t="s">
        <v>4638</v>
      </c>
      <c r="C1056" s="31" t="s">
        <v>14323</v>
      </c>
      <c r="D1056" s="31">
        <v>1055</v>
      </c>
      <c r="E1056" s="31" t="str">
        <f t="shared" si="88"/>
        <v>E6_1_1_12</v>
      </c>
      <c r="F1056" s="31" t="s">
        <v>11286</v>
      </c>
      <c r="G1056" s="31" t="str">
        <f t="shared" si="93"/>
        <v>C01638 * C00049 * C00002</v>
      </c>
      <c r="H1056" s="31" t="s">
        <v>11287</v>
      </c>
      <c r="I1056" s="31" t="str">
        <f t="shared" si="92"/>
        <v>C02984 * C00013 * C00020</v>
      </c>
      <c r="J1056" s="31" t="str">
        <f t="shared" si="90"/>
        <v>(${Variables: E6_1_1_12_Kcat } * E6_1_1_12 * C01638 * C00049 * C00002) /(${Variables:E6_1_1_12_Km} + (E6_1_1_12 * C01638 * C00049 * C00002))</v>
      </c>
      <c r="K1056" s="32" t="str">
        <f t="shared" si="91"/>
        <v>r1055: C01638 + C00049 + C00002 -&gt; C02984 + C00013 + C00020 | (${Variables: E6_1_1_12_Kcat } * E6_1_1_12 * C01638 * C00049 * C00002) /(${Variables:E6_1_1_12_Km} + (E6_1_1_12 * C01638 * C00049 * C00002))</v>
      </c>
    </row>
    <row r="1057" spans="1:11" ht="58" x14ac:dyDescent="0.35">
      <c r="A1057" s="31" t="s">
        <v>6275</v>
      </c>
      <c r="B1057" s="31" t="s">
        <v>6276</v>
      </c>
      <c r="C1057" s="31" t="s">
        <v>14324</v>
      </c>
      <c r="D1057" s="31">
        <v>1056</v>
      </c>
      <c r="E1057" s="31" t="str">
        <f t="shared" si="88"/>
        <v>E6_1_1_14</v>
      </c>
      <c r="F1057" s="31" t="s">
        <v>11290</v>
      </c>
      <c r="G1057" s="31" t="str">
        <f t="shared" si="93"/>
        <v xml:space="preserve">	
C00002 * C00037 * C01642</v>
      </c>
      <c r="H1057" s="31" t="s">
        <v>11291</v>
      </c>
      <c r="I1057" s="31" t="str">
        <f t="shared" si="92"/>
        <v> C00020 * C00013 * C02412</v>
      </c>
      <c r="J1057" s="31" t="str">
        <f t="shared" si="90"/>
        <v>(${Variables: E6_1_1_14_Kcat } * E6_1_1_14 * 	
C00002 * C00037 * C01642) /(${Variables:E6_1_1_14_Km} + (E6_1_1_14 * 	
C00002 * C00037 * C01642))</v>
      </c>
      <c r="K1057" s="32" t="str">
        <f t="shared" si="91"/>
        <v>r1056: 	
C00002 + C00037 + C01642 -&gt;  C00020 + C00013 + C02412 | (${Variables: E6_1_1_14_Kcat } * E6_1_1_14 * 	
C00002 * C00037 * C01642) /(${Variables:E6_1_1_14_Km} + (E6_1_1_14 * 	
C00002 * C00037 * C01642))</v>
      </c>
    </row>
    <row r="1058" spans="1:11" ht="29" x14ac:dyDescent="0.35">
      <c r="A1058" s="31" t="s">
        <v>5498</v>
      </c>
      <c r="B1058" s="31" t="s">
        <v>5499</v>
      </c>
      <c r="C1058" s="31" t="s">
        <v>14325</v>
      </c>
      <c r="D1058" s="31">
        <v>1057</v>
      </c>
      <c r="E1058" s="31" t="str">
        <f t="shared" si="88"/>
        <v>E6_1_1_15</v>
      </c>
      <c r="F1058" s="31" t="s">
        <v>11294</v>
      </c>
      <c r="G1058" s="31" t="str">
        <f t="shared" si="93"/>
        <v>C00002 * C00148 * C01649</v>
      </c>
      <c r="H1058" s="31" t="s">
        <v>11295</v>
      </c>
      <c r="I1058" s="31" t="str">
        <f t="shared" si="92"/>
        <v>C00020 * C00013 * C02702</v>
      </c>
      <c r="J1058" s="31" t="str">
        <f t="shared" si="90"/>
        <v>(${Variables: E6_1_1_15_Kcat } * E6_1_1_15 * C00002 * C00148 * C01649) /(${Variables:E6_1_1_15_Km} + (E6_1_1_15 * C00002 * C00148 * C01649))</v>
      </c>
      <c r="K1058" s="32" t="str">
        <f t="shared" si="91"/>
        <v>r1057: C00002 + C00148 + C01649 -&gt; C00020 + C00013 + C02702 | (${Variables: E6_1_1_15_Kcat } * E6_1_1_15 * C00002 * C00148 * C01649) /(${Variables:E6_1_1_15_Km} + (E6_1_1_15 * C00002 * C00148 * C01649))</v>
      </c>
    </row>
    <row r="1059" spans="1:11" ht="29" x14ac:dyDescent="0.35">
      <c r="A1059" s="31" t="s">
        <v>7262</v>
      </c>
      <c r="B1059" s="31" t="s">
        <v>7263</v>
      </c>
      <c r="C1059" s="31" t="s">
        <v>14326</v>
      </c>
      <c r="D1059" s="31">
        <v>1058</v>
      </c>
      <c r="E1059" s="31" t="str">
        <f t="shared" si="88"/>
        <v>E6_1_1_16</v>
      </c>
      <c r="F1059" s="31" t="s">
        <v>11298</v>
      </c>
      <c r="G1059" s="31" t="str">
        <f t="shared" si="93"/>
        <v xml:space="preserve">C00002 * C00097 * C01639 </v>
      </c>
      <c r="H1059" s="31" t="s">
        <v>11299</v>
      </c>
      <c r="I1059" s="31" t="str">
        <f t="shared" si="92"/>
        <v> C00020 * C00013 * C03125</v>
      </c>
      <c r="J1059" s="31" t="str">
        <f t="shared" si="90"/>
        <v>(${Variables: E6_1_1_16_Kcat } * E6_1_1_16 * C00002 * C00097 * C01639 ) /(${Variables:E6_1_1_16_Km} + (E6_1_1_16 * C00002 * C00097 * C01639 ))</v>
      </c>
      <c r="K1059" s="32" t="str">
        <f t="shared" si="91"/>
        <v>r1058: C00002 + C00097 + C01639  -&gt;  C00020 + C00013 + C03125 | (${Variables: E6_1_1_16_Kcat } * E6_1_1_16 * C00002 * C00097 * C01639 ) /(${Variables:E6_1_1_16_Km} + (E6_1_1_16 * C00002 * C00097 * C01639 ))</v>
      </c>
    </row>
    <row r="1060" spans="1:11" ht="29" x14ac:dyDescent="0.35">
      <c r="A1060" s="31" t="s">
        <v>3668</v>
      </c>
      <c r="B1060" s="31" t="s">
        <v>3669</v>
      </c>
      <c r="C1060" s="31" t="s">
        <v>14327</v>
      </c>
      <c r="D1060" s="31">
        <v>1059</v>
      </c>
      <c r="E1060" s="31" t="str">
        <f t="shared" si="88"/>
        <v>E6_1_1_17</v>
      </c>
      <c r="F1060" s="31" t="s">
        <v>11302</v>
      </c>
      <c r="G1060" s="31" t="str">
        <f t="shared" si="93"/>
        <v>C01641 * C00025 * C00002</v>
      </c>
      <c r="H1060" s="31" t="s">
        <v>11303</v>
      </c>
      <c r="I1060" s="31" t="str">
        <f t="shared" si="92"/>
        <v>C02987 * C00013 * C00020</v>
      </c>
      <c r="J1060" s="31" t="str">
        <f t="shared" si="90"/>
        <v>(${Variables: E6_1_1_17_Kcat } * E6_1_1_17 * C01641 * C00025 * C00002) /(${Variables:E6_1_1_17_Km} + (E6_1_1_17 * C01641 * C00025 * C00002))</v>
      </c>
      <c r="K1060" s="32" t="str">
        <f t="shared" si="91"/>
        <v>r1059: C01641 + C00025 + C00002 -&gt; C02987 + C00013 + C00020 | (${Variables: E6_1_1_17_Kcat } * E6_1_1_17 * C01641 * C00025 * C00002) /(${Variables:E6_1_1_17_Km} + (E6_1_1_17 * C01641 * C00025 * C00002))</v>
      </c>
    </row>
    <row r="1061" spans="1:11" ht="29" x14ac:dyDescent="0.35">
      <c r="A1061" s="31" t="s">
        <v>3353</v>
      </c>
      <c r="B1061" s="31" t="s">
        <v>3354</v>
      </c>
      <c r="C1061" s="31" t="s">
        <v>14328</v>
      </c>
      <c r="D1061" s="31">
        <v>1060</v>
      </c>
      <c r="E1061" s="31" t="str">
        <f t="shared" si="88"/>
        <v>E6_1_1_19</v>
      </c>
      <c r="F1061" s="31" t="s">
        <v>11306</v>
      </c>
      <c r="G1061" s="31" t="str">
        <f t="shared" si="93"/>
        <v>C00002 * C00062 * C01636</v>
      </c>
      <c r="H1061" s="31" t="s">
        <v>11307</v>
      </c>
      <c r="I1061" s="31" t="str">
        <f t="shared" si="92"/>
        <v>C00020 * C00013 * C02163</v>
      </c>
      <c r="J1061" s="31" t="str">
        <f t="shared" si="90"/>
        <v>(${Variables: E6_1_1_19_Kcat } * E6_1_1_19 * C00002 * C00062 * C01636) /(${Variables:E6_1_1_19_Km} + (E6_1_1_19 * C00002 * C00062 * C01636))</v>
      </c>
      <c r="K1061" s="32" t="str">
        <f t="shared" si="91"/>
        <v>r1060: C00002 + C00062 + C01636 -&gt; C00020 + C00013 + C02163 | (${Variables: E6_1_1_19_Kcat } * E6_1_1_19 * C00002 * C00062 * C01636) /(${Variables:E6_1_1_19_Km} + (E6_1_1_19 * C00002 * C00062 * C01636))</v>
      </c>
    </row>
    <row r="1062" spans="1:11" ht="29" x14ac:dyDescent="0.35">
      <c r="A1062" s="31" t="s">
        <v>1965</v>
      </c>
      <c r="B1062" s="31" t="s">
        <v>1966</v>
      </c>
      <c r="C1062" s="31" t="s">
        <v>14329</v>
      </c>
      <c r="D1062" s="31">
        <v>1061</v>
      </c>
      <c r="E1062" s="31" t="str">
        <f t="shared" si="88"/>
        <v>E6_1_1_2</v>
      </c>
      <c r="F1062" s="31" t="s">
        <v>11310</v>
      </c>
      <c r="G1062" s="31" t="str">
        <f t="shared" si="93"/>
        <v>C00002 * C00078 * C01652</v>
      </c>
      <c r="H1062" s="31" t="s">
        <v>11311</v>
      </c>
      <c r="I1062" s="31" t="str">
        <f t="shared" si="92"/>
        <v>C00020 * C00013 * C03512</v>
      </c>
      <c r="J1062" s="31" t="str">
        <f t="shared" si="90"/>
        <v>(${Variables: E6_1_1_2_Kcat } * E6_1_1_2 * C00002 * C00078 * C01652) /(${Variables:E6_1_1_2_Km} + (E6_1_1_2 * C00002 * C00078 * C01652))</v>
      </c>
      <c r="K1062" s="31" t="str">
        <f t="shared" si="91"/>
        <v>r1061: C00002 + C00078 + C01652 -&gt; C00020 + C00013 + C03512 | (${Variables: E6_1_1_2_Kcat } * E6_1_1_2 * C00002 * C00078 * C01652) /(${Variables:E6_1_1_2_Km} + (E6_1_1_2 * C00002 * C00078 * C01652))</v>
      </c>
    </row>
    <row r="1063" spans="1:11" ht="58" x14ac:dyDescent="0.35">
      <c r="A1063" s="31" t="s">
        <v>3917</v>
      </c>
      <c r="B1063" s="31" t="s">
        <v>3918</v>
      </c>
      <c r="C1063" s="31" t="s">
        <v>14330</v>
      </c>
      <c r="D1063" s="31">
        <v>1062</v>
      </c>
      <c r="E1063" s="31" t="str">
        <f t="shared" si="88"/>
        <v>E6_1_1_20</v>
      </c>
      <c r="F1063" s="31" t="s">
        <v>11314</v>
      </c>
      <c r="G1063" s="31" t="str">
        <f t="shared" si="93"/>
        <v xml:space="preserve">	
C00002 * C00079 * C01648</v>
      </c>
      <c r="H1063" s="31" t="s">
        <v>11315</v>
      </c>
      <c r="I1063" s="31" t="str">
        <f t="shared" si="92"/>
        <v>C00020 * C00013 * C03511</v>
      </c>
      <c r="J1063" s="31" t="str">
        <f t="shared" si="90"/>
        <v>(${Variables: E6_1_1_20_Kcat } * E6_1_1_20 * 	
C00002 * C00079 * C01648) /(${Variables:E6_1_1_20_Km} + (E6_1_1_20 * 	
C00002 * C00079 * C01648))</v>
      </c>
      <c r="K1063" s="32" t="str">
        <f t="shared" si="91"/>
        <v>r1062: 	
C00002 + C00079 + C01648 -&gt; C00020 + C00013 + C03511 | (${Variables: E6_1_1_20_Kcat } * E6_1_1_20 * 	
C00002 * C00079 * C01648) /(${Variables:E6_1_1_20_Km} + (E6_1_1_20 * 	
C00002 * C00079 * C01648))</v>
      </c>
    </row>
    <row r="1064" spans="1:11" ht="58" x14ac:dyDescent="0.35">
      <c r="A1064" s="31" t="s">
        <v>3921</v>
      </c>
      <c r="B1064" s="31" t="s">
        <v>3922</v>
      </c>
      <c r="C1064" s="31" t="s">
        <v>14330</v>
      </c>
      <c r="D1064" s="31">
        <v>1063</v>
      </c>
      <c r="E1064" s="31" t="str">
        <f t="shared" si="88"/>
        <v>E6_1_1_20</v>
      </c>
      <c r="F1064" s="31" t="s">
        <v>11314</v>
      </c>
      <c r="G1064" s="31" t="str">
        <f t="shared" si="93"/>
        <v xml:space="preserve">	
C00002 * C00079 * C01648</v>
      </c>
      <c r="H1064" s="31" t="s">
        <v>11315</v>
      </c>
      <c r="I1064" s="31" t="str">
        <f t="shared" si="92"/>
        <v>C00020 * C00013 * C03511</v>
      </c>
      <c r="J1064" s="31" t="str">
        <f t="shared" si="90"/>
        <v>(${Variables: E6_1_1_20_Kcat } * E6_1_1_20 * 	
C00002 * C00079 * C01648) /(${Variables:E6_1_1_20_Km} + (E6_1_1_20 * 	
C00002 * C00079 * C01648))</v>
      </c>
      <c r="K1064" s="32" t="str">
        <f t="shared" si="91"/>
        <v>r1063: 	
C00002 + C00079 + C01648 -&gt; C00020 + C00013 + C03511 | (${Variables: E6_1_1_20_Kcat } * E6_1_1_20 * 	
C00002 * C00079 * C01648) /(${Variables:E6_1_1_20_Km} + (E6_1_1_20 * 	
C00002 * C00079 * C01648))</v>
      </c>
    </row>
    <row r="1065" spans="1:11" ht="58" x14ac:dyDescent="0.35">
      <c r="A1065" s="31" t="s">
        <v>4664</v>
      </c>
      <c r="B1065" s="31" t="s">
        <v>4665</v>
      </c>
      <c r="C1065" s="31" t="s">
        <v>14331</v>
      </c>
      <c r="D1065" s="31">
        <v>1064</v>
      </c>
      <c r="E1065" s="31" t="str">
        <f t="shared" si="88"/>
        <v>E6_1_1_21</v>
      </c>
      <c r="F1065" s="31" t="s">
        <v>11318</v>
      </c>
      <c r="G1065" s="31" t="str">
        <f t="shared" si="93"/>
        <v xml:space="preserve">	
C00002 * C00135 * C01643</v>
      </c>
      <c r="H1065" s="31" t="s">
        <v>11319</v>
      </c>
      <c r="I1065" s="31" t="str">
        <f t="shared" si="92"/>
        <v>C00020 * C00013 * C02988</v>
      </c>
      <c r="J1065" s="31" t="str">
        <f t="shared" si="90"/>
        <v>(${Variables: E6_1_1_21_Kcat } * E6_1_1_21 * 	
C00002 * C00135 * C01643) /(${Variables:E6_1_1_21_Km} + (E6_1_1_21 * 	
C00002 * C00135 * C01643))</v>
      </c>
      <c r="K1065" s="32" t="str">
        <f t="shared" si="91"/>
        <v>r1064: 	
C00002 + C00135 + C01643 -&gt; C00020 + C00013 + C02988 | (${Variables: E6_1_1_21_Kcat } * E6_1_1_21 * 	
C00002 * C00135 * C01643) /(${Variables:E6_1_1_21_Km} + (E6_1_1_21 * 	
C00002 * C00135 * C01643))</v>
      </c>
    </row>
    <row r="1066" spans="1:11" ht="58" x14ac:dyDescent="0.35">
      <c r="A1066" s="31" t="s">
        <v>4732</v>
      </c>
      <c r="B1066" s="31" t="s">
        <v>4733</v>
      </c>
      <c r="C1066" s="31" t="s">
        <v>14332</v>
      </c>
      <c r="D1066" s="31">
        <v>1065</v>
      </c>
      <c r="E1066" s="31" t="str">
        <f t="shared" si="88"/>
        <v>E6_1_1_3</v>
      </c>
      <c r="F1066" s="31" t="s">
        <v>11322</v>
      </c>
      <c r="G1066" s="31" t="str">
        <f t="shared" si="93"/>
        <v xml:space="preserve">	
C00002 * C00188 * C01651 </v>
      </c>
      <c r="H1066" s="31" t="s">
        <v>11323</v>
      </c>
      <c r="I1066" s="31" t="str">
        <f t="shared" si="92"/>
        <v>C00020 * C00013 * C02992</v>
      </c>
      <c r="J1066" s="31" t="str">
        <f t="shared" si="90"/>
        <v>(${Variables: E6_1_1_3_Kcat } * E6_1_1_3 * 	
C00002 * C00188 * C01651 ) /(${Variables:E6_1_1_3_Km} + (E6_1_1_3 * 	
C00002 * C00188 * C01651 ))</v>
      </c>
      <c r="K1066" s="32" t="str">
        <f t="shared" si="91"/>
        <v>r1065: 	
C00002 + C00188 + C01651  -&gt; C00020 + C00013 + C02992 | (${Variables: E6_1_1_3_Kcat } * E6_1_1_3 * 	
C00002 * C00188 * C01651 ) /(${Variables:E6_1_1_3_Km} + (E6_1_1_3 * 	
C00002 * C00188 * C01651 ))</v>
      </c>
    </row>
    <row r="1067" spans="1:11" ht="29" x14ac:dyDescent="0.35">
      <c r="A1067" s="31" t="s">
        <v>8202</v>
      </c>
      <c r="B1067" s="31" t="s">
        <v>8203</v>
      </c>
      <c r="C1067" s="31" t="s">
        <v>14333</v>
      </c>
      <c r="D1067" s="31">
        <v>1066</v>
      </c>
      <c r="E1067" s="31" t="str">
        <f t="shared" si="88"/>
        <v>E6_1_1_4</v>
      </c>
      <c r="F1067" s="31" t="s">
        <v>11326</v>
      </c>
      <c r="G1067" s="31" t="str">
        <f t="shared" si="93"/>
        <v>C00002 * C00123 * C01645</v>
      </c>
      <c r="H1067" s="31" t="s">
        <v>11327</v>
      </c>
      <c r="I1067" s="31" t="str">
        <f t="shared" si="92"/>
        <v> C00020 * C00013 * C02047</v>
      </c>
      <c r="J1067" s="31" t="str">
        <f t="shared" si="90"/>
        <v>(${Variables: E6_1_1_4_Kcat } * E6_1_1_4 * C00002 * C00123 * C01645) /(${Variables:E6_1_1_4_Km} + (E6_1_1_4 * C00002 * C00123 * C01645))</v>
      </c>
      <c r="K1067" s="32" t="str">
        <f t="shared" si="91"/>
        <v>r1066: C00002 + C00123 + C01645 -&gt;  C00020 + C00013 + C02047 | (${Variables: E6_1_1_4_Kcat } * E6_1_1_4 * C00002 * C00123 * C01645) /(${Variables:E6_1_1_4_Km} + (E6_1_1_4 * C00002 * C00123 * C01645))</v>
      </c>
    </row>
    <row r="1068" spans="1:11" ht="58" x14ac:dyDescent="0.35">
      <c r="A1068" s="31" t="s">
        <v>5917</v>
      </c>
      <c r="B1068" s="31" t="s">
        <v>5918</v>
      </c>
      <c r="C1068" s="31" t="s">
        <v>14334</v>
      </c>
      <c r="D1068" s="31">
        <v>1067</v>
      </c>
      <c r="E1068" s="31" t="str">
        <f t="shared" si="88"/>
        <v>E6_1_1_5</v>
      </c>
      <c r="F1068" s="31" t="s">
        <v>11330</v>
      </c>
      <c r="G1068" s="31" t="str">
        <f t="shared" si="93"/>
        <v xml:space="preserve">	
C00002 * C00407 * C01644</v>
      </c>
      <c r="H1068" s="31" t="s">
        <v>11331</v>
      </c>
      <c r="I1068" s="31" t="str">
        <f t="shared" si="92"/>
        <v>C00020 * C00013 * C03127</v>
      </c>
      <c r="J1068" s="31" t="str">
        <f t="shared" si="90"/>
        <v>(${Variables: E6_1_1_5_Kcat } * E6_1_1_5 * 	
C00002 * C00407 * C01644) /(${Variables:E6_1_1_5_Km} + (E6_1_1_5 * 	
C00002 * C00407 * C01644))</v>
      </c>
      <c r="K1068" s="32" t="str">
        <f t="shared" si="91"/>
        <v>r1067: 	
C00002 + C00407 + C01644 -&gt; C00020 + C00013 + C03127 | (${Variables: E6_1_1_5_Kcat } * E6_1_1_5 * 	
C00002 * C00407 * C01644) /(${Variables:E6_1_1_5_Km} + (E6_1_1_5 * 	
C00002 * C00407 * C01644))</v>
      </c>
    </row>
    <row r="1069" spans="1:11" ht="58" x14ac:dyDescent="0.35">
      <c r="A1069" s="31" t="s">
        <v>7377</v>
      </c>
      <c r="B1069" s="31" t="s">
        <v>7378</v>
      </c>
      <c r="C1069" s="31" t="s">
        <v>14335</v>
      </c>
      <c r="D1069" s="31">
        <v>1068</v>
      </c>
      <c r="E1069" s="31" t="str">
        <f t="shared" si="88"/>
        <v>E6_1_1_6</v>
      </c>
      <c r="F1069" s="31" t="s">
        <v>11334</v>
      </c>
      <c r="G1069" s="31" t="str">
        <f t="shared" si="93"/>
        <v xml:space="preserve">	
C00002 * C00047 * C01646 </v>
      </c>
      <c r="H1069" s="31" t="s">
        <v>11335</v>
      </c>
      <c r="I1069" s="31" t="str">
        <f t="shared" si="92"/>
        <v> C00020 * C00013 * C01931</v>
      </c>
      <c r="J1069" s="31" t="str">
        <f t="shared" si="90"/>
        <v>(${Variables: E6_1_1_6_Kcat } * E6_1_1_6 * 	
C00002 * C00047 * C01646 ) /(${Variables:E6_1_1_6_Km} + (E6_1_1_6 * 	
C00002 * C00047 * C01646 ))</v>
      </c>
      <c r="K1069" s="32" t="str">
        <f t="shared" si="91"/>
        <v>r1068: 	
C00002 + C00047 + C01646  -&gt;  C00020 + C00013 + C01931 | (${Variables: E6_1_1_6_Kcat } * E6_1_1_6 * 	
C00002 * C00047 * C01646 ) /(${Variables:E6_1_1_6_Km} + (E6_1_1_6 * 	
C00002 * C00047 * C01646 ))</v>
      </c>
    </row>
    <row r="1070" spans="1:11" ht="58" x14ac:dyDescent="0.35">
      <c r="A1070" s="31" t="s">
        <v>4627</v>
      </c>
      <c r="B1070" s="31" t="s">
        <v>4628</v>
      </c>
      <c r="C1070" s="31" t="s">
        <v>14336</v>
      </c>
      <c r="D1070" s="31">
        <v>1069</v>
      </c>
      <c r="E1070" s="31" t="str">
        <f t="shared" si="88"/>
        <v>E6_1_1_7</v>
      </c>
      <c r="F1070" s="31" t="s">
        <v>11338</v>
      </c>
      <c r="G1070" s="31" t="str">
        <f t="shared" si="93"/>
        <v xml:space="preserve">	
C00002 * C00041 * C01635</v>
      </c>
      <c r="H1070" s="31" t="s">
        <v>11339</v>
      </c>
      <c r="I1070" s="31" t="str">
        <f t="shared" si="92"/>
        <v> C00020 * C00013 * C00886</v>
      </c>
      <c r="J1070" s="31" t="str">
        <f t="shared" si="90"/>
        <v>(${Variables: E6_1_1_7_Kcat } * E6_1_1_7 * 	
C00002 * C00041 * C01635) /(${Variables:E6_1_1_7_Km} + (E6_1_1_7 * 	
C00002 * C00041 * C01635))</v>
      </c>
      <c r="K1070" s="32" t="str">
        <f t="shared" si="91"/>
        <v>r1069: 	
C00002 + C00041 + C01635 -&gt;  C00020 + C00013 + C00886 | (${Variables: E6_1_1_7_Kcat } * E6_1_1_7 * 	
C00002 * C00041 * C01635) /(${Variables:E6_1_1_7_Km} + (E6_1_1_7 * 	
C00002 * C00041 * C01635))</v>
      </c>
    </row>
    <row r="1071" spans="1:11" ht="58" x14ac:dyDescent="0.35">
      <c r="A1071" s="31" t="s">
        <v>6551</v>
      </c>
      <c r="B1071" s="31" t="s">
        <v>6552</v>
      </c>
      <c r="C1071" s="31" t="s">
        <v>14337</v>
      </c>
      <c r="D1071" s="31">
        <v>1070</v>
      </c>
      <c r="E1071" s="31" t="str">
        <f t="shared" si="88"/>
        <v>E6_1_1_9</v>
      </c>
      <c r="F1071" s="31" t="s">
        <v>11342</v>
      </c>
      <c r="G1071" s="31" t="str">
        <f t="shared" si="93"/>
        <v xml:space="preserve">	
C00002 * C00183 * C01653</v>
      </c>
      <c r="H1071" s="31" t="s">
        <v>11343</v>
      </c>
      <c r="I1071" s="31" t="str">
        <f t="shared" si="92"/>
        <v>C00020 * C00013 * C02554</v>
      </c>
      <c r="J1071" s="31" t="str">
        <f t="shared" si="90"/>
        <v>(${Variables: E6_1_1_9_Kcat } * E6_1_1_9 * 	
C00002 * C00183 * C01653) /(${Variables:E6_1_1_9_Km} + (E6_1_1_9 * 	
C00002 * C00183 * C01653))</v>
      </c>
      <c r="K1071" s="32" t="str">
        <f t="shared" si="91"/>
        <v>r1070: 	
C00002 + C00183 + C01653 -&gt; C00020 + C00013 + C02554 | (${Variables: E6_1_1_9_Kcat } * E6_1_1_9 * 	
C00002 * C00183 * C01653) /(${Variables:E6_1_1_9_Km} + (E6_1_1_9 * 	
C00002 * C00183 * C01653))</v>
      </c>
    </row>
    <row r="1072" spans="1:11" ht="29" x14ac:dyDescent="0.35">
      <c r="A1072" s="31" t="s">
        <v>1313</v>
      </c>
      <c r="B1072" s="31" t="s">
        <v>1314</v>
      </c>
      <c r="C1072" s="31" t="s">
        <v>14338</v>
      </c>
      <c r="D1072" s="31">
        <v>1071</v>
      </c>
      <c r="E1072" s="31" t="str">
        <f t="shared" si="88"/>
        <v>E6_2_1_26</v>
      </c>
      <c r="F1072" s="31" t="s">
        <v>11346</v>
      </c>
      <c r="G1072" s="31" t="str">
        <f t="shared" si="93"/>
        <v>C00002 * C02730 * C00010</v>
      </c>
      <c r="H1072" s="31" t="s">
        <v>11347</v>
      </c>
      <c r="I1072" s="31" t="str">
        <f t="shared" si="92"/>
        <v>C00020 * C00013 * C03160</v>
      </c>
      <c r="J1072" s="31" t="str">
        <f t="shared" si="90"/>
        <v>(${Variables: E6_2_1_26_Kcat } * E6_2_1_26 * C00002 * C02730 * C00010) /(${Variables:E6_2_1_26_Km} + (E6_2_1_26 * C00002 * C02730 * C00010))</v>
      </c>
      <c r="K1072" s="32" t="str">
        <f t="shared" si="91"/>
        <v>r1071: C00002 + C02730 + C00010 -&gt; C00020 + C00013 + C03160 | (${Variables: E6_2_1_26_Kcat } * E6_2_1_26 * C00002 * C02730 * C00010) /(${Variables:E6_2_1_26_Km} + (E6_2_1_26 * C00002 * C02730 * C00010))</v>
      </c>
    </row>
    <row r="1073" spans="1:11" ht="58" x14ac:dyDescent="0.35">
      <c r="A1073" s="31" t="s">
        <v>7049</v>
      </c>
      <c r="B1073" s="31" t="s">
        <v>7050</v>
      </c>
      <c r="C1073" s="31" t="s">
        <v>14339</v>
      </c>
      <c r="D1073" s="31">
        <v>1072</v>
      </c>
      <c r="E1073" s="31" t="str">
        <f t="shared" si="88"/>
        <v>E6_2_1_5</v>
      </c>
      <c r="F1073" s="31" t="s">
        <v>11350</v>
      </c>
      <c r="G1073" s="31" t="str">
        <f t="shared" si="93"/>
        <v xml:space="preserve">	
C00002 * C00042 * C00010 </v>
      </c>
      <c r="H1073" s="31" t="s">
        <v>11351</v>
      </c>
      <c r="I1073" s="31" t="str">
        <f t="shared" si="92"/>
        <v> C00008 * C00009 * C00091</v>
      </c>
      <c r="J1073" s="31" t="str">
        <f t="shared" si="90"/>
        <v>(${Variables: E6_2_1_5_Kcat } * E6_2_1_5 * 	
C00002 * C00042 * C00010 ) /(${Variables:E6_2_1_5_Km} + (E6_2_1_5 * 	
C00002 * C00042 * C00010 ))</v>
      </c>
      <c r="K1073" s="32" t="str">
        <f t="shared" si="91"/>
        <v>r1072: 	
C00002 + C00042 + C00010  -&gt;  C00008 + C00009 + C00091 | (${Variables: E6_2_1_5_Kcat } * E6_2_1_5 * 	
C00002 * C00042 * C00010 ) /(${Variables:E6_2_1_5_Km} + (E6_2_1_5 * 	
C00002 * C00042 * C00010 ))</v>
      </c>
    </row>
    <row r="1074" spans="1:11" ht="58" x14ac:dyDescent="0.35">
      <c r="A1074" s="31" t="s">
        <v>7049</v>
      </c>
      <c r="B1074" s="31" t="s">
        <v>7050</v>
      </c>
      <c r="C1074" s="31" t="s">
        <v>14339</v>
      </c>
      <c r="D1074" s="31">
        <v>1073</v>
      </c>
      <c r="E1074" s="31" t="str">
        <f t="shared" si="88"/>
        <v>E6_2_1_5</v>
      </c>
      <c r="F1074" s="31" t="s">
        <v>11353</v>
      </c>
      <c r="G1074" s="31" t="str">
        <f t="shared" si="93"/>
        <v xml:space="preserve">	
C00002 * C00490 * C00010 </v>
      </c>
      <c r="H1074" s="31" t="s">
        <v>11354</v>
      </c>
      <c r="I1074" s="31" t="str">
        <f t="shared" si="92"/>
        <v>C00008 * C00009 * C00531</v>
      </c>
      <c r="J1074" s="31" t="str">
        <f t="shared" si="90"/>
        <v>(${Variables: E6_2_1_5_Kcat } * E6_2_1_5 * 	
C00002 * C00490 * C00010 ) /(${Variables:E6_2_1_5_Km} + (E6_2_1_5 * 	
C00002 * C00490 * C00010 ))</v>
      </c>
      <c r="K1074" s="32" t="str">
        <f t="shared" si="91"/>
        <v>r1073: 	
C00002 + C00490 + C00010  -&gt; C00008 + C00009 + C00531 | (${Variables: E6_2_1_5_Kcat } * E6_2_1_5 * 	
C00002 * C00490 * C00010 ) /(${Variables:E6_2_1_5_Km} + (E6_2_1_5 * 	
C00002 * C00490 * C00010 ))</v>
      </c>
    </row>
    <row r="1075" spans="1:11" ht="58" x14ac:dyDescent="0.35">
      <c r="A1075" s="31" t="s">
        <v>7053</v>
      </c>
      <c r="B1075" s="31" t="s">
        <v>7054</v>
      </c>
      <c r="C1075" s="31" t="s">
        <v>14339</v>
      </c>
      <c r="D1075" s="31">
        <v>1074</v>
      </c>
      <c r="E1075" s="31" t="str">
        <f t="shared" si="88"/>
        <v>E6_2_1_5</v>
      </c>
      <c r="F1075" s="31" t="s">
        <v>11350</v>
      </c>
      <c r="G1075" s="31" t="str">
        <f t="shared" si="93"/>
        <v xml:space="preserve">	
C00002 * C00042 * C00010 </v>
      </c>
      <c r="H1075" s="31" t="s">
        <v>11351</v>
      </c>
      <c r="I1075" s="31" t="str">
        <f t="shared" si="92"/>
        <v> C00008 * C00009 * C00091</v>
      </c>
      <c r="J1075" s="31" t="str">
        <f t="shared" si="90"/>
        <v>(${Variables: E6_2_1_5_Kcat } * E6_2_1_5 * 	
C00002 * C00042 * C00010 ) /(${Variables:E6_2_1_5_Km} + (E6_2_1_5 * 	
C00002 * C00042 * C00010 ))</v>
      </c>
      <c r="K1075" s="32" t="str">
        <f t="shared" si="91"/>
        <v>r1074: 	
C00002 + C00042 + C00010  -&gt;  C00008 + C00009 + C00091 | (${Variables: E6_2_1_5_Kcat } * E6_2_1_5 * 	
C00002 * C00042 * C00010 ) /(${Variables:E6_2_1_5_Km} + (E6_2_1_5 * 	
C00002 * C00042 * C00010 ))</v>
      </c>
    </row>
    <row r="1076" spans="1:11" ht="58" x14ac:dyDescent="0.35">
      <c r="A1076" s="31" t="s">
        <v>7053</v>
      </c>
      <c r="B1076" s="31" t="s">
        <v>7054</v>
      </c>
      <c r="C1076" s="31" t="s">
        <v>14339</v>
      </c>
      <c r="D1076" s="31">
        <v>1075</v>
      </c>
      <c r="E1076" s="31" t="str">
        <f t="shared" si="88"/>
        <v>E6_2_1_5</v>
      </c>
      <c r="F1076" s="31" t="s">
        <v>11353</v>
      </c>
      <c r="G1076" s="31" t="str">
        <f t="shared" si="93"/>
        <v xml:space="preserve">	
C00002 * C00490 * C00010 </v>
      </c>
      <c r="H1076" s="31" t="s">
        <v>11354</v>
      </c>
      <c r="I1076" s="31" t="str">
        <f t="shared" si="92"/>
        <v>C00008 * C00009 * C00531</v>
      </c>
      <c r="J1076" s="31" t="str">
        <f t="shared" si="90"/>
        <v>(${Variables: E6_2_1_5_Kcat } * E6_2_1_5 * 	
C00002 * C00490 * C00010 ) /(${Variables:E6_2_1_5_Km} + (E6_2_1_5 * 	
C00002 * C00490 * C00010 ))</v>
      </c>
      <c r="K1076" s="32" t="str">
        <f t="shared" si="91"/>
        <v>r1075: 	
C00002 + C00490 + C00010  -&gt; C00008 + C00009 + C00531 | (${Variables: E6_2_1_5_Kcat } * E6_2_1_5 * 	
C00002 * C00490 * C00010 ) /(${Variables:E6_2_1_5_Km} + (E6_2_1_5 * 	
C00002 * C00490 * C00010 ))</v>
      </c>
    </row>
    <row r="1077" spans="1:11" ht="29" x14ac:dyDescent="0.35">
      <c r="A1077" s="31" t="s">
        <v>4272</v>
      </c>
      <c r="B1077" s="31" t="s">
        <v>4273</v>
      </c>
      <c r="C1077" s="31" t="s">
        <v>14340</v>
      </c>
      <c r="D1077" s="31">
        <v>1076</v>
      </c>
      <c r="E1077" s="31" t="str">
        <f t="shared" si="88"/>
        <v>E6_3_1_13</v>
      </c>
      <c r="F1077" s="31" t="s">
        <v>11357</v>
      </c>
      <c r="G1077" s="31" t="str">
        <f t="shared" si="93"/>
        <v xml:space="preserve">C19702 * C00097 * C00002 </v>
      </c>
      <c r="H1077" s="31" t="s">
        <v>11358</v>
      </c>
      <c r="I1077" s="31" t="str">
        <f t="shared" si="92"/>
        <v> C19703 * C00020 * C00013</v>
      </c>
      <c r="J1077" s="31" t="str">
        <f t="shared" si="90"/>
        <v>(${Variables: E6_3_1_13_Kcat } * E6_3_1_13 * C19702 * C00097 * C00002 ) /(${Variables:E6_3_1_13_Km} + (E6_3_1_13 * C19702 * C00097 * C00002 ))</v>
      </c>
      <c r="K1077" s="31" t="str">
        <f t="shared" si="91"/>
        <v>r1076: C19702 + C00097 + C00002  -&gt;  C19703 + C00020 + C00013 | (${Variables: E6_3_1_13_Kcat } * E6_3_1_13 * C19702 * C00097 * C00002 ) /(${Variables:E6_3_1_13_Km} + (E6_3_1_13 * C19702 * C00097 * C00002 ))</v>
      </c>
    </row>
    <row r="1078" spans="1:11" ht="29" x14ac:dyDescent="0.35">
      <c r="A1078" s="31" t="s">
        <v>4211</v>
      </c>
      <c r="B1078" s="31" t="s">
        <v>4212</v>
      </c>
      <c r="C1078" s="31" t="s">
        <v>14341</v>
      </c>
      <c r="D1078" s="31">
        <v>1077</v>
      </c>
      <c r="E1078" s="31" t="str">
        <f t="shared" si="88"/>
        <v>E6_3_1_19</v>
      </c>
      <c r="F1078" s="31" t="s">
        <v>11361</v>
      </c>
      <c r="G1078" s="31" t="str">
        <f t="shared" si="93"/>
        <v xml:space="preserve">C00002 * C21177 * C02188 </v>
      </c>
      <c r="H1078" s="31" t="s">
        <v>11362</v>
      </c>
      <c r="I1078" s="31" t="str">
        <f t="shared" si="92"/>
        <v xml:space="preserve"> C00008 * C00009 * C21178</v>
      </c>
      <c r="J1078" s="31" t="str">
        <f t="shared" si="90"/>
        <v>(${Variables: E6_3_1_19_Kcat } * E6_3_1_19 * C00002 * C21177 * C02188 ) /(${Variables:E6_3_1_19_Km} + (E6_3_1_19 * C00002 * C21177 * C02188 ))</v>
      </c>
      <c r="K1078" s="31" t="str">
        <f t="shared" si="91"/>
        <v>r1077: C00002 + C21177 + C02188  -&gt;  C00008 + C00009 + C21178 | (${Variables: E6_3_1_19_Kcat } * E6_3_1_19 * C00002 * C21177 * C02188 ) /(${Variables:E6_3_1_19_Km} + (E6_3_1_19 * C00002 * C21177 * C02188 ))</v>
      </c>
    </row>
    <row r="1079" spans="1:11" ht="58" x14ac:dyDescent="0.35">
      <c r="A1079" s="31" t="s">
        <v>6114</v>
      </c>
      <c r="B1079" s="31" t="s">
        <v>6115</v>
      </c>
      <c r="C1079" s="31" t="s">
        <v>14342</v>
      </c>
      <c r="D1079" s="31">
        <v>1078</v>
      </c>
      <c r="E1079" s="31" t="str">
        <f t="shared" si="88"/>
        <v>E6_3_1_2</v>
      </c>
      <c r="F1079" s="31" t="s">
        <v>11365</v>
      </c>
      <c r="G1079" s="31" t="str">
        <f t="shared" si="93"/>
        <v xml:space="preserve">	
C00002 * C00025 * C00014</v>
      </c>
      <c r="H1079" s="31" t="s">
        <v>11366</v>
      </c>
      <c r="I1079" s="31" t="str">
        <f t="shared" si="92"/>
        <v> C00008 * C00009 * C00064</v>
      </c>
      <c r="J1079" s="31" t="str">
        <f t="shared" si="90"/>
        <v>(${Variables: E6_3_1_2_Kcat } * E6_3_1_2 * 	
C00002 * C00025 * C00014) /(${Variables:E6_3_1_2_Km} + (E6_3_1_2 * 	
C00002 * C00025 * C00014))</v>
      </c>
      <c r="K1079" s="32" t="str">
        <f t="shared" si="91"/>
        <v>r1078: 	
C00002 + C00025 + C00014 -&gt;  C00008 + C00009 + C00064 | (${Variables: E6_3_1_2_Kcat } * E6_3_1_2 * 	
C00002 * C00025 * C00014) /(${Variables:E6_3_1_2_Km} + (E6_3_1_2 * 	
C00002 * C00025 * C00014))</v>
      </c>
    </row>
    <row r="1080" spans="1:11" ht="29" x14ac:dyDescent="0.35">
      <c r="A1080" s="31" t="s">
        <v>6962</v>
      </c>
      <c r="B1080" s="31" t="s">
        <v>6963</v>
      </c>
      <c r="C1080" s="31" t="s">
        <v>14343</v>
      </c>
      <c r="D1080" s="31">
        <v>1079</v>
      </c>
      <c r="E1080" s="31" t="str">
        <f t="shared" si="88"/>
        <v>E6_3_1_5</v>
      </c>
      <c r="F1080" s="31" t="s">
        <v>11369</v>
      </c>
      <c r="G1080" s="31" t="str">
        <f t="shared" si="93"/>
        <v xml:space="preserve">C00002 * C00857 * C00014 </v>
      </c>
      <c r="H1080" s="31" t="s">
        <v>11370</v>
      </c>
      <c r="I1080" s="31" t="str">
        <f t="shared" si="92"/>
        <v>C00020 * C00013 * C00003</v>
      </c>
      <c r="J1080" s="31" t="str">
        <f t="shared" si="90"/>
        <v>(${Variables: E6_3_1_5_Kcat } * E6_3_1_5 * C00002 * C00857 * C00014 ) /(${Variables:E6_3_1_5_Km} + (E6_3_1_5 * C00002 * C00857 * C00014 ))</v>
      </c>
      <c r="K1080" s="32" t="str">
        <f t="shared" si="91"/>
        <v>r1079: C00002 + C00857 + C00014  -&gt; C00020 + C00013 + C00003 | (${Variables: E6_3_1_5_Kcat } * E6_3_1_5 * C00002 * C00857 * C00014 ) /(${Variables:E6_3_1_5_Km} + (E6_3_1_5 * C00002 * C00857 * C00014 ))</v>
      </c>
    </row>
    <row r="1081" spans="1:11" ht="58" x14ac:dyDescent="0.35">
      <c r="A1081" s="31" t="s">
        <v>376</v>
      </c>
      <c r="B1081" s="31" t="s">
        <v>377</v>
      </c>
      <c r="C1081" s="31" t="s">
        <v>14344</v>
      </c>
      <c r="D1081" s="31">
        <v>1080</v>
      </c>
      <c r="E1081" s="31" t="str">
        <f t="shared" si="88"/>
        <v>E6_3_2_1</v>
      </c>
      <c r="F1081" s="31" t="s">
        <v>11373</v>
      </c>
      <c r="G1081" s="31" t="str">
        <f t="shared" si="93"/>
        <v xml:space="preserve">	
C00002 * C00522 * C00099</v>
      </c>
      <c r="H1081" s="31" t="s">
        <v>11374</v>
      </c>
      <c r="I1081" s="31" t="str">
        <f t="shared" si="92"/>
        <v> C00020 * C00013 * C00864</v>
      </c>
      <c r="J1081" s="31" t="str">
        <f t="shared" si="90"/>
        <v>(${Variables: E6_3_2_1_Kcat } * E6_3_2_1 * 	
C00002 * C00522 * C00099) /(${Variables:E6_3_2_1_Km} + (E6_3_2_1 * 	
C00002 * C00522 * C00099))</v>
      </c>
      <c r="K1081" s="32" t="str">
        <f t="shared" si="91"/>
        <v>r1080: 	
C00002 + C00522 + C00099 -&gt;  C00020 + C00013 + C00864 | (${Variables: E6_3_2_1_Kcat } * E6_3_2_1 * 	
C00002 * C00522 * C00099) /(${Variables:E6_3_2_1_Km} + (E6_3_2_1 * 	
C00002 * C00522 * C00099))</v>
      </c>
    </row>
    <row r="1082" spans="1:11" ht="58" x14ac:dyDescent="0.35">
      <c r="A1082" s="31" t="s">
        <v>7380</v>
      </c>
      <c r="B1082" s="31" t="s">
        <v>7381</v>
      </c>
      <c r="C1082" s="31" t="s">
        <v>14344</v>
      </c>
      <c r="D1082" s="31">
        <v>1081</v>
      </c>
      <c r="E1082" s="31" t="str">
        <f t="shared" si="88"/>
        <v>E6_3_2_1</v>
      </c>
      <c r="F1082" s="31" t="s">
        <v>11373</v>
      </c>
      <c r="G1082" s="31" t="str">
        <f t="shared" si="93"/>
        <v xml:space="preserve">	
C00002 * C00522 * C00099</v>
      </c>
      <c r="H1082" s="31" t="s">
        <v>11374</v>
      </c>
      <c r="I1082" s="31" t="str">
        <f t="shared" si="92"/>
        <v> C00020 * C00013 * C00864</v>
      </c>
      <c r="J1082" s="31" t="str">
        <f t="shared" si="90"/>
        <v>(${Variables: E6_3_2_1_Kcat } * E6_3_2_1 * 	
C00002 * C00522 * C00099) /(${Variables:E6_3_2_1_Km} + (E6_3_2_1 * 	
C00002 * C00522 * C00099))</v>
      </c>
      <c r="K1082" s="32" t="str">
        <f t="shared" si="91"/>
        <v>r1081: 	
C00002 + C00522 + C00099 -&gt;  C00020 + C00013 + C00864 | (${Variables: E6_3_2_1_Kcat } * E6_3_2_1 * 	
C00002 * C00522 * C00099) /(${Variables:E6_3_2_1_Km} + (E6_3_2_1 * 	
C00002 * C00522 * C00099))</v>
      </c>
    </row>
    <row r="1083" spans="1:11" ht="58" x14ac:dyDescent="0.35">
      <c r="A1083" s="31" t="s">
        <v>5965</v>
      </c>
      <c r="B1083" s="31" t="s">
        <v>5966</v>
      </c>
      <c r="C1083" s="31" t="s">
        <v>14345</v>
      </c>
      <c r="D1083" s="31">
        <v>1082</v>
      </c>
      <c r="E1083" s="31" t="str">
        <f t="shared" si="88"/>
        <v>E6_3_2_10</v>
      </c>
      <c r="F1083" s="31" t="s">
        <v>11377</v>
      </c>
      <c r="G1083" s="31" t="str">
        <f t="shared" si="93"/>
        <v xml:space="preserve">	
C00002 * C05892 * C00993</v>
      </c>
      <c r="H1083" s="31" t="s">
        <v>11378</v>
      </c>
      <c r="I1083" s="31" t="str">
        <f t="shared" si="92"/>
        <v> C00008 * C00009 * C04702</v>
      </c>
      <c r="J1083" s="31" t="str">
        <f t="shared" si="90"/>
        <v>(${Variables: E6_3_2_10_Kcat } * E6_3_2_10 * 	
C00002 * C05892 * C00993) /(${Variables:E6_3_2_10_Km} + (E6_3_2_10 * 	
C00002 * C05892 * C00993))</v>
      </c>
      <c r="K1083" s="32" t="str">
        <f t="shared" si="91"/>
        <v>r1082: 	
C00002 + C05892 + C00993 -&gt;  C00008 + C00009 + C04702 | (${Variables: E6_3_2_10_Kcat } * E6_3_2_10 * 	
C00002 * C05892 * C00993) /(${Variables:E6_3_2_10_Km} + (E6_3_2_10 * 	
C00002 * C05892 * C00993))</v>
      </c>
    </row>
    <row r="1084" spans="1:11" ht="58" x14ac:dyDescent="0.35">
      <c r="A1084" s="31" t="s">
        <v>5965</v>
      </c>
      <c r="B1084" s="31" t="s">
        <v>5966</v>
      </c>
      <c r="C1084" s="31" t="s">
        <v>14345</v>
      </c>
      <c r="D1084" s="31">
        <v>1083</v>
      </c>
      <c r="E1084" s="31" t="str">
        <f t="shared" si="88"/>
        <v>E6_3_2_10</v>
      </c>
      <c r="F1084" s="31" t="s">
        <v>11380</v>
      </c>
      <c r="G1084" s="31" t="str">
        <f t="shared" si="93"/>
        <v xml:space="preserve">	
C00002 * C04877 * C00993</v>
      </c>
      <c r="H1084" s="31" t="s">
        <v>11381</v>
      </c>
      <c r="I1084" s="31" t="str">
        <f t="shared" si="92"/>
        <v xml:space="preserve"> C00008 * C00009 * C04882</v>
      </c>
      <c r="J1084" s="31" t="str">
        <f t="shared" si="90"/>
        <v>(${Variables: E6_3_2_10_Kcat } * E6_3_2_10 * 	
C00002 * C04877 * C00993) /(${Variables:E6_3_2_10_Km} + (E6_3_2_10 * 	
C00002 * C04877 * C00993))</v>
      </c>
      <c r="K1084" s="32" t="str">
        <f t="shared" si="91"/>
        <v>r1083: 	
C00002 + C04877 + C00993 -&gt;  C00008 + C00009 + C04882 | (${Variables: E6_3_2_10_Kcat } * E6_3_2_10 * 	
C00002 * C04877 * C00993) /(${Variables:E6_3_2_10_Km} + (E6_3_2_10 * 	
C00002 * C04877 * C00993))</v>
      </c>
    </row>
    <row r="1085" spans="1:11" ht="58" x14ac:dyDescent="0.35">
      <c r="A1085" s="31" t="s">
        <v>6548</v>
      </c>
      <c r="B1085" s="31" t="s">
        <v>6549</v>
      </c>
      <c r="C1085" s="31" t="s">
        <v>14346</v>
      </c>
      <c r="D1085" s="31">
        <v>1084</v>
      </c>
      <c r="E1085" s="31" t="str">
        <f t="shared" si="88"/>
        <v xml:space="preserve">E6_3_2_12 </v>
      </c>
      <c r="F1085" s="31" t="s">
        <v>11386</v>
      </c>
      <c r="G1085" s="31" t="str">
        <f t="shared" si="93"/>
        <v xml:space="preserve">	
C00002 * C00921 * C00025 </v>
      </c>
      <c r="H1085" s="31" t="s">
        <v>11387</v>
      </c>
      <c r="I1085" s="31" t="str">
        <f t="shared" si="92"/>
        <v> C00008 * C00009 * C00415</v>
      </c>
      <c r="J1085" s="31" t="str">
        <f t="shared" si="90"/>
        <v>(${Variables: E6_3_2_12 _Kcat } * E6_3_2_12  * 	
C00002 * C00921 * C00025 ) /(${Variables:E6_3_2_12 _Km} + (E6_3_2_12  * 	
C00002 * C00921 * C00025 ))</v>
      </c>
      <c r="K1085" s="32" t="str">
        <f t="shared" si="91"/>
        <v>r1084: 	
C00002 + C00921 + C00025  -&gt;  C00008 + C00009 + C00415 | (${Variables: E6_3_2_12 _Kcat } * E6_3_2_12  * 	
C00002 * C00921 * C00025 ) /(${Variables:E6_3_2_12 _Km} + (E6_3_2_12  * 	
C00002 * C00921 * C00025 ))</v>
      </c>
    </row>
    <row r="1086" spans="1:11" ht="58" x14ac:dyDescent="0.35">
      <c r="A1086" s="31" t="s">
        <v>6548</v>
      </c>
      <c r="B1086" s="31" t="s">
        <v>6549</v>
      </c>
      <c r="C1086" s="31" t="s">
        <v>14346</v>
      </c>
      <c r="D1086" s="31">
        <v>1085</v>
      </c>
      <c r="E1086" s="31" t="str">
        <f t="shared" si="88"/>
        <v xml:space="preserve">E6_3_2_12 </v>
      </c>
      <c r="F1086" s="31" t="s">
        <v>11389</v>
      </c>
      <c r="G1086" s="31" t="str">
        <f t="shared" si="93"/>
        <v xml:space="preserve">	
C00002 * C00234 * C00025</v>
      </c>
      <c r="H1086" s="31" t="s">
        <v>11390</v>
      </c>
      <c r="I1086" s="31" t="str">
        <f t="shared" si="92"/>
        <v> C00008 * C00009 * C05928</v>
      </c>
      <c r="J1086" s="31" t="str">
        <f t="shared" si="90"/>
        <v>(${Variables: E6_3_2_12 _Kcat } * E6_3_2_12  * 	
C00002 * C00234 * C00025) /(${Variables:E6_3_2_12 _Km} + (E6_3_2_12  * 	
C00002 * C00234 * C00025))</v>
      </c>
      <c r="K1086" s="32" t="str">
        <f t="shared" si="91"/>
        <v>r1085: 	
C00002 + C00234 + C00025 -&gt;  C00008 + C00009 + C05928 | (${Variables: E6_3_2_12 _Kcat } * E6_3_2_12  * 	
C00002 * C00234 * C00025) /(${Variables:E6_3_2_12 _Km} + (E6_3_2_12  * 	
C00002 * C00234 * C00025))</v>
      </c>
    </row>
    <row r="1087" spans="1:11" ht="29" x14ac:dyDescent="0.35">
      <c r="A1087" s="31" t="s">
        <v>6548</v>
      </c>
      <c r="B1087" s="31" t="s">
        <v>6549</v>
      </c>
      <c r="C1087" s="31" t="s">
        <v>14347</v>
      </c>
      <c r="D1087" s="31">
        <v>1086</v>
      </c>
      <c r="E1087" s="31" t="str">
        <f t="shared" si="88"/>
        <v>E6_3_2_17</v>
      </c>
      <c r="F1087" s="31" t="s">
        <v>13919</v>
      </c>
      <c r="G1087" s="31" t="str">
        <f t="shared" si="93"/>
        <v xml:space="preserve">C00002 * C03541 * C00025 </v>
      </c>
      <c r="H1087" s="31" t="s">
        <v>14481</v>
      </c>
      <c r="I1087" s="31" t="s">
        <v>14482</v>
      </c>
      <c r="J1087" s="31" t="str">
        <f t="shared" si="90"/>
        <v>(${Variables: E6_3_2_17_Kcat } * E6_3_2_17 * C00002 * C03541 * C00025 ) /(${Variables:E6_3_2_17_Km} + (E6_3_2_17 * C00002 * C03541 * C00025 ))</v>
      </c>
      <c r="K1087" s="31" t="str">
        <f t="shared" si="91"/>
        <v>r1086: C00002 + C03541 + C00025  -&gt;  C00008 + C00009 + C03541 | (${Variables: E6_3_2_17_Kcat } * E6_3_2_17 * C00002 * C03541 * C00025 ) /(${Variables:E6_3_2_17_Km} + (E6_3_2_17 * C00002 * C03541 * C00025 ))</v>
      </c>
    </row>
    <row r="1088" spans="1:11" ht="58" x14ac:dyDescent="0.35">
      <c r="A1088" s="31" t="s">
        <v>6548</v>
      </c>
      <c r="B1088" s="31" t="s">
        <v>6549</v>
      </c>
      <c r="C1088" s="31" t="s">
        <v>14347</v>
      </c>
      <c r="D1088" s="31">
        <v>1087</v>
      </c>
      <c r="E1088" s="31" t="str">
        <f t="shared" si="88"/>
        <v>E6_3_2_17</v>
      </c>
      <c r="F1088" s="31" t="s">
        <v>11395</v>
      </c>
      <c r="G1088" s="31" t="str">
        <f t="shared" si="93"/>
        <v xml:space="preserve">	
C00002 * C00101 * C00025 </v>
      </c>
      <c r="H1088" s="31" t="s">
        <v>11396</v>
      </c>
      <c r="I1088" s="31" t="str">
        <f>SUBSTITUTE(H1088,"+","*")</f>
        <v>C00008 * C00009 * C09332</v>
      </c>
      <c r="J1088" s="31" t="str">
        <f t="shared" si="90"/>
        <v>(${Variables: E6_3_2_17_Kcat } * E6_3_2_17 * 	
C00002 * C00101 * C00025 ) /(${Variables:E6_3_2_17_Km} + (E6_3_2_17 * 	
C00002 * C00101 * C00025 ))</v>
      </c>
      <c r="K1088" s="31" t="str">
        <f t="shared" si="91"/>
        <v>r1087: 	
C00002 + C00101 + C00025  -&gt; C00008 + C00009 + C09332 | (${Variables: E6_3_2_17_Kcat } * E6_3_2_17 * 	
C00002 * C00101 * C00025 ) /(${Variables:E6_3_2_17_Km} + (E6_3_2_17 * 	
C00002 * C00101 * C00025 ))</v>
      </c>
    </row>
    <row r="1089" spans="1:11" ht="58" x14ac:dyDescent="0.35">
      <c r="A1089" s="31" t="s">
        <v>6548</v>
      </c>
      <c r="B1089" s="31" t="s">
        <v>6549</v>
      </c>
      <c r="C1089" s="31" t="s">
        <v>14347</v>
      </c>
      <c r="D1089" s="31">
        <v>1088</v>
      </c>
      <c r="E1089" s="31" t="str">
        <f t="shared" si="88"/>
        <v>E6_3_2_17</v>
      </c>
      <c r="F1089" s="31" t="s">
        <v>11389</v>
      </c>
      <c r="G1089" s="31" t="str">
        <f t="shared" si="93"/>
        <v xml:space="preserve">	
C00002 * C00234 * C00025</v>
      </c>
      <c r="H1089" s="31" t="s">
        <v>11390</v>
      </c>
      <c r="I1089" s="31" t="str">
        <f t="shared" ref="I1089:I1137" si="94">SUBSTITUTE(H1089,"+","*")</f>
        <v> C00008 * C00009 * C05928</v>
      </c>
      <c r="J1089" s="31" t="str">
        <f t="shared" si="90"/>
        <v>(${Variables: E6_3_2_17_Kcat } * E6_3_2_17 * 	
C00002 * C00234 * C00025) /(${Variables:E6_3_2_17_Km} + (E6_3_2_17 * 	
C00002 * C00234 * C00025))</v>
      </c>
      <c r="K1089" s="31" t="str">
        <f t="shared" si="91"/>
        <v>r1088: 	
C00002 + C00234 + C00025 -&gt;  C00008 + C00009 + C05928 | (${Variables: E6_3_2_17_Kcat } * E6_3_2_17 * 	
C00002 * C00234 * C00025) /(${Variables:E6_3_2_17_Km} + (E6_3_2_17 * 	
C00002 * C00234 * C00025))</v>
      </c>
    </row>
    <row r="1090" spans="1:11" ht="29" x14ac:dyDescent="0.35">
      <c r="A1090" s="31" t="s">
        <v>6548</v>
      </c>
      <c r="B1090" s="31" t="s">
        <v>6549</v>
      </c>
      <c r="C1090" s="31" t="s">
        <v>14347</v>
      </c>
      <c r="D1090" s="31">
        <v>1089</v>
      </c>
      <c r="E1090" s="31" t="str">
        <f t="shared" ref="E1090:E1153" si="95">CONCATENATE("E",C1090)</f>
        <v>E6_3_2_17</v>
      </c>
      <c r="F1090" s="31" t="s">
        <v>11397</v>
      </c>
      <c r="G1090" s="31" t="str">
        <f t="shared" si="93"/>
        <v>C00002 * C00921 * C00025</v>
      </c>
      <c r="H1090" s="31" t="s">
        <v>11398</v>
      </c>
      <c r="I1090" s="31" t="str">
        <f t="shared" si="94"/>
        <v xml:space="preserve"> C00008 * C00009 * C00415</v>
      </c>
      <c r="J1090" s="31" t="str">
        <f t="shared" ref="J1090:J1153" si="96">CONCATENATE("(${Variables: ",E1090,"_Kcat ","} * ",E1090," * ",G1090,")"," /(${Variables:",E1090,"_Km","} + (",E1090," * ",G1090,"))")</f>
        <v>(${Variables: E6_3_2_17_Kcat } * E6_3_2_17 * C00002 * C00921 * C00025) /(${Variables:E6_3_2_17_Km} + (E6_3_2_17 * C00002 * C00921 * C00025))</v>
      </c>
      <c r="K1090" s="31" t="str">
        <f t="shared" ref="K1090:K1153" si="97">CONCATENATE("r",D1090,": ",F1090," -&gt; ",H1090," | ",J1090)</f>
        <v>r1089: C00002 + C00921 + C00025 -&gt;  C00008 + C00009 + C00415 | (${Variables: E6_3_2_17_Kcat } * E6_3_2_17 * C00002 * C00921 * C00025) /(${Variables:E6_3_2_17_Km} + (E6_3_2_17 * C00002 * C00921 * C00025))</v>
      </c>
    </row>
    <row r="1091" spans="1:11" ht="29" x14ac:dyDescent="0.35">
      <c r="A1091" s="31" t="s">
        <v>6548</v>
      </c>
      <c r="B1091" s="31" t="s">
        <v>6549</v>
      </c>
      <c r="C1091" s="31" t="s">
        <v>14347</v>
      </c>
      <c r="D1091" s="31">
        <v>1090</v>
      </c>
      <c r="E1091" s="31" t="str">
        <f t="shared" si="95"/>
        <v>E6_3_2_17</v>
      </c>
      <c r="F1091" s="31" t="s">
        <v>14402</v>
      </c>
      <c r="G1091" s="31" t="str">
        <f t="shared" si="93"/>
        <v xml:space="preserve"> C00002 * C05928 * C00025 </v>
      </c>
      <c r="H1091" s="31" t="s">
        <v>14483</v>
      </c>
      <c r="I1091" s="31" t="str">
        <f t="shared" si="94"/>
        <v> C00008 * C00009 * C05929</v>
      </c>
      <c r="J1091" s="31" t="str">
        <f t="shared" si="96"/>
        <v>(${Variables: E6_3_2_17_Kcat } * E6_3_2_17 *  C00002 * C05928 * C00025 ) /(${Variables:E6_3_2_17_Km} + (E6_3_2_17 *  C00002 * C05928 * C00025 ))</v>
      </c>
      <c r="K1091" s="31" t="str">
        <f t="shared" si="97"/>
        <v>r1090:  C00002 + C05928 + C00025  -&gt;  C00008 + C00009 + C05929 | (${Variables: E6_3_2_17_Kcat } * E6_3_2_17 *  C00002 * C05928 * C00025 ) /(${Variables:E6_3_2_17_Km} + (E6_3_2_17 *  C00002 * C05928 * C00025 ))</v>
      </c>
    </row>
    <row r="1092" spans="1:11" ht="29" x14ac:dyDescent="0.35">
      <c r="A1092" s="31" t="s">
        <v>760</v>
      </c>
      <c r="B1092" s="31" t="s">
        <v>761</v>
      </c>
      <c r="C1092" s="31" t="s">
        <v>14348</v>
      </c>
      <c r="D1092" s="31">
        <v>1091</v>
      </c>
      <c r="E1092" s="31" t="str">
        <f t="shared" si="95"/>
        <v>E6_3_2_13</v>
      </c>
      <c r="F1092" s="31" t="s">
        <v>11403</v>
      </c>
      <c r="G1092" s="31" t="str">
        <f t="shared" si="93"/>
        <v xml:space="preserve">C00002 * C00692 * C00680 </v>
      </c>
      <c r="H1092" s="31" t="s">
        <v>11404</v>
      </c>
      <c r="I1092" s="31" t="str">
        <f t="shared" si="94"/>
        <v> C00008 * C00009 * C04877</v>
      </c>
      <c r="J1092" s="31" t="str">
        <f t="shared" si="96"/>
        <v>(${Variables: E6_3_2_13_Kcat } * E6_3_2_13 * C00002 * C00692 * C00680 ) /(${Variables:E6_3_2_13_Km} + (E6_3_2_13 * C00002 * C00692 * C00680 ))</v>
      </c>
      <c r="K1092" s="31" t="str">
        <f t="shared" si="97"/>
        <v>r1091: C00002 + C00692 + C00680  -&gt;  C00008 + C00009 + C04877 | (${Variables: E6_3_2_13_Kcat } * E6_3_2_13 * C00002 * C00692 * C00680 ) /(${Variables:E6_3_2_13_Km} + (E6_3_2_13 * C00002 * C00692 * C00680 ))</v>
      </c>
    </row>
    <row r="1093" spans="1:11" ht="29" x14ac:dyDescent="0.35">
      <c r="A1093" s="31" t="s">
        <v>5968</v>
      </c>
      <c r="B1093" s="31" t="s">
        <v>5969</v>
      </c>
      <c r="C1093" s="31" t="s">
        <v>14348</v>
      </c>
      <c r="D1093" s="31">
        <v>1092</v>
      </c>
      <c r="E1093" s="31" t="str">
        <f t="shared" si="95"/>
        <v>E6_3_2_13</v>
      </c>
      <c r="F1093" s="31" t="s">
        <v>11403</v>
      </c>
      <c r="G1093" s="31" t="str">
        <f t="shared" si="93"/>
        <v xml:space="preserve">C00002 * C00692 * C00680 </v>
      </c>
      <c r="H1093" s="31" t="s">
        <v>11404</v>
      </c>
      <c r="I1093" s="31" t="str">
        <f t="shared" si="94"/>
        <v> C00008 * C00009 * C04877</v>
      </c>
      <c r="J1093" s="31" t="str">
        <f t="shared" si="96"/>
        <v>(${Variables: E6_3_2_13_Kcat } * E6_3_2_13 * C00002 * C00692 * C00680 ) /(${Variables:E6_3_2_13_Km} + (E6_3_2_13 * C00002 * C00692 * C00680 ))</v>
      </c>
      <c r="K1093" s="31" t="str">
        <f t="shared" si="97"/>
        <v>r1092: C00002 + C00692 + C00680  -&gt;  C00008 + C00009 + C04877 | (${Variables: E6_3_2_13_Kcat } * E6_3_2_13 * C00002 * C00692 * C00680 ) /(${Variables:E6_3_2_13_Km} + (E6_3_2_13 * C00002 * C00692 * C00680 ))</v>
      </c>
    </row>
    <row r="1094" spans="1:11" ht="29" x14ac:dyDescent="0.35">
      <c r="A1094" s="31" t="s">
        <v>7508</v>
      </c>
      <c r="B1094" s="31" t="s">
        <v>7509</v>
      </c>
      <c r="C1094" s="31" t="s">
        <v>14349</v>
      </c>
      <c r="D1094" s="31">
        <v>1093</v>
      </c>
      <c r="E1094" s="31" t="str">
        <f t="shared" si="95"/>
        <v>E6_3_2_2</v>
      </c>
      <c r="F1094" s="31" t="s">
        <v>11407</v>
      </c>
      <c r="G1094" s="31" t="str">
        <f t="shared" si="93"/>
        <v xml:space="preserve">C00002 * C00025 * C00097 </v>
      </c>
      <c r="H1094" s="31" t="s">
        <v>11408</v>
      </c>
      <c r="I1094" s="31" t="str">
        <f t="shared" si="94"/>
        <v>C00008 * C00009 * C00669</v>
      </c>
      <c r="J1094" s="31" t="str">
        <f t="shared" si="96"/>
        <v>(${Variables: E6_3_2_2_Kcat } * E6_3_2_2 * C00002 * C00025 * C00097 ) /(${Variables:E6_3_2_2_Km} + (E6_3_2_2 * C00002 * C00025 * C00097 ))</v>
      </c>
      <c r="K1094" s="31" t="str">
        <f t="shared" si="97"/>
        <v>r1093: C00002 + C00025 + C00097  -&gt; C00008 + C00009 + C00669 | (${Variables: E6_3_2_2_Kcat } * E6_3_2_2 * C00002 * C00025 * C00097 ) /(${Variables:E6_3_2_2_Km} + (E6_3_2_2 * C00002 * C00025 * C00097 ))</v>
      </c>
    </row>
    <row r="1095" spans="1:11" ht="29" x14ac:dyDescent="0.35">
      <c r="A1095" s="31" t="s">
        <v>7508</v>
      </c>
      <c r="B1095" s="31" t="s">
        <v>7509</v>
      </c>
      <c r="C1095" s="31" t="s">
        <v>14349</v>
      </c>
      <c r="D1095" s="31">
        <v>1094</v>
      </c>
      <c r="E1095" s="31" t="str">
        <f t="shared" si="95"/>
        <v>E6_3_2_2</v>
      </c>
      <c r="F1095" s="31" t="s">
        <v>11410</v>
      </c>
      <c r="G1095" s="31" t="str">
        <f t="shared" si="93"/>
        <v>C00002 * C00025 * C02356</v>
      </c>
      <c r="H1095" s="31" t="s">
        <v>11411</v>
      </c>
      <c r="I1095" s="31" t="str">
        <f t="shared" si="94"/>
        <v xml:space="preserve"> C00008 * C00009 * C21015</v>
      </c>
      <c r="J1095" s="31" t="str">
        <f t="shared" si="96"/>
        <v>(${Variables: E6_3_2_2_Kcat } * E6_3_2_2 * C00002 * C00025 * C02356) /(${Variables:E6_3_2_2_Km} + (E6_3_2_2 * C00002 * C00025 * C02356))</v>
      </c>
      <c r="K1095" s="31" t="str">
        <f t="shared" si="97"/>
        <v>r1094: C00002 + C00025 + C02356 -&gt;  C00008 + C00009 + C21015 | (${Variables: E6_3_2_2_Kcat } * E6_3_2_2 * C00002 * C00025 * C02356) /(${Variables:E6_3_2_2_Km} + (E6_3_2_2 * C00002 * C00025 * C02356))</v>
      </c>
    </row>
    <row r="1096" spans="1:11" ht="29" x14ac:dyDescent="0.35">
      <c r="A1096" s="31" t="s">
        <v>7155</v>
      </c>
      <c r="B1096" s="31" t="s">
        <v>7156</v>
      </c>
      <c r="C1096" s="31" t="s">
        <v>14350</v>
      </c>
      <c r="D1096" s="31">
        <v>1095</v>
      </c>
      <c r="E1096" s="31" t="str">
        <f t="shared" si="95"/>
        <v>E6_3_2_6</v>
      </c>
      <c r="F1096" s="31" t="s">
        <v>11414</v>
      </c>
      <c r="G1096" s="31" t="str">
        <f t="shared" si="93"/>
        <v>C00002 * C04751 * C00049 </v>
      </c>
      <c r="H1096" s="31" t="s">
        <v>11415</v>
      </c>
      <c r="I1096" s="31" t="str">
        <f t="shared" si="94"/>
        <v>C00008 * C00009 * C04823</v>
      </c>
      <c r="J1096" s="31" t="str">
        <f t="shared" si="96"/>
        <v>(${Variables: E6_3_2_6_Kcat } * E6_3_2_6 * C00002 * C04751 * C00049 ) /(${Variables:E6_3_2_6_Km} + (E6_3_2_6 * C00002 * C04751 * C00049 ))</v>
      </c>
      <c r="K1096" s="32" t="str">
        <f t="shared" si="97"/>
        <v>r1095: C00002 + C04751 + C00049  -&gt; C00008 + C00009 + C04823 | (${Variables: E6_3_2_6_Kcat } * E6_3_2_6 * C00002 * C04751 * C00049 ) /(${Variables:E6_3_2_6_Km} + (E6_3_2_6 * C00002 * C04751 * C00049 ))</v>
      </c>
    </row>
    <row r="1097" spans="1:11" ht="58" x14ac:dyDescent="0.35">
      <c r="A1097" s="31" t="s">
        <v>5946</v>
      </c>
      <c r="B1097" s="31" t="s">
        <v>5947</v>
      </c>
      <c r="C1097" s="31" t="s">
        <v>14351</v>
      </c>
      <c r="D1097" s="31">
        <v>1096</v>
      </c>
      <c r="E1097" s="31" t="str">
        <f t="shared" si="95"/>
        <v>E6_3_2_8</v>
      </c>
      <c r="F1097" s="31" t="s">
        <v>11418</v>
      </c>
      <c r="G1097" s="31" t="str">
        <f t="shared" si="93"/>
        <v xml:space="preserve">	
C00002 * C01050 * C00041 </v>
      </c>
      <c r="H1097" s="31" t="s">
        <v>11419</v>
      </c>
      <c r="I1097" s="31" t="str">
        <f t="shared" si="94"/>
        <v>C00008 * C00009 * C01212</v>
      </c>
      <c r="J1097" s="31" t="str">
        <f t="shared" si="96"/>
        <v>(${Variables: E6_3_2_8_Kcat } * E6_3_2_8 * 	
C00002 * C01050 * C00041 ) /(${Variables:E6_3_2_8_Km} + (E6_3_2_8 * 	
C00002 * C01050 * C00041 ))</v>
      </c>
      <c r="K1097" s="32" t="str">
        <f t="shared" si="97"/>
        <v>r1096: 	
C00002 + C01050 + C00041  -&gt; C00008 + C00009 + C01212 | (${Variables: E6_3_2_8_Kcat } * E6_3_2_8 * 	
C00002 * C01050 * C00041 ) /(${Variables:E6_3_2_8_Km} + (E6_3_2_8 * 	
C00002 * C01050 * C00041 ))</v>
      </c>
    </row>
    <row r="1098" spans="1:11" ht="29" x14ac:dyDescent="0.35">
      <c r="A1098" s="31" t="s">
        <v>5957</v>
      </c>
      <c r="B1098" s="31" t="s">
        <v>5958</v>
      </c>
      <c r="C1098" s="31" t="s">
        <v>14352</v>
      </c>
      <c r="D1098" s="31">
        <v>1097</v>
      </c>
      <c r="E1098" s="31" t="str">
        <f t="shared" si="95"/>
        <v>E6_3_2_9</v>
      </c>
      <c r="F1098" s="31" t="s">
        <v>11422</v>
      </c>
      <c r="G1098" s="31" t="str">
        <f t="shared" si="93"/>
        <v xml:space="preserve">C00002 * C01212 * C00217 </v>
      </c>
      <c r="H1098" s="31" t="s">
        <v>11423</v>
      </c>
      <c r="I1098" s="31" t="str">
        <f t="shared" si="94"/>
        <v> C00008 * C00009 * C00692</v>
      </c>
      <c r="J1098" s="31" t="str">
        <f t="shared" si="96"/>
        <v>(${Variables: E6_3_2_9_Kcat } * E6_3_2_9 * C00002 * C01212 * C00217 ) /(${Variables:E6_3_2_9_Km} + (E6_3_2_9 * C00002 * C01212 * C00217 ))</v>
      </c>
      <c r="K1098" s="32" t="str">
        <f t="shared" si="97"/>
        <v>r1097: C00002 + C01212 + C00217  -&gt;  C00008 + C00009 + C00692 | (${Variables: E6_3_2_9_Kcat } * E6_3_2_9 * C00002 * C01212 * C00217 ) /(${Variables:E6_3_2_9_Km} + (E6_3_2_9 * C00002 * C01212 * C00217 ))</v>
      </c>
    </row>
    <row r="1099" spans="1:11" ht="58" x14ac:dyDescent="0.35">
      <c r="A1099" s="31" t="s">
        <v>7113</v>
      </c>
      <c r="B1099" s="31" t="s">
        <v>7114</v>
      </c>
      <c r="C1099" s="31" t="s">
        <v>14353</v>
      </c>
      <c r="D1099" s="31">
        <v>1098</v>
      </c>
      <c r="E1099" s="31" t="str">
        <f t="shared" si="95"/>
        <v>E6_3_3_1</v>
      </c>
      <c r="F1099" s="31" t="s">
        <v>11426</v>
      </c>
      <c r="G1099" s="31" t="str">
        <f t="shared" si="93"/>
        <v xml:space="preserve">	
C00002 * C04640 </v>
      </c>
      <c r="H1099" s="31" t="s">
        <v>11427</v>
      </c>
      <c r="I1099" s="31" t="str">
        <f t="shared" si="94"/>
        <v xml:space="preserve"> C00008 * C00009 * C03373</v>
      </c>
      <c r="J1099" s="31" t="str">
        <f t="shared" si="96"/>
        <v>(${Variables: E6_3_3_1_Kcat } * E6_3_3_1 * 	
C00002 * C04640 ) /(${Variables:E6_3_3_1_Km} + (E6_3_3_1 * 	
C00002 * C04640 ))</v>
      </c>
      <c r="K1099" s="32" t="str">
        <f t="shared" si="97"/>
        <v>r1098: 	
C00002 + C04640  -&gt;  C00008 + C00009 + C03373 | (${Variables: E6_3_3_1_Kcat } * E6_3_3_1 * 	
C00002 * C04640 ) /(${Variables:E6_3_3_1_Km} + (E6_3_3_1 * 	
C00002 * C04640 ))</v>
      </c>
    </row>
    <row r="1100" spans="1:11" ht="58" x14ac:dyDescent="0.35">
      <c r="A1100" s="31" t="s">
        <v>2553</v>
      </c>
      <c r="B1100" s="31" t="s">
        <v>2554</v>
      </c>
      <c r="C1100" s="31" t="s">
        <v>14354</v>
      </c>
      <c r="D1100" s="31">
        <v>1099</v>
      </c>
      <c r="E1100" s="31" t="str">
        <f t="shared" si="95"/>
        <v>E6_3_3_2</v>
      </c>
      <c r="F1100" s="31" t="s">
        <v>11430</v>
      </c>
      <c r="G1100" s="31" t="str">
        <f t="shared" si="93"/>
        <v xml:space="preserve">	
C00002 * C03479 * C00080</v>
      </c>
      <c r="H1100" s="31" t="s">
        <v>11431</v>
      </c>
      <c r="I1100" s="31" t="str">
        <f t="shared" si="94"/>
        <v>C00008 * C00009 * C00445</v>
      </c>
      <c r="J1100" s="31" t="str">
        <f t="shared" si="96"/>
        <v>(${Variables: E6_3_3_2_Kcat } * E6_3_3_2 * 	
C00002 * C03479 * C00080) /(${Variables:E6_3_3_2_Km} + (E6_3_3_2 * 	
C00002 * C03479 * C00080))</v>
      </c>
      <c r="K1100" s="32" t="str">
        <f t="shared" si="97"/>
        <v>r1099: 	
C00002 + C03479 + C00080 -&gt; C00008 + C00009 + C00445 | (${Variables: E6_3_3_2_Kcat } * E6_3_3_2 * 	
C00002 * C03479 * C00080) /(${Variables:E6_3_3_2_Km} + (E6_3_3_2 * 	
C00002 * C03479 * C00080))</v>
      </c>
    </row>
    <row r="1101" spans="1:11" ht="58" x14ac:dyDescent="0.35">
      <c r="A1101" s="31" t="s">
        <v>7178</v>
      </c>
      <c r="B1101" s="31" t="s">
        <v>7179</v>
      </c>
      <c r="C1101" s="31" t="s">
        <v>14355</v>
      </c>
      <c r="D1101" s="31">
        <v>1100</v>
      </c>
      <c r="E1101" s="31" t="str">
        <f t="shared" si="95"/>
        <v>E6_3_3_3</v>
      </c>
      <c r="F1101" s="31" t="s">
        <v>11433</v>
      </c>
      <c r="G1101" s="31" t="str">
        <f t="shared" si="93"/>
        <v xml:space="preserve">	
C00002 * C01037 * C00011</v>
      </c>
      <c r="H1101" s="31" t="s">
        <v>11434</v>
      </c>
      <c r="I1101" s="31" t="str">
        <f t="shared" si="94"/>
        <v>C00008 * C00009 * C01909</v>
      </c>
      <c r="J1101" s="31" t="str">
        <f t="shared" si="96"/>
        <v>(${Variables: E6_3_3_3_Kcat } * E6_3_3_3 * 	
C00002 * C01037 * C00011) /(${Variables:E6_3_3_3_Km} + (E6_3_3_3 * 	
C00002 * C01037 * C00011))</v>
      </c>
      <c r="K1101" s="31" t="str">
        <f t="shared" si="97"/>
        <v>r1100: 	
C00002 + C01037 + C00011 -&gt; C00008 + C00009 + C01909 | (${Variables: E6_3_3_3_Kcat } * E6_3_3_3 * 	
C00002 * C01037 * C00011) /(${Variables:E6_3_3_3_Km} + (E6_3_3_3 * 	
C00002 * C01037 * C00011))</v>
      </c>
    </row>
    <row r="1102" spans="1:11" ht="29" x14ac:dyDescent="0.35">
      <c r="A1102" s="31" t="s">
        <v>7178</v>
      </c>
      <c r="B1102" s="31" t="s">
        <v>7179</v>
      </c>
      <c r="C1102" s="31" t="s">
        <v>14355</v>
      </c>
      <c r="D1102" s="31">
        <v>1101</v>
      </c>
      <c r="E1102" s="31" t="str">
        <f t="shared" si="95"/>
        <v>E6_3_3_3</v>
      </c>
      <c r="F1102" s="31" t="s">
        <v>11436</v>
      </c>
      <c r="G1102" s="31" t="str">
        <f t="shared" si="93"/>
        <v>C01037 * C00011</v>
      </c>
      <c r="H1102" s="31" t="s">
        <v>11437</v>
      </c>
      <c r="I1102" s="31" t="str">
        <f t="shared" si="94"/>
        <v> C22458</v>
      </c>
      <c r="J1102" s="31" t="str">
        <f t="shared" si="96"/>
        <v>(${Variables: E6_3_3_3_Kcat } * E6_3_3_3 * C01037 * C00011) /(${Variables:E6_3_3_3_Km} + (E6_3_3_3 * C01037 * C00011))</v>
      </c>
      <c r="K1102" s="31" t="str">
        <f t="shared" si="97"/>
        <v>r1101: C01037 + C00011 -&gt;  C22458 | (${Variables: E6_3_3_3_Kcat } * E6_3_3_3 * C01037 * C00011) /(${Variables:E6_3_3_3_Km} + (E6_3_3_3 * C01037 * C00011))</v>
      </c>
    </row>
    <row r="1103" spans="1:11" ht="58" x14ac:dyDescent="0.35">
      <c r="A1103" s="31" t="s">
        <v>7178</v>
      </c>
      <c r="B1103" s="31" t="s">
        <v>7179</v>
      </c>
      <c r="C1103" s="31" t="s">
        <v>14355</v>
      </c>
      <c r="D1103" s="31">
        <v>1102</v>
      </c>
      <c r="E1103" s="31" t="str">
        <f t="shared" si="95"/>
        <v>E6_3_3_3</v>
      </c>
      <c r="F1103" s="31" t="s">
        <v>11439</v>
      </c>
      <c r="G1103" s="31" t="str">
        <f t="shared" si="93"/>
        <v xml:space="preserve">	
C22458 * C00002 </v>
      </c>
      <c r="H1103" s="31" t="s">
        <v>11440</v>
      </c>
      <c r="I1103" s="31" t="str">
        <f t="shared" si="94"/>
        <v> C01909 * C00008 * C00009</v>
      </c>
      <c r="J1103" s="31" t="str">
        <f t="shared" si="96"/>
        <v>(${Variables: E6_3_3_3_Kcat } * E6_3_3_3 * 	
C22458 * C00002 ) /(${Variables:E6_3_3_3_Km} + (E6_3_3_3 * 	
C22458 * C00002 ))</v>
      </c>
      <c r="K1103" s="31" t="str">
        <f t="shared" si="97"/>
        <v>r1102: 	
C22458 + C00002  -&gt;  C01909 + C00008 + C00009 | (${Variables: E6_3_3_3_Kcat } * E6_3_3_3 * 	
C22458 * C00002 ) /(${Variables:E6_3_3_3_Km} + (E6_3_3_3 * 	
C22458 * C00002 ))</v>
      </c>
    </row>
    <row r="1104" spans="1:11" ht="58" x14ac:dyDescent="0.35">
      <c r="A1104" s="31" t="s">
        <v>7164</v>
      </c>
      <c r="B1104" s="31" t="s">
        <v>7165</v>
      </c>
      <c r="C1104" s="31" t="s">
        <v>14356</v>
      </c>
      <c r="D1104" s="31">
        <v>1103</v>
      </c>
      <c r="E1104" s="31" t="str">
        <f t="shared" si="95"/>
        <v>E6_3_4_13</v>
      </c>
      <c r="F1104" s="31" t="s">
        <v>11444</v>
      </c>
      <c r="G1104" s="31" t="str">
        <f t="shared" si="93"/>
        <v xml:space="preserve">	
C00002 * C03090 * C00037</v>
      </c>
      <c r="H1104" s="31" t="s">
        <v>11445</v>
      </c>
      <c r="I1104" s="31" t="str">
        <f t="shared" si="94"/>
        <v> C00008 * C00009 * C03838</v>
      </c>
      <c r="J1104" s="31" t="str">
        <f t="shared" si="96"/>
        <v>(${Variables: E6_3_4_13_Kcat } * E6_3_4_13 * 	
C00002 * C03090 * C00037) /(${Variables:E6_3_4_13_Km} + (E6_3_4_13 * 	
C00002 * C03090 * C00037))</v>
      </c>
      <c r="K1104" s="32" t="str">
        <f t="shared" si="97"/>
        <v>r1103: 	
C00002 + C03090 + C00037 -&gt;  C00008 + C00009 + C03838 | (${Variables: E6_3_4_13_Kcat } * E6_3_4_13 * 	
C00002 * C03090 * C00037) /(${Variables:E6_3_4_13_Km} + (E6_3_4_13 * 	
C00002 * C03090 * C00037))</v>
      </c>
    </row>
    <row r="1105" spans="1:11" ht="58" x14ac:dyDescent="0.35">
      <c r="A1105" s="31" t="s">
        <v>2050</v>
      </c>
      <c r="B1105" s="31" t="s">
        <v>2051</v>
      </c>
      <c r="C1105" s="31" t="s">
        <v>14357</v>
      </c>
      <c r="D1105" s="31">
        <v>1104</v>
      </c>
      <c r="E1105" s="31" t="str">
        <f t="shared" si="95"/>
        <v>E6_3_4_15</v>
      </c>
      <c r="F1105" s="31" t="s">
        <v>11448</v>
      </c>
      <c r="G1105" s="31" t="str">
        <f t="shared" ref="G1105:G1154" si="98">SUBSTITUTE(F1105,"+","*")</f>
        <v xml:space="preserve">	
C00002 * C00120 * C04735</v>
      </c>
      <c r="H1105" s="31" t="s">
        <v>11449</v>
      </c>
      <c r="I1105" s="31" t="str">
        <f t="shared" si="94"/>
        <v>C00020 * C00013 * C04681</v>
      </c>
      <c r="J1105" s="31" t="str">
        <f t="shared" si="96"/>
        <v>(${Variables: E6_3_4_15_Kcat } * E6_3_4_15 * 	
C00002 * C00120 * C04735) /(${Variables:E6_3_4_15_Km} + (E6_3_4_15 * 	
C00002 * C00120 * C04735))</v>
      </c>
      <c r="K1105" s="31" t="str">
        <f t="shared" si="97"/>
        <v>r1104: 	
C00002 + C00120 + C04735 -&gt; C00020 + C00013 + C04681 | (${Variables: E6_3_4_15_Kcat } * E6_3_4_15 * 	
C00002 * C00120 * C04735) /(${Variables:E6_3_4_15_Km} + (E6_3_4_15 * 	
C00002 * C00120 * C04735))</v>
      </c>
    </row>
    <row r="1106" spans="1:11" ht="58" x14ac:dyDescent="0.35">
      <c r="A1106" s="31" t="s">
        <v>2050</v>
      </c>
      <c r="B1106" s="31" t="s">
        <v>2051</v>
      </c>
      <c r="C1106" s="31" t="s">
        <v>14357</v>
      </c>
      <c r="D1106" s="31">
        <v>1105</v>
      </c>
      <c r="E1106" s="31" t="str">
        <f t="shared" si="95"/>
        <v>E6_3_4_15</v>
      </c>
      <c r="F1106" s="31" t="s">
        <v>11451</v>
      </c>
      <c r="G1106" s="31" t="str">
        <f t="shared" si="98"/>
        <v xml:space="preserve">	
C00002 * C00120</v>
      </c>
      <c r="H1106" s="31" t="s">
        <v>11452</v>
      </c>
      <c r="I1106" s="31" t="str">
        <f t="shared" si="94"/>
        <v>C00013 * C05921</v>
      </c>
      <c r="J1106" s="31" t="str">
        <f t="shared" si="96"/>
        <v>(${Variables: E6_3_4_15_Kcat } * E6_3_4_15 * 	
C00002 * C00120) /(${Variables:E6_3_4_15_Km} + (E6_3_4_15 * 	
C00002 * C00120))</v>
      </c>
      <c r="K1106" s="31" t="str">
        <f t="shared" si="97"/>
        <v>r1105: 	
C00002 + C00120 -&gt; C00013 + C05921 | (${Variables: E6_3_4_15_Kcat } * E6_3_4_15 * 	
C00002 * C00120) /(${Variables:E6_3_4_15_Km} + (E6_3_4_15 * 	
C00002 * C00120))</v>
      </c>
    </row>
    <row r="1107" spans="1:11" ht="58" x14ac:dyDescent="0.35">
      <c r="A1107" s="31" t="s">
        <v>2050</v>
      </c>
      <c r="B1107" s="31" t="s">
        <v>2051</v>
      </c>
      <c r="C1107" s="31" t="s">
        <v>14357</v>
      </c>
      <c r="D1107" s="31">
        <v>1106</v>
      </c>
      <c r="E1107" s="31" t="str">
        <f t="shared" si="95"/>
        <v>E6_3_4_15</v>
      </c>
      <c r="F1107" s="31" t="s">
        <v>11454</v>
      </c>
      <c r="G1107" s="31" t="str">
        <f t="shared" si="98"/>
        <v xml:space="preserve">	
C05921 * C06249</v>
      </c>
      <c r="H1107" s="31" t="s">
        <v>11455</v>
      </c>
      <c r="I1107" s="31" t="str">
        <f t="shared" si="94"/>
        <v> C00020 * C06250</v>
      </c>
      <c r="J1107" s="31" t="str">
        <f t="shared" si="96"/>
        <v>(${Variables: E6_3_4_15_Kcat } * E6_3_4_15 * 	
C05921 * C06249) /(${Variables:E6_3_4_15_Km} + (E6_3_4_15 * 	
C05921 * C06249))</v>
      </c>
      <c r="K1107" s="31" t="str">
        <f t="shared" si="97"/>
        <v>r1106: 	
C05921 + C06249 -&gt;  C00020 + C06250 | (${Variables: E6_3_4_15_Kcat } * E6_3_4_15 * 	
C05921 * C06249) /(${Variables:E6_3_4_15_Km} + (E6_3_4_15 * 	
C05921 * C06249))</v>
      </c>
    </row>
    <row r="1108" spans="1:11" ht="58" x14ac:dyDescent="0.35">
      <c r="A1108" s="31" t="s">
        <v>2055</v>
      </c>
      <c r="B1108" s="31" t="s">
        <v>2056</v>
      </c>
      <c r="C1108" s="31" t="s">
        <v>14358</v>
      </c>
      <c r="D1108" s="31">
        <v>1107</v>
      </c>
      <c r="E1108" s="31" t="str">
        <f t="shared" si="95"/>
        <v>E6_3_4_18</v>
      </c>
      <c r="F1108" s="31" t="s">
        <v>11458</v>
      </c>
      <c r="G1108" s="31" t="str">
        <f t="shared" si="98"/>
        <v xml:space="preserve">	
C00002 * C03373 * C00288 </v>
      </c>
      <c r="H1108" s="31" t="s">
        <v>11459</v>
      </c>
      <c r="I1108" s="31" t="str">
        <f t="shared" si="94"/>
        <v> C00008 * C00009 * C15667</v>
      </c>
      <c r="J1108" s="31" t="str">
        <f t="shared" si="96"/>
        <v>(${Variables: E6_3_4_18_Kcat } * E6_3_4_18 * 	
C00002 * C03373 * C00288 ) /(${Variables:E6_3_4_18_Km} + (E6_3_4_18 * 	
C00002 * C03373 * C00288 ))</v>
      </c>
      <c r="K1108" s="31" t="str">
        <f t="shared" si="97"/>
        <v>r1107: 	
C00002 + C03373 + C00288  -&gt;  C00008 + C00009 + C15667 | (${Variables: E6_3_4_18_Kcat } * E6_3_4_18 * 	
C00002 * C03373 * C00288 ) /(${Variables:E6_3_4_18_Km} + (E6_3_4_18 * 	
C00002 * C03373 * C00288 ))</v>
      </c>
    </row>
    <row r="1109" spans="1:11" ht="29" x14ac:dyDescent="0.35">
      <c r="A1109" s="31" t="s">
        <v>7414</v>
      </c>
      <c r="B1109" s="31" t="s">
        <v>7415</v>
      </c>
      <c r="C1109" s="31" t="s">
        <v>14359</v>
      </c>
      <c r="D1109" s="31">
        <v>1108</v>
      </c>
      <c r="E1109" s="31" t="str">
        <f t="shared" si="95"/>
        <v>E6_3_4_19</v>
      </c>
      <c r="F1109" s="31" t="s">
        <v>11462</v>
      </c>
      <c r="G1109" s="31" t="str">
        <f t="shared" si="98"/>
        <v>C19722 * C00047 * C00002</v>
      </c>
      <c r="H1109" s="31" t="s">
        <v>11463</v>
      </c>
      <c r="I1109" s="31" t="str">
        <f t="shared" si="94"/>
        <v> C19723 * C00020 * C00013 * C00001</v>
      </c>
      <c r="J1109" s="31" t="str">
        <f t="shared" si="96"/>
        <v>(${Variables: E6_3_4_19_Kcat } * E6_3_4_19 * C19722 * C00047 * C00002) /(${Variables:E6_3_4_19_Km} + (E6_3_4_19 * C19722 * C00047 * C00002))</v>
      </c>
      <c r="K1109" s="31" t="str">
        <f t="shared" si="97"/>
        <v>r1108: C19722 + C00047 + C00002 -&gt;  C19723 + C00020 + C00013 + C00001 | (${Variables: E6_3_4_19_Kcat } * E6_3_4_19 * C19722 * C00047 * C00002) /(${Variables:E6_3_4_19_Km} + (E6_3_4_19 * C19722 * C00047 * C00002))</v>
      </c>
    </row>
    <row r="1110" spans="1:11" ht="58" x14ac:dyDescent="0.35">
      <c r="A1110" s="31" t="s">
        <v>4001</v>
      </c>
      <c r="B1110" s="31" t="s">
        <v>4002</v>
      </c>
      <c r="C1110" s="31" t="s">
        <v>14360</v>
      </c>
      <c r="D1110" s="31">
        <v>1109</v>
      </c>
      <c r="E1110" s="31" t="str">
        <f t="shared" si="95"/>
        <v>E6_3_4_2</v>
      </c>
      <c r="F1110" s="31" t="s">
        <v>9841</v>
      </c>
      <c r="G1110" s="31" t="str">
        <f t="shared" si="98"/>
        <v xml:space="preserve">	
C00064 * C00001</v>
      </c>
      <c r="H1110" s="31" t="s">
        <v>9842</v>
      </c>
      <c r="I1110" s="31" t="str">
        <f t="shared" si="94"/>
        <v> C00025 * C00014</v>
      </c>
      <c r="J1110" s="31" t="str">
        <f t="shared" si="96"/>
        <v>(${Variables: E6_3_4_2_Kcat } * E6_3_4_2 * 	
C00064 * C00001) /(${Variables:E6_3_4_2_Km} + (E6_3_4_2 * 	
C00064 * C00001))</v>
      </c>
      <c r="K1110" s="32" t="str">
        <f t="shared" si="97"/>
        <v>r1109: 	
C00064 + C00001 -&gt;  C00025 + C00014 | (${Variables: E6_3_4_2_Kcat } * E6_3_4_2 * 	
C00064 * C00001) /(${Variables:E6_3_4_2_Km} + (E6_3_4_2 * 	
C00064 * C00001))</v>
      </c>
    </row>
    <row r="1111" spans="1:11" ht="58" x14ac:dyDescent="0.35">
      <c r="A1111" s="31" t="s">
        <v>4001</v>
      </c>
      <c r="B1111" s="31" t="s">
        <v>4002</v>
      </c>
      <c r="C1111" s="31" t="s">
        <v>14360</v>
      </c>
      <c r="D1111" s="31">
        <v>1110</v>
      </c>
      <c r="E1111" s="31" t="str">
        <f t="shared" si="95"/>
        <v>E6_3_4_2</v>
      </c>
      <c r="F1111" s="31" t="s">
        <v>11466</v>
      </c>
      <c r="G1111" s="31" t="str">
        <f t="shared" si="98"/>
        <v xml:space="preserve">	
C00002 * C00075 * C00014 </v>
      </c>
      <c r="H1111" s="31" t="s">
        <v>11467</v>
      </c>
      <c r="I1111" s="31" t="str">
        <f t="shared" si="94"/>
        <v> C00008 * C00009 * C00063</v>
      </c>
      <c r="J1111" s="31" t="str">
        <f t="shared" si="96"/>
        <v>(${Variables: E6_3_4_2_Kcat } * E6_3_4_2 * 	
C00002 * C00075 * C00014 ) /(${Variables:E6_3_4_2_Km} + (E6_3_4_2 * 	
C00002 * C00075 * C00014 ))</v>
      </c>
      <c r="K1111" s="32" t="str">
        <f t="shared" si="97"/>
        <v>r1110: 	
C00002 + C00075 + C00014  -&gt;  C00008 + C00009 + C00063 | (${Variables: E6_3_4_2_Kcat } * E6_3_4_2 * 	
C00002 * C00075 * C00014 ) /(${Variables:E6_3_4_2_Km} + (E6_3_4_2 * 	
C00002 * C00075 * C00014 ))</v>
      </c>
    </row>
    <row r="1112" spans="1:11" ht="58" x14ac:dyDescent="0.35">
      <c r="A1112" s="31" t="s">
        <v>4001</v>
      </c>
      <c r="B1112" s="31" t="s">
        <v>4002</v>
      </c>
      <c r="C1112" s="31" t="s">
        <v>14360</v>
      </c>
      <c r="D1112" s="31">
        <v>1111</v>
      </c>
      <c r="E1112" s="31" t="str">
        <f t="shared" si="95"/>
        <v>E6_3_4_2</v>
      </c>
      <c r="F1112" s="31" t="s">
        <v>11469</v>
      </c>
      <c r="G1112" s="31" t="str">
        <f t="shared" si="98"/>
        <v xml:space="preserve">	
C00002 * C00075 * C00064 * C00001</v>
      </c>
      <c r="H1112" s="31" t="s">
        <v>11470</v>
      </c>
      <c r="I1112" s="31" t="str">
        <f t="shared" si="94"/>
        <v> C00008 * C00009 * C00063 * C00025</v>
      </c>
      <c r="J1112" s="31" t="str">
        <f t="shared" si="96"/>
        <v>(${Variables: E6_3_4_2_Kcat } * E6_3_4_2 * 	
C00002 * C00075 * C00064 * C00001) /(${Variables:E6_3_4_2_Km} + (E6_3_4_2 * 	
C00002 * C00075 * C00064 * C00001))</v>
      </c>
      <c r="K1112" s="32" t="str">
        <f t="shared" si="97"/>
        <v>r1111: 	
C00002 + C00075 + C00064 + C00001 -&gt;  C00008 + C00009 + C00063 + C00025 | (${Variables: E6_3_4_2_Kcat } * E6_3_4_2 * 	
C00002 * C00075 * C00064 * C00001) /(${Variables:E6_3_4_2_Km} + (E6_3_4_2 * 	
C00002 * C00075 * C00064 * C00001))</v>
      </c>
    </row>
    <row r="1113" spans="1:11" ht="29" x14ac:dyDescent="0.35">
      <c r="A1113" s="31" t="s">
        <v>6915</v>
      </c>
      <c r="B1113" s="31" t="s">
        <v>6916</v>
      </c>
      <c r="C1113" s="31" t="s">
        <v>14361</v>
      </c>
      <c r="D1113" s="31">
        <v>1112</v>
      </c>
      <c r="E1113" s="31" t="str">
        <f t="shared" si="95"/>
        <v>E6_3_4_21</v>
      </c>
      <c r="F1113" s="31" t="s">
        <v>11473</v>
      </c>
      <c r="G1113" s="31" t="str">
        <f t="shared" si="98"/>
        <v xml:space="preserve">C01185 * C00013 * C00008 * C00009 </v>
      </c>
      <c r="H1113" s="31" t="s">
        <v>11474</v>
      </c>
      <c r="I1113" s="31" t="str">
        <f t="shared" si="94"/>
        <v> C00253 * C00119 * C00002 * C00001 * C00080</v>
      </c>
      <c r="J1113" s="31" t="str">
        <f t="shared" si="96"/>
        <v>(${Variables: E6_3_4_21_Kcat } * E6_3_4_21 * C01185 * C00013 * C00008 * C00009 ) /(${Variables:E6_3_4_21_Km} + (E6_3_4_21 * C01185 * C00013 * C00008 * C00009 ))</v>
      </c>
      <c r="K1113" s="32" t="str">
        <f t="shared" si="97"/>
        <v>r1112: C01185 + C00013 + C00008 + C00009  -&gt;  C00253 + C00119 + C00002 + C00001 + C00080 | (${Variables: E6_3_4_21_Kcat } * E6_3_4_21 * C01185 * C00013 * C00008 * C00009 ) /(${Variables:E6_3_4_21_Km} + (E6_3_4_21 * C01185 * C00013 * C00008 * C00009 ))</v>
      </c>
    </row>
    <row r="1114" spans="1:11" ht="58" x14ac:dyDescent="0.35">
      <c r="A1114" s="31" t="s">
        <v>7582</v>
      </c>
      <c r="B1114" s="31" t="s">
        <v>7583</v>
      </c>
      <c r="C1114" s="31" t="s">
        <v>14362</v>
      </c>
      <c r="D1114" s="31">
        <v>1113</v>
      </c>
      <c r="E1114" s="31" t="str">
        <f t="shared" si="95"/>
        <v>E6_3_4_4</v>
      </c>
      <c r="F1114" s="31" t="s">
        <v>11477</v>
      </c>
      <c r="G1114" s="31" t="str">
        <f t="shared" si="98"/>
        <v xml:space="preserve">	
C00044 * C00130 * C00049</v>
      </c>
      <c r="H1114" s="31" t="s">
        <v>11478</v>
      </c>
      <c r="I1114" s="31" t="str">
        <f t="shared" si="94"/>
        <v> C00035 * C00009 * C03794</v>
      </c>
      <c r="J1114" s="31" t="str">
        <f t="shared" si="96"/>
        <v>(${Variables: E6_3_4_4_Kcat } * E6_3_4_4 * 	
C00044 * C00130 * C00049) /(${Variables:E6_3_4_4_Km} + (E6_3_4_4 * 	
C00044 * C00130 * C00049))</v>
      </c>
      <c r="K1114" s="32" t="str">
        <f t="shared" si="97"/>
        <v>r1113: 	
C00044 + C00130 + C00049 -&gt;  C00035 + C00009 + C03794 | (${Variables: E6_3_4_4_Kcat } * E6_3_4_4 * 	
C00044 * C00130 * C00049) /(${Variables:E6_3_4_4_Km} + (E6_3_4_4 * 	
C00044 * C00130 * C00049))</v>
      </c>
    </row>
    <row r="1115" spans="1:11" ht="58" x14ac:dyDescent="0.35">
      <c r="A1115" s="31" t="s">
        <v>3951</v>
      </c>
      <c r="B1115" s="31" t="s">
        <v>3952</v>
      </c>
      <c r="C1115" s="31" t="s">
        <v>14363</v>
      </c>
      <c r="D1115" s="31">
        <v>1114</v>
      </c>
      <c r="E1115" s="31" t="str">
        <f t="shared" si="95"/>
        <v>E6_3_4_5</v>
      </c>
      <c r="F1115" s="31" t="s">
        <v>11481</v>
      </c>
      <c r="G1115" s="31" t="str">
        <f t="shared" si="98"/>
        <v xml:space="preserve">	
C00002 * C00327 * C00049 </v>
      </c>
      <c r="H1115" s="31" t="s">
        <v>11482</v>
      </c>
      <c r="I1115" s="31" t="str">
        <f t="shared" si="94"/>
        <v> C00020 * C00013 * C03406</v>
      </c>
      <c r="J1115" s="31" t="str">
        <f t="shared" si="96"/>
        <v>(${Variables: E6_3_4_5_Kcat } * E6_3_4_5 * 	
C00002 * C00327 * C00049 ) /(${Variables:E6_3_4_5_Km} + (E6_3_4_5 * 	
C00002 * C00327 * C00049 ))</v>
      </c>
      <c r="K1115" s="32" t="str">
        <f t="shared" si="97"/>
        <v>r1114: 	
C00002 + C00327 + C00049  -&gt;  C00020 + C00013 + C03406 | (${Variables: E6_3_4_5_Kcat } * E6_3_4_5 * 	
C00002 * C00327 * C00049 ) /(${Variables:E6_3_4_5_Km} + (E6_3_4_5 * 	
C00002 * C00327 * C00049 ))</v>
      </c>
    </row>
    <row r="1116" spans="1:11" ht="58" x14ac:dyDescent="0.35">
      <c r="A1116" s="31" t="s">
        <v>1784</v>
      </c>
      <c r="B1116" s="31" t="s">
        <v>1785</v>
      </c>
      <c r="C1116" s="31" t="s">
        <v>14364</v>
      </c>
      <c r="D1116" s="31">
        <v>1115</v>
      </c>
      <c r="E1116" s="31" t="str">
        <f t="shared" si="95"/>
        <v>E6_3_5_2</v>
      </c>
      <c r="F1116" s="31" t="s">
        <v>9841</v>
      </c>
      <c r="G1116" s="31" t="str">
        <f t="shared" si="98"/>
        <v xml:space="preserve">	
C00064 * C00001</v>
      </c>
      <c r="H1116" s="31" t="s">
        <v>10563</v>
      </c>
      <c r="I1116" s="31" t="str">
        <f t="shared" si="94"/>
        <v>C00025 * C00014</v>
      </c>
      <c r="J1116" s="31" t="str">
        <f t="shared" si="96"/>
        <v>(${Variables: E6_3_5_2_Kcat } * E6_3_5_2 * 	
C00064 * C00001) /(${Variables:E6_3_5_2_Km} + (E6_3_5_2 * 	
C00064 * C00001))</v>
      </c>
      <c r="K1116" s="32" t="str">
        <f t="shared" si="97"/>
        <v>r1115: 	
C00064 + C00001 -&gt; C00025 + C00014 | (${Variables: E6_3_5_2_Kcat } * E6_3_5_2 * 	
C00064 * C00001) /(${Variables:E6_3_5_2_Km} + (E6_3_5_2 * 	
C00064 * C00001))</v>
      </c>
    </row>
    <row r="1117" spans="1:11" ht="29" x14ac:dyDescent="0.35">
      <c r="A1117" s="31" t="s">
        <v>1784</v>
      </c>
      <c r="B1117" s="31" t="s">
        <v>1785</v>
      </c>
      <c r="C1117" s="31" t="s">
        <v>14364</v>
      </c>
      <c r="D1117" s="31">
        <v>1116</v>
      </c>
      <c r="E1117" s="31" t="str">
        <f t="shared" si="95"/>
        <v>E6_3_5_2</v>
      </c>
      <c r="F1117" s="31" t="s">
        <v>11485</v>
      </c>
      <c r="G1117" s="31" t="str">
        <f t="shared" si="98"/>
        <v xml:space="preserve">C00002 * C00655 * C00014 </v>
      </c>
      <c r="H1117" s="31" t="s">
        <v>11486</v>
      </c>
      <c r="I1117" s="31" t="str">
        <f t="shared" si="94"/>
        <v>C00020 * C00013 * C00144</v>
      </c>
      <c r="J1117" s="31" t="str">
        <f t="shared" si="96"/>
        <v>(${Variables: E6_3_5_2_Kcat } * E6_3_5_2 * C00002 * C00655 * C00014 ) /(${Variables:E6_3_5_2_Km} + (E6_3_5_2 * C00002 * C00655 * C00014 ))</v>
      </c>
      <c r="K1117" s="32" t="str">
        <f t="shared" si="97"/>
        <v>r1116: C00002 + C00655 + C00014  -&gt; C00020 + C00013 + C00144 | (${Variables: E6_3_5_2_Kcat } * E6_3_5_2 * C00002 * C00655 * C00014 ) /(${Variables:E6_3_5_2_Km} + (E6_3_5_2 * C00002 * C00655 * C00014 ))</v>
      </c>
    </row>
    <row r="1118" spans="1:11" ht="58" x14ac:dyDescent="0.35">
      <c r="A1118" s="31" t="s">
        <v>1784</v>
      </c>
      <c r="B1118" s="31" t="s">
        <v>1785</v>
      </c>
      <c r="C1118" s="31" t="s">
        <v>14364</v>
      </c>
      <c r="D1118" s="31">
        <v>1117</v>
      </c>
      <c r="E1118" s="31" t="str">
        <f t="shared" si="95"/>
        <v>E6_3_5_2</v>
      </c>
      <c r="F1118" s="31" t="s">
        <v>11488</v>
      </c>
      <c r="G1118" s="31" t="str">
        <f t="shared" si="98"/>
        <v xml:space="preserve">	
C00002 * C00655 * C00064 * C00001 </v>
      </c>
      <c r="H1118" s="31" t="s">
        <v>11489</v>
      </c>
      <c r="I1118" s="31" t="str">
        <f t="shared" si="94"/>
        <v> C00020 * C00013 * C00144 * C00025</v>
      </c>
      <c r="J1118" s="31" t="str">
        <f t="shared" si="96"/>
        <v>(${Variables: E6_3_5_2_Kcat } * E6_3_5_2 * 	
C00002 * C00655 * C00064 * C00001 ) /(${Variables:E6_3_5_2_Km} + (E6_3_5_2 * 	
C00002 * C00655 * C00064 * C00001 ))</v>
      </c>
      <c r="K1118" s="32" t="str">
        <f t="shared" si="97"/>
        <v>r1117: 	
C00002 + C00655 + C00064 + C00001  -&gt;  C00020 + C00013 + C00144 + C00025 | (${Variables: E6_3_5_2_Kcat } * E6_3_5_2 * 	
C00002 * C00655 * C00064 * C00001 ) /(${Variables:E6_3_5_2_Km} + (E6_3_5_2 * 	
C00002 * C00655 * C00064 * C00001 ))</v>
      </c>
    </row>
    <row r="1119" spans="1:11" ht="29" x14ac:dyDescent="0.35">
      <c r="A1119" s="31" t="s">
        <v>1784</v>
      </c>
      <c r="B1119" s="31" t="s">
        <v>1785</v>
      </c>
      <c r="C1119" s="31" t="s">
        <v>14364</v>
      </c>
      <c r="D1119" s="31">
        <v>1118</v>
      </c>
      <c r="E1119" s="31" t="str">
        <f t="shared" si="95"/>
        <v>E6_3_5_2</v>
      </c>
      <c r="F1119" s="31" t="s">
        <v>11491</v>
      </c>
      <c r="G1119" s="31" t="str">
        <f t="shared" si="98"/>
        <v>C16618 * C00002 * C00064 * C00001</v>
      </c>
      <c r="H1119" s="31" t="s">
        <v>11492</v>
      </c>
      <c r="I1119" s="31" t="str">
        <f t="shared" si="94"/>
        <v> C16619 * C00020 * C00013 * C00025</v>
      </c>
      <c r="J1119" s="31" t="str">
        <f t="shared" si="96"/>
        <v>(${Variables: E6_3_5_2_Kcat } * E6_3_5_2 * C16618 * C00002 * C00064 * C00001) /(${Variables:E6_3_5_2_Km} + (E6_3_5_2 * C16618 * C00002 * C00064 * C00001))</v>
      </c>
      <c r="K1119" s="32" t="str">
        <f t="shared" si="97"/>
        <v>r1118: C16618 + C00002 + C00064 + C00001 -&gt;  C16619 + C00020 + C00013 + C00025 | (${Variables: E6_3_5_2_Kcat } * E6_3_5_2 * C16618 * C00002 * C00064 * C00001) /(${Variables:E6_3_5_2_Km} + (E6_3_5_2 * C16618 * C00002 * C00064 * C00001))</v>
      </c>
    </row>
    <row r="1120" spans="1:11" ht="58" x14ac:dyDescent="0.35">
      <c r="A1120" s="31" t="s">
        <v>7129</v>
      </c>
      <c r="B1120" s="31" t="s">
        <v>7130</v>
      </c>
      <c r="C1120" s="31" t="s">
        <v>14206</v>
      </c>
      <c r="D1120" s="31">
        <v>1119</v>
      </c>
      <c r="E1120" s="31" t="str">
        <f t="shared" si="95"/>
        <v>E6_3_5_3</v>
      </c>
      <c r="F1120" s="31" t="s">
        <v>11493</v>
      </c>
      <c r="G1120" s="31" t="str">
        <f t="shared" si="98"/>
        <v xml:space="preserve">	
C00002 * C04376 * C00064 * C00001 </v>
      </c>
      <c r="H1120" s="31" t="s">
        <v>11494</v>
      </c>
      <c r="I1120" s="31" t="str">
        <f t="shared" si="94"/>
        <v> C00008 * C00009 * C04640 * C00025</v>
      </c>
      <c r="J1120" s="31" t="str">
        <f t="shared" si="96"/>
        <v>(${Variables: E6_3_5_3_Kcat } * E6_3_5_3 * 	
C00002 * C04376 * C00064 * C00001 ) /(${Variables:E6_3_5_3_Km} + (E6_3_5_3 * 	
C00002 * C04376 * C00064 * C00001 ))</v>
      </c>
      <c r="K1120" s="32" t="str">
        <f t="shared" si="97"/>
        <v>r1119: 	
C00002 + C04376 + C00064 + C00001  -&gt;  C00008 + C00009 + C04640 + C00025 | (${Variables: E6_3_5_3_Kcat } * E6_3_5_3 * 	
C00002 * C04376 * C00064 * C00001 ) /(${Variables:E6_3_5_3_Km} + (E6_3_5_3 * 	
C00002 * C04376 * C00064 * C00001 ))</v>
      </c>
    </row>
    <row r="1121" spans="1:11" ht="58" x14ac:dyDescent="0.35">
      <c r="A1121" s="31" t="s">
        <v>7137</v>
      </c>
      <c r="B1121" s="31" t="s">
        <v>7138</v>
      </c>
      <c r="C1121" s="31" t="s">
        <v>14206</v>
      </c>
      <c r="D1121" s="31">
        <v>1120</v>
      </c>
      <c r="E1121" s="31" t="str">
        <f t="shared" si="95"/>
        <v>E6_3_5_3</v>
      </c>
      <c r="F1121" s="31" t="s">
        <v>11493</v>
      </c>
      <c r="G1121" s="31" t="str">
        <f t="shared" si="98"/>
        <v xml:space="preserve">	
C00002 * C04376 * C00064 * C00001 </v>
      </c>
      <c r="H1121" s="31" t="s">
        <v>11494</v>
      </c>
      <c r="I1121" s="31" t="str">
        <f t="shared" si="94"/>
        <v> C00008 * C00009 * C04640 * C00025</v>
      </c>
      <c r="J1121" s="31" t="str">
        <f t="shared" si="96"/>
        <v>(${Variables: E6_3_5_3_Kcat } * E6_3_5_3 * 	
C00002 * C04376 * C00064 * C00001 ) /(${Variables:E6_3_5_3_Km} + (E6_3_5_3 * 	
C00002 * C04376 * C00064 * C00001 ))</v>
      </c>
      <c r="K1121" s="32" t="str">
        <f t="shared" si="97"/>
        <v>r1120: 	
C00002 + C04376 + C00064 + C00001  -&gt;  C00008 + C00009 + C04640 + C00025 | (${Variables: E6_3_5_3_Kcat } * E6_3_5_3 * 	
C00002 * C04376 * C00064 * C00001 ) /(${Variables:E6_3_5_3_Km} + (E6_3_5_3 * 	
C00002 * C04376 * C00064 * C00001 ))</v>
      </c>
    </row>
    <row r="1122" spans="1:11" ht="58" x14ac:dyDescent="0.35">
      <c r="A1122" s="31" t="s">
        <v>6064</v>
      </c>
      <c r="B1122" s="31" t="s">
        <v>6065</v>
      </c>
      <c r="C1122" s="31" t="s">
        <v>14365</v>
      </c>
      <c r="D1122" s="31">
        <v>1121</v>
      </c>
      <c r="E1122" s="31" t="str">
        <f t="shared" si="95"/>
        <v>E6_3_5_4</v>
      </c>
      <c r="F1122" s="31" t="s">
        <v>9841</v>
      </c>
      <c r="G1122" s="31" t="str">
        <f t="shared" si="98"/>
        <v xml:space="preserve">	
C00064 * C00001</v>
      </c>
      <c r="H1122" s="31" t="s">
        <v>9842</v>
      </c>
      <c r="I1122" s="31" t="str">
        <f t="shared" si="94"/>
        <v> C00025 * C00014</v>
      </c>
      <c r="J1122" s="31" t="str">
        <f t="shared" si="96"/>
        <v>(${Variables: E6_3_5_4_Kcat } * E6_3_5_4 * 	
C00064 * C00001) /(${Variables:E6_3_5_4_Km} + (E6_3_5_4 * 	
C00064 * C00001))</v>
      </c>
      <c r="K1122" s="31" t="str">
        <f t="shared" si="97"/>
        <v>r1121: 	
C00064 + C00001 -&gt;  C00025 + C00014 | (${Variables: E6_3_5_4_Kcat } * E6_3_5_4 * 	
C00064 * C00001) /(${Variables:E6_3_5_4_Km} + (E6_3_5_4 * 	
C00064 * C00001))</v>
      </c>
    </row>
    <row r="1123" spans="1:11" ht="58" x14ac:dyDescent="0.35">
      <c r="A1123" s="31" t="s">
        <v>6064</v>
      </c>
      <c r="B1123" s="31" t="s">
        <v>6065</v>
      </c>
      <c r="C1123" s="31" t="s">
        <v>14365</v>
      </c>
      <c r="D1123" s="31">
        <v>1122</v>
      </c>
      <c r="E1123" s="31" t="str">
        <f t="shared" si="95"/>
        <v>E6_3_5_4</v>
      </c>
      <c r="F1123" s="31" t="s">
        <v>11497</v>
      </c>
      <c r="G1123" s="31" t="str">
        <f t="shared" si="98"/>
        <v xml:space="preserve">	
C00002 * C00049 * C00014 </v>
      </c>
      <c r="H1123" s="31" t="s">
        <v>11498</v>
      </c>
      <c r="I1123" s="31" t="str">
        <f t="shared" si="94"/>
        <v xml:space="preserve"> C00020 * C00013 * C00152</v>
      </c>
      <c r="J1123" s="31" t="str">
        <f t="shared" si="96"/>
        <v>(${Variables: E6_3_5_4_Kcat } * E6_3_5_4 * 	
C00002 * C00049 * C00014 ) /(${Variables:E6_3_5_4_Km} + (E6_3_5_4 * 	
C00002 * C00049 * C00014 ))</v>
      </c>
      <c r="K1123" s="31" t="str">
        <f t="shared" si="97"/>
        <v>r1122: 	
C00002 + C00049 + C00014  -&gt;  C00020 + C00013 + C00152 | (${Variables: E6_3_5_4_Kcat } * E6_3_5_4 * 	
C00002 * C00049 * C00014 ) /(${Variables:E6_3_5_4_Km} + (E6_3_5_4 * 	
C00002 * C00049 * C00014 ))</v>
      </c>
    </row>
    <row r="1124" spans="1:11" ht="58" x14ac:dyDescent="0.35">
      <c r="A1124" s="31" t="s">
        <v>6064</v>
      </c>
      <c r="B1124" s="31" t="s">
        <v>6065</v>
      </c>
      <c r="C1124" s="31" t="s">
        <v>14365</v>
      </c>
      <c r="D1124" s="31">
        <v>1123</v>
      </c>
      <c r="E1124" s="31" t="str">
        <f t="shared" si="95"/>
        <v>E6_3_5_4</v>
      </c>
      <c r="F1124" s="31" t="s">
        <v>11500</v>
      </c>
      <c r="G1124" s="31" t="str">
        <f t="shared" si="98"/>
        <v xml:space="preserve">	
C00002 * C00049 * C00064 * C00001</v>
      </c>
      <c r="H1124" s="31" t="s">
        <v>11501</v>
      </c>
      <c r="I1124" s="31" t="str">
        <f t="shared" si="94"/>
        <v>C00020 * C00013 * C00152 * C00025</v>
      </c>
      <c r="J1124" s="31" t="str">
        <f t="shared" si="96"/>
        <v>(${Variables: E6_3_5_4_Kcat } * E6_3_5_4 * 	
C00002 * C00049 * C00064 * C00001) /(${Variables:E6_3_5_4_Km} + (E6_3_5_4 * 	
C00002 * C00049 * C00064 * C00001))</v>
      </c>
      <c r="K1124" s="31" t="str">
        <f t="shared" si="97"/>
        <v>r1123: 	
C00002 + C00049 + C00064 + C00001 -&gt; C00020 + C00013 + C00152 + C00025 | (${Variables: E6_3_5_4_Kcat } * E6_3_5_4 * 	
C00002 * C00049 * C00064 * C00001) /(${Variables:E6_3_5_4_Km} + (E6_3_5_4 * 	
C00002 * C00049 * C00064 * C00001))</v>
      </c>
    </row>
    <row r="1125" spans="1:11" ht="58" x14ac:dyDescent="0.35">
      <c r="A1125" s="31" t="s">
        <v>4556</v>
      </c>
      <c r="B1125" s="31" t="s">
        <v>4557</v>
      </c>
      <c r="C1125" s="31" t="s">
        <v>14366</v>
      </c>
      <c r="D1125" s="31">
        <v>1124</v>
      </c>
      <c r="E1125" s="31" t="str">
        <f t="shared" si="95"/>
        <v>E6_3_5_5</v>
      </c>
      <c r="F1125" s="31" t="s">
        <v>9841</v>
      </c>
      <c r="G1125" s="31" t="str">
        <f t="shared" si="98"/>
        <v xml:space="preserve">	
C00064 * C00001</v>
      </c>
      <c r="H1125" s="31" t="s">
        <v>10563</v>
      </c>
      <c r="I1125" s="31" t="str">
        <f t="shared" si="94"/>
        <v>C00025 * C00014</v>
      </c>
      <c r="J1125" s="31" t="str">
        <f t="shared" si="96"/>
        <v>(${Variables: E6_3_5_5_Kcat } * E6_3_5_5 * 	
C00064 * C00001) /(${Variables:E6_3_5_5_Km} + (E6_3_5_5 * 	
C00064 * C00001))</v>
      </c>
      <c r="K1125" s="32" t="str">
        <f t="shared" si="97"/>
        <v>r1124: 	
C00064 + C00001 -&gt; C00025 + C00014 | (${Variables: E6_3_5_5_Kcat } * E6_3_5_5 * 	
C00064 * C00001) /(${Variables:E6_3_5_5_Km} + (E6_3_5_5 * 	
C00064 * C00001))</v>
      </c>
    </row>
    <row r="1126" spans="1:11" ht="29" x14ac:dyDescent="0.35">
      <c r="A1126" s="31" t="s">
        <v>4556</v>
      </c>
      <c r="B1126" s="31" t="s">
        <v>4557</v>
      </c>
      <c r="C1126" s="31" t="s">
        <v>14366</v>
      </c>
      <c r="D1126" s="31">
        <v>1125</v>
      </c>
      <c r="E1126" s="31" t="str">
        <f t="shared" si="95"/>
        <v>E6_3_5_5</v>
      </c>
      <c r="F1126" s="31" t="s">
        <v>13921</v>
      </c>
      <c r="G1126" s="31" t="str">
        <f t="shared" si="98"/>
        <v xml:space="preserve">C00002 * C00064 * C00288 * C00001 </v>
      </c>
      <c r="H1126" s="31" t="s">
        <v>14484</v>
      </c>
      <c r="I1126" s="31" t="str">
        <f t="shared" si="94"/>
        <v>C00008 * C00009 * C00025 * C00169</v>
      </c>
      <c r="J1126" s="31" t="str">
        <f t="shared" si="96"/>
        <v>(${Variables: E6_3_5_5_Kcat } * E6_3_5_5 * C00002 * C00064 * C00288 * C00001 ) /(${Variables:E6_3_5_5_Km} + (E6_3_5_5 * C00002 * C00064 * C00288 * C00001 ))</v>
      </c>
      <c r="K1126" s="32" t="str">
        <f t="shared" si="97"/>
        <v>r1125: C00002 + C00064 + C00288 + C00001  -&gt; C00008 + C00009 + C00025 + C00169 | (${Variables: E6_3_5_5_Kcat } * E6_3_5_5 * C00002 * C00064 * C00288 * C00001 ) /(${Variables:E6_3_5_5_Km} + (E6_3_5_5 * C00002 * C00064 * C00288 * C00001 ))</v>
      </c>
    </row>
    <row r="1127" spans="1:11" ht="58" x14ac:dyDescent="0.35">
      <c r="A1127" s="31" t="s">
        <v>4556</v>
      </c>
      <c r="B1127" s="31" t="s">
        <v>4557</v>
      </c>
      <c r="C1127" s="31" t="s">
        <v>14366</v>
      </c>
      <c r="D1127" s="31">
        <v>1126</v>
      </c>
      <c r="E1127" s="31" t="str">
        <f t="shared" si="95"/>
        <v>E6_3_5_5</v>
      </c>
      <c r="F1127" s="31" t="s">
        <v>11506</v>
      </c>
      <c r="G1127" s="31" t="str">
        <f t="shared" si="98"/>
        <v xml:space="preserve">	
C00002 * C01563</v>
      </c>
      <c r="H1127" s="31" t="s">
        <v>11507</v>
      </c>
      <c r="I1127" s="31" t="str">
        <f t="shared" si="94"/>
        <v>C00008 * C00169</v>
      </c>
      <c r="J1127" s="31" t="str">
        <f t="shared" si="96"/>
        <v>(${Variables: E6_3_5_5_Kcat } * E6_3_5_5 * 	
C00002 * C01563) /(${Variables:E6_3_5_5_Km} + (E6_3_5_5 * 	
C00002 * C01563))</v>
      </c>
      <c r="K1127" s="32" t="str">
        <f t="shared" si="97"/>
        <v>r1126: 	
C00002 + C01563 -&gt; C00008 + C00169 | (${Variables: E6_3_5_5_Kcat } * E6_3_5_5 * 	
C00002 * C01563) /(${Variables:E6_3_5_5_Km} + (E6_3_5_5 * 	
C00002 * C01563))</v>
      </c>
    </row>
    <row r="1128" spans="1:11" ht="58" x14ac:dyDescent="0.35">
      <c r="A1128" s="31" t="s">
        <v>4556</v>
      </c>
      <c r="B1128" s="31" t="s">
        <v>4557</v>
      </c>
      <c r="C1128" s="31" t="s">
        <v>14366</v>
      </c>
      <c r="D1128" s="31">
        <v>1127</v>
      </c>
      <c r="E1128" s="31" t="str">
        <f t="shared" si="95"/>
        <v>E6_3_5_5</v>
      </c>
      <c r="F1128" s="31" t="s">
        <v>11509</v>
      </c>
      <c r="G1128" s="31" t="str">
        <f t="shared" si="98"/>
        <v xml:space="preserve">	
C00002 * C00288</v>
      </c>
      <c r="H1128" s="31" t="s">
        <v>11510</v>
      </c>
      <c r="I1128" s="31" t="str">
        <f t="shared" si="94"/>
        <v>C00008 * C20969</v>
      </c>
      <c r="J1128" s="31" t="str">
        <f t="shared" si="96"/>
        <v>(${Variables: E6_3_5_5_Kcat } * E6_3_5_5 * 	
C00002 * C00288) /(${Variables:E6_3_5_5_Km} + (E6_3_5_5 * 	
C00002 * C00288))</v>
      </c>
      <c r="K1128" s="32" t="str">
        <f t="shared" si="97"/>
        <v>r1127: 	
C00002 + C00288 -&gt; C00008 + C20969 | (${Variables: E6_3_5_5_Kcat } * E6_3_5_5 * 	
C00002 * C00288) /(${Variables:E6_3_5_5_Km} + (E6_3_5_5 * 	
C00002 * C00288))</v>
      </c>
    </row>
    <row r="1129" spans="1:11" ht="58" x14ac:dyDescent="0.35">
      <c r="A1129" s="31" t="s">
        <v>4556</v>
      </c>
      <c r="B1129" s="31" t="s">
        <v>4557</v>
      </c>
      <c r="C1129" s="31" t="s">
        <v>14366</v>
      </c>
      <c r="D1129" s="31">
        <v>1128</v>
      </c>
      <c r="E1129" s="31" t="str">
        <f t="shared" si="95"/>
        <v>E6_3_5_5</v>
      </c>
      <c r="F1129" s="31" t="s">
        <v>11512</v>
      </c>
      <c r="G1129" s="31" t="str">
        <f t="shared" si="98"/>
        <v xml:space="preserve">	
C00014 * C20969</v>
      </c>
      <c r="H1129" s="31" t="s">
        <v>11513</v>
      </c>
      <c r="I1129" s="31" t="str">
        <f t="shared" si="94"/>
        <v>C01563 * C00009</v>
      </c>
      <c r="J1129" s="31" t="str">
        <f t="shared" si="96"/>
        <v>(${Variables: E6_3_5_5_Kcat } * E6_3_5_5 * 	
C00014 * C20969) /(${Variables:E6_3_5_5_Km} + (E6_3_5_5 * 	
C00014 * C20969))</v>
      </c>
      <c r="K1129" s="32" t="str">
        <f t="shared" si="97"/>
        <v>r1128: 	
C00014 + C20969 -&gt; C01563 + C00009 | (${Variables: E6_3_5_5_Kcat } * E6_3_5_5 * 	
C00014 * C20969) /(${Variables:E6_3_5_5_Km} + (E6_3_5_5 * 	
C00014 * C20969))</v>
      </c>
    </row>
    <row r="1130" spans="1:11" ht="58" x14ac:dyDescent="0.35">
      <c r="A1130" s="31" t="s">
        <v>4556</v>
      </c>
      <c r="B1130" s="31" t="s">
        <v>4557</v>
      </c>
      <c r="C1130" s="31" t="s">
        <v>14366</v>
      </c>
      <c r="D1130" s="31">
        <v>1129</v>
      </c>
      <c r="E1130" s="31" t="str">
        <f t="shared" si="95"/>
        <v>E6_3_5_5</v>
      </c>
      <c r="F1130" s="31" t="s">
        <v>13922</v>
      </c>
      <c r="G1130" s="31" t="str">
        <f t="shared" si="98"/>
        <v xml:space="preserve">	
C00002 * C00288 * C00014 </v>
      </c>
      <c r="H1130" s="31" t="s">
        <v>14485</v>
      </c>
      <c r="I1130" s="31" t="str">
        <f t="shared" si="94"/>
        <v> C00008 * C00009 * C00169</v>
      </c>
      <c r="J1130" s="31" t="str">
        <f t="shared" si="96"/>
        <v>(${Variables: E6_3_5_5_Kcat } * E6_3_5_5 * 	
C00002 * C00288 * C00014 ) /(${Variables:E6_3_5_5_Km} + (E6_3_5_5 * 	
C00002 * C00288 * C00014 ))</v>
      </c>
      <c r="K1130" s="32" t="str">
        <f t="shared" si="97"/>
        <v>r1129: 	
C00002 + C00288 + C00014  -&gt;  C00008 + C00009 + C00169 | (${Variables: E6_3_5_5_Kcat } * E6_3_5_5 * 	
C00002 * C00288 * C00014 ) /(${Variables:E6_3_5_5_Km} + (E6_3_5_5 * 	
C00002 * C00288 * C00014 ))</v>
      </c>
    </row>
    <row r="1131" spans="1:11" ht="58" x14ac:dyDescent="0.35">
      <c r="A1131" s="31" t="s">
        <v>4560</v>
      </c>
      <c r="B1131" s="31" t="s">
        <v>4561</v>
      </c>
      <c r="C1131" s="31" t="s">
        <v>14366</v>
      </c>
      <c r="D1131" s="31">
        <v>1130</v>
      </c>
      <c r="E1131" s="31" t="str">
        <f t="shared" si="95"/>
        <v>E6_3_5_5</v>
      </c>
      <c r="F1131" s="31" t="s">
        <v>9841</v>
      </c>
      <c r="G1131" s="31" t="str">
        <f t="shared" si="98"/>
        <v xml:space="preserve">	
C00064 * C00001</v>
      </c>
      <c r="H1131" s="31" t="s">
        <v>10563</v>
      </c>
      <c r="I1131" s="31" t="str">
        <f t="shared" si="94"/>
        <v>C00025 * C00014</v>
      </c>
      <c r="J1131" s="31" t="str">
        <f t="shared" si="96"/>
        <v>(${Variables: E6_3_5_5_Kcat } * E6_3_5_5 * 	
C00064 * C00001) /(${Variables:E6_3_5_5_Km} + (E6_3_5_5 * 	
C00064 * C00001))</v>
      </c>
      <c r="K1131" s="32" t="str">
        <f t="shared" si="97"/>
        <v>r1130: 	
C00064 + C00001 -&gt; C00025 + C00014 | (${Variables: E6_3_5_5_Kcat } * E6_3_5_5 * 	
C00064 * C00001) /(${Variables:E6_3_5_5_Km} + (E6_3_5_5 * 	
C00064 * C00001))</v>
      </c>
    </row>
    <row r="1132" spans="1:11" ht="29" x14ac:dyDescent="0.35">
      <c r="A1132" s="31" t="s">
        <v>4560</v>
      </c>
      <c r="B1132" s="31" t="s">
        <v>4561</v>
      </c>
      <c r="C1132" s="31" t="s">
        <v>14366</v>
      </c>
      <c r="D1132" s="31">
        <v>1131</v>
      </c>
      <c r="E1132" s="31" t="str">
        <f t="shared" si="95"/>
        <v>E6_3_5_5</v>
      </c>
      <c r="F1132" s="31" t="s">
        <v>13923</v>
      </c>
      <c r="G1132" s="31" t="str">
        <f t="shared" si="98"/>
        <v xml:space="preserve"> C00002 * C00064 * C00288 * C00001 </v>
      </c>
      <c r="H1132" s="31" t="s">
        <v>14486</v>
      </c>
      <c r="I1132" s="31" t="str">
        <f t="shared" si="94"/>
        <v> C00008 * C00009 * C00025 * C00169</v>
      </c>
      <c r="J1132" s="31" t="str">
        <f t="shared" si="96"/>
        <v>(${Variables: E6_3_5_5_Kcat } * E6_3_5_5 *  C00002 * C00064 * C00288 * C00001 ) /(${Variables:E6_3_5_5_Km} + (E6_3_5_5 *  C00002 * C00064 * C00288 * C00001 ))</v>
      </c>
      <c r="K1132" s="32" t="str">
        <f t="shared" si="97"/>
        <v>r1131:  C00002 + C00064 + C00288 + C00001  -&gt;  C00008 + C00009 + C00025 + C00169 | (${Variables: E6_3_5_5_Kcat } * E6_3_5_5 *  C00002 * C00064 * C00288 * C00001 ) /(${Variables:E6_3_5_5_Km} + (E6_3_5_5 *  C00002 * C00064 * C00288 * C00001 ))</v>
      </c>
    </row>
    <row r="1133" spans="1:11" ht="58" x14ac:dyDescent="0.35">
      <c r="A1133" s="31" t="s">
        <v>4560</v>
      </c>
      <c r="B1133" s="31" t="s">
        <v>4561</v>
      </c>
      <c r="C1133" s="31" t="s">
        <v>14366</v>
      </c>
      <c r="D1133" s="31">
        <v>1132</v>
      </c>
      <c r="E1133" s="31" t="str">
        <f t="shared" si="95"/>
        <v>E6_3_5_5</v>
      </c>
      <c r="F1133" s="31" t="s">
        <v>11506</v>
      </c>
      <c r="G1133" s="31" t="str">
        <f t="shared" si="98"/>
        <v xml:space="preserve">	
C00002 * C01563</v>
      </c>
      <c r="H1133" s="31" t="s">
        <v>11507</v>
      </c>
      <c r="I1133" s="31" t="str">
        <f t="shared" si="94"/>
        <v>C00008 * C00169</v>
      </c>
      <c r="J1133" s="31" t="str">
        <f t="shared" si="96"/>
        <v>(${Variables: E6_3_5_5_Kcat } * E6_3_5_5 * 	
C00002 * C01563) /(${Variables:E6_3_5_5_Km} + (E6_3_5_5 * 	
C00002 * C01563))</v>
      </c>
      <c r="K1133" s="32" t="str">
        <f t="shared" si="97"/>
        <v>r1132: 	
C00002 + C01563 -&gt; C00008 + C00169 | (${Variables: E6_3_5_5_Kcat } * E6_3_5_5 * 	
C00002 * C01563) /(${Variables:E6_3_5_5_Km} + (E6_3_5_5 * 	
C00002 * C01563))</v>
      </c>
    </row>
    <row r="1134" spans="1:11" ht="58" x14ac:dyDescent="0.35">
      <c r="A1134" s="31" t="s">
        <v>4560</v>
      </c>
      <c r="B1134" s="31" t="s">
        <v>4561</v>
      </c>
      <c r="C1134" s="31" t="s">
        <v>14366</v>
      </c>
      <c r="D1134" s="31">
        <v>1133</v>
      </c>
      <c r="E1134" s="31" t="str">
        <f t="shared" si="95"/>
        <v>E6_3_5_5</v>
      </c>
      <c r="F1134" s="31" t="s">
        <v>11509</v>
      </c>
      <c r="G1134" s="31" t="str">
        <f t="shared" si="98"/>
        <v xml:space="preserve">	
C00002 * C00288</v>
      </c>
      <c r="H1134" s="31" t="s">
        <v>11510</v>
      </c>
      <c r="I1134" s="31" t="str">
        <f t="shared" si="94"/>
        <v>C00008 * C20969</v>
      </c>
      <c r="J1134" s="31" t="str">
        <f t="shared" si="96"/>
        <v>(${Variables: E6_3_5_5_Kcat } * E6_3_5_5 * 	
C00002 * C00288) /(${Variables:E6_3_5_5_Km} + (E6_3_5_5 * 	
C00002 * C00288))</v>
      </c>
      <c r="K1134" s="32" t="str">
        <f t="shared" si="97"/>
        <v>r1133: 	
C00002 + C00288 -&gt; C00008 + C20969 | (${Variables: E6_3_5_5_Kcat } * E6_3_5_5 * 	
C00002 * C00288) /(${Variables:E6_3_5_5_Km} + (E6_3_5_5 * 	
C00002 * C00288))</v>
      </c>
    </row>
    <row r="1135" spans="1:11" ht="58" x14ac:dyDescent="0.35">
      <c r="A1135" s="31" t="s">
        <v>4560</v>
      </c>
      <c r="B1135" s="31" t="s">
        <v>4561</v>
      </c>
      <c r="C1135" s="31" t="s">
        <v>14366</v>
      </c>
      <c r="D1135" s="31">
        <v>1134</v>
      </c>
      <c r="E1135" s="31" t="str">
        <f t="shared" si="95"/>
        <v>E6_3_5_5</v>
      </c>
      <c r="F1135" s="31" t="s">
        <v>11512</v>
      </c>
      <c r="G1135" s="31" t="str">
        <f t="shared" si="98"/>
        <v xml:space="preserve">	
C00014 * C20969</v>
      </c>
      <c r="H1135" s="31" t="s">
        <v>11513</v>
      </c>
      <c r="I1135" s="31" t="str">
        <f t="shared" si="94"/>
        <v>C01563 * C00009</v>
      </c>
      <c r="J1135" s="31" t="str">
        <f t="shared" si="96"/>
        <v>(${Variables: E6_3_5_5_Kcat } * E6_3_5_5 * 	
C00014 * C20969) /(${Variables:E6_3_5_5_Km} + (E6_3_5_5 * 	
C00014 * C20969))</v>
      </c>
      <c r="K1135" s="32" t="str">
        <f t="shared" si="97"/>
        <v>r1134: 	
C00014 + C20969 -&gt; C01563 + C00009 | (${Variables: E6_3_5_5_Kcat } * E6_3_5_5 * 	
C00014 * C20969) /(${Variables:E6_3_5_5_Km} + (E6_3_5_5 * 	
C00014 * C20969))</v>
      </c>
    </row>
    <row r="1136" spans="1:11" ht="58" x14ac:dyDescent="0.35">
      <c r="A1136" s="31" t="s">
        <v>4560</v>
      </c>
      <c r="B1136" s="31" t="s">
        <v>4561</v>
      </c>
      <c r="C1136" s="31" t="s">
        <v>14366</v>
      </c>
      <c r="D1136" s="31">
        <v>1135</v>
      </c>
      <c r="E1136" s="31" t="str">
        <f t="shared" si="95"/>
        <v>E6_3_5_5</v>
      </c>
      <c r="F1136" s="31" t="s">
        <v>13922</v>
      </c>
      <c r="G1136" s="31" t="str">
        <f t="shared" si="98"/>
        <v xml:space="preserve">	
C00002 * C00288 * C00014 </v>
      </c>
      <c r="H1136" s="31" t="s">
        <v>14485</v>
      </c>
      <c r="I1136" s="31" t="str">
        <f t="shared" si="94"/>
        <v> C00008 * C00009 * C00169</v>
      </c>
      <c r="J1136" s="31" t="str">
        <f t="shared" si="96"/>
        <v>(${Variables: E6_3_5_5_Kcat } * E6_3_5_5 * 	
C00002 * C00288 * C00014 ) /(${Variables:E6_3_5_5_Km} + (E6_3_5_5 * 	
C00002 * C00288 * C00014 ))</v>
      </c>
      <c r="K1136" s="32" t="str">
        <f t="shared" si="97"/>
        <v>r1135: 	
C00002 + C00288 + C00014  -&gt;  C00008 + C00009 + C00169 | (${Variables: E6_3_5_5_Kcat } * E6_3_5_5 * 	
C00002 * C00288 * C00014 ) /(${Variables:E6_3_5_5_Km} + (E6_3_5_5 * 	
C00002 * C00288 * C00014 ))</v>
      </c>
    </row>
    <row r="1137" spans="1:11" ht="58" x14ac:dyDescent="0.35">
      <c r="A1137" s="31" t="s">
        <v>1998</v>
      </c>
      <c r="B1137" s="31" t="s">
        <v>1999</v>
      </c>
      <c r="C1137" s="31" t="s">
        <v>14367</v>
      </c>
      <c r="D1137" s="31">
        <v>1136</v>
      </c>
      <c r="E1137" s="31" t="str">
        <f t="shared" si="95"/>
        <v>E6_4_1_1</v>
      </c>
      <c r="F1137" s="31" t="s">
        <v>11518</v>
      </c>
      <c r="G1137" s="31" t="str">
        <f t="shared" si="98"/>
        <v xml:space="preserve">	
C00002 * C00022 * C00288 </v>
      </c>
      <c r="H1137" s="31" t="s">
        <v>11519</v>
      </c>
      <c r="I1137" s="31" t="str">
        <f t="shared" si="94"/>
        <v>C00008 * C00009 * C00036</v>
      </c>
      <c r="J1137" s="31" t="str">
        <f t="shared" si="96"/>
        <v>(${Variables: E6_4_1_1_Kcat } * E6_4_1_1 * 	
C00002 * C00022 * C00288 ) /(${Variables:E6_4_1_1_Km} + (E6_4_1_1 * 	
C00002 * C00022 * C00288 ))</v>
      </c>
      <c r="K1137" s="31" t="str">
        <f t="shared" si="97"/>
        <v>r1136: 	
C00002 + C00022 + C00288  -&gt; C00008 + C00009 + C00036 | (${Variables: E6_4_1_1_Kcat } * E6_4_1_1 * 	
C00002 * C00022 * C00288 ) /(${Variables:E6_4_1_1_Km} + (E6_4_1_1 * 	
C00002 * C00022 * C00288 ))</v>
      </c>
    </row>
    <row r="1138" spans="1:11" ht="58" x14ac:dyDescent="0.35">
      <c r="A1138" s="31" t="s">
        <v>3536</v>
      </c>
      <c r="B1138" s="31" t="s">
        <v>3537</v>
      </c>
      <c r="C1138" s="31" t="s">
        <v>14368</v>
      </c>
      <c r="D1138" s="31">
        <v>1137</v>
      </c>
      <c r="E1138" s="31" t="str">
        <f t="shared" si="95"/>
        <v>E6_5_1_2</v>
      </c>
      <c r="F1138" s="31" t="s">
        <v>13924</v>
      </c>
      <c r="G1138" s="31" t="str">
        <f t="shared" si="98"/>
        <v xml:space="preserve">	
C00003 * C00039* C02128</v>
      </c>
      <c r="H1138" s="31" t="s">
        <v>14487</v>
      </c>
      <c r="I1138" s="31" t="s">
        <v>14489</v>
      </c>
      <c r="J1138" s="31" t="str">
        <f t="shared" si="96"/>
        <v>(${Variables: E6_5_1_2_Kcat } * E6_5_1_2 * 	
C00003 * C00039* C02128) /(${Variables:E6_5_1_2_Km} + (E6_5_1_2 * 	
C00003 * C00039* C02128))</v>
      </c>
      <c r="K1138" s="32" t="str">
        <f t="shared" si="97"/>
        <v>r1137: 	
C00003 + C00039+ C02128 -&gt;  C00020 + C00455 + C00039 | (${Variables: E6_5_1_2_Kcat } * E6_5_1_2 * 	
C00003 * C00039* C02128) /(${Variables:E6_5_1_2_Km} + (E6_5_1_2 * 	
C00003 * C00039* C02128))</v>
      </c>
    </row>
    <row r="1139" spans="1:11" ht="29" x14ac:dyDescent="0.35">
      <c r="A1139" s="31" t="s">
        <v>8162</v>
      </c>
      <c r="B1139" s="31" t="s">
        <v>8163</v>
      </c>
      <c r="C1139" s="31" t="s">
        <v>14369</v>
      </c>
      <c r="D1139" s="31">
        <v>1138</v>
      </c>
      <c r="E1139" s="31" t="str">
        <f t="shared" si="95"/>
        <v>E6_5_1_8</v>
      </c>
      <c r="F1139" s="31" t="s">
        <v>10624</v>
      </c>
      <c r="G1139" s="31" t="str">
        <f t="shared" si="98"/>
        <v>C00044 * C00001</v>
      </c>
      <c r="H1139" s="31" t="s">
        <v>11524</v>
      </c>
      <c r="I1139" s="31" t="str">
        <f>SUBSTITUTE(H1139,"+","*")</f>
        <v>C00046 * C00144 * C00013</v>
      </c>
      <c r="J1139" s="31" t="str">
        <f t="shared" si="96"/>
        <v>(${Variables: E6_5_1_8_Kcat } * E6_5_1_8 * C00044 * C00001) /(${Variables:E6_5_1_8_Km} + (E6_5_1_8 * C00044 * C00001))</v>
      </c>
      <c r="K1139" s="31" t="str">
        <f t="shared" si="97"/>
        <v>r1138: C00044 + C00001 -&gt; C00046 + C00144 + C00013 | (${Variables: E6_5_1_8_Kcat } * E6_5_1_8 * C00044 * C00001) /(${Variables:E6_5_1_8_Km} + (E6_5_1_8 * C00044 * C00001))</v>
      </c>
    </row>
    <row r="1140" spans="1:11" ht="29" x14ac:dyDescent="0.35">
      <c r="A1140" s="31" t="s">
        <v>6045</v>
      </c>
      <c r="B1140" s="31" t="s">
        <v>6046</v>
      </c>
      <c r="C1140" s="31" t="s">
        <v>14370</v>
      </c>
      <c r="D1140" s="31">
        <v>1139</v>
      </c>
      <c r="E1140" s="31" t="str">
        <f t="shared" si="95"/>
        <v>E7_1_1_8</v>
      </c>
      <c r="F1140" s="31" t="s">
        <v>14403</v>
      </c>
      <c r="G1140" s="31" t="str">
        <f t="shared" si="98"/>
        <v xml:space="preserve">C15603 * C00125 </v>
      </c>
      <c r="H1140" s="31" t="s">
        <v>14488</v>
      </c>
      <c r="I1140" s="31" t="str">
        <f t="shared" ref="I1140:I1154" si="99">SUBSTITUTE(H1140,"+","*")</f>
        <v>C15602 * C00126 *  C00080</v>
      </c>
      <c r="J1140" s="31" t="str">
        <f t="shared" si="96"/>
        <v>(${Variables: E7_1_1_8_Kcat } * E7_1_1_8 * C15603 * C00125 ) /(${Variables:E7_1_1_8_Km} + (E7_1_1_8 * C15603 * C00125 ))</v>
      </c>
      <c r="K1140" s="32" t="str">
        <f t="shared" si="97"/>
        <v>r1139: C15603 + C00125  -&gt; C15602 + C00126 +  C00080 | (${Variables: E7_1_1_8_Kcat } * E7_1_1_8 * C15603 * C00125 ) /(${Variables:E7_1_1_8_Km} + (E7_1_1_8 * C15603 * C00125 ))</v>
      </c>
    </row>
    <row r="1141" spans="1:11" ht="58" x14ac:dyDescent="0.35">
      <c r="A1141" s="31" t="s">
        <v>6045</v>
      </c>
      <c r="B1141" s="31" t="s">
        <v>6046</v>
      </c>
      <c r="C1141" s="31" t="s">
        <v>14370</v>
      </c>
      <c r="D1141" s="31">
        <v>1140</v>
      </c>
      <c r="E1141" s="31" t="str">
        <f t="shared" si="95"/>
        <v>E7_1_1_8</v>
      </c>
      <c r="F1141" s="31" t="s">
        <v>13926</v>
      </c>
      <c r="G1141" s="31" t="str">
        <f t="shared" si="98"/>
        <v xml:space="preserve">	
C00390 *  C00125 </v>
      </c>
      <c r="H1141" s="31" t="s">
        <v>14490</v>
      </c>
      <c r="I1141" s="31" t="str">
        <f t="shared" si="99"/>
        <v> C00399 * C00126 * C00080</v>
      </c>
      <c r="J1141" s="31" t="str">
        <f t="shared" si="96"/>
        <v>(${Variables: E7_1_1_8_Kcat } * E7_1_1_8 * 	
C00390 *  C00125 ) /(${Variables:E7_1_1_8_Km} + (E7_1_1_8 * 	
C00390 *  C00125 ))</v>
      </c>
      <c r="K1141" s="32" t="str">
        <f t="shared" si="97"/>
        <v>r1140: 	
C00390 +  C00125  -&gt;  C00399 + C00126 + C00080 | (${Variables: E7_1_1_8_Kcat } * E7_1_1_8 * 	
C00390 *  C00125 ) /(${Variables:E7_1_1_8_Km} + (E7_1_1_8 * 	
C00390 *  C00125 ))</v>
      </c>
    </row>
    <row r="1142" spans="1:11" ht="29" x14ac:dyDescent="0.35">
      <c r="A1142" s="31" t="s">
        <v>3434</v>
      </c>
      <c r="B1142" s="31" t="s">
        <v>3435</v>
      </c>
      <c r="C1142" s="31" t="s">
        <v>14371</v>
      </c>
      <c r="D1142" s="31">
        <v>1141</v>
      </c>
      <c r="E1142" s="31" t="str">
        <f t="shared" si="95"/>
        <v>E7_1_2_2</v>
      </c>
      <c r="F1142" s="31" t="s">
        <v>11533</v>
      </c>
      <c r="G1142" s="31" t="str">
        <f t="shared" si="98"/>
        <v xml:space="preserve">C00002 * C00001 </v>
      </c>
      <c r="H1142" s="31" t="s">
        <v>11534</v>
      </c>
      <c r="I1142" s="31" t="str">
        <f t="shared" si="99"/>
        <v> C00008 * C00009</v>
      </c>
      <c r="J1142" s="31" t="str">
        <f t="shared" si="96"/>
        <v>(${Variables: E7_1_2_2_Kcat } * E7_1_2_2 * C00002 * C00001 ) /(${Variables:E7_1_2_2_Km} + (E7_1_2_2 * C00002 * C00001 ))</v>
      </c>
      <c r="K1142" s="31" t="str">
        <f t="shared" si="97"/>
        <v>r1141: C00002 + C00001  -&gt;  C00008 + C00009 | (${Variables: E7_1_2_2_Kcat } * E7_1_2_2 * C00002 * C00001 ) /(${Variables:E7_1_2_2_Km} + (E7_1_2_2 * C00002 * C00001 ))</v>
      </c>
    </row>
    <row r="1143" spans="1:11" ht="29" x14ac:dyDescent="0.35">
      <c r="A1143" s="31" t="s">
        <v>3440</v>
      </c>
      <c r="B1143" s="31" t="s">
        <v>3441</v>
      </c>
      <c r="C1143" s="31" t="s">
        <v>14371</v>
      </c>
      <c r="D1143" s="31">
        <v>1142</v>
      </c>
      <c r="E1143" s="31" t="str">
        <f t="shared" si="95"/>
        <v>E7_1_2_2</v>
      </c>
      <c r="F1143" s="31" t="s">
        <v>11533</v>
      </c>
      <c r="G1143" s="31" t="str">
        <f t="shared" si="98"/>
        <v xml:space="preserve">C00002 * C00001 </v>
      </c>
      <c r="H1143" s="31" t="s">
        <v>11534</v>
      </c>
      <c r="I1143" s="31" t="str">
        <f t="shared" si="99"/>
        <v> C00008 * C00009</v>
      </c>
      <c r="J1143" s="31" t="str">
        <f t="shared" si="96"/>
        <v>(${Variables: E7_1_2_2_Kcat } * E7_1_2_2 * C00002 * C00001 ) /(${Variables:E7_1_2_2_Km} + (E7_1_2_2 * C00002 * C00001 ))</v>
      </c>
      <c r="K1143" s="31" t="str">
        <f t="shared" si="97"/>
        <v>r1142: C00002 + C00001  -&gt;  C00008 + C00009 | (${Variables: E7_1_2_2_Kcat } * E7_1_2_2 * C00002 * C00001 ) /(${Variables:E7_1_2_2_Km} + (E7_1_2_2 * C00002 * C00001 ))</v>
      </c>
    </row>
    <row r="1144" spans="1:11" ht="29" x14ac:dyDescent="0.35">
      <c r="A1144" s="31" t="s">
        <v>3443</v>
      </c>
      <c r="B1144" s="31" t="s">
        <v>3444</v>
      </c>
      <c r="C1144" s="31" t="s">
        <v>14371</v>
      </c>
      <c r="D1144" s="31">
        <v>1143</v>
      </c>
      <c r="E1144" s="31" t="str">
        <f t="shared" si="95"/>
        <v>E7_1_2_2</v>
      </c>
      <c r="F1144" s="31" t="s">
        <v>11533</v>
      </c>
      <c r="G1144" s="31" t="str">
        <f t="shared" si="98"/>
        <v xml:space="preserve">C00002 * C00001 </v>
      </c>
      <c r="H1144" s="31" t="s">
        <v>11534</v>
      </c>
      <c r="I1144" s="31" t="str">
        <f t="shared" si="99"/>
        <v> C00008 * C00009</v>
      </c>
      <c r="J1144" s="31" t="str">
        <f t="shared" si="96"/>
        <v>(${Variables: E7_1_2_2_Kcat } * E7_1_2_2 * C00002 * C00001 ) /(${Variables:E7_1_2_2_Km} + (E7_1_2_2 * C00002 * C00001 ))</v>
      </c>
      <c r="K1144" s="31" t="str">
        <f t="shared" si="97"/>
        <v>r1143: C00002 + C00001  -&gt;  C00008 + C00009 | (${Variables: E7_1_2_2_Kcat } * E7_1_2_2 * C00002 * C00001 ) /(${Variables:E7_1_2_2_Km} + (E7_1_2_2 * C00002 * C00001 ))</v>
      </c>
    </row>
    <row r="1145" spans="1:11" ht="29" x14ac:dyDescent="0.35">
      <c r="A1145" s="31" t="s">
        <v>3447</v>
      </c>
      <c r="B1145" s="31" t="s">
        <v>3448</v>
      </c>
      <c r="C1145" s="31" t="s">
        <v>14371</v>
      </c>
      <c r="D1145" s="31">
        <v>1144</v>
      </c>
      <c r="E1145" s="31" t="str">
        <f t="shared" si="95"/>
        <v>E7_1_2_2</v>
      </c>
      <c r="F1145" s="31" t="s">
        <v>11533</v>
      </c>
      <c r="G1145" s="31" t="str">
        <f t="shared" si="98"/>
        <v xml:space="preserve">C00002 * C00001 </v>
      </c>
      <c r="H1145" s="31" t="s">
        <v>11534</v>
      </c>
      <c r="I1145" s="31" t="str">
        <f t="shared" si="99"/>
        <v> C00008 * C00009</v>
      </c>
      <c r="J1145" s="31" t="str">
        <f t="shared" si="96"/>
        <v>(${Variables: E7_1_2_2_Kcat } * E7_1_2_2 * C00002 * C00001 ) /(${Variables:E7_1_2_2_Km} + (E7_1_2_2 * C00002 * C00001 ))</v>
      </c>
      <c r="K1145" s="31" t="str">
        <f t="shared" si="97"/>
        <v>r1144: C00002 + C00001  -&gt;  C00008 + C00009 | (${Variables: E7_1_2_2_Kcat } * E7_1_2_2 * C00002 * C00001 ) /(${Variables:E7_1_2_2_Km} + (E7_1_2_2 * C00002 * C00001 ))</v>
      </c>
    </row>
    <row r="1146" spans="1:11" ht="29" x14ac:dyDescent="0.35">
      <c r="A1146" s="31" t="s">
        <v>3450</v>
      </c>
      <c r="B1146" s="31" t="s">
        <v>3451</v>
      </c>
      <c r="C1146" s="31" t="s">
        <v>14371</v>
      </c>
      <c r="D1146" s="31">
        <v>1145</v>
      </c>
      <c r="E1146" s="31" t="str">
        <f t="shared" si="95"/>
        <v>E7_1_2_2</v>
      </c>
      <c r="F1146" s="31" t="s">
        <v>11533</v>
      </c>
      <c r="G1146" s="31" t="str">
        <f t="shared" si="98"/>
        <v xml:space="preserve">C00002 * C00001 </v>
      </c>
      <c r="H1146" s="31" t="s">
        <v>11534</v>
      </c>
      <c r="I1146" s="31" t="str">
        <f t="shared" si="99"/>
        <v> C00008 * C00009</v>
      </c>
      <c r="J1146" s="31" t="str">
        <f t="shared" si="96"/>
        <v>(${Variables: E7_1_2_2_Kcat } * E7_1_2_2 * C00002 * C00001 ) /(${Variables:E7_1_2_2_Km} + (E7_1_2_2 * C00002 * C00001 ))</v>
      </c>
      <c r="K1146" s="31" t="str">
        <f t="shared" si="97"/>
        <v>r1145: C00002 + C00001  -&gt;  C00008 + C00009 | (${Variables: E7_1_2_2_Kcat } * E7_1_2_2 * C00002 * C00001 ) /(${Variables:E7_1_2_2_Km} + (E7_1_2_2 * C00002 * C00001 ))</v>
      </c>
    </row>
    <row r="1147" spans="1:11" ht="29" x14ac:dyDescent="0.35">
      <c r="A1147" s="31" t="s">
        <v>3454</v>
      </c>
      <c r="B1147" s="31" t="s">
        <v>3455</v>
      </c>
      <c r="C1147" s="31" t="s">
        <v>14371</v>
      </c>
      <c r="D1147" s="31">
        <v>1146</v>
      </c>
      <c r="E1147" s="31" t="str">
        <f t="shared" si="95"/>
        <v>E7_1_2_2</v>
      </c>
      <c r="F1147" s="31" t="s">
        <v>11533</v>
      </c>
      <c r="G1147" s="31" t="str">
        <f t="shared" si="98"/>
        <v xml:space="preserve">C00002 * C00001 </v>
      </c>
      <c r="H1147" s="31" t="s">
        <v>11534</v>
      </c>
      <c r="I1147" s="31" t="str">
        <f t="shared" si="99"/>
        <v> C00008 * C00009</v>
      </c>
      <c r="J1147" s="31" t="str">
        <f t="shared" si="96"/>
        <v>(${Variables: E7_1_2_2_Kcat } * E7_1_2_2 * C00002 * C00001 ) /(${Variables:E7_1_2_2_Km} + (E7_1_2_2 * C00002 * C00001 ))</v>
      </c>
      <c r="K1147" s="31" t="str">
        <f t="shared" si="97"/>
        <v>r1146: C00002 + C00001  -&gt;  C00008 + C00009 | (${Variables: E7_1_2_2_Kcat } * E7_1_2_2 * C00002 * C00001 ) /(${Variables:E7_1_2_2_Km} + (E7_1_2_2 * C00002 * C00001 ))</v>
      </c>
    </row>
    <row r="1148" spans="1:11" ht="29" x14ac:dyDescent="0.35">
      <c r="A1148" s="31" t="s">
        <v>3457</v>
      </c>
      <c r="B1148" s="31" t="s">
        <v>3458</v>
      </c>
      <c r="C1148" s="31" t="s">
        <v>14371</v>
      </c>
      <c r="D1148" s="31">
        <v>1147</v>
      </c>
      <c r="E1148" s="31" t="str">
        <f t="shared" si="95"/>
        <v>E7_1_2_2</v>
      </c>
      <c r="F1148" s="31" t="s">
        <v>11533</v>
      </c>
      <c r="G1148" s="31" t="str">
        <f t="shared" si="98"/>
        <v xml:space="preserve">C00002 * C00001 </v>
      </c>
      <c r="H1148" s="31" t="s">
        <v>11534</v>
      </c>
      <c r="I1148" s="31" t="str">
        <f t="shared" si="99"/>
        <v> C00008 * C00009</v>
      </c>
      <c r="J1148" s="31" t="str">
        <f t="shared" si="96"/>
        <v>(${Variables: E7_1_2_2_Kcat } * E7_1_2_2 * C00002 * C00001 ) /(${Variables:E7_1_2_2_Km} + (E7_1_2_2 * C00002 * C00001 ))</v>
      </c>
      <c r="K1148" s="31" t="str">
        <f t="shared" si="97"/>
        <v>r1147: C00002 + C00001  -&gt;  C00008 + C00009 | (${Variables: E7_1_2_2_Kcat } * E7_1_2_2 * C00002 * C00001 ) /(${Variables:E7_1_2_2_Km} + (E7_1_2_2 * C00002 * C00001 ))</v>
      </c>
    </row>
    <row r="1149" spans="1:11" ht="29" x14ac:dyDescent="0.35">
      <c r="A1149" s="31" t="s">
        <v>7076</v>
      </c>
      <c r="B1149" s="31" t="s">
        <v>7077</v>
      </c>
      <c r="C1149" s="31" t="s">
        <v>14372</v>
      </c>
      <c r="D1149" s="31">
        <v>1148</v>
      </c>
      <c r="E1149" s="31" t="str">
        <f t="shared" si="95"/>
        <v>E7_3_2_1</v>
      </c>
      <c r="F1149" s="31" t="s">
        <v>10744</v>
      </c>
      <c r="G1149" s="31" t="str">
        <f t="shared" si="98"/>
        <v>C00002 * C00001</v>
      </c>
      <c r="H1149" s="31" t="s">
        <v>10745</v>
      </c>
      <c r="I1149" s="31" t="str">
        <f t="shared" si="99"/>
        <v>C00008 * C00009</v>
      </c>
      <c r="J1149" s="31" t="str">
        <f t="shared" si="96"/>
        <v>(${Variables: E7_3_2_1_Kcat } * E7_3_2_1 * C00002 * C00001) /(${Variables:E7_3_2_1_Km} + (E7_3_2_1 * C00002 * C00001))</v>
      </c>
      <c r="K1149" s="31" t="str">
        <f t="shared" si="97"/>
        <v>r1148: C00002 + C00001 -&gt; C00008 + C00009 | (${Variables: E7_3_2_1_Kcat } * E7_3_2_1 * C00002 * C00001) /(${Variables:E7_3_2_1_Km} + (E7_3_2_1 * C00002 * C00001))</v>
      </c>
    </row>
    <row r="1150" spans="1:11" ht="29" x14ac:dyDescent="0.35">
      <c r="A1150" s="31" t="s">
        <v>4112</v>
      </c>
      <c r="B1150" s="31" t="s">
        <v>4113</v>
      </c>
      <c r="C1150" s="31" t="s">
        <v>14373</v>
      </c>
      <c r="D1150" s="31">
        <v>1149</v>
      </c>
      <c r="E1150" s="31" t="str">
        <f t="shared" si="95"/>
        <v>E7_3_2_2</v>
      </c>
      <c r="F1150" s="31" t="s">
        <v>10744</v>
      </c>
      <c r="G1150" s="31" t="str">
        <f t="shared" si="98"/>
        <v>C00002 * C00001</v>
      </c>
      <c r="H1150" s="31" t="s">
        <v>10745</v>
      </c>
      <c r="I1150" s="31" t="str">
        <f t="shared" si="99"/>
        <v>C00008 * C00009</v>
      </c>
      <c r="J1150" s="31" t="str">
        <f t="shared" si="96"/>
        <v>(${Variables: E7_3_2_2_Kcat } * E7_3_2_2 * C00002 * C00001) /(${Variables:E7_3_2_2_Km} + (E7_3_2_2 * C00002 * C00001))</v>
      </c>
      <c r="K1150" s="31" t="str">
        <f t="shared" si="97"/>
        <v>r1149: C00002 + C00001 -&gt; C00008 + C00009 | (${Variables: E7_3_2_2_Kcat } * E7_3_2_2 * C00002 * C00001) /(${Variables:E7_3_2_2_Km} + (E7_3_2_2 * C00002 * C00001))</v>
      </c>
    </row>
    <row r="1151" spans="1:11" ht="29" x14ac:dyDescent="0.35">
      <c r="A1151" s="31" t="s">
        <v>4114</v>
      </c>
      <c r="B1151" s="31" t="s">
        <v>4115</v>
      </c>
      <c r="C1151" s="31" t="s">
        <v>14373</v>
      </c>
      <c r="D1151" s="31">
        <v>1150</v>
      </c>
      <c r="E1151" s="31" t="str">
        <f t="shared" si="95"/>
        <v>E7_3_2_2</v>
      </c>
      <c r="F1151" s="31" t="s">
        <v>10744</v>
      </c>
      <c r="G1151" s="31" t="str">
        <f t="shared" si="98"/>
        <v>C00002 * C00001</v>
      </c>
      <c r="H1151" s="31" t="s">
        <v>10745</v>
      </c>
      <c r="I1151" s="31" t="str">
        <f t="shared" si="99"/>
        <v>C00008 * C00009</v>
      </c>
      <c r="J1151" s="31" t="str">
        <f t="shared" si="96"/>
        <v>(${Variables: E7_3_2_2_Kcat } * E7_3_2_2 * C00002 * C00001) /(${Variables:E7_3_2_2_Km} + (E7_3_2_2 * C00002 * C00001))</v>
      </c>
      <c r="K1151" s="31" t="str">
        <f t="shared" si="97"/>
        <v>r1150: C00002 + C00001 -&gt; C00008 + C00009 | (${Variables: E7_3_2_2_Kcat } * E7_3_2_2 * C00002 * C00001) /(${Variables:E7_3_2_2_Km} + (E7_3_2_2 * C00002 * C00001))</v>
      </c>
    </row>
    <row r="1152" spans="1:11" ht="29" x14ac:dyDescent="0.35">
      <c r="A1152" s="31" t="s">
        <v>4118</v>
      </c>
      <c r="B1152" s="31" t="s">
        <v>4119</v>
      </c>
      <c r="C1152" s="31" t="s">
        <v>14373</v>
      </c>
      <c r="D1152" s="31">
        <v>1151</v>
      </c>
      <c r="E1152" s="31" t="str">
        <f t="shared" si="95"/>
        <v>E7_3_2_2</v>
      </c>
      <c r="F1152" s="31" t="s">
        <v>10744</v>
      </c>
      <c r="G1152" s="31" t="str">
        <f t="shared" si="98"/>
        <v>C00002 * C00001</v>
      </c>
      <c r="H1152" s="31" t="s">
        <v>10745</v>
      </c>
      <c r="I1152" s="31" t="str">
        <f t="shared" si="99"/>
        <v>C00008 * C00009</v>
      </c>
      <c r="J1152" s="31" t="str">
        <f t="shared" si="96"/>
        <v>(${Variables: E7_3_2_2_Kcat } * E7_3_2_2 * C00002 * C00001) /(${Variables:E7_3_2_2_Km} + (E7_3_2_2 * C00002 * C00001))</v>
      </c>
      <c r="K1152" s="31" t="str">
        <f t="shared" si="97"/>
        <v>r1151: C00002 + C00001 -&gt; C00008 + C00009 | (${Variables: E7_3_2_2_Kcat } * E7_3_2_2 * C00002 * C00001) /(${Variables:E7_3_2_2_Km} + (E7_3_2_2 * C00002 * C00001))</v>
      </c>
    </row>
    <row r="1153" spans="1:11" ht="29" x14ac:dyDescent="0.35">
      <c r="A1153" s="31" t="s">
        <v>1857</v>
      </c>
      <c r="B1153" s="31" t="s">
        <v>1858</v>
      </c>
      <c r="C1153" s="31" t="s">
        <v>14374</v>
      </c>
      <c r="D1153" s="31">
        <v>1152</v>
      </c>
      <c r="E1153" s="31" t="str">
        <f t="shared" si="95"/>
        <v>E7_4_2_11</v>
      </c>
      <c r="F1153" s="31" t="s">
        <v>10744</v>
      </c>
      <c r="G1153" s="31" t="str">
        <f t="shared" si="98"/>
        <v>C00002 * C00001</v>
      </c>
      <c r="H1153" s="31" t="s">
        <v>10745</v>
      </c>
      <c r="I1153" s="31" t="str">
        <f t="shared" si="99"/>
        <v>C00008 * C00009</v>
      </c>
      <c r="J1153" s="31" t="str">
        <f t="shared" si="96"/>
        <v>(${Variables: E7_4_2_11_Kcat } * E7_4_2_11 * C00002 * C00001) /(${Variables:E7_4_2_11_Km} + (E7_4_2_11 * C00002 * C00001))</v>
      </c>
      <c r="K1153" s="31" t="str">
        <f t="shared" si="97"/>
        <v>r1152: C00002 + C00001 -&gt; C00008 + C00009 | (${Variables: E7_4_2_11_Kcat } * E7_4_2_11 * C00002 * C00001) /(${Variables:E7_4_2_11_Km} + (E7_4_2_11 * C00002 * C00001))</v>
      </c>
    </row>
    <row r="1154" spans="1:11" ht="29" x14ac:dyDescent="0.35">
      <c r="A1154" s="31" t="s">
        <v>1860</v>
      </c>
      <c r="B1154" s="31" t="s">
        <v>1861</v>
      </c>
      <c r="C1154" s="31" t="s">
        <v>14374</v>
      </c>
      <c r="D1154" s="31">
        <v>1153</v>
      </c>
      <c r="E1154" s="31" t="str">
        <f t="shared" ref="E1154" si="100">CONCATENATE("E",C1154)</f>
        <v>E7_4_2_11</v>
      </c>
      <c r="F1154" s="31" t="s">
        <v>10744</v>
      </c>
      <c r="G1154" s="31" t="str">
        <f t="shared" si="98"/>
        <v>C00002 * C00001</v>
      </c>
      <c r="H1154" s="31" t="s">
        <v>10745</v>
      </c>
      <c r="I1154" s="31" t="str">
        <f t="shared" si="99"/>
        <v>C00008 * C00009</v>
      </c>
      <c r="J1154" s="31" t="str">
        <f t="shared" ref="J1154" si="101">CONCATENATE("(${Variables: ",E1154,"_Kcat ","} * ",E1154," * ",G1154,")"," /(${Variables:",E1154,"_Km","} + (",E1154," * ",G1154,"))")</f>
        <v>(${Variables: E7_4_2_11_Kcat } * E7_4_2_11 * C00002 * C00001) /(${Variables:E7_4_2_11_Km} + (E7_4_2_11 * C00002 * C00001))</v>
      </c>
      <c r="K1154" s="31" t="str">
        <f t="shared" ref="K1154" si="102">CONCATENATE("r",D1154,": ",F1154," -&gt; ",H1154," | ",J1154)</f>
        <v>r1153: C00002 + C00001 -&gt; C00008 + C00009 | (${Variables: E7_4_2_11_Kcat } * E7_4_2_11 * C00002 * C00001) /(${Variables:E7_4_2_11_Km} + (E7_4_2_11 * C00002 * C00001))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Numbers</vt:lpstr>
      <vt:lpstr>Metabolites</vt:lpstr>
      <vt:lpstr>Enzymes</vt:lpstr>
      <vt:lpstr>Reaction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Pandiyan Srinithiksha</dc:creator>
  <cp:lastModifiedBy>M L</cp:lastModifiedBy>
  <cp:lastPrinted>2025-09-02T10:49:38Z</cp:lastPrinted>
  <dcterms:created xsi:type="dcterms:W3CDTF">2025-06-21T04:17:29Z</dcterms:created>
  <dcterms:modified xsi:type="dcterms:W3CDTF">2025-12-23T14:31:27Z</dcterms:modified>
</cp:coreProperties>
</file>